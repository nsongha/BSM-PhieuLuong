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tabRatio="780" firstSheet="1" activeTab="1"/>
  </bookViews>
  <sheets>
    <sheet name="Lương 0624_ để check" sheetId="1" state="hidden" r:id="rId1"/>
    <sheet name="Lương 032026_Chốt" sheetId="2" r:id="rId2"/>
    <sheet name="Biến động NS+ Lương" sheetId="3" r:id="rId3"/>
    <sheet name="Tổng hợp OT" sheetId="12" r:id="rId4"/>
    <sheet name="Thưởng hiệu suất" sheetId="6" r:id="rId5"/>
    <sheet name="BCC " sheetId="15" r:id="rId6"/>
    <sheet name="Bản sao của Lương 092024" sheetId="7" state="hidden" r:id="rId7"/>
    <sheet name="Bảng công_092024" sheetId="8" state="hidden" r:id="rId8"/>
    <sheet name="Bản sao của BHXH" sheetId="9" state="hidden" r:id="rId9"/>
    <sheet name="BHXH" sheetId="4" r:id="rId10"/>
    <sheet name="TÀI KHOẢN NV" sheetId="10" r:id="rId11"/>
    <sheet name="van de" sheetId="11" r:id="rId12"/>
  </sheets>
  <externalReferences>
    <externalReference r:id="rId13"/>
  </externalReferences>
  <definedNames>
    <definedName name="_xlnm._FilterDatabase" localSheetId="5" hidden="1">'BCC '!$A$2:$U$1410</definedName>
    <definedName name="_xlnm._FilterDatabase" localSheetId="1" hidden="1">'Lương 032026_Chốt'!$A$8:$BQ$71</definedName>
    <definedName name="_xlnm._FilterDatabase" localSheetId="4" hidden="1">'Thưởng hiệu suất'!$A$1:$W$1006</definedName>
    <definedName name="_xlnm.Print_Titles" localSheetId="1">'Lương 032026_Chốt'!$4:$6</definedName>
  </definedNames>
  <calcPr calcId="144525"/>
  <extLst>
    <ext uri="GoogleSheetsCustomDataVersion2">
      <go:sheetsCustomData xmlns:go="http://customooxmlschemas.google.com/" r:id="" roundtripDataChecksum="gpclDyPMvjdvxSHoAKYhZP3hznNyJHhJ5bnJ14F2Iw4="/>
    </ext>
  </extLst>
</workbook>
</file>

<file path=xl/calcChain.xml><?xml version="1.0" encoding="utf-8"?>
<calcChain xmlns="http://schemas.openxmlformats.org/spreadsheetml/2006/main">
  <c r="M40" i="2" l="1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41" i="2"/>
  <c r="T38" i="2"/>
  <c r="L11" i="2"/>
  <c r="L12" i="2" s="1"/>
  <c r="L13" i="2" s="1"/>
  <c r="L14" i="2" s="1"/>
  <c r="L15" i="2" s="1"/>
  <c r="L16" i="2" s="1"/>
  <c r="L10" i="2"/>
  <c r="T5" i="6" l="1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4" i="6"/>
  <c r="R1" i="6"/>
  <c r="Q1" i="6"/>
  <c r="P1" i="6"/>
  <c r="P5" i="6"/>
  <c r="Q5" i="6"/>
  <c r="P6" i="6"/>
  <c r="Q6" i="6"/>
  <c r="P7" i="6"/>
  <c r="Q7" i="6"/>
  <c r="P8" i="6"/>
  <c r="Q8" i="6"/>
  <c r="P9" i="6"/>
  <c r="Q9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30" i="6"/>
  <c r="Q30" i="6"/>
  <c r="P31" i="6"/>
  <c r="Q31" i="6"/>
  <c r="Q4" i="6"/>
  <c r="P4" i="6"/>
  <c r="S1" i="6" l="1"/>
  <c r="T1" i="6"/>
  <c r="A20" i="2" l="1"/>
  <c r="A14" i="2"/>
  <c r="AN37" i="2"/>
  <c r="AO37" i="2" s="1"/>
  <c r="AN38" i="2"/>
  <c r="AO38" i="2" s="1"/>
  <c r="AR38" i="2"/>
  <c r="AR37" i="2"/>
  <c r="AR36" i="2"/>
  <c r="AP37" i="2" l="1"/>
  <c r="AP38" i="2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" i="6"/>
  <c r="C4" i="6"/>
  <c r="BX19" i="2" l="1"/>
  <c r="BX27" i="2"/>
  <c r="BX35" i="2"/>
  <c r="BX10" i="2"/>
  <c r="BX11" i="2"/>
  <c r="BX12" i="2"/>
  <c r="BX13" i="2"/>
  <c r="BX14" i="2"/>
  <c r="BX15" i="2"/>
  <c r="BX16" i="2"/>
  <c r="BX17" i="2"/>
  <c r="BX18" i="2"/>
  <c r="BX20" i="2"/>
  <c r="BX21" i="2"/>
  <c r="BX22" i="2"/>
  <c r="BX23" i="2"/>
  <c r="BX24" i="2"/>
  <c r="BX25" i="2"/>
  <c r="BX26" i="2"/>
  <c r="BX28" i="2"/>
  <c r="BX29" i="2"/>
  <c r="BX30" i="2"/>
  <c r="BX31" i="2"/>
  <c r="BX32" i="2"/>
  <c r="BX33" i="2"/>
  <c r="BX34" i="2"/>
  <c r="BX36" i="2"/>
  <c r="BX38" i="2"/>
  <c r="BX40" i="2"/>
  <c r="BX9" i="2"/>
  <c r="D33" i="6" l="1"/>
  <c r="D31" i="6"/>
  <c r="D30" i="6"/>
  <c r="D29" i="6"/>
  <c r="D27" i="6"/>
  <c r="D26" i="6"/>
  <c r="D25" i="6"/>
  <c r="AJ31" i="2"/>
  <c r="D24" i="6"/>
  <c r="D23" i="6"/>
  <c r="AJ29" i="2"/>
  <c r="D22" i="6"/>
  <c r="E22" i="6" s="1"/>
  <c r="D21" i="6"/>
  <c r="AJ27" i="2"/>
  <c r="D20" i="6"/>
  <c r="D19" i="6"/>
  <c r="E19" i="6" s="1"/>
  <c r="AJ25" i="2"/>
  <c r="D18" i="6"/>
  <c r="D17" i="6"/>
  <c r="AJ23" i="2"/>
  <c r="D16" i="6"/>
  <c r="AJ20" i="2"/>
  <c r="D13" i="6"/>
  <c r="D12" i="6"/>
  <c r="E12" i="6" s="1"/>
  <c r="AJ18" i="2"/>
  <c r="D10" i="6"/>
  <c r="AJ15" i="2"/>
  <c r="D8" i="6"/>
  <c r="E8" i="6" s="1"/>
  <c r="D5" i="6"/>
  <c r="AJ11" i="2"/>
  <c r="D4" i="6"/>
  <c r="E4" i="6" s="1"/>
  <c r="H12" i="6"/>
  <c r="H14" i="6"/>
  <c r="H15" i="6"/>
  <c r="H16" i="6"/>
  <c r="H17" i="6"/>
  <c r="H18" i="6"/>
  <c r="H20" i="6"/>
  <c r="H22" i="6"/>
  <c r="H23" i="6"/>
  <c r="H24" i="6"/>
  <c r="H27" i="6"/>
  <c r="H28" i="6"/>
  <c r="F31" i="6"/>
  <c r="F33" i="6"/>
  <c r="F35" i="6"/>
  <c r="D35" i="12"/>
  <c r="AB38" i="2"/>
  <c r="AC38" i="2"/>
  <c r="AG38" i="2"/>
  <c r="AJ38" i="2"/>
  <c r="T37" i="2"/>
  <c r="Y37" i="2"/>
  <c r="Y38" i="2"/>
  <c r="U38" i="2" s="1"/>
  <c r="AJ40" i="2"/>
  <c r="AJ39" i="2"/>
  <c r="AJ37" i="2"/>
  <c r="AJ36" i="2"/>
  <c r="AJ35" i="2"/>
  <c r="AJ34" i="2"/>
  <c r="AJ33" i="2"/>
  <c r="AJ32" i="2"/>
  <c r="AJ30" i="2"/>
  <c r="AJ28" i="2"/>
  <c r="AJ26" i="2"/>
  <c r="AJ24" i="2"/>
  <c r="AJ22" i="2"/>
  <c r="AJ21" i="2"/>
  <c r="AJ19" i="2"/>
  <c r="AJ17" i="2"/>
  <c r="AJ16" i="2"/>
  <c r="AJ14" i="2"/>
  <c r="AJ13" i="2"/>
  <c r="AJ12" i="2"/>
  <c r="AJ10" i="2"/>
  <c r="AJ9" i="2"/>
  <c r="AJ41" i="2"/>
  <c r="E34" i="6"/>
  <c r="E33" i="6"/>
  <c r="E31" i="6"/>
  <c r="E30" i="6"/>
  <c r="E29" i="6"/>
  <c r="E28" i="6"/>
  <c r="E27" i="6"/>
  <c r="E26" i="6"/>
  <c r="E25" i="6"/>
  <c r="E24" i="6"/>
  <c r="E23" i="6"/>
  <c r="E21" i="6"/>
  <c r="E20" i="6"/>
  <c r="E18" i="6"/>
  <c r="E17" i="6"/>
  <c r="E16" i="6"/>
  <c r="E15" i="6"/>
  <c r="E14" i="6"/>
  <c r="E13" i="6"/>
  <c r="E11" i="6"/>
  <c r="E10" i="6"/>
  <c r="E9" i="6"/>
  <c r="E7" i="6"/>
  <c r="E6" i="6"/>
  <c r="E5" i="6"/>
  <c r="E3" i="6"/>
  <c r="E35" i="6"/>
  <c r="AF38" i="2" l="1"/>
  <c r="Q40" i="4" l="1"/>
  <c r="N37" i="2" l="1"/>
  <c r="M35" i="4"/>
  <c r="L35" i="4"/>
  <c r="K35" i="4"/>
  <c r="N35" i="4" s="1"/>
  <c r="I35" i="4"/>
  <c r="H35" i="4"/>
  <c r="G35" i="4"/>
  <c r="M34" i="4"/>
  <c r="L34" i="4"/>
  <c r="K34" i="4"/>
  <c r="I34" i="4"/>
  <c r="H34" i="4"/>
  <c r="G34" i="4"/>
  <c r="N38" i="2"/>
  <c r="AD38" i="2"/>
  <c r="AA38" i="2" s="1"/>
  <c r="AM38" i="2" s="1"/>
  <c r="J35" i="4" l="1"/>
  <c r="O35" i="4" s="1"/>
  <c r="N34" i="4"/>
  <c r="J34" i="4"/>
  <c r="AS38" i="2"/>
  <c r="AT38" i="2" s="1"/>
  <c r="AV38" i="2" s="1"/>
  <c r="AW38" i="2" s="1"/>
  <c r="BA38" i="2"/>
  <c r="O38" i="2"/>
  <c r="O34" i="4"/>
  <c r="AZ38" i="2" l="1"/>
  <c r="BI38" i="2"/>
  <c r="AN36" i="2"/>
  <c r="AO36" i="2" s="1"/>
  <c r="BF39" i="2"/>
  <c r="AR39" i="2"/>
  <c r="AG39" i="2"/>
  <c r="AC39" i="2"/>
  <c r="W39" i="2"/>
  <c r="U39" i="2" s="1"/>
  <c r="BC39" i="2" s="1"/>
  <c r="Y35" i="2"/>
  <c r="Y36" i="2"/>
  <c r="U36" i="2" s="1"/>
  <c r="AR35" i="2"/>
  <c r="AN35" i="2"/>
  <c r="AP35" i="2" s="1"/>
  <c r="N48" i="4"/>
  <c r="M48" i="4"/>
  <c r="L48" i="4"/>
  <c r="K48" i="4"/>
  <c r="I48" i="4"/>
  <c r="J48" i="4" s="1"/>
  <c r="O48" i="4" s="1"/>
  <c r="H48" i="4"/>
  <c r="G48" i="4"/>
  <c r="A48" i="4"/>
  <c r="M36" i="4"/>
  <c r="L36" i="4"/>
  <c r="K36" i="4"/>
  <c r="I36" i="4"/>
  <c r="H36" i="4"/>
  <c r="G36" i="4"/>
  <c r="M33" i="4"/>
  <c r="L33" i="4"/>
  <c r="K33" i="4"/>
  <c r="I33" i="4"/>
  <c r="H33" i="4"/>
  <c r="G33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6" i="4" s="1"/>
  <c r="A8" i="4"/>
  <c r="N36" i="4" l="1"/>
  <c r="O36" i="4" s="1"/>
  <c r="J36" i="4"/>
  <c r="N33" i="4"/>
  <c r="J33" i="4"/>
  <c r="AF39" i="2"/>
  <c r="BD39" i="2" s="1"/>
  <c r="AP36" i="2"/>
  <c r="AB39" i="2"/>
  <c r="L39" i="2"/>
  <c r="AO35" i="2"/>
  <c r="N36" i="2"/>
  <c r="T36" i="2"/>
  <c r="N35" i="2"/>
  <c r="T35" i="2"/>
  <c r="O33" i="4" l="1"/>
  <c r="AD39" i="2"/>
  <c r="AA39" i="2" s="1"/>
  <c r="AM39" i="2" s="1"/>
  <c r="BA39" i="2" s="1"/>
  <c r="BX39" i="2"/>
  <c r="AS39" i="2" l="1"/>
  <c r="AT39" i="2" s="1"/>
  <c r="AU39" i="2" s="1"/>
  <c r="AW39" i="2" s="1"/>
  <c r="BI39" i="2" s="1"/>
  <c r="A17" i="2"/>
  <c r="AZ39" i="2" l="1"/>
  <c r="AG28" i="2"/>
  <c r="AG9" i="2" l="1"/>
  <c r="G27" i="4" l="1"/>
  <c r="H27" i="4"/>
  <c r="I27" i="4"/>
  <c r="K27" i="4"/>
  <c r="L27" i="4"/>
  <c r="M27" i="4"/>
  <c r="G28" i="4"/>
  <c r="H28" i="4"/>
  <c r="I28" i="4"/>
  <c r="K28" i="4"/>
  <c r="L28" i="4"/>
  <c r="M28" i="4"/>
  <c r="G29" i="4"/>
  <c r="H29" i="4"/>
  <c r="I29" i="4"/>
  <c r="K29" i="4"/>
  <c r="L29" i="4"/>
  <c r="M29" i="4"/>
  <c r="G30" i="4"/>
  <c r="H30" i="4"/>
  <c r="I30" i="4"/>
  <c r="K30" i="4"/>
  <c r="L30" i="4"/>
  <c r="M30" i="4"/>
  <c r="G31" i="4"/>
  <c r="H31" i="4"/>
  <c r="I31" i="4"/>
  <c r="K31" i="4"/>
  <c r="L31" i="4"/>
  <c r="M31" i="4"/>
  <c r="G32" i="4"/>
  <c r="H32" i="4"/>
  <c r="I32" i="4"/>
  <c r="K32" i="4"/>
  <c r="L32" i="4"/>
  <c r="M32" i="4"/>
  <c r="N30" i="2"/>
  <c r="AR34" i="2"/>
  <c r="AN34" i="2"/>
  <c r="AO34" i="2" s="1"/>
  <c r="AG34" i="2"/>
  <c r="AC34" i="2"/>
  <c r="AB34" i="2"/>
  <c r="Y34" i="2"/>
  <c r="U34" i="2" s="1"/>
  <c r="BC34" i="2" s="1"/>
  <c r="T34" i="2"/>
  <c r="BF34" i="2" s="1"/>
  <c r="N34" i="2"/>
  <c r="AR33" i="2"/>
  <c r="AN33" i="2"/>
  <c r="AO33" i="2" s="1"/>
  <c r="AG33" i="2"/>
  <c r="AC33" i="2"/>
  <c r="AB33" i="2"/>
  <c r="Y33" i="2"/>
  <c r="AD33" i="2" s="1"/>
  <c r="T33" i="2"/>
  <c r="BF33" i="2" s="1"/>
  <c r="N33" i="2"/>
  <c r="O33" i="2" s="1"/>
  <c r="AR32" i="2"/>
  <c r="AN32" i="2"/>
  <c r="AO32" i="2" s="1"/>
  <c r="AG32" i="2"/>
  <c r="AC32" i="2"/>
  <c r="AB32" i="2"/>
  <c r="Y32" i="2"/>
  <c r="U32" i="2" s="1"/>
  <c r="BC32" i="2" s="1"/>
  <c r="T32" i="2"/>
  <c r="BF32" i="2" s="1"/>
  <c r="N32" i="2"/>
  <c r="AR31" i="2"/>
  <c r="AN31" i="2"/>
  <c r="AO31" i="2" s="1"/>
  <c r="AG31" i="2"/>
  <c r="AC31" i="2"/>
  <c r="AB31" i="2"/>
  <c r="Y31" i="2"/>
  <c r="AD31" i="2" s="1"/>
  <c r="T31" i="2"/>
  <c r="BF31" i="2" s="1"/>
  <c r="N31" i="2"/>
  <c r="O31" i="2" s="1"/>
  <c r="AR30" i="2"/>
  <c r="AN30" i="2"/>
  <c r="AO30" i="2" s="1"/>
  <c r="AG30" i="2"/>
  <c r="AC30" i="2"/>
  <c r="AB30" i="2"/>
  <c r="Y30" i="2"/>
  <c r="U30" i="2" s="1"/>
  <c r="BC30" i="2" s="1"/>
  <c r="T30" i="2"/>
  <c r="BF30" i="2" s="1"/>
  <c r="AR29" i="2"/>
  <c r="AN29" i="2"/>
  <c r="AO29" i="2" s="1"/>
  <c r="AG29" i="2"/>
  <c r="AC29" i="2"/>
  <c r="AB29" i="2"/>
  <c r="Y29" i="2"/>
  <c r="AD29" i="2" s="1"/>
  <c r="T29" i="2"/>
  <c r="BF29" i="2" s="1"/>
  <c r="N29" i="2"/>
  <c r="O29" i="2" s="1"/>
  <c r="A30" i="2"/>
  <c r="A31" i="2" s="1"/>
  <c r="A32" i="2" s="1"/>
  <c r="A33" i="2" s="1"/>
  <c r="A34" i="2" s="1"/>
  <c r="A35" i="2" s="1"/>
  <c r="U35" i="2"/>
  <c r="BC35" i="2" s="1"/>
  <c r="AB35" i="2"/>
  <c r="AG35" i="2"/>
  <c r="BF35" i="2"/>
  <c r="U37" i="2"/>
  <c r="AB37" i="2"/>
  <c r="AG37" i="2"/>
  <c r="BF37" i="2"/>
  <c r="AC36" i="2"/>
  <c r="AG36" i="2"/>
  <c r="BF36" i="2"/>
  <c r="AD40" i="2"/>
  <c r="W40" i="2"/>
  <c r="U40" i="2" s="1"/>
  <c r="BC40" i="2" s="1"/>
  <c r="AC40" i="2"/>
  <c r="AG40" i="2"/>
  <c r="AR40" i="2"/>
  <c r="BF40" i="2"/>
  <c r="A41" i="2"/>
  <c r="L41" i="2"/>
  <c r="W41" i="2"/>
  <c r="U41" i="2" s="1"/>
  <c r="BC41" i="2" s="1"/>
  <c r="AC41" i="2"/>
  <c r="AG41" i="2"/>
  <c r="AR41" i="2"/>
  <c r="BF41" i="2"/>
  <c r="H42" i="2"/>
  <c r="J42" i="2"/>
  <c r="K42" i="2"/>
  <c r="P42" i="2"/>
  <c r="Q42" i="2"/>
  <c r="R42" i="2"/>
  <c r="S42" i="2"/>
  <c r="V42" i="2"/>
  <c r="AE42" i="2"/>
  <c r="AI42" i="2"/>
  <c r="AK42" i="2"/>
  <c r="AL42" i="2"/>
  <c r="AQ42" i="2"/>
  <c r="AY42" i="2"/>
  <c r="BB42" i="2"/>
  <c r="BE42" i="2"/>
  <c r="BH42" i="2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3" i="6"/>
  <c r="F12" i="6"/>
  <c r="F11" i="6"/>
  <c r="F10" i="6"/>
  <c r="F9" i="6"/>
  <c r="F8" i="6"/>
  <c r="AD41" i="2" l="1"/>
  <c r="BX41" i="2"/>
  <c r="AD37" i="2"/>
  <c r="BX37" i="2"/>
  <c r="AD35" i="2"/>
  <c r="O35" i="2"/>
  <c r="AD36" i="2"/>
  <c r="O36" i="2"/>
  <c r="J30" i="4"/>
  <c r="N29" i="4"/>
  <c r="J28" i="4"/>
  <c r="N30" i="4"/>
  <c r="N31" i="4"/>
  <c r="N28" i="4"/>
  <c r="J27" i="4"/>
  <c r="N27" i="4"/>
  <c r="N32" i="4"/>
  <c r="J31" i="4"/>
  <c r="J29" i="4"/>
  <c r="G42" i="2"/>
  <c r="I42" i="2"/>
  <c r="AD34" i="2"/>
  <c r="AA34" i="2" s="1"/>
  <c r="L42" i="2"/>
  <c r="BC36" i="2"/>
  <c r="BC37" i="2"/>
  <c r="X42" i="2"/>
  <c r="AD32" i="2"/>
  <c r="AA32" i="2" s="1"/>
  <c r="AF30" i="2"/>
  <c r="BD30" i="2" s="1"/>
  <c r="U33" i="2"/>
  <c r="BC33" i="2" s="1"/>
  <c r="AF37" i="2"/>
  <c r="BD37" i="2" s="1"/>
  <c r="AC37" i="2"/>
  <c r="AF34" i="2"/>
  <c r="BD34" i="2" s="1"/>
  <c r="AD30" i="2"/>
  <c r="AA30" i="2" s="1"/>
  <c r="AF32" i="2"/>
  <c r="BD32" i="2" s="1"/>
  <c r="AF40" i="2"/>
  <c r="BD40" i="2" s="1"/>
  <c r="AB36" i="2"/>
  <c r="AA36" i="2" s="1"/>
  <c r="AF35" i="2"/>
  <c r="BD35" i="2" s="1"/>
  <c r="AC35" i="2"/>
  <c r="AF29" i="2"/>
  <c r="BD29" i="2" s="1"/>
  <c r="AF31" i="2"/>
  <c r="BD31" i="2" s="1"/>
  <c r="AF33" i="2"/>
  <c r="BD33" i="2" s="1"/>
  <c r="AF36" i="2"/>
  <c r="BD36" i="2" s="1"/>
  <c r="U29" i="2"/>
  <c r="BC29" i="2" s="1"/>
  <c r="U31" i="2"/>
  <c r="BC31" i="2" s="1"/>
  <c r="AA33" i="2"/>
  <c r="AF41" i="2"/>
  <c r="BD41" i="2" s="1"/>
  <c r="J32" i="4"/>
  <c r="AP29" i="2"/>
  <c r="AP31" i="2"/>
  <c r="AP33" i="2"/>
  <c r="AA31" i="2"/>
  <c r="AA29" i="2"/>
  <c r="O34" i="2"/>
  <c r="AP34" i="2"/>
  <c r="O30" i="2"/>
  <c r="AP30" i="2"/>
  <c r="O32" i="2"/>
  <c r="AP32" i="2"/>
  <c r="AB40" i="2"/>
  <c r="AA40" i="2" s="1"/>
  <c r="W42" i="2"/>
  <c r="AB41" i="2"/>
  <c r="AA41" i="2" s="1"/>
  <c r="AA35" i="2" l="1"/>
  <c r="AM35" i="2" s="1"/>
  <c r="AS35" i="2" s="1"/>
  <c r="AT35" i="2" s="1"/>
  <c r="O37" i="2"/>
  <c r="AA37" i="2"/>
  <c r="AM37" i="2" s="1"/>
  <c r="BA37" i="2" s="1"/>
  <c r="O30" i="4"/>
  <c r="O28" i="4"/>
  <c r="O29" i="4"/>
  <c r="O31" i="4"/>
  <c r="O27" i="4"/>
  <c r="O32" i="4"/>
  <c r="AM33" i="2"/>
  <c r="BA33" i="2" s="1"/>
  <c r="AM40" i="2"/>
  <c r="AW40" i="2" s="1"/>
  <c r="AM41" i="2"/>
  <c r="AW41" i="2" s="1"/>
  <c r="AM30" i="2"/>
  <c r="AS30" i="2" s="1"/>
  <c r="AT30" i="2" s="1"/>
  <c r="AV30" i="2" s="1"/>
  <c r="AW30" i="2" s="1"/>
  <c r="AM31" i="2"/>
  <c r="AS31" i="2" s="1"/>
  <c r="AT31" i="2" s="1"/>
  <c r="AV31" i="2" s="1"/>
  <c r="AW31" i="2" s="1"/>
  <c r="AM29" i="2"/>
  <c r="BA29" i="2" s="1"/>
  <c r="AM32" i="2"/>
  <c r="AS32" i="2" s="1"/>
  <c r="AT32" i="2" s="1"/>
  <c r="AV32" i="2" s="1"/>
  <c r="AW32" i="2" s="1"/>
  <c r="AM34" i="2"/>
  <c r="BA34" i="2" s="1"/>
  <c r="AM36" i="2"/>
  <c r="AV35" i="2" l="1"/>
  <c r="AW35" i="2" s="1"/>
  <c r="AS33" i="2"/>
  <c r="AT33" i="2" s="1"/>
  <c r="AV33" i="2" s="1"/>
  <c r="AW33" i="2" s="1"/>
  <c r="AS40" i="2"/>
  <c r="AT40" i="2" s="1"/>
  <c r="BA40" i="2"/>
  <c r="BA31" i="2"/>
  <c r="BA41" i="2"/>
  <c r="AS41" i="2"/>
  <c r="AT41" i="2" s="1"/>
  <c r="BA30" i="2"/>
  <c r="AS29" i="2"/>
  <c r="AT29" i="2" s="1"/>
  <c r="AV29" i="2" s="1"/>
  <c r="AW29" i="2" s="1"/>
  <c r="BA35" i="2"/>
  <c r="AS34" i="2"/>
  <c r="AT34" i="2" s="1"/>
  <c r="AV34" i="2" s="1"/>
  <c r="AW34" i="2" s="1"/>
  <c r="AZ34" i="2" s="1"/>
  <c r="BA32" i="2"/>
  <c r="AS37" i="2"/>
  <c r="AT37" i="2" s="1"/>
  <c r="AV37" i="2" s="1"/>
  <c r="AW37" i="2" s="1"/>
  <c r="AS36" i="2"/>
  <c r="AT36" i="2" s="1"/>
  <c r="AV36" i="2" s="1"/>
  <c r="AW36" i="2" s="1"/>
  <c r="BA36" i="2"/>
  <c r="AZ30" i="2"/>
  <c r="AZ32" i="2"/>
  <c r="AZ31" i="2"/>
  <c r="AZ40" i="2"/>
  <c r="AZ41" i="2"/>
  <c r="AZ35" i="2" l="1"/>
  <c r="AZ33" i="2"/>
  <c r="AZ29" i="2"/>
  <c r="BV37" i="2"/>
  <c r="AZ36" i="2"/>
  <c r="AZ37" i="2" l="1"/>
  <c r="AR10" i="2" l="1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9" i="2"/>
  <c r="AR42" i="2" l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D36" i="12"/>
  <c r="A24" i="2" l="1"/>
  <c r="F40" i="4"/>
  <c r="G23" i="4"/>
  <c r="H23" i="4"/>
  <c r="I23" i="4"/>
  <c r="K23" i="4"/>
  <c r="L23" i="4"/>
  <c r="M23" i="4"/>
  <c r="G24" i="4"/>
  <c r="H24" i="4"/>
  <c r="I24" i="4"/>
  <c r="K24" i="4"/>
  <c r="L24" i="4"/>
  <c r="M24" i="4"/>
  <c r="G25" i="4"/>
  <c r="H25" i="4"/>
  <c r="I25" i="4"/>
  <c r="K25" i="4"/>
  <c r="L25" i="4"/>
  <c r="M25" i="4"/>
  <c r="G26" i="4"/>
  <c r="H26" i="4"/>
  <c r="I26" i="4"/>
  <c r="K26" i="4"/>
  <c r="L26" i="4"/>
  <c r="M26" i="4"/>
  <c r="AN28" i="2"/>
  <c r="AO28" i="2" s="1"/>
  <c r="AC28" i="2"/>
  <c r="AB28" i="2"/>
  <c r="Y28" i="2"/>
  <c r="U28" i="2" s="1"/>
  <c r="T28" i="2"/>
  <c r="N28" i="2"/>
  <c r="AN27" i="2"/>
  <c r="AP27" i="2" s="1"/>
  <c r="AG27" i="2"/>
  <c r="AC27" i="2"/>
  <c r="AB27" i="2"/>
  <c r="Y27" i="2"/>
  <c r="U27" i="2" s="1"/>
  <c r="T27" i="2"/>
  <c r="N27" i="2"/>
  <c r="AN26" i="2"/>
  <c r="AP26" i="2" s="1"/>
  <c r="AG26" i="2"/>
  <c r="AC26" i="2"/>
  <c r="AB26" i="2"/>
  <c r="Y26" i="2"/>
  <c r="U26" i="2" s="1"/>
  <c r="BC26" i="2" s="1"/>
  <c r="T26" i="2"/>
  <c r="N26" i="2"/>
  <c r="AN25" i="2"/>
  <c r="AP25" i="2" s="1"/>
  <c r="AG25" i="2"/>
  <c r="AC25" i="2"/>
  <c r="AB25" i="2"/>
  <c r="Y25" i="2"/>
  <c r="U25" i="2" s="1"/>
  <c r="T25" i="2"/>
  <c r="N25" i="2"/>
  <c r="F7" i="6"/>
  <c r="F6" i="6"/>
  <c r="F5" i="6"/>
  <c r="F4" i="6"/>
  <c r="BC25" i="2" l="1"/>
  <c r="BC27" i="2"/>
  <c r="BC28" i="2"/>
  <c r="AH42" i="2"/>
  <c r="BF26" i="2"/>
  <c r="BF27" i="2"/>
  <c r="BF28" i="2"/>
  <c r="BF25" i="2"/>
  <c r="AD26" i="2"/>
  <c r="AA26" i="2" s="1"/>
  <c r="AF26" i="2"/>
  <c r="AF25" i="2"/>
  <c r="BD25" i="2" s="1"/>
  <c r="AF27" i="2"/>
  <c r="BD27" i="2" s="1"/>
  <c r="N24" i="4"/>
  <c r="J26" i="4"/>
  <c r="J24" i="4"/>
  <c r="J25" i="4"/>
  <c r="N25" i="4"/>
  <c r="N26" i="4"/>
  <c r="J23" i="4"/>
  <c r="N23" i="4"/>
  <c r="O28" i="2"/>
  <c r="AO25" i="2"/>
  <c r="AO27" i="2"/>
  <c r="O26" i="2"/>
  <c r="O25" i="2"/>
  <c r="AP28" i="2"/>
  <c r="O27" i="2"/>
  <c r="AF28" i="2"/>
  <c r="AO26" i="2"/>
  <c r="AD28" i="2"/>
  <c r="AA28" i="2" s="1"/>
  <c r="AD27" i="2"/>
  <c r="AA27" i="2" s="1"/>
  <c r="AD25" i="2"/>
  <c r="AA25" i="2" s="1"/>
  <c r="O26" i="4" l="1"/>
  <c r="O24" i="4"/>
  <c r="BD28" i="2"/>
  <c r="BD26" i="2"/>
  <c r="AM27" i="2"/>
  <c r="BA27" i="2" s="1"/>
  <c r="AM26" i="2"/>
  <c r="AS26" i="2" s="1"/>
  <c r="AT26" i="2" s="1"/>
  <c r="AM28" i="2"/>
  <c r="AS28" i="2" s="1"/>
  <c r="AT28" i="2" s="1"/>
  <c r="AM25" i="2"/>
  <c r="AS25" i="2" s="1"/>
  <c r="AT25" i="2" s="1"/>
  <c r="O25" i="4"/>
  <c r="O23" i="4"/>
  <c r="AN21" i="2"/>
  <c r="AP21" i="2" s="1"/>
  <c r="Y21" i="2"/>
  <c r="T21" i="2"/>
  <c r="N21" i="2"/>
  <c r="O21" i="2" s="1"/>
  <c r="AV28" i="2" l="1"/>
  <c r="AW28" i="2" s="1"/>
  <c r="AV26" i="2"/>
  <c r="AW26" i="2" s="1"/>
  <c r="BV26" i="2" s="1"/>
  <c r="AV25" i="2"/>
  <c r="AW25" i="2" s="1"/>
  <c r="AS27" i="2"/>
  <c r="AT27" i="2" s="1"/>
  <c r="BA28" i="2"/>
  <c r="BA26" i="2"/>
  <c r="BA25" i="2"/>
  <c r="AO21" i="2"/>
  <c r="AZ26" i="2" l="1"/>
  <c r="AZ25" i="2"/>
  <c r="AZ28" i="2"/>
  <c r="AV27" i="2"/>
  <c r="AW27" i="2" s="1"/>
  <c r="AZ27" i="2" l="1"/>
  <c r="AN24" i="2" l="1"/>
  <c r="AO24" i="2" s="1"/>
  <c r="AP24" i="2" l="1"/>
  <c r="Y24" i="2" l="1"/>
  <c r="T24" i="2" l="1"/>
  <c r="N24" i="2"/>
  <c r="G22" i="4"/>
  <c r="H22" i="4"/>
  <c r="I22" i="4"/>
  <c r="K22" i="4"/>
  <c r="L22" i="4"/>
  <c r="M22" i="4"/>
  <c r="N22" i="4" l="1"/>
  <c r="J22" i="4"/>
  <c r="O22" i="4" l="1"/>
  <c r="AN23" i="2"/>
  <c r="AP23" i="2" s="1"/>
  <c r="Y23" i="2"/>
  <c r="N23" i="2"/>
  <c r="G21" i="4"/>
  <c r="H21" i="4"/>
  <c r="I21" i="4"/>
  <c r="K21" i="4"/>
  <c r="L21" i="4"/>
  <c r="M21" i="4"/>
  <c r="T23" i="2"/>
  <c r="J21" i="4" l="1"/>
  <c r="N21" i="4"/>
  <c r="AO23" i="2"/>
  <c r="O21" i="4" l="1"/>
  <c r="N10" i="2" l="1"/>
  <c r="N11" i="2"/>
  <c r="N12" i="2"/>
  <c r="N13" i="2"/>
  <c r="N14" i="2"/>
  <c r="N15" i="2"/>
  <c r="N16" i="2"/>
  <c r="N17" i="2"/>
  <c r="N18" i="2"/>
  <c r="N19" i="2"/>
  <c r="N20" i="2"/>
  <c r="N22" i="2"/>
  <c r="N9" i="2"/>
  <c r="N42" i="2" l="1"/>
  <c r="BF23" i="2"/>
  <c r="BF24" i="2"/>
  <c r="AG10" i="2" l="1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42" i="2" l="1"/>
  <c r="BF21" i="2"/>
  <c r="F41" i="4"/>
  <c r="G20" i="4"/>
  <c r="H20" i="4"/>
  <c r="I20" i="4"/>
  <c r="K20" i="4"/>
  <c r="L20" i="4"/>
  <c r="M20" i="4"/>
  <c r="N20" i="4" l="1"/>
  <c r="J20" i="4"/>
  <c r="O20" i="4" l="1"/>
  <c r="AF24" i="2" l="1"/>
  <c r="BD24" i="2" s="1"/>
  <c r="AB24" i="2"/>
  <c r="U24" i="2"/>
  <c r="BC24" i="2" s="1"/>
  <c r="AD24" i="2" l="1"/>
  <c r="O24" i="2"/>
  <c r="AC24" i="2"/>
  <c r="AA24" i="2" l="1"/>
  <c r="AM24" i="2" l="1"/>
  <c r="D36" i="6"/>
  <c r="C36" i="6"/>
  <c r="M62" i="4"/>
  <c r="L62" i="4"/>
  <c r="K62" i="4"/>
  <c r="I62" i="4"/>
  <c r="H62" i="4"/>
  <c r="G62" i="4"/>
  <c r="M61" i="4"/>
  <c r="L61" i="4"/>
  <c r="K61" i="4"/>
  <c r="I61" i="4"/>
  <c r="H61" i="4"/>
  <c r="G61" i="4"/>
  <c r="AB23" i="2"/>
  <c r="U23" i="2"/>
  <c r="BC23" i="2" s="1"/>
  <c r="AM2" i="2" l="1"/>
  <c r="AD23" i="2"/>
  <c r="O23" i="2"/>
  <c r="BA24" i="2"/>
  <c r="AS24" i="2"/>
  <c r="AT24" i="2" s="1"/>
  <c r="AV24" i="2" s="1"/>
  <c r="E36" i="6"/>
  <c r="N61" i="4"/>
  <c r="N62" i="4"/>
  <c r="J61" i="4"/>
  <c r="J62" i="4"/>
  <c r="AF23" i="2"/>
  <c r="BD23" i="2" s="1"/>
  <c r="AC23" i="2"/>
  <c r="AA23" i="2" l="1"/>
  <c r="AM23" i="2" s="1"/>
  <c r="O62" i="4"/>
  <c r="AW24" i="2"/>
  <c r="O61" i="4"/>
  <c r="AN22" i="2"/>
  <c r="AO22" i="2" s="1"/>
  <c r="T22" i="2"/>
  <c r="Y22" i="2"/>
  <c r="G19" i="4"/>
  <c r="H19" i="4"/>
  <c r="I19" i="4"/>
  <c r="K19" i="4"/>
  <c r="L19" i="4"/>
  <c r="M19" i="4"/>
  <c r="BF22" i="2" l="1"/>
  <c r="AS23" i="2"/>
  <c r="AT23" i="2" s="1"/>
  <c r="J19" i="4"/>
  <c r="BA23" i="2"/>
  <c r="N19" i="4"/>
  <c r="AP22" i="2"/>
  <c r="O22" i="2"/>
  <c r="AV23" i="2" l="1"/>
  <c r="AW23" i="2" s="1"/>
  <c r="AZ24" i="2"/>
  <c r="O19" i="4"/>
  <c r="AZ23" i="2" l="1"/>
  <c r="AB21" i="2" l="1"/>
  <c r="U21" i="2" l="1"/>
  <c r="AF21" i="2"/>
  <c r="BD21" i="2" s="1"/>
  <c r="BC21" i="2" l="1"/>
  <c r="AD21" i="2"/>
  <c r="AC21" i="2"/>
  <c r="AA21" i="2" l="1"/>
  <c r="AM21" i="2" l="1"/>
  <c r="A4" i="6"/>
  <c r="A5" i="6" s="1"/>
  <c r="F3" i="6"/>
  <c r="A6" i="6" l="1"/>
  <c r="A7" i="6" s="1"/>
  <c r="A8" i="6" s="1"/>
  <c r="A9" i="6" s="1"/>
  <c r="A10" i="6" s="1"/>
  <c r="AS21" i="2"/>
  <c r="AT21" i="2" s="1"/>
  <c r="BA21" i="2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U21" i="2"/>
  <c r="AV21" i="2"/>
  <c r="AW21" i="2" l="1"/>
  <c r="AZ21" i="2" l="1"/>
  <c r="Y20" i="2" l="1"/>
  <c r="Y19" i="2"/>
  <c r="Y18" i="2"/>
  <c r="Y17" i="2"/>
  <c r="Y16" i="2"/>
  <c r="Y15" i="2"/>
  <c r="Y14" i="2"/>
  <c r="Y13" i="2"/>
  <c r="Y12" i="2"/>
  <c r="Y11" i="2"/>
  <c r="Y10" i="2"/>
  <c r="Y9" i="2"/>
  <c r="AJ42" i="2"/>
  <c r="AJ46" i="2" s="1"/>
  <c r="Y42" i="2" l="1"/>
  <c r="AB22" i="2"/>
  <c r="U22" i="2"/>
  <c r="AD22" i="2"/>
  <c r="AN20" i="2"/>
  <c r="AO20" i="2" s="1"/>
  <c r="BC22" i="2" l="1"/>
  <c r="AC22" i="2"/>
  <c r="AA22" i="2" s="1"/>
  <c r="AF22" i="2"/>
  <c r="BD22" i="2" s="1"/>
  <c r="AP20" i="2"/>
  <c r="M18" i="4"/>
  <c r="L18" i="4"/>
  <c r="K18" i="4"/>
  <c r="I18" i="4"/>
  <c r="H18" i="4"/>
  <c r="G18" i="4"/>
  <c r="T20" i="2"/>
  <c r="BF20" i="2" l="1"/>
  <c r="J18" i="4"/>
  <c r="AM22" i="2"/>
  <c r="N18" i="4"/>
  <c r="O20" i="2"/>
  <c r="BA22" i="2" l="1"/>
  <c r="O18" i="4"/>
  <c r="AS22" i="2"/>
  <c r="AT22" i="2" s="1"/>
  <c r="AV22" i="2" s="1"/>
  <c r="AW22" i="2" l="1"/>
  <c r="AW73" i="2" s="1"/>
  <c r="BV22" i="2" l="1"/>
  <c r="AZ22" i="2"/>
  <c r="AN10" i="2"/>
  <c r="AN11" i="2"/>
  <c r="AN12" i="2"/>
  <c r="AN13" i="2"/>
  <c r="AN14" i="2"/>
  <c r="AN15" i="2"/>
  <c r="AN16" i="2"/>
  <c r="AN17" i="2"/>
  <c r="AN18" i="2"/>
  <c r="AN19" i="2"/>
  <c r="AO19" i="2" s="1"/>
  <c r="AN9" i="2"/>
  <c r="AN42" i="2" l="1"/>
  <c r="AP19" i="2"/>
  <c r="AF12" i="2" l="1"/>
  <c r="BD12" i="2" s="1"/>
  <c r="AF20" i="2"/>
  <c r="BD20" i="2" s="1"/>
  <c r="AF19" i="2"/>
  <c r="BD19" i="2" s="1"/>
  <c r="AF18" i="2"/>
  <c r="BD18" i="2" s="1"/>
  <c r="AF17" i="2"/>
  <c r="BD17" i="2" s="1"/>
  <c r="AF16" i="2"/>
  <c r="BD16" i="2" s="1"/>
  <c r="AF15" i="2"/>
  <c r="BD15" i="2" s="1"/>
  <c r="AF14" i="2"/>
  <c r="BD14" i="2" s="1"/>
  <c r="AF13" i="2"/>
  <c r="BD13" i="2" s="1"/>
  <c r="AF11" i="2"/>
  <c r="BD11" i="2" s="1"/>
  <c r="AF10" i="2" l="1"/>
  <c r="BD10" i="2" l="1"/>
  <c r="G17" i="4"/>
  <c r="H17" i="4"/>
  <c r="I17" i="4"/>
  <c r="K17" i="4"/>
  <c r="L17" i="4"/>
  <c r="M17" i="4"/>
  <c r="T19" i="2"/>
  <c r="BF19" i="2" s="1"/>
  <c r="J17" i="4" l="1"/>
  <c r="N17" i="4"/>
  <c r="F56" i="4"/>
  <c r="O17" i="4" l="1"/>
  <c r="K35" i="9"/>
  <c r="G35" i="9"/>
  <c r="F35" i="9"/>
  <c r="M34" i="9"/>
  <c r="M35" i="9" s="1"/>
  <c r="L34" i="9"/>
  <c r="L35" i="9" s="1"/>
  <c r="K34" i="9"/>
  <c r="I34" i="9"/>
  <c r="I35" i="9" s="1"/>
  <c r="H34" i="9"/>
  <c r="H35" i="9" s="1"/>
  <c r="G34" i="9"/>
  <c r="P28" i="9"/>
  <c r="K28" i="9"/>
  <c r="M28" i="9" s="1"/>
  <c r="J28" i="9"/>
  <c r="I28" i="9"/>
  <c r="F23" i="9"/>
  <c r="M22" i="9"/>
  <c r="L22" i="9"/>
  <c r="K22" i="9"/>
  <c r="N22" i="9" s="1"/>
  <c r="I22" i="9"/>
  <c r="H22" i="9"/>
  <c r="G22" i="9"/>
  <c r="J22" i="9" s="1"/>
  <c r="O22" i="9" s="1"/>
  <c r="N21" i="9"/>
  <c r="M21" i="9"/>
  <c r="L21" i="9"/>
  <c r="K21" i="9"/>
  <c r="J21" i="9"/>
  <c r="O21" i="9" s="1"/>
  <c r="I21" i="9"/>
  <c r="H21" i="9"/>
  <c r="G21" i="9"/>
  <c r="M20" i="9"/>
  <c r="L20" i="9"/>
  <c r="K20" i="9"/>
  <c r="N20" i="9" s="1"/>
  <c r="I20" i="9"/>
  <c r="H20" i="9"/>
  <c r="G20" i="9"/>
  <c r="J20" i="9" s="1"/>
  <c r="M19" i="9"/>
  <c r="L19" i="9"/>
  <c r="N19" i="9" s="1"/>
  <c r="K19" i="9"/>
  <c r="I19" i="9"/>
  <c r="H19" i="9"/>
  <c r="J19" i="9" s="1"/>
  <c r="G19" i="9"/>
  <c r="M18" i="9"/>
  <c r="L18" i="9"/>
  <c r="K18" i="9"/>
  <c r="N18" i="9" s="1"/>
  <c r="I18" i="9"/>
  <c r="H18" i="9"/>
  <c r="G18" i="9"/>
  <c r="J18" i="9" s="1"/>
  <c r="N17" i="9"/>
  <c r="M17" i="9"/>
  <c r="L17" i="9"/>
  <c r="K17" i="9"/>
  <c r="J17" i="9"/>
  <c r="O17" i="9" s="1"/>
  <c r="I17" i="9"/>
  <c r="H17" i="9"/>
  <c r="G17" i="9"/>
  <c r="AD16" i="9"/>
  <c r="AC16" i="9"/>
  <c r="AB16" i="9"/>
  <c r="AE16" i="9" s="1"/>
  <c r="Z16" i="9"/>
  <c r="Y16" i="9"/>
  <c r="X16" i="9"/>
  <c r="AA16" i="9" s="1"/>
  <c r="AF16" i="9" s="1"/>
  <c r="M16" i="9"/>
  <c r="L16" i="9"/>
  <c r="N16" i="9" s="1"/>
  <c r="K16" i="9"/>
  <c r="I16" i="9"/>
  <c r="H16" i="9"/>
  <c r="J16" i="9" s="1"/>
  <c r="G16" i="9"/>
  <c r="AD15" i="9"/>
  <c r="AC15" i="9"/>
  <c r="AB15" i="9"/>
  <c r="AE15" i="9" s="1"/>
  <c r="Z15" i="9"/>
  <c r="Y15" i="9"/>
  <c r="X15" i="9"/>
  <c r="AA15" i="9" s="1"/>
  <c r="AF15" i="9" s="1"/>
  <c r="N15" i="9"/>
  <c r="M15" i="9"/>
  <c r="L15" i="9"/>
  <c r="K15" i="9"/>
  <c r="J15" i="9"/>
  <c r="O15" i="9" s="1"/>
  <c r="I15" i="9"/>
  <c r="H15" i="9"/>
  <c r="G15" i="9"/>
  <c r="AD14" i="9"/>
  <c r="AC14" i="9"/>
  <c r="AB14" i="9"/>
  <c r="AE14" i="9" s="1"/>
  <c r="Z14" i="9"/>
  <c r="Y14" i="9"/>
  <c r="X14" i="9"/>
  <c r="AA14" i="9" s="1"/>
  <c r="M14" i="9"/>
  <c r="L14" i="9"/>
  <c r="K14" i="9"/>
  <c r="N14" i="9" s="1"/>
  <c r="I14" i="9"/>
  <c r="H14" i="9"/>
  <c r="G14" i="9"/>
  <c r="J14" i="9" s="1"/>
  <c r="O14" i="9" s="1"/>
  <c r="AE13" i="9"/>
  <c r="AD13" i="9"/>
  <c r="AC13" i="9"/>
  <c r="AB13" i="9"/>
  <c r="AA13" i="9"/>
  <c r="AF13" i="9" s="1"/>
  <c r="Z13" i="9"/>
  <c r="Y13" i="9"/>
  <c r="X13" i="9"/>
  <c r="M13" i="9"/>
  <c r="L13" i="9"/>
  <c r="K13" i="9"/>
  <c r="N13" i="9" s="1"/>
  <c r="I13" i="9"/>
  <c r="H13" i="9"/>
  <c r="G13" i="9"/>
  <c r="J13" i="9" s="1"/>
  <c r="AD12" i="9"/>
  <c r="AC12" i="9"/>
  <c r="AE12" i="9" s="1"/>
  <c r="AB12" i="9"/>
  <c r="Z12" i="9"/>
  <c r="Y12" i="9"/>
  <c r="AA12" i="9" s="1"/>
  <c r="X12" i="9"/>
  <c r="H12" i="9"/>
  <c r="J12" i="9" s="1"/>
  <c r="O12" i="9" s="1"/>
  <c r="AD11" i="9"/>
  <c r="AC11" i="9"/>
  <c r="AE11" i="9" s="1"/>
  <c r="AB11" i="9"/>
  <c r="Z11" i="9"/>
  <c r="Y11" i="9"/>
  <c r="AA11" i="9" s="1"/>
  <c r="X11" i="9"/>
  <c r="M11" i="9"/>
  <c r="L11" i="9"/>
  <c r="K11" i="9"/>
  <c r="N11" i="9" s="1"/>
  <c r="I11" i="9"/>
  <c r="H11" i="9"/>
  <c r="G11" i="9"/>
  <c r="J11" i="9" s="1"/>
  <c r="AE10" i="9"/>
  <c r="AD10" i="9"/>
  <c r="AC10" i="9"/>
  <c r="AB10" i="9"/>
  <c r="AA10" i="9"/>
  <c r="AF10" i="9" s="1"/>
  <c r="Z10" i="9"/>
  <c r="Y10" i="9"/>
  <c r="X10" i="9"/>
  <c r="H10" i="9"/>
  <c r="J10" i="9" s="1"/>
  <c r="O10" i="9" s="1"/>
  <c r="AE9" i="9"/>
  <c r="AD9" i="9"/>
  <c r="AC9" i="9"/>
  <c r="AB9" i="9"/>
  <c r="AA9" i="9"/>
  <c r="AF9" i="9" s="1"/>
  <c r="Z9" i="9"/>
  <c r="Y9" i="9"/>
  <c r="X9" i="9"/>
  <c r="M9" i="9"/>
  <c r="L9" i="9"/>
  <c r="K9" i="9"/>
  <c r="N9" i="9" s="1"/>
  <c r="I9" i="9"/>
  <c r="H9" i="9"/>
  <c r="G9" i="9"/>
  <c r="J9" i="9" s="1"/>
  <c r="O9" i="9" s="1"/>
  <c r="AD8" i="9"/>
  <c r="AC8" i="9"/>
  <c r="AE8" i="9" s="1"/>
  <c r="AB8" i="9"/>
  <c r="Z8" i="9"/>
  <c r="Y8" i="9"/>
  <c r="AA8" i="9" s="1"/>
  <c r="X8" i="9"/>
  <c r="M8" i="9"/>
  <c r="L8" i="9"/>
  <c r="K8" i="9"/>
  <c r="N8" i="9" s="1"/>
  <c r="I8" i="9"/>
  <c r="H8" i="9"/>
  <c r="G8" i="9"/>
  <c r="J8" i="9" s="1"/>
  <c r="O8" i="9" s="1"/>
  <c r="AE7" i="9"/>
  <c r="AD7" i="9"/>
  <c r="AC7" i="9"/>
  <c r="AB7" i="9"/>
  <c r="AA7" i="9"/>
  <c r="AF7" i="9" s="1"/>
  <c r="Z7" i="9"/>
  <c r="Y7" i="9"/>
  <c r="X7" i="9"/>
  <c r="M7" i="9"/>
  <c r="M23" i="9" s="1"/>
  <c r="L7" i="9"/>
  <c r="L23" i="9" s="1"/>
  <c r="K7" i="9"/>
  <c r="N7" i="9" s="1"/>
  <c r="I7" i="9"/>
  <c r="I23" i="9" s="1"/>
  <c r="H7" i="9"/>
  <c r="H23" i="9" s="1"/>
  <c r="G7" i="9"/>
  <c r="J7" i="9" s="1"/>
  <c r="AS57" i="8"/>
  <c r="AS56" i="8"/>
  <c r="AS55" i="8"/>
  <c r="AS54" i="8"/>
  <c r="AS53" i="8"/>
  <c r="AS52" i="8"/>
  <c r="AS51" i="8"/>
  <c r="AS50" i="8"/>
  <c r="AS49" i="8"/>
  <c r="AS48" i="8"/>
  <c r="AS47" i="8"/>
  <c r="AS46" i="8"/>
  <c r="AS45" i="8"/>
  <c r="AS44" i="8"/>
  <c r="AS43" i="8"/>
  <c r="AS42" i="8"/>
  <c r="AS41" i="8"/>
  <c r="AS40" i="8"/>
  <c r="AS39" i="8"/>
  <c r="AS38" i="8"/>
  <c r="AS37" i="8"/>
  <c r="AS36" i="8"/>
  <c r="AS35" i="8"/>
  <c r="AS34" i="8"/>
  <c r="AS33" i="8"/>
  <c r="AS32" i="8"/>
  <c r="AS31" i="8"/>
  <c r="AS58" i="8" s="1"/>
  <c r="BK37" i="7"/>
  <c r="BI37" i="7"/>
  <c r="BH37" i="7"/>
  <c r="BH39" i="7" s="1"/>
  <c r="BE37" i="7"/>
  <c r="BB37" i="7"/>
  <c r="AY37" i="7"/>
  <c r="AX37" i="7"/>
  <c r="AQ37" i="7"/>
  <c r="AL37" i="7"/>
  <c r="AK37" i="7"/>
  <c r="AI37" i="7"/>
  <c r="AH37" i="7"/>
  <c r="AG37" i="7"/>
  <c r="AE37" i="7"/>
  <c r="V37" i="7"/>
  <c r="S37" i="7"/>
  <c r="R37" i="7"/>
  <c r="Q37" i="7"/>
  <c r="P37" i="7"/>
  <c r="K37" i="7"/>
  <c r="J37" i="7"/>
  <c r="H37" i="7"/>
  <c r="BG36" i="7"/>
  <c r="AR36" i="7"/>
  <c r="AJ36" i="7"/>
  <c r="AF36" i="7" s="1"/>
  <c r="AD36" i="7"/>
  <c r="AC36" i="7"/>
  <c r="AB36" i="7"/>
  <c r="AA36" i="7" s="1"/>
  <c r="W36" i="7"/>
  <c r="U36" i="7" s="1"/>
  <c r="L36" i="7"/>
  <c r="BG35" i="7"/>
  <c r="AR35" i="7"/>
  <c r="AJ35" i="7"/>
  <c r="AF35" i="7" s="1"/>
  <c r="AD35" i="7"/>
  <c r="AC35" i="7"/>
  <c r="AB35" i="7"/>
  <c r="AA35" i="7" s="1"/>
  <c r="W35" i="7"/>
  <c r="U35" i="7" s="1"/>
  <c r="L35" i="7"/>
  <c r="BG34" i="7"/>
  <c r="AR34" i="7"/>
  <c r="AJ34" i="7"/>
  <c r="AF34" i="7" s="1"/>
  <c r="AD34" i="7"/>
  <c r="AC34" i="7"/>
  <c r="W34" i="7"/>
  <c r="U34" i="7" s="1"/>
  <c r="L34" i="7"/>
  <c r="BG33" i="7"/>
  <c r="AR33" i="7"/>
  <c r="AJ33" i="7"/>
  <c r="AF33" i="7" s="1"/>
  <c r="AD33" i="7"/>
  <c r="AC33" i="7"/>
  <c r="AB33" i="7"/>
  <c r="AA33" i="7" s="1"/>
  <c r="AM33" i="7" s="1"/>
  <c r="W33" i="7"/>
  <c r="U33" i="7" s="1"/>
  <c r="L33" i="7"/>
  <c r="G33" i="7"/>
  <c r="BG32" i="7"/>
  <c r="AR32" i="7"/>
  <c r="AJ32" i="7"/>
  <c r="BD32" i="7" s="1"/>
  <c r="AF32" i="7"/>
  <c r="AD32" i="7"/>
  <c r="AC32" i="7"/>
  <c r="W32" i="7"/>
  <c r="U32" i="7"/>
  <c r="BC32" i="7" s="1"/>
  <c r="G32" i="7"/>
  <c r="AB32" i="7" s="1"/>
  <c r="AA32" i="7" s="1"/>
  <c r="AM32" i="7" s="1"/>
  <c r="BG31" i="7"/>
  <c r="AR31" i="7"/>
  <c r="AJ31" i="7"/>
  <c r="AF31" i="7" s="1"/>
  <c r="AD31" i="7"/>
  <c r="AC31" i="7"/>
  <c r="AB31" i="7"/>
  <c r="AA31" i="7" s="1"/>
  <c r="AM31" i="7" s="1"/>
  <c r="W31" i="7"/>
  <c r="U31" i="7" s="1"/>
  <c r="L31" i="7"/>
  <c r="G31" i="7"/>
  <c r="BG30" i="7"/>
  <c r="BF30" i="7"/>
  <c r="AR30" i="7"/>
  <c r="AJ30" i="7"/>
  <c r="BD30" i="7" s="1"/>
  <c r="AF30" i="7"/>
  <c r="AD30" i="7"/>
  <c r="AC30" i="7"/>
  <c r="W30" i="7"/>
  <c r="W37" i="7" s="1"/>
  <c r="U30" i="7"/>
  <c r="BC30" i="7" s="1"/>
  <c r="G30" i="7"/>
  <c r="BG29" i="7"/>
  <c r="BD29" i="7"/>
  <c r="AJ29" i="7"/>
  <c r="AF29" i="7"/>
  <c r="AC29" i="7"/>
  <c r="AB29" i="7"/>
  <c r="X29" i="7"/>
  <c r="U29" i="7"/>
  <c r="M29" i="7"/>
  <c r="AD29" i="7" s="1"/>
  <c r="I29" i="7"/>
  <c r="BG28" i="7"/>
  <c r="BD28" i="7"/>
  <c r="AJ28" i="7"/>
  <c r="AF28" i="7"/>
  <c r="AB28" i="7"/>
  <c r="X28" i="7"/>
  <c r="U28" i="7"/>
  <c r="L28" i="7"/>
  <c r="BG27" i="7"/>
  <c r="AJ27" i="7"/>
  <c r="AB27" i="7"/>
  <c r="X27" i="7"/>
  <c r="U27" i="7" s="1"/>
  <c r="BF27" i="7" s="1"/>
  <c r="L27" i="7"/>
  <c r="BG26" i="7"/>
  <c r="AJ26" i="7"/>
  <c r="BD26" i="7" s="1"/>
  <c r="AD26" i="7"/>
  <c r="AB26" i="7"/>
  <c r="X26" i="7"/>
  <c r="U26" i="7" s="1"/>
  <c r="M26" i="7"/>
  <c r="I26" i="7"/>
  <c r="BG25" i="7"/>
  <c r="AJ25" i="7"/>
  <c r="AB25" i="7"/>
  <c r="X25" i="7"/>
  <c r="U25" i="7" s="1"/>
  <c r="BF25" i="7" s="1"/>
  <c r="M25" i="7"/>
  <c r="AD25" i="7" s="1"/>
  <c r="L25" i="7"/>
  <c r="I25" i="7"/>
  <c r="AC25" i="7" s="1"/>
  <c r="BG24" i="7"/>
  <c r="AR24" i="7"/>
  <c r="AJ24" i="7"/>
  <c r="AB24" i="7"/>
  <c r="X24" i="7"/>
  <c r="U24" i="7" s="1"/>
  <c r="O24" i="7"/>
  <c r="L24" i="7"/>
  <c r="M24" i="7" s="1"/>
  <c r="AD24" i="7" s="1"/>
  <c r="BG23" i="7"/>
  <c r="BC23" i="7"/>
  <c r="AR23" i="7"/>
  <c r="AN23" i="7"/>
  <c r="AO23" i="7" s="1"/>
  <c r="AJ23" i="7"/>
  <c r="AC23" i="7"/>
  <c r="AB23" i="7"/>
  <c r="Y23" i="7"/>
  <c r="U23" i="7"/>
  <c r="BF23" i="7" s="1"/>
  <c r="T23" i="7"/>
  <c r="N23" i="7"/>
  <c r="M23" i="7"/>
  <c r="BG22" i="7"/>
  <c r="BD22" i="7"/>
  <c r="AR22" i="7"/>
  <c r="AN22" i="7"/>
  <c r="AP22" i="7" s="1"/>
  <c r="AJ22" i="7"/>
  <c r="AF22" i="7"/>
  <c r="AC22" i="7"/>
  <c r="AB22" i="7"/>
  <c r="Z22" i="7"/>
  <c r="Y22" i="7"/>
  <c r="T22" i="7"/>
  <c r="N22" i="7"/>
  <c r="O22" i="7" s="1"/>
  <c r="M22" i="7"/>
  <c r="BL21" i="7"/>
  <c r="BG21" i="7"/>
  <c r="AR21" i="7"/>
  <c r="AN21" i="7"/>
  <c r="AO21" i="7" s="1"/>
  <c r="AJ21" i="7"/>
  <c r="AC21" i="7"/>
  <c r="AB21" i="7"/>
  <c r="Y21" i="7"/>
  <c r="U21" i="7"/>
  <c r="BC21" i="7" s="1"/>
  <c r="T21" i="7"/>
  <c r="BF21" i="7" s="1"/>
  <c r="N21" i="7"/>
  <c r="M21" i="7"/>
  <c r="L21" i="7"/>
  <c r="BG20" i="7"/>
  <c r="BF20" i="7"/>
  <c r="AS20" i="7"/>
  <c r="AR20" i="7"/>
  <c r="AN20" i="7"/>
  <c r="AJ20" i="7"/>
  <c r="BD20" i="7" s="1"/>
  <c r="AF20" i="7"/>
  <c r="AD20" i="7"/>
  <c r="AA20" i="7" s="1"/>
  <c r="AM20" i="7" s="1"/>
  <c r="AC20" i="7"/>
  <c r="AB20" i="7"/>
  <c r="Z20" i="7"/>
  <c r="Y20" i="7"/>
  <c r="U20" i="7"/>
  <c r="BC20" i="7" s="1"/>
  <c r="T20" i="7"/>
  <c r="N20" i="7"/>
  <c r="O20" i="7" s="1"/>
  <c r="M20" i="7"/>
  <c r="BG19" i="7"/>
  <c r="AR19" i="7"/>
  <c r="AN19" i="7"/>
  <c r="AP19" i="7" s="1"/>
  <c r="AJ19" i="7"/>
  <c r="BD19" i="7" s="1"/>
  <c r="AF19" i="7"/>
  <c r="AC19" i="7"/>
  <c r="AB19" i="7"/>
  <c r="Y19" i="7"/>
  <c r="U19" i="7"/>
  <c r="BC19" i="7" s="1"/>
  <c r="T19" i="7"/>
  <c r="BF19" i="7" s="1"/>
  <c r="N19" i="7"/>
  <c r="M19" i="7"/>
  <c r="BG18" i="7"/>
  <c r="AR18" i="7"/>
  <c r="AN18" i="7"/>
  <c r="AO18" i="7" s="1"/>
  <c r="AJ18" i="7"/>
  <c r="AC18" i="7"/>
  <c r="AB18" i="7"/>
  <c r="AA18" i="7" s="1"/>
  <c r="Z18" i="7"/>
  <c r="Y18" i="7"/>
  <c r="AD18" i="7" s="1"/>
  <c r="T18" i="7"/>
  <c r="N18" i="7"/>
  <c r="O18" i="7" s="1"/>
  <c r="M18" i="7"/>
  <c r="BG17" i="7"/>
  <c r="BF17" i="7"/>
  <c r="BD17" i="7"/>
  <c r="AR17" i="7"/>
  <c r="AN17" i="7"/>
  <c r="AP17" i="7" s="1"/>
  <c r="AJ17" i="7"/>
  <c r="AF17" i="7"/>
  <c r="AD17" i="7"/>
  <c r="AC17" i="7"/>
  <c r="AB17" i="7"/>
  <c r="AA17" i="7"/>
  <c r="AM17" i="7" s="1"/>
  <c r="Z17" i="7"/>
  <c r="Y17" i="7"/>
  <c r="U17" i="7" s="1"/>
  <c r="BC17" i="7" s="1"/>
  <c r="T17" i="7"/>
  <c r="N17" i="7"/>
  <c r="O17" i="7" s="1"/>
  <c r="M17" i="7"/>
  <c r="BG16" i="7"/>
  <c r="AR16" i="7"/>
  <c r="AN16" i="7"/>
  <c r="AJ16" i="7"/>
  <c r="AC16" i="7"/>
  <c r="AB16" i="7"/>
  <c r="Y16" i="7"/>
  <c r="U16" i="7"/>
  <c r="BC16" i="7" s="1"/>
  <c r="T16" i="7"/>
  <c r="N16" i="7"/>
  <c r="M16" i="7"/>
  <c r="BG15" i="7"/>
  <c r="BD15" i="7"/>
  <c r="AR15" i="7"/>
  <c r="AN15" i="7"/>
  <c r="AP15" i="7" s="1"/>
  <c r="AJ15" i="7"/>
  <c r="AF15" i="7"/>
  <c r="AC15" i="7"/>
  <c r="AB15" i="7"/>
  <c r="Y15" i="7"/>
  <c r="U15" i="7"/>
  <c r="BC15" i="7" s="1"/>
  <c r="T15" i="7"/>
  <c r="N15" i="7"/>
  <c r="M15" i="7"/>
  <c r="BG14" i="7"/>
  <c r="BD14" i="7"/>
  <c r="AR14" i="7"/>
  <c r="AN14" i="7"/>
  <c r="AJ14" i="7"/>
  <c r="AF14" i="7" s="1"/>
  <c r="AC14" i="7"/>
  <c r="AB14" i="7"/>
  <c r="Y14" i="7"/>
  <c r="U14" i="7"/>
  <c r="BF14" i="7" s="1"/>
  <c r="T14" i="7"/>
  <c r="N14" i="7"/>
  <c r="M14" i="7"/>
  <c r="L14" i="7"/>
  <c r="BG13" i="7"/>
  <c r="BC13" i="7"/>
  <c r="AR13" i="7"/>
  <c r="AN13" i="7"/>
  <c r="AO13" i="7" s="1"/>
  <c r="AJ13" i="7"/>
  <c r="BD13" i="7" s="1"/>
  <c r="AF13" i="7"/>
  <c r="AD13" i="7"/>
  <c r="AC13" i="7"/>
  <c r="AB13" i="7"/>
  <c r="AA13" i="7"/>
  <c r="AM13" i="7" s="1"/>
  <c r="Z13" i="7"/>
  <c r="Y13" i="7"/>
  <c r="U13" i="7"/>
  <c r="T13" i="7"/>
  <c r="BF13" i="7" s="1"/>
  <c r="O13" i="7"/>
  <c r="L13" i="7"/>
  <c r="M13" i="7" s="1"/>
  <c r="BG12" i="7"/>
  <c r="BD12" i="7"/>
  <c r="AR12" i="7"/>
  <c r="AN12" i="7"/>
  <c r="AP12" i="7" s="1"/>
  <c r="AJ12" i="7"/>
  <c r="AF12" i="7"/>
  <c r="AC12" i="7"/>
  <c r="AB12" i="7"/>
  <c r="Z12" i="7"/>
  <c r="Y12" i="7"/>
  <c r="U12" i="7" s="1"/>
  <c r="BC12" i="7" s="1"/>
  <c r="T12" i="7"/>
  <c r="N12" i="7"/>
  <c r="L12" i="7"/>
  <c r="M12" i="7" s="1"/>
  <c r="AD12" i="7" s="1"/>
  <c r="AA12" i="7" s="1"/>
  <c r="AM12" i="7" s="1"/>
  <c r="BG11" i="7"/>
  <c r="BD11" i="7"/>
  <c r="AR11" i="7"/>
  <c r="AN11" i="7"/>
  <c r="AP11" i="7" s="1"/>
  <c r="AJ11" i="7"/>
  <c r="AF11" i="7" s="1"/>
  <c r="AC11" i="7"/>
  <c r="AB11" i="7"/>
  <c r="Y11" i="7"/>
  <c r="U11" i="7" s="1"/>
  <c r="BC11" i="7" s="1"/>
  <c r="T11" i="7"/>
  <c r="N11" i="7"/>
  <c r="M11" i="7"/>
  <c r="L11" i="7"/>
  <c r="BG10" i="7"/>
  <c r="BD10" i="7"/>
  <c r="AS10" i="7"/>
  <c r="AR10" i="7"/>
  <c r="AN10" i="7"/>
  <c r="AP10" i="7" s="1"/>
  <c r="AJ10" i="7"/>
  <c r="AF10" i="7"/>
  <c r="AD10" i="7"/>
  <c r="AC10" i="7"/>
  <c r="AB10" i="7"/>
  <c r="AA10" i="7"/>
  <c r="AM10" i="7" s="1"/>
  <c r="Z10" i="7"/>
  <c r="Y10" i="7"/>
  <c r="U10" i="7" s="1"/>
  <c r="BC10" i="7" s="1"/>
  <c r="T10" i="7"/>
  <c r="BF10" i="7" s="1"/>
  <c r="N10" i="7"/>
  <c r="O10" i="7" s="1"/>
  <c r="L10" i="7"/>
  <c r="M10" i="7" s="1"/>
  <c r="BG9" i="7"/>
  <c r="BD9" i="7"/>
  <c r="BC9" i="7"/>
  <c r="AR9" i="7"/>
  <c r="AN9" i="7"/>
  <c r="AP9" i="7" s="1"/>
  <c r="AF9" i="7"/>
  <c r="AC9" i="7"/>
  <c r="AB9" i="7"/>
  <c r="U9" i="7"/>
  <c r="T9" i="7"/>
  <c r="N9" i="7"/>
  <c r="L9" i="7"/>
  <c r="BH4" i="7"/>
  <c r="BF3" i="7"/>
  <c r="BA2" i="7"/>
  <c r="M56" i="4"/>
  <c r="L56" i="4"/>
  <c r="K56" i="4"/>
  <c r="I56" i="4"/>
  <c r="H56" i="4"/>
  <c r="G56" i="4"/>
  <c r="M60" i="4"/>
  <c r="L60" i="4"/>
  <c r="K60" i="4"/>
  <c r="I60" i="4"/>
  <c r="H60" i="4"/>
  <c r="G60" i="4"/>
  <c r="M16" i="4"/>
  <c r="L16" i="4"/>
  <c r="K16" i="4"/>
  <c r="I16" i="4"/>
  <c r="H16" i="4"/>
  <c r="G16" i="4"/>
  <c r="M15" i="4"/>
  <c r="L15" i="4"/>
  <c r="K15" i="4"/>
  <c r="I15" i="4"/>
  <c r="H15" i="4"/>
  <c r="G15" i="4"/>
  <c r="M14" i="4"/>
  <c r="L14" i="4"/>
  <c r="K14" i="4"/>
  <c r="I14" i="4"/>
  <c r="H14" i="4"/>
  <c r="G14" i="4"/>
  <c r="M13" i="4"/>
  <c r="L13" i="4"/>
  <c r="K13" i="4"/>
  <c r="I13" i="4"/>
  <c r="H13" i="4"/>
  <c r="G13" i="4"/>
  <c r="M12" i="4"/>
  <c r="L12" i="4"/>
  <c r="K12" i="4"/>
  <c r="I12" i="4"/>
  <c r="H12" i="4"/>
  <c r="G12" i="4"/>
  <c r="AD11" i="4"/>
  <c r="AC11" i="4"/>
  <c r="AB11" i="4"/>
  <c r="Z11" i="4"/>
  <c r="Y11" i="4"/>
  <c r="X11" i="4"/>
  <c r="M11" i="4"/>
  <c r="L11" i="4"/>
  <c r="K11" i="4"/>
  <c r="I11" i="4"/>
  <c r="H11" i="4"/>
  <c r="G11" i="4"/>
  <c r="AD10" i="4"/>
  <c r="AC10" i="4"/>
  <c r="AB10" i="4"/>
  <c r="Z10" i="4"/>
  <c r="Y10" i="4"/>
  <c r="X10" i="4"/>
  <c r="M10" i="4"/>
  <c r="L10" i="4"/>
  <c r="K10" i="4"/>
  <c r="I10" i="4"/>
  <c r="H10" i="4"/>
  <c r="G10" i="4"/>
  <c r="AD59" i="4"/>
  <c r="AC59" i="4"/>
  <c r="AB59" i="4"/>
  <c r="Z59" i="4"/>
  <c r="Y59" i="4"/>
  <c r="X59" i="4"/>
  <c r="M59" i="4"/>
  <c r="L59" i="4"/>
  <c r="K59" i="4"/>
  <c r="I59" i="4"/>
  <c r="H59" i="4"/>
  <c r="G59" i="4"/>
  <c r="AD9" i="4"/>
  <c r="AC9" i="4"/>
  <c r="AB9" i="4"/>
  <c r="Z9" i="4"/>
  <c r="Y9" i="4"/>
  <c r="X9" i="4"/>
  <c r="M9" i="4"/>
  <c r="L9" i="4"/>
  <c r="K9" i="4"/>
  <c r="I9" i="4"/>
  <c r="H9" i="4"/>
  <c r="G9" i="4"/>
  <c r="AD8" i="4"/>
  <c r="AC8" i="4"/>
  <c r="AB8" i="4"/>
  <c r="Z8" i="4"/>
  <c r="Y8" i="4"/>
  <c r="X8" i="4"/>
  <c r="M8" i="4"/>
  <c r="L8" i="4"/>
  <c r="K8" i="4"/>
  <c r="I8" i="4"/>
  <c r="H8" i="4"/>
  <c r="G8" i="4"/>
  <c r="AD7" i="4"/>
  <c r="AC7" i="4"/>
  <c r="AB7" i="4"/>
  <c r="Z7" i="4"/>
  <c r="Y7" i="4"/>
  <c r="X7" i="4"/>
  <c r="M7" i="4"/>
  <c r="L7" i="4"/>
  <c r="K7" i="4"/>
  <c r="I7" i="4"/>
  <c r="H7" i="4"/>
  <c r="G7" i="4"/>
  <c r="AD20" i="2"/>
  <c r="AC20" i="2"/>
  <c r="AB19" i="2"/>
  <c r="U19" i="2"/>
  <c r="BC19" i="2" s="1"/>
  <c r="AO18" i="2"/>
  <c r="AC18" i="2"/>
  <c r="AB18" i="2"/>
  <c r="U18" i="2"/>
  <c r="T18" i="2"/>
  <c r="AO17" i="2"/>
  <c r="AC17" i="2"/>
  <c r="AB17" i="2"/>
  <c r="U17" i="2"/>
  <c r="BC17" i="2" s="1"/>
  <c r="T17" i="2"/>
  <c r="BF17" i="2" s="1"/>
  <c r="AP16" i="2"/>
  <c r="AC16" i="2"/>
  <c r="AB16" i="2"/>
  <c r="U16" i="2"/>
  <c r="BC16" i="2" s="1"/>
  <c r="T16" i="2"/>
  <c r="BF16" i="2" s="1"/>
  <c r="AP15" i="2"/>
  <c r="AC15" i="2"/>
  <c r="AB15" i="2"/>
  <c r="U15" i="2"/>
  <c r="T15" i="2"/>
  <c r="AO14" i="2"/>
  <c r="AC14" i="2"/>
  <c r="AB14" i="2"/>
  <c r="U14" i="2"/>
  <c r="BC14" i="2" s="1"/>
  <c r="T14" i="2"/>
  <c r="BF14" i="2" s="1"/>
  <c r="AP13" i="2"/>
  <c r="AC13" i="2"/>
  <c r="AB13" i="2"/>
  <c r="U13" i="2"/>
  <c r="BC13" i="2" s="1"/>
  <c r="T13" i="2"/>
  <c r="BF13" i="2" s="1"/>
  <c r="AP12" i="2"/>
  <c r="AC12" i="2"/>
  <c r="AB12" i="2"/>
  <c r="U12" i="2"/>
  <c r="T12" i="2"/>
  <c r="AP11" i="2"/>
  <c r="AC11" i="2"/>
  <c r="AB11" i="2"/>
  <c r="U11" i="2"/>
  <c r="T11" i="2"/>
  <c r="AC10" i="2"/>
  <c r="AB10" i="2"/>
  <c r="U10" i="2"/>
  <c r="T10" i="2"/>
  <c r="AO9" i="2"/>
  <c r="AF9" i="2"/>
  <c r="AC9" i="2"/>
  <c r="AB9" i="2"/>
  <c r="U9" i="2"/>
  <c r="T9" i="2"/>
  <c r="BE45" i="1"/>
  <c r="BC45" i="1"/>
  <c r="BB45" i="1"/>
  <c r="AY45" i="1"/>
  <c r="AX45" i="1"/>
  <c r="AQ45" i="1"/>
  <c r="AN45" i="1"/>
  <c r="AL45" i="1"/>
  <c r="AK45" i="1"/>
  <c r="AJ45" i="1"/>
  <c r="AI45" i="1"/>
  <c r="AH45" i="1"/>
  <c r="AG45" i="1"/>
  <c r="AE45" i="1"/>
  <c r="Z45" i="1"/>
  <c r="Y45" i="1"/>
  <c r="X45" i="1"/>
  <c r="W45" i="1"/>
  <c r="T45" i="1"/>
  <c r="S45" i="1"/>
  <c r="R45" i="1"/>
  <c r="O45" i="1"/>
  <c r="L45" i="1"/>
  <c r="K45" i="1"/>
  <c r="I45" i="1"/>
  <c r="V44" i="1"/>
  <c r="V43" i="1"/>
  <c r="V42" i="1"/>
  <c r="V41" i="1"/>
  <c r="AA41" i="1" s="1"/>
  <c r="AM41" i="1" s="1"/>
  <c r="U41" i="1"/>
  <c r="V40" i="1"/>
  <c r="V39" i="1"/>
  <c r="V38" i="1"/>
  <c r="V37" i="1"/>
  <c r="V36" i="1"/>
  <c r="V45" i="1" s="1"/>
  <c r="A36" i="1"/>
  <c r="A37" i="1" s="1"/>
  <c r="A38" i="1" s="1"/>
  <c r="A39" i="1" s="1"/>
  <c r="A40" i="1" s="1"/>
  <c r="A41" i="1" s="1"/>
  <c r="A42" i="1" s="1"/>
  <c r="A43" i="1" s="1"/>
  <c r="A44" i="1" s="1"/>
  <c r="AA35" i="1"/>
  <c r="AM35" i="1" s="1"/>
  <c r="AW34" i="1"/>
  <c r="BL33" i="1"/>
  <c r="AU33" i="1"/>
  <c r="AF33" i="1"/>
  <c r="AD33" i="1"/>
  <c r="AC33" i="1"/>
  <c r="AA33" i="1" s="1"/>
  <c r="AM33" i="1" s="1"/>
  <c r="AS33" i="1" s="1"/>
  <c r="AT33" i="1" s="1"/>
  <c r="AB33" i="1"/>
  <c r="U33" i="1"/>
  <c r="M33" i="1"/>
  <c r="BL32" i="1"/>
  <c r="AU32" i="1"/>
  <c r="AF32" i="1"/>
  <c r="AD32" i="1"/>
  <c r="AA32" i="1" s="1"/>
  <c r="AM32" i="1" s="1"/>
  <c r="AC32" i="1"/>
  <c r="AB32" i="1"/>
  <c r="U32" i="1"/>
  <c r="M32" i="1"/>
  <c r="BL31" i="1"/>
  <c r="AF31" i="1"/>
  <c r="AD31" i="1"/>
  <c r="AC31" i="1"/>
  <c r="AB31" i="1"/>
  <c r="AA31" i="1"/>
  <c r="AM31" i="1" s="1"/>
  <c r="U31" i="1"/>
  <c r="M31" i="1"/>
  <c r="BL30" i="1"/>
  <c r="AF30" i="1"/>
  <c r="AD30" i="1"/>
  <c r="AC30" i="1"/>
  <c r="AB30" i="1"/>
  <c r="AA30" i="1" s="1"/>
  <c r="AM30" i="1" s="1"/>
  <c r="U30" i="1"/>
  <c r="H30" i="1"/>
  <c r="M30" i="1" s="1"/>
  <c r="BL29" i="1"/>
  <c r="AF29" i="1"/>
  <c r="AD29" i="1"/>
  <c r="AC29" i="1"/>
  <c r="U29" i="1"/>
  <c r="H29" i="1"/>
  <c r="M29" i="1" s="1"/>
  <c r="BL28" i="1"/>
  <c r="AF28" i="1"/>
  <c r="AD28" i="1"/>
  <c r="AC28" i="1"/>
  <c r="U28" i="1"/>
  <c r="H28" i="1"/>
  <c r="M28" i="1" s="1"/>
  <c r="BL27" i="1"/>
  <c r="AF27" i="1"/>
  <c r="AD27" i="1"/>
  <c r="AC27" i="1"/>
  <c r="U27" i="1"/>
  <c r="H27" i="1"/>
  <c r="M27" i="1" s="1"/>
  <c r="BL26" i="1"/>
  <c r="AF26" i="1"/>
  <c r="AD26" i="1"/>
  <c r="AC26" i="1"/>
  <c r="AB26" i="1"/>
  <c r="AA26" i="1" s="1"/>
  <c r="AM26" i="1" s="1"/>
  <c r="U26" i="1"/>
  <c r="M26" i="1"/>
  <c r="BL25" i="1"/>
  <c r="AR25" i="1"/>
  <c r="AP25" i="1"/>
  <c r="AO25" i="1"/>
  <c r="AB25" i="1"/>
  <c r="U25" i="1"/>
  <c r="M25" i="1"/>
  <c r="BL24" i="1"/>
  <c r="AR24" i="1"/>
  <c r="AP24" i="1"/>
  <c r="AO24" i="1"/>
  <c r="AD24" i="1"/>
  <c r="AB24" i="1"/>
  <c r="U24" i="1"/>
  <c r="N24" i="1"/>
  <c r="J24" i="1"/>
  <c r="AC24" i="1" s="1"/>
  <c r="AA24" i="1" s="1"/>
  <c r="AM24" i="1" s="1"/>
  <c r="BL23" i="1"/>
  <c r="AR23" i="1"/>
  <c r="AP23" i="1"/>
  <c r="AO23" i="1"/>
  <c r="AB23" i="1"/>
  <c r="AA23" i="1"/>
  <c r="AM23" i="1" s="1"/>
  <c r="U23" i="1"/>
  <c r="M23" i="1"/>
  <c r="N23" i="1" s="1"/>
  <c r="AD23" i="1" s="1"/>
  <c r="J23" i="1"/>
  <c r="AC23" i="1" s="1"/>
  <c r="BL22" i="1"/>
  <c r="AR22" i="1"/>
  <c r="AP22" i="1"/>
  <c r="AO22" i="1"/>
  <c r="AF22" i="1"/>
  <c r="AD22" i="1"/>
  <c r="AB22" i="1"/>
  <c r="U22" i="1"/>
  <c r="M22" i="1"/>
  <c r="N22" i="1" s="1"/>
  <c r="J22" i="1"/>
  <c r="AC22" i="1" s="1"/>
  <c r="AA22" i="1" s="1"/>
  <c r="AM22" i="1" s="1"/>
  <c r="BA22" i="1" s="1"/>
  <c r="BJ22" i="1" s="1"/>
  <c r="BL21" i="1"/>
  <c r="AR21" i="1"/>
  <c r="AP21" i="1"/>
  <c r="AO21" i="1"/>
  <c r="AF21" i="1"/>
  <c r="AC21" i="1"/>
  <c r="AA21" i="1" s="1"/>
  <c r="AM21" i="1" s="1"/>
  <c r="AB21" i="1"/>
  <c r="U21" i="1"/>
  <c r="N21" i="1"/>
  <c r="AD21" i="1" s="1"/>
  <c r="M21" i="1"/>
  <c r="J21" i="1"/>
  <c r="BL20" i="1"/>
  <c r="AU20" i="1"/>
  <c r="AR20" i="1"/>
  <c r="AP20" i="1"/>
  <c r="AO20" i="1"/>
  <c r="AC20" i="1"/>
  <c r="AB20" i="1"/>
  <c r="AA20" i="1"/>
  <c r="AM20" i="1" s="1"/>
  <c r="U20" i="1"/>
  <c r="N20" i="1"/>
  <c r="AD20" i="1" s="1"/>
  <c r="BA19" i="1"/>
  <c r="AU19" i="1"/>
  <c r="AR19" i="1"/>
  <c r="AP19" i="1"/>
  <c r="AO19" i="1"/>
  <c r="AF19" i="1"/>
  <c r="AD19" i="1"/>
  <c r="AA19" i="1" s="1"/>
  <c r="AM19" i="1" s="1"/>
  <c r="AC19" i="1"/>
  <c r="AB19" i="1"/>
  <c r="U19" i="1"/>
  <c r="N19" i="1"/>
  <c r="P19" i="1" s="1"/>
  <c r="BL18" i="1"/>
  <c r="AU18" i="1"/>
  <c r="AR18" i="1"/>
  <c r="AP18" i="1"/>
  <c r="AO18" i="1"/>
  <c r="AF18" i="1"/>
  <c r="AC18" i="1"/>
  <c r="AB18" i="1"/>
  <c r="U18" i="1"/>
  <c r="U44" i="1" s="1"/>
  <c r="N18" i="1"/>
  <c r="M18" i="1"/>
  <c r="BL17" i="1"/>
  <c r="AU17" i="1"/>
  <c r="AR17" i="1"/>
  <c r="AP17" i="1"/>
  <c r="AO17" i="1"/>
  <c r="AF17" i="1"/>
  <c r="AC17" i="1"/>
  <c r="AB17" i="1"/>
  <c r="U17" i="1"/>
  <c r="N17" i="1"/>
  <c r="AD17" i="1" s="1"/>
  <c r="AA17" i="1" s="1"/>
  <c r="AM17" i="1" s="1"/>
  <c r="BL16" i="1"/>
  <c r="AU16" i="1"/>
  <c r="AR16" i="1"/>
  <c r="AP16" i="1"/>
  <c r="AO16" i="1"/>
  <c r="AF16" i="1"/>
  <c r="AC16" i="1"/>
  <c r="AB16" i="1"/>
  <c r="U16" i="1"/>
  <c r="U43" i="1" s="1"/>
  <c r="M16" i="1"/>
  <c r="N16" i="1" s="1"/>
  <c r="AD16" i="1" s="1"/>
  <c r="BL15" i="1"/>
  <c r="AU15" i="1"/>
  <c r="AR15" i="1"/>
  <c r="AP15" i="1"/>
  <c r="AO15" i="1"/>
  <c r="AF15" i="1"/>
  <c r="AC15" i="1"/>
  <c r="AB15" i="1"/>
  <c r="U15" i="1"/>
  <c r="U42" i="1" s="1"/>
  <c r="N15" i="1"/>
  <c r="M15" i="1"/>
  <c r="BL14" i="1"/>
  <c r="AU14" i="1"/>
  <c r="AR14" i="1"/>
  <c r="AP14" i="1"/>
  <c r="AO14" i="1"/>
  <c r="AF14" i="1"/>
  <c r="AC14" i="1"/>
  <c r="AB14" i="1"/>
  <c r="U14" i="1"/>
  <c r="M14" i="1"/>
  <c r="N14" i="1" s="1"/>
  <c r="BL13" i="1"/>
  <c r="AU13" i="1"/>
  <c r="AR13" i="1"/>
  <c r="AP13" i="1"/>
  <c r="AO13" i="1"/>
  <c r="AF13" i="1"/>
  <c r="AC13" i="1"/>
  <c r="AB13" i="1"/>
  <c r="U13" i="1"/>
  <c r="U40" i="1" s="1"/>
  <c r="M13" i="1"/>
  <c r="N13" i="1" s="1"/>
  <c r="P13" i="1" s="1"/>
  <c r="BL12" i="1"/>
  <c r="AU12" i="1"/>
  <c r="AR12" i="1"/>
  <c r="AP12" i="1"/>
  <c r="AO12" i="1"/>
  <c r="AF12" i="1"/>
  <c r="AC12" i="1"/>
  <c r="AB12" i="1"/>
  <c r="U12" i="1"/>
  <c r="U39" i="1" s="1"/>
  <c r="M12" i="1"/>
  <c r="N12" i="1" s="1"/>
  <c r="AD12" i="1" s="1"/>
  <c r="BL11" i="1"/>
  <c r="AU11" i="1"/>
  <c r="AR11" i="1"/>
  <c r="AP11" i="1"/>
  <c r="AO11" i="1"/>
  <c r="AF11" i="1"/>
  <c r="AC11" i="1"/>
  <c r="AB11" i="1"/>
  <c r="U11" i="1"/>
  <c r="U38" i="1" s="1"/>
  <c r="P11" i="1"/>
  <c r="M11" i="1"/>
  <c r="N11" i="1" s="1"/>
  <c r="AD11" i="1" s="1"/>
  <c r="BL10" i="1"/>
  <c r="AU10" i="1"/>
  <c r="AR10" i="1"/>
  <c r="AP10" i="1"/>
  <c r="AO10" i="1"/>
  <c r="AO45" i="1" s="1"/>
  <c r="AF10" i="1"/>
  <c r="AC10" i="1"/>
  <c r="AB10" i="1"/>
  <c r="U10" i="1"/>
  <c r="U36" i="1" s="1"/>
  <c r="M10" i="1"/>
  <c r="N10" i="1" s="1"/>
  <c r="AD10" i="1" s="1"/>
  <c r="BL9" i="1"/>
  <c r="BH9" i="1"/>
  <c r="BH45" i="1" s="1"/>
  <c r="BG9" i="1"/>
  <c r="BG45" i="1" s="1"/>
  <c r="BF9" i="1"/>
  <c r="BF45" i="1" s="1"/>
  <c r="BE9" i="1"/>
  <c r="AU9" i="1"/>
  <c r="AR9" i="1"/>
  <c r="AR45" i="1" s="1"/>
  <c r="AP9" i="1"/>
  <c r="AP45" i="1" s="1"/>
  <c r="AO9" i="1"/>
  <c r="AF9" i="1"/>
  <c r="AF45" i="1" s="1"/>
  <c r="AC9" i="1"/>
  <c r="AB9" i="1"/>
  <c r="U9" i="1"/>
  <c r="U37" i="1" s="1"/>
  <c r="M9" i="1"/>
  <c r="M45" i="1" s="1"/>
  <c r="H40" i="4" l="1"/>
  <c r="M40" i="4"/>
  <c r="BC18" i="2"/>
  <c r="BC12" i="2"/>
  <c r="BC10" i="2"/>
  <c r="BC11" i="2"/>
  <c r="BC15" i="2"/>
  <c r="K40" i="4"/>
  <c r="T42" i="2"/>
  <c r="BF10" i="2"/>
  <c r="BF15" i="2"/>
  <c r="BF12" i="2"/>
  <c r="BF18" i="2"/>
  <c r="I40" i="4"/>
  <c r="G40" i="4"/>
  <c r="L40" i="4"/>
  <c r="BF11" i="2"/>
  <c r="AE10" i="4"/>
  <c r="N15" i="4"/>
  <c r="BF9" i="2"/>
  <c r="AA10" i="4"/>
  <c r="J15" i="4"/>
  <c r="N8" i="4"/>
  <c r="N59" i="4"/>
  <c r="N13" i="4"/>
  <c r="J8" i="4"/>
  <c r="J59" i="4"/>
  <c r="J13" i="4"/>
  <c r="BC9" i="2"/>
  <c r="BD9" i="2"/>
  <c r="AP13" i="7"/>
  <c r="BA13" i="7" s="1"/>
  <c r="AD19" i="2"/>
  <c r="O19" i="2"/>
  <c r="AA8" i="4"/>
  <c r="J9" i="4"/>
  <c r="AA59" i="4"/>
  <c r="J14" i="4"/>
  <c r="J60" i="4"/>
  <c r="AO10" i="7"/>
  <c r="AT10" i="7" s="1"/>
  <c r="AV10" i="7" s="1"/>
  <c r="AW10" i="7" s="1"/>
  <c r="AZ10" i="7" s="1"/>
  <c r="BJ10" i="7" s="1"/>
  <c r="AP18" i="7"/>
  <c r="AE7" i="4"/>
  <c r="AE9" i="4"/>
  <c r="N11" i="4"/>
  <c r="N12" i="4"/>
  <c r="N16" i="4"/>
  <c r="AO15" i="7"/>
  <c r="AO17" i="7"/>
  <c r="AO19" i="7"/>
  <c r="AA7" i="4"/>
  <c r="AA9" i="4"/>
  <c r="J11" i="4"/>
  <c r="J12" i="4"/>
  <c r="J16" i="4"/>
  <c r="AO9" i="7"/>
  <c r="AO12" i="7"/>
  <c r="AP23" i="7"/>
  <c r="AO11" i="7"/>
  <c r="AP21" i="7"/>
  <c r="AO12" i="2"/>
  <c r="AP9" i="2"/>
  <c r="AO15" i="2"/>
  <c r="AP14" i="2"/>
  <c r="AO13" i="2"/>
  <c r="AO16" i="2"/>
  <c r="AP18" i="2"/>
  <c r="AO11" i="2"/>
  <c r="O17" i="2"/>
  <c r="AP17" i="2"/>
  <c r="AC19" i="2"/>
  <c r="AC42" i="2" s="1"/>
  <c r="AS17" i="1"/>
  <c r="AT17" i="1" s="1"/>
  <c r="AV17" i="1" s="1"/>
  <c r="AW17" i="1" s="1"/>
  <c r="AZ17" i="1" s="1"/>
  <c r="BK17" i="1" s="1"/>
  <c r="BA17" i="1"/>
  <c r="BJ17" i="1" s="1"/>
  <c r="AW41" i="1"/>
  <c r="AZ41" i="1" s="1"/>
  <c r="BA41" i="1"/>
  <c r="BA20" i="1"/>
  <c r="BJ20" i="1" s="1"/>
  <c r="AS20" i="1"/>
  <c r="AT20" i="1" s="1"/>
  <c r="BA23" i="1"/>
  <c r="BJ23" i="1" s="1"/>
  <c r="AS23" i="1"/>
  <c r="AS26" i="1"/>
  <c r="BA26" i="1"/>
  <c r="BJ26" i="1" s="1"/>
  <c r="AS30" i="1"/>
  <c r="BA30" i="1"/>
  <c r="BJ30" i="1" s="1"/>
  <c r="AP46" i="1"/>
  <c r="P12" i="1"/>
  <c r="AD13" i="1"/>
  <c r="AA13" i="1" s="1"/>
  <c r="AM13" i="1" s="1"/>
  <c r="AD14" i="1"/>
  <c r="AA14" i="1" s="1"/>
  <c r="AM14" i="1" s="1"/>
  <c r="P14" i="1"/>
  <c r="AA16" i="1"/>
  <c r="AM16" i="1" s="1"/>
  <c r="AS24" i="1"/>
  <c r="BA24" i="1"/>
  <c r="BJ24" i="1" s="1"/>
  <c r="AB28" i="1"/>
  <c r="AA28" i="1" s="1"/>
  <c r="AM28" i="1" s="1"/>
  <c r="BA31" i="1"/>
  <c r="BJ31" i="1" s="1"/>
  <c r="AS31" i="1"/>
  <c r="AS32" i="1"/>
  <c r="AT32" i="1" s="1"/>
  <c r="AW32" i="1"/>
  <c r="AZ32" i="1" s="1"/>
  <c r="BK32" i="1" s="1"/>
  <c r="BA32" i="1"/>
  <c r="BJ32" i="1" s="1"/>
  <c r="AA39" i="1"/>
  <c r="AM39" i="1" s="1"/>
  <c r="AA44" i="1"/>
  <c r="AM44" i="1" s="1"/>
  <c r="AD10" i="2"/>
  <c r="AA10" i="2" s="1"/>
  <c r="O10" i="2"/>
  <c r="AA10" i="1"/>
  <c r="AM10" i="1" s="1"/>
  <c r="P16" i="1"/>
  <c r="AS19" i="1"/>
  <c r="AT19" i="1" s="1"/>
  <c r="BA33" i="1"/>
  <c r="BJ33" i="1" s="1"/>
  <c r="AW33" i="1"/>
  <c r="AZ33" i="1" s="1"/>
  <c r="BK33" i="1" s="1"/>
  <c r="AA38" i="1"/>
  <c r="AM38" i="1" s="1"/>
  <c r="AA43" i="1"/>
  <c r="AM43" i="1" s="1"/>
  <c r="AO10" i="2"/>
  <c r="AP10" i="2"/>
  <c r="BD9" i="1"/>
  <c r="BD45" i="1" s="1"/>
  <c r="P10" i="1"/>
  <c r="AA11" i="1"/>
  <c r="AM11" i="1" s="1"/>
  <c r="AD15" i="1"/>
  <c r="AA15" i="1" s="1"/>
  <c r="AM15" i="1" s="1"/>
  <c r="P15" i="1"/>
  <c r="AV19" i="1"/>
  <c r="AW19" i="1" s="1"/>
  <c r="AZ19" i="1" s="1"/>
  <c r="AV20" i="1"/>
  <c r="AW20" i="1" s="1"/>
  <c r="AZ20" i="1" s="1"/>
  <c r="BK20" i="1" s="1"/>
  <c r="AA37" i="1"/>
  <c r="AM37" i="1" s="1"/>
  <c r="AA42" i="1"/>
  <c r="AM42" i="1" s="1"/>
  <c r="H45" i="1"/>
  <c r="AD11" i="2"/>
  <c r="O11" i="2"/>
  <c r="AA12" i="1"/>
  <c r="AM12" i="1" s="1"/>
  <c r="AD18" i="1"/>
  <c r="AA18" i="1" s="1"/>
  <c r="AM18" i="1" s="1"/>
  <c r="P18" i="1"/>
  <c r="BA21" i="1"/>
  <c r="BJ21" i="1" s="1"/>
  <c r="AS21" i="1"/>
  <c r="AS22" i="1"/>
  <c r="N25" i="1"/>
  <c r="AD25" i="1" s="1"/>
  <c r="J25" i="1"/>
  <c r="AC25" i="1" s="1"/>
  <c r="AA25" i="1" s="1"/>
  <c r="AM25" i="1" s="1"/>
  <c r="AA40" i="1"/>
  <c r="AM40" i="1" s="1"/>
  <c r="U45" i="1"/>
  <c r="N9" i="1"/>
  <c r="P20" i="1"/>
  <c r="AB29" i="1"/>
  <c r="AA29" i="1" s="1"/>
  <c r="AM29" i="1" s="1"/>
  <c r="AD15" i="2"/>
  <c r="O15" i="2"/>
  <c r="N56" i="4"/>
  <c r="AS12" i="7"/>
  <c r="BA12" i="7"/>
  <c r="I27" i="7"/>
  <c r="AC27" i="7" s="1"/>
  <c r="M27" i="7"/>
  <c r="AD27" i="7" s="1"/>
  <c r="BA32" i="7"/>
  <c r="AS32" i="7"/>
  <c r="AT32" i="7" s="1"/>
  <c r="AU32" i="7" s="1"/>
  <c r="AW32" i="7" s="1"/>
  <c r="AZ32" i="7" s="1"/>
  <c r="BJ32" i="7" s="1"/>
  <c r="AS33" i="7"/>
  <c r="AT33" i="7" s="1"/>
  <c r="AU33" i="7" s="1"/>
  <c r="AW33" i="7" s="1"/>
  <c r="AZ33" i="7" s="1"/>
  <c r="BJ33" i="7" s="1"/>
  <c r="BA33" i="7"/>
  <c r="I24" i="9"/>
  <c r="J25" i="9"/>
  <c r="AD17" i="2"/>
  <c r="AA17" i="2" s="1"/>
  <c r="P17" i="1"/>
  <c r="AB27" i="1"/>
  <c r="AA27" i="1" s="1"/>
  <c r="AM27" i="1" s="1"/>
  <c r="AD12" i="2"/>
  <c r="AA12" i="2" s="1"/>
  <c r="O12" i="2"/>
  <c r="AD18" i="2"/>
  <c r="AA18" i="2" s="1"/>
  <c r="AA36" i="1"/>
  <c r="AM36" i="1" s="1"/>
  <c r="AD14" i="2"/>
  <c r="AA14" i="2" s="1"/>
  <c r="O14" i="2"/>
  <c r="O18" i="2"/>
  <c r="T37" i="7"/>
  <c r="BF9" i="7"/>
  <c r="AS13" i="7"/>
  <c r="AT13" i="7" s="1"/>
  <c r="AV13" i="7" s="1"/>
  <c r="AW13" i="7" s="1"/>
  <c r="AZ13" i="7" s="1"/>
  <c r="BJ13" i="7" s="1"/>
  <c r="J7" i="4"/>
  <c r="AD11" i="7"/>
  <c r="AA11" i="7" s="1"/>
  <c r="AM11" i="7" s="1"/>
  <c r="Z11" i="7"/>
  <c r="O11" i="7"/>
  <c r="Z14" i="7"/>
  <c r="O14" i="7"/>
  <c r="AD14" i="7"/>
  <c r="BA17" i="7"/>
  <c r="AS17" i="7"/>
  <c r="AD13" i="2"/>
  <c r="AA13" i="2" s="1"/>
  <c r="O13" i="2"/>
  <c r="U20" i="2"/>
  <c r="AF25" i="7"/>
  <c r="BD25" i="7"/>
  <c r="AB20" i="2"/>
  <c r="AA20" i="2" s="1"/>
  <c r="N10" i="4"/>
  <c r="AE11" i="4"/>
  <c r="J56" i="4"/>
  <c r="M9" i="7"/>
  <c r="AP37" i="7"/>
  <c r="O12" i="7"/>
  <c r="AA14" i="7"/>
  <c r="AM14" i="7" s="1"/>
  <c r="AO14" i="7"/>
  <c r="AP14" i="7"/>
  <c r="BC14" i="7"/>
  <c r="AD15" i="7"/>
  <c r="AA15" i="7" s="1"/>
  <c r="AM15" i="7" s="1"/>
  <c r="Z15" i="7"/>
  <c r="O15" i="7"/>
  <c r="BF16" i="7"/>
  <c r="AF21" i="7"/>
  <c r="BD21" i="7"/>
  <c r="BF24" i="7"/>
  <c r="BC24" i="7"/>
  <c r="BC26" i="7"/>
  <c r="BF26" i="7"/>
  <c r="J10" i="4"/>
  <c r="AA11" i="4"/>
  <c r="AR37" i="7"/>
  <c r="BF11" i="7"/>
  <c r="BF12" i="7"/>
  <c r="BD16" i="7"/>
  <c r="BD37" i="7" s="1"/>
  <c r="AF16" i="7"/>
  <c r="AF37" i="7" s="1"/>
  <c r="AF18" i="7"/>
  <c r="AM18" i="7" s="1"/>
  <c r="BD18" i="7"/>
  <c r="AD23" i="7"/>
  <c r="AA23" i="7" s="1"/>
  <c r="AM23" i="7" s="1"/>
  <c r="Z23" i="7"/>
  <c r="O23" i="7"/>
  <c r="N7" i="4"/>
  <c r="AE8" i="4"/>
  <c r="N9" i="4"/>
  <c r="AE59" i="4"/>
  <c r="N14" i="4"/>
  <c r="N60" i="4"/>
  <c r="BA10" i="7"/>
  <c r="AD16" i="7"/>
  <c r="AA16" i="7" s="1"/>
  <c r="AM16" i="7" s="1"/>
  <c r="Z16" i="7"/>
  <c r="O16" i="7"/>
  <c r="AP16" i="7"/>
  <c r="AO16" i="7"/>
  <c r="U22" i="7"/>
  <c r="BC22" i="7" s="1"/>
  <c r="AD22" i="7"/>
  <c r="AA25" i="7"/>
  <c r="AM25" i="7" s="1"/>
  <c r="AN37" i="7"/>
  <c r="AJ37" i="7"/>
  <c r="AJ39" i="7" s="1"/>
  <c r="U18" i="7"/>
  <c r="AD19" i="7"/>
  <c r="AA19" i="7" s="1"/>
  <c r="AM19" i="7" s="1"/>
  <c r="Z19" i="7"/>
  <c r="O19" i="7"/>
  <c r="AD21" i="7"/>
  <c r="AA21" i="7" s="1"/>
  <c r="AM21" i="7" s="1"/>
  <c r="Z21" i="7"/>
  <c r="O21" i="7"/>
  <c r="AC26" i="7"/>
  <c r="AA26" i="7" s="1"/>
  <c r="AM26" i="7" s="1"/>
  <c r="N37" i="7"/>
  <c r="Y37" i="7"/>
  <c r="BF15" i="7"/>
  <c r="AP20" i="7"/>
  <c r="BA20" i="7" s="1"/>
  <c r="AO20" i="7"/>
  <c r="AT20" i="7" s="1"/>
  <c r="AV20" i="7" s="1"/>
  <c r="BF22" i="7"/>
  <c r="AA22" i="7"/>
  <c r="AM22" i="7" s="1"/>
  <c r="AF23" i="7"/>
  <c r="BD23" i="7"/>
  <c r="AF24" i="7"/>
  <c r="BD24" i="7"/>
  <c r="BC25" i="7"/>
  <c r="AA29" i="7"/>
  <c r="AM29" i="7" s="1"/>
  <c r="I24" i="7"/>
  <c r="AF26" i="7"/>
  <c r="AF27" i="7"/>
  <c r="BD27" i="7"/>
  <c r="BC27" i="7"/>
  <c r="M28" i="7"/>
  <c r="AD28" i="7" s="1"/>
  <c r="I28" i="7"/>
  <c r="AC28" i="7" s="1"/>
  <c r="BF29" i="7"/>
  <c r="BC29" i="7"/>
  <c r="BC31" i="7"/>
  <c r="BF31" i="7"/>
  <c r="N23" i="9"/>
  <c r="AF12" i="9"/>
  <c r="O19" i="9"/>
  <c r="AO22" i="7"/>
  <c r="X37" i="7"/>
  <c r="BC28" i="7"/>
  <c r="BF28" i="7"/>
  <c r="AB30" i="7"/>
  <c r="AA30" i="7" s="1"/>
  <c r="AM30" i="7" s="1"/>
  <c r="L30" i="7"/>
  <c r="L37" i="7" s="1"/>
  <c r="G37" i="7"/>
  <c r="BA31" i="7"/>
  <c r="AS31" i="7"/>
  <c r="AT31" i="7" s="1"/>
  <c r="AU31" i="7" s="1"/>
  <c r="AW31" i="7" s="1"/>
  <c r="AZ31" i="7" s="1"/>
  <c r="BJ31" i="7" s="1"/>
  <c r="BF35" i="7"/>
  <c r="BC35" i="7"/>
  <c r="BC36" i="7"/>
  <c r="BF36" i="7"/>
  <c r="J23" i="9"/>
  <c r="O7" i="9"/>
  <c r="AF11" i="9"/>
  <c r="O13" i="9"/>
  <c r="AF14" i="9"/>
  <c r="O18" i="9"/>
  <c r="O20" i="9"/>
  <c r="AA27" i="7"/>
  <c r="AM27" i="7" s="1"/>
  <c r="BF33" i="7"/>
  <c r="BC33" i="7"/>
  <c r="BC34" i="7"/>
  <c r="BF34" i="7"/>
  <c r="AM35" i="7"/>
  <c r="AM36" i="7"/>
  <c r="I25" i="9"/>
  <c r="H24" i="9"/>
  <c r="AF8" i="9"/>
  <c r="O11" i="9"/>
  <c r="O16" i="9"/>
  <c r="BD31" i="7"/>
  <c r="BF32" i="7"/>
  <c r="BD34" i="7"/>
  <c r="BD36" i="7"/>
  <c r="G23" i="9"/>
  <c r="K23" i="9"/>
  <c r="J34" i="9"/>
  <c r="N34" i="9"/>
  <c r="N35" i="9" s="1"/>
  <c r="L32" i="7"/>
  <c r="BD33" i="7"/>
  <c r="AB34" i="7"/>
  <c r="AA34" i="7" s="1"/>
  <c r="AM34" i="7" s="1"/>
  <c r="BD35" i="7"/>
  <c r="I42" i="4" l="1"/>
  <c r="M42" i="2"/>
  <c r="BF42" i="2"/>
  <c r="J40" i="4"/>
  <c r="AO42" i="2"/>
  <c r="AB42" i="2"/>
  <c r="AP42" i="2"/>
  <c r="Z42" i="2"/>
  <c r="U42" i="2"/>
  <c r="N40" i="4"/>
  <c r="O59" i="4"/>
  <c r="AA11" i="2"/>
  <c r="AA19" i="2"/>
  <c r="AM19" i="2" s="1"/>
  <c r="AA15" i="2"/>
  <c r="AF10" i="4"/>
  <c r="AF9" i="4"/>
  <c r="O15" i="4"/>
  <c r="AD16" i="2"/>
  <c r="O16" i="2"/>
  <c r="O14" i="4"/>
  <c r="AF8" i="4"/>
  <c r="BC20" i="2"/>
  <c r="BC42" i="2" s="1"/>
  <c r="O8" i="4"/>
  <c r="AO37" i="7"/>
  <c r="AO38" i="7" s="1"/>
  <c r="O11" i="4"/>
  <c r="O13" i="4"/>
  <c r="H41" i="4"/>
  <c r="AF59" i="4"/>
  <c r="AT17" i="7"/>
  <c r="AV17" i="7" s="1"/>
  <c r="AW17" i="7" s="1"/>
  <c r="AZ17" i="7" s="1"/>
  <c r="BJ17" i="7" s="1"/>
  <c r="AT12" i="7"/>
  <c r="AV12" i="7" s="1"/>
  <c r="AW12" i="7" s="1"/>
  <c r="AZ12" i="7" s="1"/>
  <c r="BJ12" i="7" s="1"/>
  <c r="O16" i="4"/>
  <c r="O60" i="4"/>
  <c r="O9" i="4"/>
  <c r="O12" i="4"/>
  <c r="AF7" i="4"/>
  <c r="AM13" i="2"/>
  <c r="O10" i="4"/>
  <c r="AM12" i="2"/>
  <c r="AM18" i="2"/>
  <c r="AM17" i="2"/>
  <c r="AM14" i="2"/>
  <c r="AM10" i="2"/>
  <c r="AS21" i="7"/>
  <c r="AT21" i="7" s="1"/>
  <c r="AU21" i="7" s="1"/>
  <c r="BA21" i="7"/>
  <c r="BA11" i="7"/>
  <c r="AS11" i="7"/>
  <c r="AT11" i="7" s="1"/>
  <c r="AV11" i="7" s="1"/>
  <c r="AW11" i="7" s="1"/>
  <c r="AZ11" i="7" s="1"/>
  <c r="BJ11" i="7" s="1"/>
  <c r="BA25" i="1"/>
  <c r="BJ25" i="1" s="1"/>
  <c r="AS25" i="1"/>
  <c r="AV1" i="7"/>
  <c r="AW20" i="7"/>
  <c r="AZ20" i="7" s="1"/>
  <c r="BA26" i="7"/>
  <c r="AS26" i="7"/>
  <c r="AT26" i="7" s="1"/>
  <c r="AU26" i="7" s="1"/>
  <c r="AW26" i="7" s="1"/>
  <c r="AZ26" i="7" s="1"/>
  <c r="BJ26" i="7" s="1"/>
  <c r="BA18" i="7"/>
  <c r="AS18" i="7"/>
  <c r="AT18" i="7" s="1"/>
  <c r="AV18" i="7" s="1"/>
  <c r="AW18" i="7" s="1"/>
  <c r="AZ18" i="7" s="1"/>
  <c r="BJ18" i="7" s="1"/>
  <c r="AS15" i="7"/>
  <c r="AT15" i="7" s="1"/>
  <c r="AV15" i="7" s="1"/>
  <c r="AW15" i="7" s="1"/>
  <c r="AZ15" i="7" s="1"/>
  <c r="BJ15" i="7" s="1"/>
  <c r="BA15" i="7"/>
  <c r="BA16" i="7"/>
  <c r="AS16" i="7"/>
  <c r="AT16" i="7" s="1"/>
  <c r="AV16" i="7" s="1"/>
  <c r="AW16" i="7" s="1"/>
  <c r="AZ16" i="7" s="1"/>
  <c r="BJ16" i="7" s="1"/>
  <c r="BA18" i="1"/>
  <c r="BJ18" i="1" s="1"/>
  <c r="AW18" i="1"/>
  <c r="AZ18" i="1" s="1"/>
  <c r="BK18" i="1" s="1"/>
  <c r="AS18" i="1"/>
  <c r="AT18" i="1" s="1"/>
  <c r="AV18" i="1" s="1"/>
  <c r="BA23" i="7"/>
  <c r="AS23" i="7"/>
  <c r="AT23" i="7" s="1"/>
  <c r="AV23" i="7" s="1"/>
  <c r="AW23" i="7" s="1"/>
  <c r="AZ23" i="7" s="1"/>
  <c r="BJ23" i="7" s="1"/>
  <c r="BA15" i="1"/>
  <c r="BJ15" i="1" s="1"/>
  <c r="AS15" i="1"/>
  <c r="AT15" i="1" s="1"/>
  <c r="AV15" i="1" s="1"/>
  <c r="AW15" i="1"/>
  <c r="AZ15" i="1" s="1"/>
  <c r="BK15" i="1" s="1"/>
  <c r="AS19" i="7"/>
  <c r="AT19" i="7" s="1"/>
  <c r="AV19" i="7" s="1"/>
  <c r="AW19" i="7" s="1"/>
  <c r="AZ19" i="7" s="1"/>
  <c r="BJ19" i="7" s="1"/>
  <c r="BA19" i="7"/>
  <c r="BA14" i="7"/>
  <c r="AS14" i="7"/>
  <c r="AT14" i="7" s="1"/>
  <c r="AV14" i="7" s="1"/>
  <c r="AW14" i="7" s="1"/>
  <c r="AZ14" i="7" s="1"/>
  <c r="BJ14" i="7" s="1"/>
  <c r="AW40" i="1"/>
  <c r="AZ40" i="1" s="1"/>
  <c r="BA40" i="1"/>
  <c r="AB45" i="1"/>
  <c r="AW38" i="1"/>
  <c r="AZ38" i="1" s="1"/>
  <c r="BA38" i="1"/>
  <c r="AD9" i="2"/>
  <c r="O9" i="2"/>
  <c r="AU30" i="1"/>
  <c r="AW30" i="1" s="1"/>
  <c r="AZ30" i="1" s="1"/>
  <c r="BK30" i="1" s="1"/>
  <c r="AT30" i="1"/>
  <c r="AU26" i="1"/>
  <c r="AW26" i="1" s="1"/>
  <c r="AZ26" i="1" s="1"/>
  <c r="BK26" i="1" s="1"/>
  <c r="AT26" i="1"/>
  <c r="BA36" i="7"/>
  <c r="AS36" i="7"/>
  <c r="AT36" i="7" s="1"/>
  <c r="AU36" i="7" s="1"/>
  <c r="AW36" i="7" s="1"/>
  <c r="AZ36" i="7" s="1"/>
  <c r="BJ36" i="7" s="1"/>
  <c r="AS35" i="7"/>
  <c r="AT35" i="7" s="1"/>
  <c r="AU35" i="7" s="1"/>
  <c r="AW35" i="7"/>
  <c r="AZ35" i="7" s="1"/>
  <c r="BJ35" i="7" s="1"/>
  <c r="BA35" i="7"/>
  <c r="I37" i="7"/>
  <c r="AC24" i="7"/>
  <c r="BF18" i="7"/>
  <c r="BC18" i="7"/>
  <c r="BC37" i="7" s="1"/>
  <c r="AB37" i="7"/>
  <c r="BF37" i="7"/>
  <c r="AW36" i="1"/>
  <c r="AZ36" i="1" s="1"/>
  <c r="BA36" i="1"/>
  <c r="AS29" i="1"/>
  <c r="BA29" i="1"/>
  <c r="BJ29" i="1" s="1"/>
  <c r="AU21" i="1"/>
  <c r="AT21" i="1"/>
  <c r="AW42" i="1"/>
  <c r="AZ42" i="1" s="1"/>
  <c r="BA42" i="1"/>
  <c r="AS11" i="1"/>
  <c r="AT11" i="1" s="1"/>
  <c r="AV11" i="1" s="1"/>
  <c r="AW11" i="1" s="1"/>
  <c r="AZ11" i="1" s="1"/>
  <c r="BK11" i="1" s="1"/>
  <c r="BA11" i="1"/>
  <c r="BJ11" i="1" s="1"/>
  <c r="AW44" i="1"/>
  <c r="AZ44" i="1" s="1"/>
  <c r="BA44" i="1"/>
  <c r="AS28" i="1"/>
  <c r="BA28" i="1"/>
  <c r="BJ28" i="1" s="1"/>
  <c r="AS16" i="1"/>
  <c r="AT16" i="1" s="1"/>
  <c r="AV16" i="1" s="1"/>
  <c r="AW16" i="1" s="1"/>
  <c r="AZ16" i="1" s="1"/>
  <c r="BK16" i="1" s="1"/>
  <c r="BA16" i="1"/>
  <c r="BJ16" i="1" s="1"/>
  <c r="BA14" i="1"/>
  <c r="BJ14" i="1" s="1"/>
  <c r="AS14" i="1"/>
  <c r="AT14" i="1" s="1"/>
  <c r="AV14" i="1" s="1"/>
  <c r="AW14" i="1" s="1"/>
  <c r="AZ14" i="1" s="1"/>
  <c r="BK14" i="1" s="1"/>
  <c r="AC45" i="1"/>
  <c r="AT23" i="1"/>
  <c r="AU23" i="1"/>
  <c r="AV23" i="1" s="1"/>
  <c r="AW23" i="1" s="1"/>
  <c r="AZ23" i="1" s="1"/>
  <c r="BK23" i="1" s="1"/>
  <c r="BA34" i="7"/>
  <c r="AS34" i="7"/>
  <c r="AT34" i="7" s="1"/>
  <c r="AU34" i="7" s="1"/>
  <c r="AW34" i="7" s="1"/>
  <c r="AZ34" i="7" s="1"/>
  <c r="BJ34" i="7" s="1"/>
  <c r="U37" i="7"/>
  <c r="G24" i="9"/>
  <c r="K25" i="9"/>
  <c r="M25" i="9" s="1"/>
  <c r="BA27" i="7"/>
  <c r="AS27" i="7"/>
  <c r="AT27" i="7" s="1"/>
  <c r="AU27" i="7" s="1"/>
  <c r="AW27" i="7" s="1"/>
  <c r="AZ27" i="7" s="1"/>
  <c r="BJ27" i="7" s="1"/>
  <c r="AS29" i="7"/>
  <c r="AT29" i="7" s="1"/>
  <c r="AU29" i="7" s="1"/>
  <c r="AW29" i="7" s="1"/>
  <c r="AZ29" i="7" s="1"/>
  <c r="BJ29" i="7" s="1"/>
  <c r="BA29" i="7"/>
  <c r="BA25" i="7"/>
  <c r="AS25" i="7"/>
  <c r="AT25" i="7" s="1"/>
  <c r="AU25" i="7" s="1"/>
  <c r="AW25" i="7" s="1"/>
  <c r="AZ25" i="7" s="1"/>
  <c r="BJ25" i="7" s="1"/>
  <c r="AF11" i="4"/>
  <c r="J42" i="4"/>
  <c r="M37" i="7"/>
  <c r="AD9" i="7"/>
  <c r="Z9" i="7"/>
  <c r="Z37" i="7" s="1"/>
  <c r="O9" i="7"/>
  <c r="O37" i="7" s="1"/>
  <c r="O56" i="4"/>
  <c r="K42" i="4"/>
  <c r="M42" i="4" s="1"/>
  <c r="G41" i="4"/>
  <c r="BA12" i="1"/>
  <c r="BJ12" i="1" s="1"/>
  <c r="AW12" i="1"/>
  <c r="AZ12" i="1" s="1"/>
  <c r="BK12" i="1" s="1"/>
  <c r="AS12" i="1"/>
  <c r="AT12" i="1" s="1"/>
  <c r="AV12" i="1" s="1"/>
  <c r="AW37" i="1"/>
  <c r="AZ37" i="1" s="1"/>
  <c r="BA37" i="1"/>
  <c r="AW39" i="1"/>
  <c r="AZ39" i="1" s="1"/>
  <c r="BA39" i="1"/>
  <c r="AT31" i="1"/>
  <c r="AU31" i="1"/>
  <c r="AW31" i="1" s="1"/>
  <c r="AZ31" i="1" s="1"/>
  <c r="BK31" i="1" s="1"/>
  <c r="AS13" i="1"/>
  <c r="AT13" i="1" s="1"/>
  <c r="AV13" i="1" s="1"/>
  <c r="AW13" i="1" s="1"/>
  <c r="AZ13" i="1" s="1"/>
  <c r="BK13" i="1" s="1"/>
  <c r="BA13" i="1"/>
  <c r="BJ13" i="1" s="1"/>
  <c r="J35" i="9"/>
  <c r="O34" i="9"/>
  <c r="O35" i="9" s="1"/>
  <c r="O23" i="9"/>
  <c r="BA22" i="7"/>
  <c r="AS22" i="7"/>
  <c r="AT22" i="7" s="1"/>
  <c r="AV22" i="7" s="1"/>
  <c r="AW22" i="7" s="1"/>
  <c r="AZ22" i="7" s="1"/>
  <c r="BJ22" i="7" s="1"/>
  <c r="BA30" i="7"/>
  <c r="AW30" i="7"/>
  <c r="AZ30" i="7" s="1"/>
  <c r="BJ30" i="7" s="1"/>
  <c r="AS30" i="7"/>
  <c r="AT30" i="7" s="1"/>
  <c r="AU30" i="7" s="1"/>
  <c r="AA28" i="7"/>
  <c r="AM28" i="7" s="1"/>
  <c r="O7" i="4"/>
  <c r="AS27" i="1"/>
  <c r="BA27" i="1"/>
  <c r="BJ27" i="1" s="1"/>
  <c r="P9" i="1"/>
  <c r="P45" i="1" s="1"/>
  <c r="N45" i="1"/>
  <c r="AD9" i="1"/>
  <c r="AT22" i="1"/>
  <c r="AU22" i="1"/>
  <c r="AV22" i="1" s="1"/>
  <c r="AW22" i="1" s="1"/>
  <c r="AZ22" i="1" s="1"/>
  <c r="BK22" i="1" s="1"/>
  <c r="J45" i="1"/>
  <c r="AW43" i="1"/>
  <c r="AZ43" i="1" s="1"/>
  <c r="BA43" i="1"/>
  <c r="AS10" i="1"/>
  <c r="AT10" i="1" s="1"/>
  <c r="AV10" i="1" s="1"/>
  <c r="AW10" i="1" s="1"/>
  <c r="AZ10" i="1" s="1"/>
  <c r="BK10" i="1" s="1"/>
  <c r="BA10" i="1"/>
  <c r="BJ10" i="1" s="1"/>
  <c r="AU24" i="1"/>
  <c r="AV24" i="1" s="1"/>
  <c r="AW24" i="1" s="1"/>
  <c r="AZ24" i="1" s="1"/>
  <c r="BK24" i="1" s="1"/>
  <c r="AT24" i="1"/>
  <c r="AD42" i="2" l="1"/>
  <c r="O40" i="4"/>
  <c r="O42" i="2"/>
  <c r="AO46" i="2"/>
  <c r="AA9" i="2"/>
  <c r="AS10" i="2"/>
  <c r="AT10" i="2" s="1"/>
  <c r="AS19" i="2"/>
  <c r="AT19" i="2" s="1"/>
  <c r="AM11" i="2"/>
  <c r="AA16" i="2"/>
  <c r="AM15" i="2"/>
  <c r="AO73" i="2"/>
  <c r="AS18" i="2"/>
  <c r="AT18" i="2" s="1"/>
  <c r="BA13" i="2"/>
  <c r="AS13" i="2"/>
  <c r="AT13" i="2" s="1"/>
  <c r="AS17" i="2"/>
  <c r="AT17" i="2" s="1"/>
  <c r="AS14" i="2"/>
  <c r="AT14" i="2" s="1"/>
  <c r="AS12" i="2"/>
  <c r="BA19" i="2"/>
  <c r="BA12" i="2"/>
  <c r="O24" i="9"/>
  <c r="P25" i="9" s="1"/>
  <c r="BA18" i="2"/>
  <c r="BA10" i="2"/>
  <c r="BA17" i="2"/>
  <c r="BA14" i="2"/>
  <c r="AD45" i="1"/>
  <c r="AA9" i="1"/>
  <c r="AU27" i="1"/>
  <c r="AW27" i="1" s="1"/>
  <c r="AZ27" i="1" s="1"/>
  <c r="BK27" i="1" s="1"/>
  <c r="AT27" i="1"/>
  <c r="AS28" i="7"/>
  <c r="AT28" i="7" s="1"/>
  <c r="AU28" i="7" s="1"/>
  <c r="AW28" i="7"/>
  <c r="AZ28" i="7" s="1"/>
  <c r="BJ28" i="7" s="1"/>
  <c r="BA28" i="7"/>
  <c r="AA24" i="7"/>
  <c r="AM24" i="7" s="1"/>
  <c r="AC37" i="7"/>
  <c r="AD37" i="7"/>
  <c r="AA9" i="7"/>
  <c r="AU29" i="1"/>
  <c r="AW29" i="1" s="1"/>
  <c r="AZ29" i="1" s="1"/>
  <c r="BK29" i="1" s="1"/>
  <c r="AT29" i="1"/>
  <c r="BB46" i="1"/>
  <c r="BJ20" i="7"/>
  <c r="AZ1" i="7"/>
  <c r="AV21" i="1"/>
  <c r="AW21" i="1" s="1"/>
  <c r="AZ21" i="1" s="1"/>
  <c r="BK21" i="1" s="1"/>
  <c r="AU45" i="1"/>
  <c r="AV21" i="7"/>
  <c r="AW21" i="7" s="1"/>
  <c r="AZ21" i="7" s="1"/>
  <c r="BJ21" i="7" s="1"/>
  <c r="P14" i="9"/>
  <c r="P23" i="9" s="1"/>
  <c r="Q23" i="9"/>
  <c r="AU28" i="1"/>
  <c r="AW28" i="1" s="1"/>
  <c r="AZ28" i="1" s="1"/>
  <c r="BK28" i="1" s="1"/>
  <c r="AT28" i="1"/>
  <c r="AU25" i="1"/>
  <c r="AV25" i="1" s="1"/>
  <c r="AW25" i="1" s="1"/>
  <c r="AZ25" i="1" s="1"/>
  <c r="BK25" i="1" s="1"/>
  <c r="AT25" i="1"/>
  <c r="Q41" i="4" l="1"/>
  <c r="Q43" i="4" s="1"/>
  <c r="O43" i="4"/>
  <c r="AA42" i="2"/>
  <c r="AV10" i="2"/>
  <c r="AW10" i="2" s="1"/>
  <c r="AV13" i="2"/>
  <c r="AV14" i="2"/>
  <c r="AW14" i="2" s="1"/>
  <c r="BV14" i="2" s="1"/>
  <c r="AV17" i="2"/>
  <c r="AW17" i="2" s="1"/>
  <c r="AZ17" i="2" s="1"/>
  <c r="AV18" i="2"/>
  <c r="AW18" i="2" s="1"/>
  <c r="AV19" i="2"/>
  <c r="AS11" i="2"/>
  <c r="AT11" i="2" s="1"/>
  <c r="BA11" i="2"/>
  <c r="AS15" i="2"/>
  <c r="AT15" i="2" s="1"/>
  <c r="BA15" i="2"/>
  <c r="AM16" i="2"/>
  <c r="AT12" i="2"/>
  <c r="AS24" i="7"/>
  <c r="AT24" i="7" s="1"/>
  <c r="AU24" i="7" s="1"/>
  <c r="AU37" i="7" s="1"/>
  <c r="BA24" i="7"/>
  <c r="AA37" i="7"/>
  <c r="AM38" i="7" s="1"/>
  <c r="AM39" i="7" s="1"/>
  <c r="AM9" i="7"/>
  <c r="AA45" i="1"/>
  <c r="AM9" i="1"/>
  <c r="AM9" i="2"/>
  <c r="AW13" i="2" l="1"/>
  <c r="AZ13" i="2" s="1"/>
  <c r="AW19" i="2"/>
  <c r="AW75" i="2" s="1"/>
  <c r="AZ14" i="2"/>
  <c r="AZ18" i="2"/>
  <c r="AZ10" i="2"/>
  <c r="AV15" i="2"/>
  <c r="AW15" i="2" s="1"/>
  <c r="AV12" i="2"/>
  <c r="AW12" i="2" s="1"/>
  <c r="AV11" i="2"/>
  <c r="AW11" i="2" s="1"/>
  <c r="BA16" i="2"/>
  <c r="AS16" i="2"/>
  <c r="AT16" i="2" s="1"/>
  <c r="AS9" i="2"/>
  <c r="BA9" i="2"/>
  <c r="AM45" i="1"/>
  <c r="AS9" i="1"/>
  <c r="BA9" i="1"/>
  <c r="AW24" i="7"/>
  <c r="AZ24" i="7" s="1"/>
  <c r="BJ24" i="7" s="1"/>
  <c r="AM37" i="7"/>
  <c r="AS38" i="7" s="1"/>
  <c r="BA9" i="7"/>
  <c r="AS9" i="7"/>
  <c r="AZ19" i="2" l="1"/>
  <c r="AZ12" i="2"/>
  <c r="AZ11" i="2"/>
  <c r="AV16" i="2"/>
  <c r="AW16" i="2" s="1"/>
  <c r="AZ15" i="2"/>
  <c r="BJ9" i="1"/>
  <c r="BA2" i="1"/>
  <c r="BN10" i="1"/>
  <c r="BA45" i="1"/>
  <c r="BK4" i="1"/>
  <c r="AT9" i="1"/>
  <c r="AS45" i="1"/>
  <c r="AS37" i="7"/>
  <c r="AS39" i="7" s="1"/>
  <c r="AT9" i="7"/>
  <c r="BA37" i="7"/>
  <c r="BN4" i="7"/>
  <c r="BQ6" i="7" s="1"/>
  <c r="AT9" i="2"/>
  <c r="AV9" i="2" l="1"/>
  <c r="AZ16" i="2"/>
  <c r="AT45" i="1"/>
  <c r="AV9" i="1"/>
  <c r="AT37" i="7"/>
  <c r="AV9" i="7"/>
  <c r="AW9" i="2" l="1"/>
  <c r="AX42" i="2" s="1"/>
  <c r="AV37" i="7"/>
  <c r="AW9" i="7"/>
  <c r="AV45" i="1"/>
  <c r="AW9" i="1"/>
  <c r="AW37" i="7" l="1"/>
  <c r="AZ9" i="7"/>
  <c r="AZ9" i="1"/>
  <c r="AW45" i="1"/>
  <c r="AZ9" i="2"/>
  <c r="AZ45" i="1" l="1"/>
  <c r="BK9" i="1"/>
  <c r="BK3" i="1"/>
  <c r="BN9" i="1"/>
  <c r="BN11" i="1" s="1"/>
  <c r="AZ37" i="7"/>
  <c r="AZ39" i="7" s="1"/>
  <c r="BN3" i="7"/>
  <c r="BO3" i="7" s="1"/>
  <c r="BJ9" i="7"/>
  <c r="BJ37" i="7" s="1"/>
  <c r="AF42" i="2" l="1"/>
  <c r="AF45" i="2" s="1"/>
  <c r="BD42" i="2"/>
  <c r="AM20" i="2" l="1"/>
  <c r="AM42" i="2" s="1"/>
  <c r="AM74" i="2" l="1"/>
  <c r="AS20" i="2"/>
  <c r="AS42" i="2" s="1"/>
  <c r="BA20" i="2"/>
  <c r="BA42" i="2" s="1"/>
  <c r="AT20" i="2" l="1"/>
  <c r="AT42" i="2" s="1"/>
  <c r="BN4" i="2"/>
  <c r="BQ6" i="2" s="1"/>
  <c r="AV20" i="2" l="1"/>
  <c r="AV42" i="2" s="1"/>
  <c r="AU20" i="2"/>
  <c r="AU42" i="2" l="1"/>
  <c r="AW20" i="2"/>
  <c r="BV20" i="2" l="1"/>
  <c r="AW42" i="2"/>
  <c r="AW72" i="2"/>
  <c r="AZ20" i="2"/>
  <c r="AZ42" i="2" s="1"/>
  <c r="AZ44" i="2" s="1"/>
  <c r="AW44" i="2" l="1"/>
  <c r="AW47" i="2"/>
  <c r="BN3" i="2"/>
  <c r="BO3" i="2" s="1"/>
  <c r="BI40" i="2" l="1"/>
  <c r="BI41" i="2"/>
  <c r="BI30" i="2"/>
  <c r="BI31" i="2"/>
  <c r="BI35" i="2"/>
  <c r="BI32" i="2"/>
  <c r="BI33" i="2" l="1"/>
  <c r="BI29" i="2"/>
  <c r="BI34" i="2"/>
  <c r="BI37" i="2"/>
  <c r="BI36" i="2"/>
  <c r="BI28" i="2" l="1"/>
  <c r="BI26" i="2"/>
  <c r="BI25" i="2"/>
  <c r="BI27" i="2" l="1"/>
  <c r="BI24" i="2" l="1"/>
  <c r="BI23" i="2" l="1"/>
  <c r="BI21" i="2" l="1"/>
  <c r="BI22" i="2" l="1"/>
  <c r="BI10" i="2" l="1"/>
  <c r="BI13" i="2"/>
  <c r="BI14" i="2"/>
  <c r="BI17" i="2"/>
  <c r="BI18" i="2"/>
  <c r="BI19" i="2" l="1"/>
  <c r="BI15" i="2"/>
  <c r="BI12" i="2"/>
  <c r="BI11" i="2"/>
  <c r="BI16" i="2" l="1"/>
  <c r="BI9" i="2" l="1"/>
  <c r="BI20" i="2" l="1"/>
  <c r="BI42" i="2" s="1"/>
  <c r="BG42" i="2"/>
</calcChain>
</file>

<file path=xl/comments1.xml><?xml version="1.0" encoding="utf-8"?>
<comments xmlns="http://schemas.openxmlformats.org/spreadsheetml/2006/main">
  <authors>
    <author>ASUS</author>
  </authors>
  <commentList>
    <comment ref="AU40" author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cam kết 08</t>
        </r>
      </text>
    </comment>
    <comment ref="AG41" author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 ngày của T3/2026 chưa có vé xe, cty hỗ trợ 5K/ngày</t>
        </r>
      </text>
    </comment>
    <comment ref="AU41" author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cam kết 08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" roundtripDataSignature="AMtx7mhtSYIsrjAFL6NoqoNm3H8bmx2Umw=="/>
    </ext>
  </extLst>
</comments>
</file>

<file path=xl/comments2.xml><?xml version="1.0" encoding="utf-8"?>
<comments xmlns="http://schemas.openxmlformats.org/spreadsheetml/2006/main">
  <authors>
    <author>ASUS</author>
  </authors>
  <commentList>
    <comment ref="P32" author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Huyền tự tính
</t>
        </r>
      </text>
    </comment>
    <comment ref="Q32" authorId="0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Huyền tự tính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G20" authorId="0">
      <text>
        <r>
          <rPr>
            <sz val="10"/>
            <color theme="1"/>
            <rFont val="Calibri"/>
            <family val="2"/>
            <scheme val="minor"/>
          </rPr>
          <t>======
ID#AAABXZmMAU4
ASUS    (2024-11-05 09:40:56)
ĐC lương T8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" roundtripDataSignature="AMtx7mgBW/LKZKgpEo9dKN67Vg0EUYWFyw=="/>
    </ext>
  </extLst>
</comments>
</file>

<file path=xl/sharedStrings.xml><?xml version="1.0" encoding="utf-8"?>
<sst xmlns="http://schemas.openxmlformats.org/spreadsheetml/2006/main" count="32023" uniqueCount="6037">
  <si>
    <t>Chốt</t>
  </si>
  <si>
    <t>BẢNG LƯƠNG THÁNG 06/2024</t>
  </si>
  <si>
    <t xml:space="preserve">Tổng lương thực nhận </t>
  </si>
  <si>
    <t>THÔNG TIN NHÂN VIÊN</t>
  </si>
  <si>
    <t>TỔNG LƯƠNG GROSS</t>
  </si>
  <si>
    <t>NGÀY CÔNG TÍNH LƯƠNG</t>
  </si>
  <si>
    <t>LƯƠNG THEO NGÀY CÔNG</t>
  </si>
  <si>
    <t>CÁC KHOẢN THU NHẬP/GIẢM TRỪ KHÁC</t>
  </si>
  <si>
    <t xml:space="preserve">TỔNG THU NHẬP (32=17+22+25)
</t>
  </si>
  <si>
    <t>BHXH</t>
  </si>
  <si>
    <t>THUẾ TNCN</t>
  </si>
  <si>
    <t>THỰC LĨNH</t>
  </si>
  <si>
    <t>TỔNG CHI PHÍ LƯƠNG, THƯỞNG</t>
  </si>
  <si>
    <t>Note</t>
  </si>
  <si>
    <t>Tổng chi phí lương, thưởng</t>
  </si>
  <si>
    <t>STT</t>
  </si>
  <si>
    <t>Mã nhân viên</t>
  </si>
  <si>
    <t>Họ và tên</t>
  </si>
  <si>
    <t>Email</t>
  </si>
  <si>
    <t>Vị trí</t>
  </si>
  <si>
    <t>Thuế</t>
  </si>
  <si>
    <t>Code</t>
  </si>
  <si>
    <t>CTV/thực tập</t>
  </si>
  <si>
    <t>Nhân viên thử việc</t>
  </si>
  <si>
    <t xml:space="preserve">Tổng lương
 gross </t>
  </si>
  <si>
    <t>Nhân viên chính thức</t>
  </si>
  <si>
    <t>Tổng ngày công</t>
  </si>
  <si>
    <t>Ngày công chuẩn</t>
  </si>
  <si>
    <t>Ngày công CTV / thực tập</t>
  </si>
  <si>
    <t>Ngày công thử việc</t>
  </si>
  <si>
    <t>Ngày công chính thức</t>
  </si>
  <si>
    <t>Ngày công trước khi điều chỉnh lương</t>
  </si>
  <si>
    <t xml:space="preserve">Tổng lương theo ngày công 
(16= 17+18+19
</t>
  </si>
  <si>
    <t>Lương ngày công CTV / thực tập</t>
  </si>
  <si>
    <t>Lương ngày công thử việc</t>
  </si>
  <si>
    <t>Lương ngày công chính thức</t>
  </si>
  <si>
    <t>Lương ngày công CTV / thực tập trước ĐC</t>
  </si>
  <si>
    <t xml:space="preserve">Các khoản tăng/giảm khác (23=24+25+26+27+28+29+30)
</t>
  </si>
  <si>
    <t>Các khoản bổ sung khác</t>
  </si>
  <si>
    <t>Thanh toán phép tồn</t>
  </si>
  <si>
    <t xml:space="preserve">Hỗ trợ 
nhà ở </t>
  </si>
  <si>
    <t>Thưởng (Doanh số, Hiệu quả, Thành tích đặc biệt,…)</t>
  </si>
  <si>
    <t>Thưởng các dịp lễ</t>
  </si>
  <si>
    <t>Bonus/Lương tháng 13</t>
  </si>
  <si>
    <t>Mức lương đóng BHXH</t>
  </si>
  <si>
    <t>BHXH NV đóng
 (10.5%* lương cơ bản)</t>
  </si>
  <si>
    <t>BHXH Công ty đóng (21.5%* lương cơ bản)</t>
  </si>
  <si>
    <t>Tổng số người phụ thuộc</t>
  </si>
  <si>
    <t>Giảm trừ bản thân và giảm trừ NPT</t>
  </si>
  <si>
    <t>Thu nhập chịu thuế</t>
  </si>
  <si>
    <t>Thu nhập tính thuế</t>
  </si>
  <si>
    <t>Thuế TNCN</t>
  </si>
  <si>
    <t>Tổng thu nhập sau thuế</t>
  </si>
  <si>
    <t>Các khoản trừ ngoài lương
(-)
( tạm ứng lương, truy thu thuế TNCN…)</t>
  </si>
  <si>
    <t>Các khoản cộng ngoài lương (+)
( truy lĩnh thuế TNCN, bù trừ lương tháng ....)</t>
  </si>
  <si>
    <t xml:space="preserve">LƯƠNG THỰC NHẬN
(44=41-42+43
</t>
  </si>
  <si>
    <t xml:space="preserve">Cần chú ý </t>
  </si>
  <si>
    <t>Tổng lương CTV / thực tập</t>
  </si>
  <si>
    <t>Tổng lương CTV / thực tập trước ĐC</t>
  </si>
  <si>
    <t>Tổng lương thử việc 
(2=3+4)</t>
  </si>
  <si>
    <t>Lương thử việc</t>
  </si>
  <si>
    <t>Hỗ trợ ăn trưa</t>
  </si>
  <si>
    <t>Tổng lương</t>
  </si>
  <si>
    <t>Lương cơ bản</t>
  </si>
  <si>
    <t>Thưởng hiệu suất</t>
  </si>
  <si>
    <t>Xăng xe</t>
  </si>
  <si>
    <t>Hỗ trợ Đồng phục</t>
  </si>
  <si>
    <t>Hỗ trợ điện thoại</t>
  </si>
  <si>
    <t>Thuế 10%</t>
  </si>
  <si>
    <t>Thuế lũy tiến</t>
  </si>
  <si>
    <t>Check thuế</t>
  </si>
  <si>
    <t>Check BHXH</t>
  </si>
  <si>
    <t>Check loại hình NV</t>
  </si>
  <si>
    <t>Check công</t>
  </si>
  <si>
    <t>Check tình trạng HĐ</t>
  </si>
  <si>
    <t>Chênh tổng chi phí</t>
  </si>
  <si>
    <t>Chênh thực nhận</t>
  </si>
  <si>
    <t>VND</t>
  </si>
  <si>
    <t>Ngày</t>
  </si>
  <si>
    <t>Người</t>
  </si>
  <si>
    <t>VNĐ</t>
  </si>
  <si>
    <t>BSM00001</t>
  </si>
  <si>
    <t>Nguyễn Châu Hy</t>
  </si>
  <si>
    <t>hync.zenme@gmail.com</t>
  </si>
  <si>
    <t>Trợ lý Giám đốc</t>
  </si>
  <si>
    <t>ON</t>
  </si>
  <si>
    <t xml:space="preserve">Ngày công T6= 1/2 ngày công T5, T6 thuế TNCN tăng vì gộp ttoans trong hết </t>
  </si>
  <si>
    <t>#N/A</t>
  </si>
  <si>
    <t>Thực Lĩnh tháng 6/2024</t>
  </si>
  <si>
    <t>BSM00002</t>
  </si>
  <si>
    <t>Bùi Văn Điệp</t>
  </si>
  <si>
    <t>chuaco@congty.cty</t>
  </si>
  <si>
    <t>Lập trình viên</t>
  </si>
  <si>
    <t xml:space="preserve">bảng lương T6 gộp 1 dòng, Bảng lương T5 tách 2 dòng, T6 thuế TNCN tăng vì gộp ttoans trong hết </t>
  </si>
  <si>
    <t>Thêm 2 tr đảm bảo thu nhập net 48</t>
  </si>
  <si>
    <t>Tổng chi phí lương thưởng tháng 6/2024</t>
  </si>
  <si>
    <t>BSM00003</t>
  </si>
  <si>
    <t>Nguyễn Ngọc Anh</t>
  </si>
  <si>
    <t>ssinz7.zenme@gmail.com</t>
  </si>
  <si>
    <t>Total</t>
  </si>
  <si>
    <t>BSM00005</t>
  </si>
  <si>
    <t>Phan Thanh Tùng</t>
  </si>
  <si>
    <t>tungpt.zenme@gmail.com</t>
  </si>
  <si>
    <t>BSM00006</t>
  </si>
  <si>
    <t>Nguyễn Thị Hà</t>
  </si>
  <si>
    <t>hant.zenme@gmail.com</t>
  </si>
  <si>
    <t>Marketing</t>
  </si>
  <si>
    <t>BSM00007</t>
  </si>
  <si>
    <t>Nguyễn Ngọc Lê</t>
  </si>
  <si>
    <t>le.n.nguyen0192@gmail.com</t>
  </si>
  <si>
    <t>BSM00008</t>
  </si>
  <si>
    <t>Nguyễn Hồng Nhung</t>
  </si>
  <si>
    <t>nhungnh.zenme@gmail.com</t>
  </si>
  <si>
    <t>Trợ lý kinh doanh</t>
  </si>
  <si>
    <t>BSM00016</t>
  </si>
  <si>
    <t>Lê Hải Linh</t>
  </si>
  <si>
    <t>linhlh.zenme@gmail.com</t>
  </si>
  <si>
    <t>NV Marketing</t>
  </si>
  <si>
    <t>BSM00013</t>
  </si>
  <si>
    <t>Cao Nguyễn Nguyệt Linh</t>
  </si>
  <si>
    <t>cnguyetlinh@gmail.com</t>
  </si>
  <si>
    <t>BSM00020</t>
  </si>
  <si>
    <t>Nguyễn Minh Hiếu</t>
  </si>
  <si>
    <t>hieunp131@gmail.com</t>
  </si>
  <si>
    <t>Thang 7 cho ra ngoài ko trên prayroll BSM</t>
  </si>
  <si>
    <t xml:space="preserve">Thái Thanh Nhật Quang </t>
  </si>
  <si>
    <t>Henry@bsmlabs.io</t>
  </si>
  <si>
    <t>giám đốc</t>
  </si>
  <si>
    <t xml:space="preserve">Trần Minh Tuyết </t>
  </si>
  <si>
    <t xml:space="preserve">tuyet.tranminh1973@gmail.com
</t>
  </si>
  <si>
    <t xml:space="preserve">Kế toán </t>
  </si>
  <si>
    <t>BSM00023</t>
  </si>
  <si>
    <t>Trần Thành Trung</t>
  </si>
  <si>
    <t>trungtt.bsmlabs@gmail.com</t>
  </si>
  <si>
    <t>Developer</t>
  </si>
  <si>
    <t>NEW</t>
  </si>
  <si>
    <t>#REF!</t>
  </si>
  <si>
    <t>Thử việc</t>
  </si>
  <si>
    <t>BSM00024</t>
  </si>
  <si>
    <t>Đỗ Khánh Huyền</t>
  </si>
  <si>
    <t>huyendk.bsmlabs@gmail.com</t>
  </si>
  <si>
    <t>Trợ lý Giám đốc</t>
  </si>
  <si>
    <t>Nguyễn Tử Trường Lâm</t>
  </si>
  <si>
    <t>Lamntt.bsmlabs@gmail.com</t>
  </si>
  <si>
    <t>Video Editor</t>
  </si>
  <si>
    <t xml:space="preserve">Lê Anh Việt </t>
  </si>
  <si>
    <t>vietle.bsmlabs@gmail.com</t>
  </si>
  <si>
    <t>BD</t>
  </si>
  <si>
    <t xml:space="preserve">Trần Thị Bảo Tâm </t>
  </si>
  <si>
    <t>tamtran.bsmlabs@gmail.com</t>
  </si>
  <si>
    <t>HR</t>
  </si>
  <si>
    <t>BSM00017</t>
  </si>
  <si>
    <t>Nguyễn Thị Thu Thảo</t>
  </si>
  <si>
    <t>thuthaonguyenzz620@gmail.com</t>
  </si>
  <si>
    <t>Thực tập sinh</t>
  </si>
  <si>
    <t>Intern</t>
  </si>
  <si>
    <t>BSM00021</t>
  </si>
  <si>
    <t>Nguyễn Xuân Phong</t>
  </si>
  <si>
    <t>phongnx.bsmlabs@gmail.com</t>
  </si>
  <si>
    <t>Cty trả taxes</t>
  </si>
  <si>
    <t>BSM00022</t>
  </si>
  <si>
    <t>Vương Tuấn Cường</t>
  </si>
  <si>
    <t>cuongvt.bsmlabs@gmail.com</t>
  </si>
  <si>
    <t>BSM00025</t>
  </si>
  <si>
    <t>Nguyễn Nam Anh</t>
  </si>
  <si>
    <t>anhnn.bsmlabs@gmail.com</t>
  </si>
  <si>
    <t>BSM00026</t>
  </si>
  <si>
    <t>Ngô Phương Anh</t>
  </si>
  <si>
    <t xml:space="preserve">Nguyễn Văn Tuấn </t>
  </si>
  <si>
    <t xml:space="preserve">tuannv140301@gmail.com
</t>
  </si>
  <si>
    <t>AI Intern</t>
  </si>
  <si>
    <t xml:space="preserve">Đặng Phương Anh </t>
  </si>
  <si>
    <t>phuonganhd.bsmlabs@gmail.com</t>
  </si>
  <si>
    <t>Nguyễn Hải Anh</t>
  </si>
  <si>
    <t xml:space="preserve">anhnth@sotanext.com
</t>
  </si>
  <si>
    <t>CTV Admin</t>
  </si>
  <si>
    <t>CTV</t>
  </si>
  <si>
    <t>Lương tăng ngoài</t>
  </si>
  <si>
    <t>Lương tăng ngoài dành cho nv chính thức</t>
  </si>
  <si>
    <t>Lương tăng ngoài dành do chênh lệch 2 NPT</t>
  </si>
  <si>
    <t>TỔNG</t>
  </si>
  <si>
    <t>PC ko chịu thuế TNCN</t>
  </si>
  <si>
    <t>Hiệu suất T9</t>
  </si>
  <si>
    <t>PC ko chịu thuế TNCN theo ngày công tte</t>
  </si>
  <si>
    <t>Lý do CL lương</t>
  </si>
  <si>
    <t>Tài khoản NH</t>
  </si>
  <si>
    <t>Số TK</t>
  </si>
  <si>
    <t>CTO</t>
  </si>
  <si>
    <t>BUI VAN DIEP</t>
  </si>
  <si>
    <t>0945661904</t>
  </si>
  <si>
    <t>TIEN PHONG (TPBANK)-358</t>
  </si>
  <si>
    <t>NGUYEN NGOC ANH</t>
  </si>
  <si>
    <t>02606600301</t>
  </si>
  <si>
    <t>PHAN THANH TUNG</t>
  </si>
  <si>
    <t>19036367351018</t>
  </si>
  <si>
    <t>BA</t>
  </si>
  <si>
    <t>NGUYEN NGOC LE</t>
  </si>
  <si>
    <t>0011004317492</t>
  </si>
  <si>
    <t>NGOAI THUONG VN (VCB)-203</t>
  </si>
  <si>
    <t>LE HAI LINH</t>
  </si>
  <si>
    <t>222638429</t>
  </si>
  <si>
    <t>VIET NAM THINH VUONG (VPBANK)-309</t>
  </si>
  <si>
    <t>CAO NGUYEN NGUYET LINH</t>
  </si>
  <si>
    <t>19034300764013</t>
  </si>
  <si>
    <t>CEO</t>
  </si>
  <si>
    <t>THAI THANH NHAT QUANG</t>
  </si>
  <si>
    <t>19037989444011</t>
  </si>
  <si>
    <t>Trần Minh Tuyết</t>
  </si>
  <si>
    <t>KTT</t>
  </si>
  <si>
    <t>TRAN MINH TUYET</t>
  </si>
  <si>
    <t>0983280899</t>
  </si>
  <si>
    <t>QUAN DOI (MB)-311</t>
  </si>
  <si>
    <t xml:space="preserve">Nguyễn Thị Thu Thảo </t>
  </si>
  <si>
    <t>Tester</t>
  </si>
  <si>
    <t>NGUYEN THI THU THAO</t>
  </si>
  <si>
    <t>1014035653</t>
  </si>
  <si>
    <t xml:space="preserve">Nguyễn Hữu Tuấn Minh </t>
  </si>
  <si>
    <t>tuanminh811.work@gmail.com</t>
  </si>
  <si>
    <t>NGUYEN HUU TUAN MINH</t>
  </si>
  <si>
    <t>0081120026868</t>
  </si>
  <si>
    <t xml:space="preserve">Executive Assistant </t>
  </si>
  <si>
    <t>DO KHANH HUYEN</t>
  </si>
  <si>
    <t>019121870</t>
  </si>
  <si>
    <t>QUOC TE (VIB)-314</t>
  </si>
  <si>
    <t>NGUYEN TU TRUONG LAM</t>
  </si>
  <si>
    <t>104229093</t>
  </si>
  <si>
    <t>LE ANH VIET</t>
  </si>
  <si>
    <t>170717</t>
  </si>
  <si>
    <t>A CHAU (ACB)-307</t>
  </si>
  <si>
    <t xml:space="preserve">Nguyễn Song Hà </t>
  </si>
  <si>
    <t xml:space="preserve">
songha@bsmlabs.io</t>
  </si>
  <si>
    <t>Visual Art Director</t>
  </si>
  <si>
    <t>NGUYEN SONG HA</t>
  </si>
  <si>
    <t xml:space="preserve">Phạm Đăng Bình </t>
  </si>
  <si>
    <t>binhpham.bsmlabs@gmail.com</t>
  </si>
  <si>
    <t>PHAM DANG BINH</t>
  </si>
  <si>
    <t xml:space="preserve">Phạm Thị Mỹ Duyên </t>
  </si>
  <si>
    <t>duyeneditorbsmlabs@gmail.com</t>
  </si>
  <si>
    <t>DAU TU VA PHAT TRIEN VN ( BIDV)-202</t>
  </si>
  <si>
    <t>TRAN THI BAO TAM</t>
  </si>
  <si>
    <t>18729518888</t>
  </si>
  <si>
    <t>Nguyễn Thị Ngọc Ánh</t>
  </si>
  <si>
    <t>anhnguyen.bsmlabs@gmail.com</t>
  </si>
  <si>
    <t xml:space="preserve">QC Lead  </t>
  </si>
  <si>
    <t>CL công đi làm thực tế</t>
  </si>
  <si>
    <t xml:space="preserve">Nguyễn Phương Ly </t>
  </si>
  <si>
    <t xml:space="preserve">Bùi Thị Nam Trang </t>
  </si>
  <si>
    <t>namtrangbsmlabs@gmail.com</t>
  </si>
  <si>
    <t xml:space="preserve">Graphic Design </t>
  </si>
  <si>
    <t>phuong.nguyen@bsmlabs.io</t>
  </si>
  <si>
    <t>L&amp;D Business Partner</t>
  </si>
  <si>
    <t xml:space="preserve">Dev Intern </t>
  </si>
  <si>
    <t>NGUYEN XUAN PHONG</t>
  </si>
  <si>
    <t>1013262796</t>
  </si>
  <si>
    <t>NGUYEN NAM ANH</t>
  </si>
  <si>
    <t>19036834245014</t>
  </si>
  <si>
    <t>phanhnp.bsmlabs@gmail.com</t>
  </si>
  <si>
    <t>NGO PHUONG ANH</t>
  </si>
  <si>
    <t>0982304341</t>
  </si>
  <si>
    <t xml:space="preserve">Nguyễn Gia Bình </t>
  </si>
  <si>
    <t>binhng.bsmlabs@gmail.com</t>
  </si>
  <si>
    <t xml:space="preserve">Tự trả </t>
  </si>
  <si>
    <t>Phan Thị Nguyệt Ánh</t>
  </si>
  <si>
    <t>anhphan.bsmlabs@gmail.com</t>
  </si>
  <si>
    <t>Social Content Intern</t>
  </si>
  <si>
    <t>PHAN THI NGUYET ANH</t>
  </si>
  <si>
    <t>CÔNG TY CỔ PHẦN BSM LABS</t>
  </si>
  <si>
    <t>No.</t>
  </si>
  <si>
    <t>Name</t>
  </si>
  <si>
    <t>Position</t>
  </si>
  <si>
    <t>Onboarding</t>
  </si>
  <si>
    <t>Offer letter</t>
  </si>
  <si>
    <t xml:space="preserve">DANH SÁCH TRÍCH NỘP BẢO HIỂM THÁNG 07/2024                                                                                                                 </t>
  </si>
  <si>
    <t>SỐ SỔ BHXH</t>
  </si>
  <si>
    <t>EID</t>
  </si>
  <si>
    <t>Mã số NV</t>
  </si>
  <si>
    <t>Họ tên</t>
  </si>
  <si>
    <t>Mức lương</t>
  </si>
  <si>
    <t>NSDLĐ đóng 21,5%</t>
  </si>
  <si>
    <t>NLĐ đóng 10.5%</t>
  </si>
  <si>
    <t xml:space="preserve">BHXH </t>
  </si>
  <si>
    <t>BHYT</t>
  </si>
  <si>
    <t>BHTN</t>
  </si>
  <si>
    <t>1%</t>
  </si>
  <si>
    <t>0113145672</t>
  </si>
  <si>
    <t>0107025871</t>
  </si>
  <si>
    <t>4221453018</t>
  </si>
  <si>
    <t>BSM00012</t>
  </si>
  <si>
    <t xml:space="preserve">ĐIỀU CHỈNH TĂNG </t>
  </si>
  <si>
    <t>CÔNG TY TRÍCH NỘP (1)</t>
  </si>
  <si>
    <t>NGƯỜI LAO ĐỘNG TRÍCH NỘP</t>
  </si>
  <si>
    <t>Tổng (1)+(2)</t>
  </si>
  <si>
    <t>Ngày hiệu lực</t>
  </si>
  <si>
    <t>Tổng</t>
  </si>
  <si>
    <t>Người lập</t>
  </si>
  <si>
    <t>Phụ trách kế toán</t>
  </si>
  <si>
    <t xml:space="preserve">Giám đốc </t>
  </si>
  <si>
    <t>Thái Thanh Nhật Quang</t>
  </si>
  <si>
    <t xml:space="preserve">STT </t>
  </si>
  <si>
    <t>Attendance metrics</t>
  </si>
  <si>
    <t>Leave summary</t>
  </si>
  <si>
    <t>Time</t>
  </si>
  <si>
    <t>Expected working days</t>
  </si>
  <si>
    <t>Business outside(days)</t>
  </si>
  <si>
    <t>Personal leave(days)</t>
  </si>
  <si>
    <t>Late Request (đi muộn)(min)</t>
  </si>
  <si>
    <t>Đỗ Huyền</t>
  </si>
  <si>
    <t>3</t>
  </si>
  <si>
    <t>0</t>
  </si>
  <si>
    <t>1</t>
  </si>
  <si>
    <t>-</t>
  </si>
  <si>
    <t>08:41,18:15</t>
  </si>
  <si>
    <t>08:42,18:15</t>
  </si>
  <si>
    <t>08:43</t>
  </si>
  <si>
    <t>18:20</t>
  </si>
  <si>
    <t>18:29</t>
  </si>
  <si>
    <t>08:45,18:15</t>
  </si>
  <si>
    <t>08:38,18:15</t>
  </si>
  <si>
    <t>18:15</t>
  </si>
  <si>
    <t>08:44,18:15</t>
  </si>
  <si>
    <t>08:35</t>
  </si>
  <si>
    <t>Lê Việt</t>
  </si>
  <si>
    <t>Ngoc Le</t>
  </si>
  <si>
    <t>08:35,18:15</t>
  </si>
  <si>
    <t>08:35,18:20</t>
  </si>
  <si>
    <t>08:35,18:21</t>
  </si>
  <si>
    <t>08:35,18:19</t>
  </si>
  <si>
    <t>08:35,18:22</t>
  </si>
  <si>
    <t>08:33,18:26</t>
  </si>
  <si>
    <t>08:23,18:20</t>
  </si>
  <si>
    <t>Nguyet Linh</t>
  </si>
  <si>
    <t>08:42,18:29</t>
  </si>
  <si>
    <t>08:45,18:30</t>
  </si>
  <si>
    <t>Thu Thao</t>
  </si>
  <si>
    <t>45</t>
  </si>
  <si>
    <t>08:41,18:23</t>
  </si>
  <si>
    <t>08:38,18:20</t>
  </si>
  <si>
    <t>08:41,18:31</t>
  </si>
  <si>
    <t>08:33,18:20</t>
  </si>
  <si>
    <t>Ngoc Anh</t>
  </si>
  <si>
    <t>2</t>
  </si>
  <si>
    <t>08:28,18:15</t>
  </si>
  <si>
    <t>08:33,18:16</t>
  </si>
  <si>
    <t>08:26,18:15</t>
  </si>
  <si>
    <t>08:33,18:15</t>
  </si>
  <si>
    <t>08:33,18:19</t>
  </si>
  <si>
    <t>Tung Phan</t>
  </si>
  <si>
    <t>08:33,18:21</t>
  </si>
  <si>
    <t>08:38,18:27</t>
  </si>
  <si>
    <t>08:35,18:17</t>
  </si>
  <si>
    <t>08:34,18:22</t>
  </si>
  <si>
    <t>08:36,18:22</t>
  </si>
  <si>
    <t>Nam Anh</t>
  </si>
  <si>
    <t>0.5</t>
  </si>
  <si>
    <t>08:37,18:38</t>
  </si>
  <si>
    <t>08:41,18:22</t>
  </si>
  <si>
    <t>08:53,18:15</t>
  </si>
  <si>
    <t>08:42</t>
  </si>
  <si>
    <t>Hải Linh</t>
  </si>
  <si>
    <t>120</t>
  </si>
  <si>
    <t>08:43,18:20</t>
  </si>
  <si>
    <t>08:45,18:21</t>
  </si>
  <si>
    <t>08:45,18:23</t>
  </si>
  <si>
    <t>Phong NX</t>
  </si>
  <si>
    <t>08:44,18:20</t>
  </si>
  <si>
    <t>08:42,18:32</t>
  </si>
  <si>
    <t>08:40,18:29</t>
  </si>
  <si>
    <t>08:31,18:15</t>
  </si>
  <si>
    <t>08:32,18:15</t>
  </si>
  <si>
    <t>Nguyễn Tử Trường Lâm</t>
  </si>
  <si>
    <t>08:42,18:24</t>
  </si>
  <si>
    <t>08:32,18:20</t>
  </si>
  <si>
    <t>08:38,18:26</t>
  </si>
  <si>
    <t>08:41,18:24</t>
  </si>
  <si>
    <t>08:43,18:39</t>
  </si>
  <si>
    <t>08:40,18:15</t>
  </si>
  <si>
    <t>Trần Bảo Tâm</t>
  </si>
  <si>
    <t>1.5</t>
  </si>
  <si>
    <t>60</t>
  </si>
  <si>
    <t>08:44,19:20</t>
  </si>
  <si>
    <t>08:57</t>
  </si>
  <si>
    <t>18:31</t>
  </si>
  <si>
    <t>08:46</t>
  </si>
  <si>
    <t>08:44</t>
  </si>
  <si>
    <t>Trần Minh Tuyết</t>
  </si>
  <si>
    <t>08:37,18:15</t>
  </si>
  <si>
    <t>08:41,18:20</t>
  </si>
  <si>
    <t>08:34,18:15</t>
  </si>
  <si>
    <t>08:36,18:20</t>
  </si>
  <si>
    <t>08:40,18:24</t>
  </si>
  <si>
    <t>Nguyễn Hữu Tuấn Minh</t>
  </si>
  <si>
    <t>08:43,18:35</t>
  </si>
  <si>
    <t>08:45,18:20</t>
  </si>
  <si>
    <t>Nguyen Gia Binh</t>
  </si>
  <si>
    <t>08:45</t>
  </si>
  <si>
    <t>Duyen Editor</t>
  </si>
  <si>
    <t>08:29,18:15</t>
  </si>
  <si>
    <t>08:38</t>
  </si>
  <si>
    <t>Binh_Editor</t>
  </si>
  <si>
    <t>08:34,18:20</t>
  </si>
  <si>
    <t>08:40,18:20</t>
  </si>
  <si>
    <t>08:37,18:17</t>
  </si>
  <si>
    <t>08:39,18:20</t>
  </si>
  <si>
    <t>08:32,18:24</t>
  </si>
  <si>
    <t>Song Hà</t>
  </si>
  <si>
    <t>08:36</t>
  </si>
  <si>
    <t>08:34</t>
  </si>
  <si>
    <t>08:49,18:15</t>
  </si>
  <si>
    <t>08:40</t>
  </si>
  <si>
    <t>08:39</t>
  </si>
  <si>
    <t>Ánh Phan</t>
  </si>
  <si>
    <t>18:45</t>
  </si>
  <si>
    <t>Ly Nguyen</t>
  </si>
  <si>
    <t>18:37</t>
  </si>
  <si>
    <t>08:14,18:15</t>
  </si>
  <si>
    <t>08:24,18:15</t>
  </si>
  <si>
    <t>08:45,18:18</t>
  </si>
  <si>
    <t>Nam Trang</t>
  </si>
  <si>
    <t>08:43,18:15</t>
  </si>
  <si>
    <t>08:39,18:17</t>
  </si>
  <si>
    <t>08:43,18:24</t>
  </si>
  <si>
    <t>08:29,18:28</t>
  </si>
  <si>
    <t>18:41</t>
  </si>
  <si>
    <t>08:45,18:24</t>
  </si>
  <si>
    <t>08:38,18:22</t>
  </si>
  <si>
    <t>Công tính lương: 21</t>
  </si>
  <si>
    <t xml:space="preserve">Nguyệt Linh </t>
  </si>
  <si>
    <t xml:space="preserve">Tuấn Minh </t>
  </si>
  <si>
    <t>Công tính lương: 20,5</t>
  </si>
  <si>
    <t xml:space="preserve">Phong </t>
  </si>
  <si>
    <t>Công tính lương: 20</t>
  </si>
  <si>
    <t xml:space="preserve">Nam Trang </t>
  </si>
  <si>
    <t xml:space="preserve">Tâm </t>
  </si>
  <si>
    <t xml:space="preserve">Ly Nguyễn </t>
  </si>
  <si>
    <t xml:space="preserve">Hải Linh </t>
  </si>
  <si>
    <t>Cường</t>
  </si>
  <si>
    <t xml:space="preserve">Ngày công </t>
  </si>
  <si>
    <t>Total nhân sự trả lương tháng 9: 28</t>
  </si>
  <si>
    <t>BẢNG LƯƠNG THÁNG 09/2024</t>
  </si>
  <si>
    <t>Công thực tế T9</t>
  </si>
  <si>
    <t>Hiệu suất T8</t>
  </si>
  <si>
    <t>Lương tháng 8</t>
  </si>
  <si>
    <t>Công tháng 8</t>
  </si>
  <si>
    <t>CL lương (T9-T8)</t>
  </si>
  <si>
    <t>CTY BSM LABS THANH TOAN LUONG T7.2024</t>
  </si>
  <si>
    <t xml:space="preserve">CL phạt đi muộn </t>
  </si>
  <si>
    <t>OFF</t>
  </si>
  <si>
    <t>CL ngày công</t>
  </si>
  <si>
    <t>NGUYEN HONG NHUNG</t>
  </si>
  <si>
    <t>239748449</t>
  </si>
  <si>
    <t>CL phạt đi muộn</t>
  </si>
  <si>
    <t>CL do điều chỉnh tăng lương</t>
  </si>
  <si>
    <t>CL do điều chỉnh tăng lương+ĐC giảm lương T8 do tính nhầm lương NET sang Gross</t>
  </si>
  <si>
    <t>CL ngày công thực tế đi làm</t>
  </si>
  <si>
    <t>CL ngày công thực tế đi làm+ phạt đi muộn</t>
  </si>
  <si>
    <r>
      <rPr>
        <sz val="11"/>
        <color rgb="FF222222"/>
        <rFont val="Google Sans"/>
      </rPr>
      <t>phuongly.bsmlabs@gmail.com</t>
    </r>
  </si>
  <si>
    <t>T8 có 3 công, T9 đủ công</t>
  </si>
  <si>
    <t>Nhân sự mới T9</t>
  </si>
  <si>
    <t>T8 công ít hơn, nhưng T7 trừ đi muộn nhiều hơn</t>
  </si>
  <si>
    <t>T8 và T9 cùng ít hơn ngày công chuẩn 1 ngày, nhưng công chuẩn T8 và T9 khác nhau</t>
  </si>
  <si>
    <t>VUONG TUAN CUONG</t>
  </si>
  <si>
    <t>19072451339011</t>
  </si>
  <si>
    <t>CL ngày công + Phạt đi muộn</t>
  </si>
  <si>
    <t>T8 và T9 cùng ít hơn ngày công chuẩn 1 ngày, nhưng công chuẩn T8 và T9 khác nhau + CL Phạt đi muộn</t>
  </si>
  <si>
    <t xml:space="preserve">Nguyễn Thị Duyên </t>
  </si>
  <si>
    <t>duyennguyen24.bsmlabs@gmail.com</t>
  </si>
  <si>
    <t>NGUYEN THI DUYEN</t>
  </si>
  <si>
    <t>19036086737014</t>
  </si>
  <si>
    <t xml:space="preserve">Phan Thị Nguyệt Ánh </t>
  </si>
  <si>
    <t/>
  </si>
  <si>
    <t>Unusual data</t>
  </si>
  <si>
    <t>Termination date</t>
  </si>
  <si>
    <t>Expected working hours(hr)</t>
  </si>
  <si>
    <t>Workday attendance</t>
  </si>
  <si>
    <t>Non-workday attendance</t>
  </si>
  <si>
    <t>Number of days off</t>
  </si>
  <si>
    <t>Actual working hours(hr)</t>
  </si>
  <si>
    <t>Shift working hours(hr)</t>
  </si>
  <si>
    <t>Offsite working hours</t>
  </si>
  <si>
    <t>Late arrivals</t>
  </si>
  <si>
    <t>Duration of late arrivals(hr)</t>
  </si>
  <si>
    <t>Very late arrivals</t>
  </si>
  <si>
    <t>Duration of very late arrivals(hr)</t>
  </si>
  <si>
    <t>Early leaves</t>
  </si>
  <si>
    <t>Duration of early leaves(hr)</t>
  </si>
  <si>
    <t>Absence hours(hr)</t>
  </si>
  <si>
    <t>Missed clock-ins</t>
  </si>
  <si>
    <t>Missed clock-outs</t>
  </si>
  <si>
    <t>Absence days</t>
  </si>
  <si>
    <t>Annual leave(days)</t>
  </si>
  <si>
    <t>Remote demand</t>
  </si>
  <si>
    <t>2024-09-01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</si>
  <si>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</si>
  <si>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</si>
  <si>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</si>
  <si>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</si>
  <si>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</si>
  <si>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</si>
  <si>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</si>
  <si>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</si>
  <si>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</si>
  <si>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</si>
  <si>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</si>
  <si>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</si>
  <si>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</si>
  <si>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</si>
  <si>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</si>
  <si>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</si>
  <si>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</si>
  <si>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</si>
  <si>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</si>
  <si>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</si>
  <si>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</si>
  <si>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</si>
  <si>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</si>
  <si>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Nguyen Hong Nhung</t>
  </si>
  <si>
    <t>20</t>
  </si>
  <si>
    <t>160.0</t>
  </si>
  <si>
    <t>10.8</t>
  </si>
  <si>
    <t>10</t>
  </si>
  <si>
    <t>55.2</t>
  </si>
  <si>
    <t>54.5</t>
  </si>
  <si>
    <t>6</t>
  </si>
  <si>
    <t>3.8</t>
  </si>
  <si>
    <t>105.5</t>
  </si>
  <si>
    <t>5</t>
  </si>
  <si>
    <t>11</t>
  </si>
  <si>
    <t>4</t>
  </si>
  <si>
    <t>90</t>
  </si>
  <si>
    <t>08:43,18:29</t>
  </si>
  <si>
    <t>15.6</t>
  </si>
  <si>
    <t>132.3</t>
  </si>
  <si>
    <t>126.5</t>
  </si>
  <si>
    <t>33.5</t>
  </si>
  <si>
    <t>2.5</t>
  </si>
  <si>
    <t>08:40,18:18</t>
  </si>
  <si>
    <t>08:39,18:29</t>
  </si>
  <si>
    <t>08:45,19:30</t>
  </si>
  <si>
    <t>08:41,18:30</t>
  </si>
  <si>
    <t>18:30</t>
  </si>
  <si>
    <t>08:42,18:21</t>
  </si>
  <si>
    <t>remote chiều</t>
  </si>
  <si>
    <t>08:45,18:16</t>
  </si>
  <si>
    <t>08:40,18:46</t>
  </si>
  <si>
    <t>08:37,18:30</t>
  </si>
  <si>
    <t>08:41,18:37</t>
  </si>
  <si>
    <t>Vương Cường</t>
  </si>
  <si>
    <t>13.2</t>
  </si>
  <si>
    <t>111.5</t>
  </si>
  <si>
    <t>102.3</t>
  </si>
  <si>
    <t>57.7</t>
  </si>
  <si>
    <t>145.2</t>
  </si>
  <si>
    <t>06:56</t>
  </si>
  <si>
    <t>08:29,18:20</t>
  </si>
  <si>
    <t>08:12,18:37</t>
  </si>
  <si>
    <t>07:43</t>
  </si>
  <si>
    <t>08:41,18:45</t>
  </si>
  <si>
    <t>08:31,19:06</t>
  </si>
  <si>
    <t>12:39,18:37</t>
  </si>
  <si>
    <t>07:36,18:20</t>
  </si>
  <si>
    <t>08:02,18:33</t>
  </si>
  <si>
    <t>33.8</t>
  </si>
  <si>
    <t>37.50 hr</t>
  </si>
  <si>
    <t>9</t>
  </si>
  <si>
    <t>3.0</t>
  </si>
  <si>
    <t>126.2</t>
  </si>
  <si>
    <t>09:08</t>
  </si>
  <si>
    <t>08:54</t>
  </si>
  <si>
    <t>09:45,11:16</t>
  </si>
  <si>
    <t>08:48</t>
  </si>
  <si>
    <t>10:39</t>
  </si>
  <si>
    <t>09:45</t>
  </si>
  <si>
    <t>09:05</t>
  </si>
  <si>
    <t>09:35</t>
  </si>
  <si>
    <t>17</t>
  </si>
  <si>
    <t>141.2</t>
  </si>
  <si>
    <t>136.0</t>
  </si>
  <si>
    <t>24.0</t>
  </si>
  <si>
    <t>08:29,18:24</t>
  </si>
  <si>
    <t>08:29,18:26</t>
  </si>
  <si>
    <t>08:07</t>
  </si>
  <si>
    <t>08:39,18:27</t>
  </si>
  <si>
    <t>08:35,18:24</t>
  </si>
  <si>
    <t>08:35,18:49</t>
  </si>
  <si>
    <t>16.3</t>
  </si>
  <si>
    <t>142.3</t>
  </si>
  <si>
    <t>130.5</t>
  </si>
  <si>
    <t>0.3</t>
  </si>
  <si>
    <t>29.5</t>
  </si>
  <si>
    <t>07:29,18:28</t>
  </si>
  <si>
    <t>08:39,18:25</t>
  </si>
  <si>
    <t>08:49,18:21</t>
  </si>
  <si>
    <t>08:44,18:43</t>
  </si>
  <si>
    <t>08:41,19:32</t>
  </si>
  <si>
    <t>08:42,18:27</t>
  </si>
  <si>
    <t>08:57,18:30</t>
  </si>
  <si>
    <t>08:30,18:41</t>
  </si>
  <si>
    <t>07:42,18:20</t>
  </si>
  <si>
    <t>08:19,21:45</t>
  </si>
  <si>
    <t>08:32,18:41</t>
  </si>
  <si>
    <t>17.4</t>
  </si>
  <si>
    <t>146.1</t>
  </si>
  <si>
    <t>139.3</t>
  </si>
  <si>
    <t>0.8</t>
  </si>
  <si>
    <t>20.8</t>
  </si>
  <si>
    <t>08:59,19:31</t>
  </si>
  <si>
    <t>08:27,18:34</t>
  </si>
  <si>
    <t>09:09,18:28</t>
  </si>
  <si>
    <t>08:43,19:05</t>
  </si>
  <si>
    <t>09:16,18:43</t>
  </si>
  <si>
    <t>08:45,18:55</t>
  </si>
  <si>
    <t>08:35,18:33</t>
  </si>
  <si>
    <t>15.8</t>
  </si>
  <si>
    <t>131.2</t>
  </si>
  <si>
    <t>08:45,18:25</t>
  </si>
  <si>
    <t>08:27,18:16</t>
  </si>
  <si>
    <t>08:30,18:15</t>
  </si>
  <si>
    <t>08:28,18:17</t>
  </si>
  <si>
    <t>08:31,18:16</t>
  </si>
  <si>
    <t>08:31,18:25</t>
  </si>
  <si>
    <t>08:28,18:22</t>
  </si>
  <si>
    <t>08:28,18:16</t>
  </si>
  <si>
    <t>16.9</t>
  </si>
  <si>
    <t>141.0</t>
  </si>
  <si>
    <t>134.7</t>
  </si>
  <si>
    <t>0.4</t>
  </si>
  <si>
    <t>25.3</t>
  </si>
  <si>
    <t>08:37,18:47</t>
  </si>
  <si>
    <t>08:35,18:30</t>
  </si>
  <si>
    <t>09:06,18:15</t>
  </si>
  <si>
    <t>08:22,18:15</t>
  </si>
  <si>
    <t>08:42,18:34</t>
  </si>
  <si>
    <t>08:50,18:20</t>
  </si>
  <si>
    <t>08:29,18:21</t>
  </si>
  <si>
    <t>08:35,19:11</t>
  </si>
  <si>
    <t>08:31,18:30</t>
  </si>
  <si>
    <t>08:36,18:33</t>
  </si>
  <si>
    <t>18:42</t>
  </si>
  <si>
    <t>08:35,18:27</t>
  </si>
  <si>
    <t>08:26,18:20</t>
  </si>
  <si>
    <t>14.7</t>
  </si>
  <si>
    <t>121.2</t>
  </si>
  <si>
    <t>118.8</t>
  </si>
  <si>
    <t>41.3</t>
  </si>
  <si>
    <t>164.4</t>
  </si>
  <si>
    <t>08:15,18:15</t>
  </si>
  <si>
    <t>08:58,18:16</t>
  </si>
  <si>
    <t>09:04,18:15</t>
  </si>
  <si>
    <t>09:26,18:40</t>
  </si>
  <si>
    <t>16.1</t>
  </si>
  <si>
    <t>126.9</t>
  </si>
  <si>
    <t>124.4</t>
  </si>
  <si>
    <t>0.1</t>
  </si>
  <si>
    <t>35.7</t>
  </si>
  <si>
    <t>169.8</t>
  </si>
  <si>
    <t>08:43,18:23</t>
  </si>
  <si>
    <t>08:45,19:54</t>
  </si>
  <si>
    <t>08:46,18:20</t>
  </si>
  <si>
    <t>08:43,18:22</t>
  </si>
  <si>
    <t>08:48,18:20</t>
  </si>
  <si>
    <t>13</t>
  </si>
  <si>
    <t>101.8</t>
  </si>
  <si>
    <t>99.0</t>
  </si>
  <si>
    <t>61.0</t>
  </si>
  <si>
    <t>15</t>
  </si>
  <si>
    <t>08:34,18:29</t>
  </si>
  <si>
    <t>08:32,18:31</t>
  </si>
  <si>
    <t>08:41,18:19</t>
  </si>
  <si>
    <t>08:39,18:26</t>
  </si>
  <si>
    <t>08:40,18:16</t>
  </si>
  <si>
    <t>08:43,18:17</t>
  </si>
  <si>
    <t>11.4</t>
  </si>
  <si>
    <t>81.9</t>
  </si>
  <si>
    <t>77.6</t>
  </si>
  <si>
    <t>0.2</t>
  </si>
  <si>
    <t>82.4</t>
  </si>
  <si>
    <t>30</t>
  </si>
  <si>
    <t>08:41</t>
  </si>
  <si>
    <t>08:55,18:24</t>
  </si>
  <si>
    <t>08:36,18:49</t>
  </si>
  <si>
    <t>06:49,18:26</t>
  </si>
  <si>
    <t>08:37</t>
  </si>
  <si>
    <t>08:35,18:16</t>
  </si>
  <si>
    <t>08:36,18:24</t>
  </si>
  <si>
    <t>18</t>
  </si>
  <si>
    <t>148.4</t>
  </si>
  <si>
    <t>143.0</t>
  </si>
  <si>
    <t>1.1</t>
  </si>
  <si>
    <t>17.1</t>
  </si>
  <si>
    <t>08:27,18:25</t>
  </si>
  <si>
    <t>08:39,18:41</t>
  </si>
  <si>
    <t>08:39,18:39</t>
  </si>
  <si>
    <t>08:43,18:54</t>
  </si>
  <si>
    <t>09:31,18:15</t>
  </si>
  <si>
    <t>08:42,18:50</t>
  </si>
  <si>
    <t>08:43,18:44</t>
  </si>
  <si>
    <t>08:42,18:38</t>
  </si>
  <si>
    <t>08:54,18:26</t>
  </si>
  <si>
    <t>08:40,18:42</t>
  </si>
  <si>
    <t>08:42,18:28</t>
  </si>
  <si>
    <t>14.8</t>
  </si>
  <si>
    <t>114.8</t>
  </si>
  <si>
    <t>108.1</t>
  </si>
  <si>
    <t>1.6</t>
  </si>
  <si>
    <t>51.9</t>
  </si>
  <si>
    <t>08:38,18:50</t>
  </si>
  <si>
    <t>08:42,19:22</t>
  </si>
  <si>
    <t>09:19,18:20</t>
  </si>
  <si>
    <t>08:39,19:37</t>
  </si>
  <si>
    <t>09:28</t>
  </si>
  <si>
    <t>18:26</t>
  </si>
  <si>
    <t>09:03,18:20</t>
  </si>
  <si>
    <t>08:44,18:49</t>
  </si>
  <si>
    <t>18:50</t>
  </si>
  <si>
    <t>08:40,18:56</t>
  </si>
  <si>
    <t>08:37,18:37</t>
  </si>
  <si>
    <t>18:18</t>
  </si>
  <si>
    <t>17.5</t>
  </si>
  <si>
    <t>144.3</t>
  </si>
  <si>
    <t>137.5</t>
  </si>
  <si>
    <t>0.0</t>
  </si>
  <si>
    <t>22.5</t>
  </si>
  <si>
    <t>08:37,18:48</t>
  </si>
  <si>
    <t>08:40,18:22</t>
  </si>
  <si>
    <t>08:30</t>
  </si>
  <si>
    <t>18:23</t>
  </si>
  <si>
    <t>08:41,18:39</t>
  </si>
  <si>
    <t>08:46,18:24</t>
  </si>
  <si>
    <t>08:33,19:11</t>
  </si>
  <si>
    <t>08:40,18:25</t>
  </si>
  <si>
    <t>08:36,19:32</t>
  </si>
  <si>
    <t>08:45,18:28</t>
  </si>
  <si>
    <t>16.5</t>
  </si>
  <si>
    <t>140.9</t>
  </si>
  <si>
    <t>132.5</t>
  </si>
  <si>
    <t>27.6</t>
  </si>
  <si>
    <t>08:44,19:29</t>
  </si>
  <si>
    <t>08:45,19:20</t>
  </si>
  <si>
    <t>21:04</t>
  </si>
  <si>
    <t>09:03,18:15</t>
  </si>
  <si>
    <t>08:43,18:46</t>
  </si>
  <si>
    <t>08:43,19:19</t>
  </si>
  <si>
    <t>08:42,18:59</t>
  </si>
  <si>
    <t>14.5</t>
  </si>
  <si>
    <t>120.1</t>
  </si>
  <si>
    <t>116.0</t>
  </si>
  <si>
    <t>44.0</t>
  </si>
  <si>
    <t>135</t>
  </si>
  <si>
    <t>09:09,18:15</t>
  </si>
  <si>
    <t>07:33,18:15</t>
  </si>
  <si>
    <t>07:58,18:17</t>
  </si>
  <si>
    <t>09:26,18:18</t>
  </si>
  <si>
    <t>Duyennguyen</t>
  </si>
  <si>
    <t>13.9</t>
  </si>
  <si>
    <t>105.8</t>
  </si>
  <si>
    <t>103.2</t>
  </si>
  <si>
    <t>56.8</t>
  </si>
  <si>
    <t>08:38,18:19</t>
  </si>
  <si>
    <t>08:47,18:18</t>
  </si>
  <si>
    <t>08:40,18:21</t>
  </si>
  <si>
    <t>08:40,18:17</t>
  </si>
  <si>
    <t>08:33,17:35</t>
  </si>
  <si>
    <t>135.5</t>
  </si>
  <si>
    <t>24.5</t>
  </si>
  <si>
    <t>08:25,18:26</t>
  </si>
  <si>
    <t>08:25,18:15</t>
  </si>
  <si>
    <t>08:35,18:42</t>
  </si>
  <si>
    <t>08:34,18:45</t>
  </si>
  <si>
    <t>09:15,18:57</t>
  </si>
  <si>
    <t>08:37,18:23</t>
  </si>
  <si>
    <t>08:30,18:46</t>
  </si>
  <si>
    <t>08:31,19:34</t>
  </si>
  <si>
    <t>08:29,18:34</t>
  </si>
  <si>
    <t>08:34,18:25</t>
  </si>
  <si>
    <t>08:32,18:30</t>
  </si>
  <si>
    <t>08:29,18:30</t>
  </si>
  <si>
    <t>15.4</t>
  </si>
  <si>
    <t>125.5</t>
  </si>
  <si>
    <t>118.9</t>
  </si>
  <si>
    <t>41.2</t>
  </si>
  <si>
    <t>08:45,18:26</t>
  </si>
  <si>
    <t>08:47,18:27</t>
  </si>
  <si>
    <t>09:11,18:21</t>
  </si>
  <si>
    <t>08:37,18:55</t>
  </si>
  <si>
    <t>09:26,18:32</t>
  </si>
  <si>
    <t>08:52,20:05</t>
  </si>
  <si>
    <t>08:37,19:00</t>
  </si>
  <si>
    <t>08:36,18:56</t>
  </si>
  <si>
    <t>08:44,18:21</t>
  </si>
  <si>
    <t>12.3</t>
  </si>
  <si>
    <t>99.9</t>
  </si>
  <si>
    <t>94.7</t>
  </si>
  <si>
    <t>65.4</t>
  </si>
  <si>
    <t>3.5</t>
  </si>
  <si>
    <t>75</t>
  </si>
  <si>
    <t>08:51</t>
  </si>
  <si>
    <t>08:20,18:21</t>
  </si>
  <si>
    <t>08:20</t>
  </si>
  <si>
    <t>08:30,18:16</t>
  </si>
  <si>
    <t>07:57,18:16</t>
  </si>
  <si>
    <t>08:18,18:17</t>
  </si>
  <si>
    <t>08:20,18:35</t>
  </si>
  <si>
    <t>08:18,18:20</t>
  </si>
  <si>
    <t>08:19,18:16</t>
  </si>
  <si>
    <t>07:50</t>
  </si>
  <si>
    <t>14.4</t>
  </si>
  <si>
    <t>120.2</t>
  </si>
  <si>
    <t>115.3</t>
  </si>
  <si>
    <t>44.8</t>
  </si>
  <si>
    <t>240</t>
  </si>
  <si>
    <t>08:36,18:35</t>
  </si>
  <si>
    <t>08:38,18:16</t>
  </si>
  <si>
    <t>08:26</t>
  </si>
  <si>
    <t>08:23,18:38</t>
  </si>
  <si>
    <t>08:20,18:15</t>
  </si>
  <si>
    <t>08:25,18:19</t>
  </si>
  <si>
    <t>08:14,18:16</t>
  </si>
  <si>
    <t>08:35,18:23</t>
  </si>
  <si>
    <t>135.1</t>
  </si>
  <si>
    <t>130.3</t>
  </si>
  <si>
    <t>29.7</t>
  </si>
  <si>
    <t>08:34,18:59</t>
  </si>
  <si>
    <t>08:45,19:27</t>
  </si>
  <si>
    <t>09:56</t>
  </si>
  <si>
    <t>08:45,09:03</t>
  </si>
  <si>
    <t>08:45,19:16</t>
  </si>
  <si>
    <t>08:37,18:18</t>
  </si>
  <si>
    <t>08:45,18:35</t>
  </si>
  <si>
    <t>19</t>
  </si>
  <si>
    <t>152.0</t>
  </si>
  <si>
    <t>8</t>
  </si>
  <si>
    <t>138.4</t>
  </si>
  <si>
    <t>135.0</t>
  </si>
  <si>
    <t>17.0</t>
  </si>
  <si>
    <t>08:20,18:16</t>
  </si>
  <si>
    <t>08:30,18:20</t>
  </si>
  <si>
    <t>18:38</t>
  </si>
  <si>
    <t>64.0</t>
  </si>
  <si>
    <t>64.5</t>
  </si>
  <si>
    <t>63.8</t>
  </si>
  <si>
    <t xml:space="preserve">Thưởng hiệu suất </t>
  </si>
  <si>
    <t>06/9 late request</t>
  </si>
  <si>
    <t>Công tính lương  20</t>
  </si>
  <si>
    <t xml:space="preserve">Thu Thảo </t>
  </si>
  <si>
    <t>Remote 11/9</t>
  </si>
  <si>
    <t>ok</t>
  </si>
  <si>
    <t xml:space="preserve">Trường Lâm </t>
  </si>
  <si>
    <t>Remote 16/9</t>
  </si>
  <si>
    <t xml:space="preserve">Công tính lương: 21 </t>
  </si>
  <si>
    <t>10/09 : BO sáng</t>
  </si>
  <si>
    <t xml:space="preserve">ko đi muộn </t>
  </si>
  <si>
    <t>remote sáng 17/9</t>
  </si>
  <si>
    <t>Đi muộn ngày 04/9</t>
  </si>
  <si>
    <t>Đi muộn sáng 23+24</t>
  </si>
  <si>
    <t xml:space="preserve">11/9 +16 /9 remote </t>
  </si>
  <si>
    <t>Đi muộn 10/9</t>
  </si>
  <si>
    <t xml:space="preserve">13/9 Remote sáng,B0 chiều </t>
  </si>
  <si>
    <t>18/9 NP sáng</t>
  </si>
  <si>
    <t xml:space="preserve">Ngoc Anh </t>
  </si>
  <si>
    <t>Remote ngày 06/9</t>
  </si>
  <si>
    <t xml:space="preserve">Chị Tuyết </t>
  </si>
  <si>
    <t>Remote sáng 16</t>
  </si>
  <si>
    <t xml:space="preserve">20/9 BO chiều </t>
  </si>
  <si>
    <t>Late request sáng ngày 09/9 + 16/9</t>
  </si>
  <si>
    <t>ko đi muộn</t>
  </si>
  <si>
    <t>OFF sáng 18</t>
  </si>
  <si>
    <t>đi muộn 1 lần</t>
  </si>
  <si>
    <t xml:space="preserve">30/9 OFF  sáng </t>
  </si>
  <si>
    <t>Về sớm 24/9</t>
  </si>
  <si>
    <t>BO sáng 27/9</t>
  </si>
  <si>
    <t xml:space="preserve">Tùng Phan </t>
  </si>
  <si>
    <t>Remote 11+12/9</t>
  </si>
  <si>
    <t>Công tính lương: 9</t>
  </si>
  <si>
    <t>Ngọc Lê</t>
  </si>
  <si>
    <t xml:space="preserve">11/9 remote </t>
  </si>
  <si>
    <t>Công tính lương 21</t>
  </si>
  <si>
    <t>26/9 + 18/9 late request</t>
  </si>
  <si>
    <t>Đi muộn 1 lần ngày 09/9</t>
  </si>
  <si>
    <t xml:space="preserve">Đi muộn 2 lần </t>
  </si>
  <si>
    <t xml:space="preserve">19/9 remote </t>
  </si>
  <si>
    <t xml:space="preserve">Ngọc Ánh </t>
  </si>
  <si>
    <t>Công tính lương: 19</t>
  </si>
  <si>
    <t>Late request 19+24+26+27/9</t>
  </si>
  <si>
    <t>Đi muộn 0</t>
  </si>
  <si>
    <t>Đi muộn ngày 09/9</t>
  </si>
  <si>
    <t xml:space="preserve">16/9 OFF sáng </t>
  </si>
  <si>
    <t xml:space="preserve">Nghỉ phép 2 ngày </t>
  </si>
  <si>
    <t>Late request ngày 10 +16/9</t>
  </si>
  <si>
    <t>Đi muộn ngày 09 + 23/9</t>
  </si>
  <si>
    <t>remote ngày 11</t>
  </si>
  <si>
    <t xml:space="preserve">Remote 2 ngày </t>
  </si>
  <si>
    <t>Remote  11+12/9</t>
  </si>
  <si>
    <t>Off 09/9 + sáng 23/9</t>
  </si>
  <si>
    <t>Remote 11 ,17</t>
  </si>
  <si>
    <t>remote 30/9</t>
  </si>
  <si>
    <t>Về sớm 16, đi muộn 16</t>
  </si>
  <si>
    <t>đi muộn nhưng late request</t>
  </si>
  <si>
    <t>OFF sáng 19/9</t>
  </si>
  <si>
    <t>Đi muộn 27, 18</t>
  </si>
  <si>
    <t>Early request 20</t>
  </si>
  <si>
    <t>Remote 09/9 +18+11/9</t>
  </si>
  <si>
    <t>Công tính lương: 18.5</t>
  </si>
  <si>
    <t>OFF chiều 26+ ngày 27+13</t>
  </si>
  <si>
    <t xml:space="preserve">Song Hà </t>
  </si>
  <si>
    <t xml:space="preserve">Late request ngày 10/9 </t>
  </si>
  <si>
    <t>Late request ngày 05/9</t>
  </si>
  <si>
    <t>NP 23</t>
  </si>
  <si>
    <t>Đi muộn 1 ngày 04/9</t>
  </si>
  <si>
    <t>Remote ngày 12,11 , 09, chiều ngày 06,</t>
  </si>
  <si>
    <t>B0 sáng 16</t>
  </si>
  <si>
    <t xml:space="preserve">N. Phương Anh </t>
  </si>
  <si>
    <t>Remote chiều 05/9</t>
  </si>
  <si>
    <t>Remote ngày 11+12/9</t>
  </si>
  <si>
    <t>Đi muộn 1 lần ngày 10/9</t>
  </si>
  <si>
    <t>OFF  17+26/9 và chiều 19/6</t>
  </si>
  <si>
    <t xml:space="preserve">Phan Ánh  </t>
  </si>
  <si>
    <t xml:space="preserve">Off sáng ngày 04/9 </t>
  </si>
  <si>
    <t>Về sớm 15:30 ngày 30/9 + 16/9</t>
  </si>
  <si>
    <t>remote 06 + 11 +13</t>
  </si>
  <si>
    <t>Late request sáng 16</t>
  </si>
  <si>
    <t xml:space="preserve">Nghỉ phép 23 -&gt; Sử dụng benefit Runway </t>
  </si>
  <si>
    <t>Về sớm 17:30 ngày 17</t>
  </si>
  <si>
    <t xml:space="preserve">Huyền </t>
  </si>
  <si>
    <t>Late request 10/9</t>
  </si>
  <si>
    <t xml:space="preserve">OFF: Không </t>
  </si>
  <si>
    <t xml:space="preserve">Gia Bình </t>
  </si>
  <si>
    <t>Remote 12/9,06,11</t>
  </si>
  <si>
    <t>remote chiều 24</t>
  </si>
  <si>
    <t>OFF 18,23</t>
  </si>
  <si>
    <t>Late request 25,30,9</t>
  </si>
  <si>
    <t>Về sớm 13</t>
  </si>
  <si>
    <t xml:space="preserve">Duyên AI </t>
  </si>
  <si>
    <t>Về sớm 27</t>
  </si>
  <si>
    <t>Remote 20,11 + 10/9</t>
  </si>
  <si>
    <t xml:space="preserve">Duyên Editor </t>
  </si>
  <si>
    <t>Remote 12</t>
  </si>
  <si>
    <t>OFF 20/9</t>
  </si>
  <si>
    <t>Late request 16/9 30''</t>
  </si>
  <si>
    <t xml:space="preserve">Bình Editor </t>
  </si>
  <si>
    <t xml:space="preserve">Nghỉ phép 17 -&gt; Runway </t>
  </si>
  <si>
    <t>Remote 11</t>
  </si>
  <si>
    <t>Đi muộn 3 lần</t>
  </si>
  <si>
    <t>Remote 11+12</t>
  </si>
  <si>
    <t>OFF 18</t>
  </si>
  <si>
    <t>Đi muộn 1 lần 16/9</t>
  </si>
  <si>
    <t xml:space="preserve">Đi muộn 3 lần </t>
  </si>
  <si>
    <t>Nhung</t>
  </si>
  <si>
    <t>Công tính lương: 10</t>
  </si>
  <si>
    <t>Remote sáng 30/9</t>
  </si>
  <si>
    <t>BO sáng 26/7</t>
  </si>
  <si>
    <t xml:space="preserve">Đi muộn 1 lần </t>
  </si>
  <si>
    <t>Late request 19/9</t>
  </si>
  <si>
    <t xml:space="preserve">Lê Việt </t>
  </si>
  <si>
    <t>Hội thảo sáng 25</t>
  </si>
  <si>
    <t>Công tính lương:  21</t>
  </si>
  <si>
    <t>gặp khách sáng 05/9</t>
  </si>
  <si>
    <t xml:space="preserve">Đi muộn 3 lần  </t>
  </si>
  <si>
    <t>Late request sáng 19</t>
  </si>
  <si>
    <t>remote sáng 27 +30/9</t>
  </si>
  <si>
    <t>DANH SÁCH TRÍCH NỘP BẢO HIỂM THÁNG 9/2024</t>
  </si>
  <si>
    <t>DANH SÁCH ĐIỀU CHỈNH BH THÁNG 9/2024</t>
  </si>
  <si>
    <t>ĐIỀU CHỈNH GIẢM</t>
  </si>
  <si>
    <t>Techcombank</t>
  </si>
  <si>
    <t>NGUYEN THI HA</t>
  </si>
  <si>
    <t>DANG PHUONG ANH</t>
  </si>
  <si>
    <t>PHAM THI MY DUYEN</t>
  </si>
  <si>
    <t>BIDV</t>
  </si>
  <si>
    <t>Tiên Phong Bank (TP Bank)</t>
  </si>
  <si>
    <t>Vietcombank</t>
  </si>
  <si>
    <t>Bùi Thị Nam Trang</t>
  </si>
  <si>
    <t>Nguyễn Thị Kim Phượng</t>
  </si>
  <si>
    <t>NET</t>
  </si>
  <si>
    <t>GROSS</t>
  </si>
  <si>
    <t>Nhóm lương</t>
  </si>
  <si>
    <t>NGUYEN THI KIM PHUONG</t>
  </si>
  <si>
    <t>19033966641017</t>
  </si>
  <si>
    <t>CL</t>
  </si>
  <si>
    <t>No</t>
  </si>
  <si>
    <t>Ngày công tính thực tế</t>
  </si>
  <si>
    <t>Nguyễn Phương Ly</t>
  </si>
  <si>
    <t>OT không chịu thuế</t>
  </si>
  <si>
    <t>19035470912013</t>
  </si>
  <si>
    <t>19020074352016</t>
  </si>
  <si>
    <t>19027455280016</t>
  </si>
  <si>
    <t xml:space="preserve">AI Junior </t>
  </si>
  <si>
    <t>Bùi Xuân Qúy</t>
  </si>
  <si>
    <t xml:space="preserve">No. </t>
  </si>
  <si>
    <t xml:space="preserve">Name </t>
  </si>
  <si>
    <t xml:space="preserve">Nội dung OT </t>
  </si>
  <si>
    <t>Nguyễn Hồng Thái</t>
  </si>
  <si>
    <t>Phạm Đăng Bình</t>
  </si>
  <si>
    <t>Trần Thị Bảo Tâm</t>
  </si>
  <si>
    <t>Ngô Phương Dung</t>
  </si>
  <si>
    <t>Lastday</t>
  </si>
  <si>
    <t>Ngô Xuân Bách</t>
  </si>
  <si>
    <t>Phan MInh Đức</t>
  </si>
  <si>
    <t xml:space="preserve">Remote </t>
  </si>
  <si>
    <t>Ghi chú</t>
  </si>
  <si>
    <t>Nguyễn Hữu Tuấn Minh</t>
  </si>
  <si>
    <t>Nguyễn Song Hà</t>
  </si>
  <si>
    <t>Vũ Việt Lâm</t>
  </si>
  <si>
    <t>NGO XUAN BACH</t>
  </si>
  <si>
    <t>03659155701</t>
  </si>
  <si>
    <t xml:space="preserve">Tester </t>
  </si>
  <si>
    <t>Đinh Công Vũ</t>
  </si>
  <si>
    <t>Late request</t>
  </si>
  <si>
    <t>Hoàng Thị Xoan</t>
  </si>
  <si>
    <t>Phạm Thu Thủy</t>
  </si>
  <si>
    <t xml:space="preserve">Late request </t>
  </si>
  <si>
    <t>CL lương ( tháng này - tháng trước)</t>
  </si>
  <si>
    <t>Nguyễn Thị Nguyệt Ánh</t>
  </si>
  <si>
    <t>VP BANK</t>
  </si>
  <si>
    <t>Nguyễn Thị Phương</t>
  </si>
  <si>
    <t>VP bank</t>
  </si>
  <si>
    <t>Phạm Minh Long</t>
  </si>
  <si>
    <t>1903 6046 7290 19</t>
  </si>
  <si>
    <t>KAZAMA KEN I CHI</t>
  </si>
  <si>
    <t>ngân hàng OCB</t>
  </si>
  <si>
    <t>VPBank</t>
  </si>
  <si>
    <t>TPBank</t>
  </si>
  <si>
    <t>Thủy ANh</t>
  </si>
  <si>
    <t>PHAM THU THUY</t>
  </si>
  <si>
    <t>6688021288</t>
  </si>
  <si>
    <t>19034415575011</t>
  </si>
  <si>
    <t>11520619487015</t>
  </si>
  <si>
    <t>TCB</t>
  </si>
  <si>
    <t>Nguyễn Mạnh Tuấn</t>
  </si>
  <si>
    <t xml:space="preserve">AI Intern </t>
  </si>
  <si>
    <t>NGUYEN MANH TUAN</t>
  </si>
  <si>
    <t>MB</t>
  </si>
  <si>
    <t xml:space="preserve">Lý Ngọc Chi </t>
  </si>
  <si>
    <t>Nguồn KAM</t>
  </si>
  <si>
    <t>LY NGOC CHI</t>
  </si>
  <si>
    <t>148009128</t>
  </si>
  <si>
    <t>0988704323</t>
  </si>
  <si>
    <t>CL phạt chậm nộp</t>
  </si>
  <si>
    <t xml:space="preserve">Dương Việt Dũng </t>
  </si>
  <si>
    <t>Fullstack Engineer</t>
  </si>
  <si>
    <t>lý do</t>
  </si>
  <si>
    <t>Cần kiểm tra</t>
  </si>
  <si>
    <t xml:space="preserve">Cần kiểm tra </t>
  </si>
  <si>
    <t>Lý Ngọc Chi</t>
  </si>
  <si>
    <t>Nguyễn Thanh Danh</t>
  </si>
  <si>
    <t>Dương Việt Dũng</t>
  </si>
  <si>
    <t>Vũ Thị Dịu Hiền</t>
  </si>
  <si>
    <t>15/05/2024</t>
  </si>
  <si>
    <t>DUONG VIET DUNG</t>
  </si>
  <si>
    <t>TP Bank</t>
  </si>
  <si>
    <t xml:space="preserve">NP </t>
  </si>
  <si>
    <t>Nhan Yến Trang</t>
  </si>
  <si>
    <t>CL đi muộn</t>
  </si>
  <si>
    <t>Thái</t>
  </si>
  <si>
    <t xml:space="preserve">Võ Nhật Nam </t>
  </si>
  <si>
    <t xml:space="preserve">Note </t>
  </si>
  <si>
    <t xml:space="preserve">Muộn </t>
  </si>
  <si>
    <t xml:space="preserve">chu thị tuyết mai </t>
  </si>
  <si>
    <t>MB bank</t>
  </si>
  <si>
    <t>0919781689</t>
  </si>
  <si>
    <t>250357175169</t>
  </si>
  <si>
    <t>ID Người</t>
  </si>
  <si>
    <t>Tên</t>
  </si>
  <si>
    <t>Thời gian</t>
  </si>
  <si>
    <t>kiểm tra check out</t>
  </si>
  <si>
    <t>Về sớm</t>
  </si>
  <si>
    <t>Nguyễn Thị Hồng</t>
  </si>
  <si>
    <t>Nguyễn Thị Đào</t>
  </si>
  <si>
    <t>Chuẩn 23 ngày</t>
  </si>
  <si>
    <t>99896333169</t>
  </si>
  <si>
    <t>Ngoài TCB</t>
  </si>
  <si>
    <t>Trong TCB</t>
  </si>
  <si>
    <t>Công ty CP BSM LABS</t>
  </si>
  <si>
    <t xml:space="preserve">Lê Thị Bích Liên </t>
  </si>
  <si>
    <t xml:space="preserve">QC LEAD </t>
  </si>
  <si>
    <t xml:space="preserve">Nguyễn Ngọc Diễm Quỳnh </t>
  </si>
  <si>
    <t xml:space="preserve">MKT Intern </t>
  </si>
  <si>
    <t>Tâm cộng thiếu 1 dòng</t>
  </si>
  <si>
    <t>Thời gian OT</t>
  </si>
  <si>
    <t>Total chi phí OT tháng 11/2025</t>
  </si>
  <si>
    <t xml:space="preserve">Lương OT THÁNG 11/2025 </t>
  </si>
  <si>
    <t>Bộ phận</t>
  </si>
  <si>
    <t>Remote</t>
  </si>
  <si>
    <t>Quên check in</t>
  </si>
  <si>
    <t>NP</t>
  </si>
  <si>
    <t xml:space="preserve">Thang đông </t>
  </si>
  <si>
    <t>Đi quay Văn Miếu</t>
  </si>
  <si>
    <t>Hoàng Văn Lâm</t>
  </si>
  <si>
    <t>Đỗ Như Phước</t>
  </si>
  <si>
    <t>Nguyễn Xuân Trung</t>
  </si>
  <si>
    <t>Mẫn Thị Lan</t>
  </si>
  <si>
    <t>Bùi Xuân Lực</t>
  </si>
  <si>
    <t>Vũ Trọng Hoàng Linh</t>
  </si>
  <si>
    <t>Nguyễn Anh Vũ</t>
  </si>
  <si>
    <t>Nguyễn Duy Quyết</t>
  </si>
  <si>
    <t>Đỗ Văn Quân</t>
  </si>
  <si>
    <t>DANH SÁCH ĐIỀU CHỈNH BH THÁNG 11/2025</t>
  </si>
  <si>
    <t>Nhân sự mới</t>
  </si>
  <si>
    <t>NGUYEN NGOC DIEM QUYNH</t>
  </si>
  <si>
    <t>5510110082003</t>
  </si>
  <si>
    <t>LE THI BICH LIEN</t>
  </si>
  <si>
    <t xml:space="preserve">Nguyễn Thị Đào </t>
  </si>
  <si>
    <t xml:space="preserve">Legal </t>
  </si>
  <si>
    <t xml:space="preserve">Nguyễn Thị Hồng </t>
  </si>
  <si>
    <t xml:space="preserve">Hoàng Văn Lâm </t>
  </si>
  <si>
    <t>Dev</t>
  </si>
  <si>
    <t xml:space="preserve">Nguyễn Duy Quyết </t>
  </si>
  <si>
    <t>Tăng BH</t>
  </si>
  <si>
    <t>Nguyễn Thị Mai Phương</t>
  </si>
  <si>
    <t>Wichita</t>
  </si>
  <si>
    <t>Nguyễn Thị Diệu Linh</t>
  </si>
  <si>
    <t>Nguyễn Đắc Tuệ</t>
  </si>
  <si>
    <t>Hoàng Ngọc Tuyền</t>
  </si>
  <si>
    <t>Nguyễn Huy Hiển</t>
  </si>
  <si>
    <t>Trần Thị Huế</t>
  </si>
  <si>
    <t>Trần Hữu Hiệp</t>
  </si>
  <si>
    <t>Nguyễn Ngọc Khởi</t>
  </si>
  <si>
    <t>Phạm Minh Dương</t>
  </si>
  <si>
    <t>Hoàng Thị Trà My</t>
  </si>
  <si>
    <t>Đỗ Hoàng Hiệp</t>
  </si>
  <si>
    <t>Trịnh Thu Hằng</t>
  </si>
  <si>
    <t>Lê Thị Thùy Anh</t>
  </si>
  <si>
    <t>Nguyễn Khắc Thắng</t>
  </si>
  <si>
    <t>Vũ Hải Long</t>
  </si>
  <si>
    <t>Hồ Thị Kim Thoa</t>
  </si>
  <si>
    <t>Đặng Tuấn Hiệp</t>
  </si>
  <si>
    <t>Trừ Mạnh Dũng</t>
  </si>
  <si>
    <t>Nguyễn Thị Thùy Linh</t>
  </si>
  <si>
    <t>Lê Hoàng Long</t>
  </si>
  <si>
    <t>Tạ Diệp Anh</t>
  </si>
  <si>
    <t>Phan Thị Thúy</t>
  </si>
  <si>
    <t>Lê Thị Ái</t>
  </si>
  <si>
    <t>Nguyễn Phúc Thành</t>
  </si>
  <si>
    <t>Tô Cẩm Ly Ly</t>
  </si>
  <si>
    <t>Vương Xuân Cường</t>
  </si>
  <si>
    <t>Nguyễn Hải Long</t>
  </si>
  <si>
    <t>Nguyễn Bá Cương</t>
  </si>
  <si>
    <t>Nguyễn Quốc Cường</t>
  </si>
  <si>
    <t>Trần Mai Anh</t>
  </si>
  <si>
    <t>Đỗ Thị Trang</t>
  </si>
  <si>
    <t>Nguyễn Thị Thu Huyền</t>
  </si>
  <si>
    <t>Vũ Nguyệt Linh</t>
  </si>
  <si>
    <t>Trương Minh Tú</t>
  </si>
  <si>
    <t>Thái Mỹ Linh</t>
  </si>
  <si>
    <t>Nguyễn Hà Trang</t>
  </si>
  <si>
    <t>Ma Thị Thu Hương</t>
  </si>
  <si>
    <t>Nguyễn Xuân Toàn</t>
  </si>
  <si>
    <t>Nguyễn Thị Trà My</t>
  </si>
  <si>
    <t>Nguyễn Văn Hưởng</t>
  </si>
  <si>
    <t>Nguyễn Hồng Giang</t>
  </si>
  <si>
    <t>Trần Thị Thu Hiền</t>
  </si>
  <si>
    <t>Hoàng Đức Thắng</t>
  </si>
  <si>
    <t>Ngũ Thị Trà Mi</t>
  </si>
  <si>
    <t>Võ Quang Huy</t>
  </si>
  <si>
    <t>Phan Trọng Giáp</t>
  </si>
  <si>
    <t>Lê Hà Châu</t>
  </si>
  <si>
    <t>Hoàng Văn Hiệp</t>
  </si>
  <si>
    <t>Phan Ngọc Mai</t>
  </si>
  <si>
    <t>Nguyễn Thị Khánh Uyên</t>
  </si>
  <si>
    <t>Phạm Thị Thu Hà</t>
  </si>
  <si>
    <t>Bùi Hồng Long</t>
  </si>
  <si>
    <t>Trần Thị Hải Yến</t>
  </si>
  <si>
    <t>Trần Thị Kim Tuyến</t>
  </si>
  <si>
    <t>Trương Thị Xuyến</t>
  </si>
  <si>
    <t>Phạm Thị Ánh</t>
  </si>
  <si>
    <t>Nguyễn Hà Thanh</t>
  </si>
  <si>
    <t>Vũ Hồng Vân</t>
  </si>
  <si>
    <t>Hoàng Thị Như Quỳnh</t>
  </si>
  <si>
    <t>Trần Trường Sơn</t>
  </si>
  <si>
    <t>Hoàng Bích Hồng</t>
  </si>
  <si>
    <t>Trần Thị Duyên</t>
  </si>
  <si>
    <t>Nguyễn Thuỳ Linh</t>
  </si>
  <si>
    <t>Đỗ Ngọc Quỳnh</t>
  </si>
  <si>
    <t>Kim Hồng Ngọc</t>
  </si>
  <si>
    <t>Phạm Thị Ngân Hà</t>
  </si>
  <si>
    <t>Đinh Quỳnh Trang</t>
  </si>
  <si>
    <t>Trịnh Thị Phương Hoa</t>
  </si>
  <si>
    <t>Vũ Đức Huy</t>
  </si>
  <si>
    <t>Phạm Hữu Tuyển</t>
  </si>
  <si>
    <t>Nguyễn Nam Khánh</t>
  </si>
  <si>
    <t>Hà Thị Tình</t>
  </si>
  <si>
    <t>Trần Thị Hồng Thủy</t>
  </si>
  <si>
    <t>Trần Duy Hải</t>
  </si>
  <si>
    <t>Cao Thành Long</t>
  </si>
  <si>
    <t>Nguyễn Thị Chí</t>
  </si>
  <si>
    <t>Bùi Thu Nga</t>
  </si>
  <si>
    <t>Nguyễn Thị Yến</t>
  </si>
  <si>
    <t>Nguyễn Thị Hải Anh</t>
  </si>
  <si>
    <t>Bùi Thị Thu Phương</t>
  </si>
  <si>
    <t>Nguyễn Quang Anh</t>
  </si>
  <si>
    <t>Nguyễn Thùy An</t>
  </si>
  <si>
    <t>Trần Tuấn Tú</t>
  </si>
  <si>
    <t>Cao Thị Nhung</t>
  </si>
  <si>
    <t>Hàn Mạnh Hùng</t>
  </si>
  <si>
    <t>Đặng Quốc Cường</t>
  </si>
  <si>
    <t>Nguyễn Sơn Tùng</t>
  </si>
  <si>
    <t>Nguyễn Trọng Long</t>
  </si>
  <si>
    <t xml:space="preserve">late request </t>
  </si>
  <si>
    <t>Quên check out</t>
  </si>
  <si>
    <t xml:space="preserve">Quên check in </t>
  </si>
  <si>
    <t>Lê Thị Hạnh</t>
  </si>
  <si>
    <t>Phùng Thị Phương Thảo</t>
  </si>
  <si>
    <t>Bùi Hoàng Anh</t>
  </si>
  <si>
    <t>Nguyễn Thị Quỳnh</t>
  </si>
  <si>
    <t>Nguyễn Thị Phương Anh</t>
  </si>
  <si>
    <t>Triệu Phạm Thảo Nhi</t>
  </si>
  <si>
    <t>Nguyễn Trần Minh Quang</t>
  </si>
  <si>
    <t>Lê Minh Xuân Phương</t>
  </si>
  <si>
    <t>Nguyễn Thị Kim Ngân</t>
  </si>
  <si>
    <t>Đặng Đức Lịch</t>
  </si>
  <si>
    <t>Vu Duy Anh</t>
  </si>
  <si>
    <t>Nguyễn Duy Hưng</t>
  </si>
  <si>
    <t>Lê Đăng Minh Đạt</t>
  </si>
  <si>
    <t>Đào Hà Phương</t>
  </si>
  <si>
    <t>Võ Thị Vân Hà</t>
  </si>
  <si>
    <t>Lê Phương Linh</t>
  </si>
  <si>
    <t>Vũ Trung Kiên</t>
  </si>
  <si>
    <t>Đặng Thị Thảo</t>
  </si>
  <si>
    <t>Trần Hà Chi</t>
  </si>
  <si>
    <t>Nguyễn Châm Anh</t>
  </si>
  <si>
    <t>Thưởng hiệu suất 12/2025</t>
  </si>
  <si>
    <t>Incentive</t>
  </si>
  <si>
    <t>T8/2024</t>
  </si>
  <si>
    <t>Thực lĩnh gốc</t>
  </si>
  <si>
    <t>Incentive Power Up / EDU</t>
  </si>
  <si>
    <t xml:space="preserve">Nguyễn Thị Trang </t>
  </si>
  <si>
    <t>tăng/giảm khác T12</t>
  </si>
  <si>
    <t>DO VAN QUAN</t>
  </si>
  <si>
    <t>89928042003</t>
  </si>
  <si>
    <t>NGUYEN THI DAO</t>
  </si>
  <si>
    <t>01826204801</t>
  </si>
  <si>
    <t>NGUYEN THI HONG</t>
  </si>
  <si>
    <t>105872465740</t>
  </si>
  <si>
    <t>CONG THUONG VN (VIETINBANK)-201</t>
  </si>
  <si>
    <t>HOANG VAN LAM</t>
  </si>
  <si>
    <t>1042293799</t>
  </si>
  <si>
    <t>NGUYEN DUY QUYET</t>
  </si>
  <si>
    <t>0242916199999</t>
  </si>
  <si>
    <t>Ngân hàng T12</t>
  </si>
  <si>
    <t>Ngân hàng cũ</t>
  </si>
  <si>
    <t>Số TK Ngân hàng T12</t>
  </si>
  <si>
    <t>Số TK Ngân hàng cũ</t>
  </si>
  <si>
    <t>Công thực tế T01 thiếu</t>
  </si>
  <si>
    <t>tăng/giảm khác T01</t>
  </si>
  <si>
    <t>Lương tháng 12</t>
  </si>
  <si>
    <t>Công tháng 12 thiếu</t>
  </si>
  <si>
    <t>Chuẩn 22 ngày</t>
  </si>
  <si>
    <t>Chi Tiết Chấm Công</t>
  </si>
  <si>
    <t>Check in</t>
  </si>
  <si>
    <t xml:space="preserve">Check out </t>
  </si>
  <si>
    <t>kiểm tra checkin</t>
  </si>
  <si>
    <t>Trần Thị Thủy</t>
  </si>
  <si>
    <t>Lead</t>
  </si>
  <si>
    <t>Lưu Trường An</t>
  </si>
  <si>
    <t>Lê Thị Bích Liên</t>
  </si>
  <si>
    <t>BSM</t>
  </si>
  <si>
    <t>Thời gian vào: 2026-01-05 08:30:20</t>
  </si>
  <si>
    <t>Thời gian ra: 2026-01-05 19:16:21</t>
  </si>
  <si>
    <t>Thời lượng theo dõi:646 phút</t>
  </si>
  <si>
    <t>Thời gian vào: 2026-01-06 08:36:02</t>
  </si>
  <si>
    <t>Thời gian ra:</t>
  </si>
  <si>
    <t>Thời lượng theo dõi:0 phút</t>
  </si>
  <si>
    <t>Thời gian vào: 2026-01-07 08:31:29</t>
  </si>
  <si>
    <t>Thời gian vào: 2026-01-08 08:41:16</t>
  </si>
  <si>
    <t>Thời gian ra: 2026-01-08 21:15:17</t>
  </si>
  <si>
    <t>Thời lượng theo dõi:754 phút</t>
  </si>
  <si>
    <t>Thời gian vào: 2026-01-09 08:46:17</t>
  </si>
  <si>
    <t>Thời gian ra: 2026-01-09 18:27:49</t>
  </si>
  <si>
    <t>Thời lượng theo dõi:582 phút</t>
  </si>
  <si>
    <t>Thời gian vào: 2026-01-12 08:37:30</t>
  </si>
  <si>
    <t>Thời gian vào: 2026-01-13 08:30:45</t>
  </si>
  <si>
    <t>Thời gian ra: 2026-01-13 19:10:11</t>
  </si>
  <si>
    <t>Thời lượng theo dõi:639 phút</t>
  </si>
  <si>
    <t>Thời gian vào: 2026-01-14 08:45:17</t>
  </si>
  <si>
    <t>Thời gian ra: 2026-01-14 19:14:25</t>
  </si>
  <si>
    <t>Thời lượng theo dõi:629 phút</t>
  </si>
  <si>
    <t>Thời gian vào: 2026-01-15 08:44:01</t>
  </si>
  <si>
    <t>Thời gian ra: 2026-01-15 22:06:08</t>
  </si>
  <si>
    <t>Thời lượng theo dõi:802 phút</t>
  </si>
  <si>
    <t>Thời gian vào: 2026-01-16 08:41:20</t>
  </si>
  <si>
    <t>Thời gian ra: 2026-01-16 19:34:19</t>
  </si>
  <si>
    <t>Thời lượng theo dõi:653 phút</t>
  </si>
  <si>
    <t>Thời gian vào: 2026-01-19 08:45:00</t>
  </si>
  <si>
    <t>Thời gian ra: 2026-01-19 19:03:38</t>
  </si>
  <si>
    <t>Thời lượng theo dõi:619 phút</t>
  </si>
  <si>
    <t>Thời gian vào: 2026-01-20 08:43:27</t>
  </si>
  <si>
    <t>Thời gian ra: 2026-01-20 18:11:45</t>
  </si>
  <si>
    <t>Thời lượng theo dõi:568 phút</t>
  </si>
  <si>
    <t>Thời gian vào: 2026-01-22 08:46:22</t>
  </si>
  <si>
    <t>Thời gian ra: 2026-01-22 18:20:56</t>
  </si>
  <si>
    <t>Thời lượng theo dõi:575 phút</t>
  </si>
  <si>
    <t>Thời gian vào: 2026-01-23 08:48:49</t>
  </si>
  <si>
    <t>Thời gian ra: 2026-01-23 18:16:09</t>
  </si>
  <si>
    <t>Thời lượng theo dõi:567 phút</t>
  </si>
  <si>
    <t>Thời gian vào: 2026-01-26 08:49:50</t>
  </si>
  <si>
    <t>Thời gian ra: 2026-01-26 20:43:40</t>
  </si>
  <si>
    <t>Thời lượng theo dõi:714 phút</t>
  </si>
  <si>
    <t>Thời gian vào: 2026-01-27 08:49:12</t>
  </si>
  <si>
    <t>Thời gian ra: 2026-01-27 20:04:25</t>
  </si>
  <si>
    <t>Thời lượng theo dõi:675 phút</t>
  </si>
  <si>
    <t>Thời gian vào: 2026-01-28 08:49:44</t>
  </si>
  <si>
    <t>Thời gian ra: 2026-01-28 19:32:44</t>
  </si>
  <si>
    <t>Thời lượng theo dõi:643 phút</t>
  </si>
  <si>
    <t>Thời gian vào: 2026-01-30 08:26:52</t>
  </si>
  <si>
    <t>Thời gian ra: 2026-01-30 18:26:46</t>
  </si>
  <si>
    <t>Thời lượng theo dõi:600 phút</t>
  </si>
  <si>
    <t>Test</t>
  </si>
  <si>
    <t>Nguyễn Thị Trang</t>
  </si>
  <si>
    <t>Thời gian vào: 2026-01-13 08:29:20</t>
  </si>
  <si>
    <t>Thời gian ra: 2026-01-13 17:31:07</t>
  </si>
  <si>
    <t>Thời lượng theo dõi:542 phút</t>
  </si>
  <si>
    <t>Thời gian vào: 2026-01-15 08:23:43</t>
  </si>
  <si>
    <t>Thời gian ra: 2026-01-15 17:31:15</t>
  </si>
  <si>
    <t>Thời lượng theo dõi:548 phút</t>
  </si>
  <si>
    <t>Thời gian vào: 2026-01-16 08:23:08</t>
  </si>
  <si>
    <t>Thời gian ra: 2026-01-16 17:34:20</t>
  </si>
  <si>
    <t>Thời lượng theo dõi:551 phút</t>
  </si>
  <si>
    <t>Thời gian vào: 2026-01-19 08:29:49</t>
  </si>
  <si>
    <t>Thời gian ra: 2026-01-19 17:33:31</t>
  </si>
  <si>
    <t>Thời lượng theo dõi:544 phút</t>
  </si>
  <si>
    <t>Thời gian vào: 2026-01-20 08:39:24</t>
  </si>
  <si>
    <t>Thời gian ra: 2026-01-20 12:02:28</t>
  </si>
  <si>
    <t>Thời lượng theo dõi:203 phút</t>
  </si>
  <si>
    <t>Thời gian vào: 2026-01-21 08:25:28</t>
  </si>
  <si>
    <t>Thời gian ra: 2026-01-21 17:31:19</t>
  </si>
  <si>
    <t>Thời lượng theo dõi:546 phút</t>
  </si>
  <si>
    <t>Thời gian vào: 2026-01-22 08:36:04</t>
  </si>
  <si>
    <t>Thời gian ra: 2026-01-22 17:34:21</t>
  </si>
  <si>
    <t>Thời lượng theo dõi:538 phút</t>
  </si>
  <si>
    <t>Thời gian vào: 2026-01-26 08:31:47</t>
  </si>
  <si>
    <t>Thời gian vào: 2026-01-27 08:31:17</t>
  </si>
  <si>
    <t>Thời gian ra: 2026-01-27 17:31:52</t>
  </si>
  <si>
    <t>Thời lượng theo dõi:541 phút</t>
  </si>
  <si>
    <t>Thời gian vào: 2026-01-28 08:32:26</t>
  </si>
  <si>
    <t>Thời gian ra: 2026-01-28 17:31:38</t>
  </si>
  <si>
    <t>Thời lượng theo dõi:539 phút</t>
  </si>
  <si>
    <t>Thời gian vào: 2026-01-29 08:29:23</t>
  </si>
  <si>
    <t>Thời gian ra: 2026-01-29 17:34:31</t>
  </si>
  <si>
    <t>Thời lượng theo dõi:545 phút</t>
  </si>
  <si>
    <t>Nguyễn Văn Hậu</t>
  </si>
  <si>
    <t>Thời gian vào: 2026-01-20 08:39:29</t>
  </si>
  <si>
    <t>Thời gian vào: 2026-01-21 08:39:15</t>
  </si>
  <si>
    <t>Thời gian vào: 2026-01-22 08:36:48</t>
  </si>
  <si>
    <t>Vũ Kim Hùng</t>
  </si>
  <si>
    <t>Nguyễn Ngọc Diễm Quỳnh</t>
  </si>
  <si>
    <t>Tet</t>
  </si>
  <si>
    <t>Weekend</t>
  </si>
  <si>
    <t>MCC Ko nhận mặt</t>
  </si>
  <si>
    <t>Reset face</t>
  </si>
  <si>
    <t>Thời gian vào: 2026-01-12 17:45:25</t>
  </si>
  <si>
    <t>Thời gian ra: 2026-01-12 18:14:25</t>
  </si>
  <si>
    <t>Thời lượng theo dõi:29 phút</t>
  </si>
  <si>
    <t>Thời gian vào: 2026-01-13 08:20:29</t>
  </si>
  <si>
    <t>Thời gian ra: 2026-01-13 16:30:59</t>
  </si>
  <si>
    <t>Thời lượng theo dõi:491 phút</t>
  </si>
  <si>
    <t>đợi lấy vé xe</t>
  </si>
  <si>
    <t>Thời gian vào: 2026-01-14 08:32:27</t>
  </si>
  <si>
    <t>Thời gian ra: 2026-01-14 18:15:09</t>
  </si>
  <si>
    <t>Thời lượng theo dõi:583 phút</t>
  </si>
  <si>
    <t>Đi quay văn miếu</t>
  </si>
  <si>
    <t>Thời gian vào: 2026-01-16 08:28:30</t>
  </si>
  <si>
    <t>Thời gian ra: 2026-01-16 18:23:59</t>
  </si>
  <si>
    <t>Thời lượng theo dõi:595 phút</t>
  </si>
  <si>
    <t>Thời gian vào: 2026-01-19 08:43:50</t>
  </si>
  <si>
    <t>Thời gian ra: 2026-01-19 18:24:30</t>
  </si>
  <si>
    <t>Thời lượng theo dõi:581 phút</t>
  </si>
  <si>
    <t>Thời gian vào: 2026-01-20 08:43:50</t>
  </si>
  <si>
    <t>Thời gian ra: 2026-01-20 12:09:33</t>
  </si>
  <si>
    <t>Thời lượng theo dõi:206 phút</t>
  </si>
  <si>
    <t>Thời gian vào: 2026-01-22 08:23:35</t>
  </si>
  <si>
    <t>Thời gian ra: 2026-01-22 18:16:22</t>
  </si>
  <si>
    <t>Thời lượng theo dõi:593 phút</t>
  </si>
  <si>
    <t>Thời gian vào: 2026-01-23 08:26:27</t>
  </si>
  <si>
    <t>Thời gian ra: 2026-01-23 18:15:17</t>
  </si>
  <si>
    <t>Thời lượng theo dõi:589 phút</t>
  </si>
  <si>
    <t>Thời gian vào: 2026-01-26 08:27:01</t>
  </si>
  <si>
    <t>Thời gian ra: 2026-01-26 18:11:38</t>
  </si>
  <si>
    <t>Thời lượng theo dõi:585 phút</t>
  </si>
  <si>
    <t>Thời gian vào: 2026-01-27 08:37:27</t>
  </si>
  <si>
    <t>Thời gian ra: 2026-01-27 18:14:42</t>
  </si>
  <si>
    <t>Thời lượng theo dõi:577 phút</t>
  </si>
  <si>
    <t>Thời gian vào: 2026-01-28 08:38:42</t>
  </si>
  <si>
    <t>Thang đông</t>
  </si>
  <si>
    <t>Thời gian vào: 2026-01-29 08:35:07</t>
  </si>
  <si>
    <t>Thời gian ra: 2026-01-29 18:08:37</t>
  </si>
  <si>
    <t>Thời lượng theo dõi:574 phút</t>
  </si>
  <si>
    <t>Thời gian vào: 2026-01-30 08:47:14</t>
  </si>
  <si>
    <t>Thời gian ra: 2026-01-30 17:01:53</t>
  </si>
  <si>
    <t>Thời lượng theo dõi:495 phút</t>
  </si>
  <si>
    <t>Art</t>
  </si>
  <si>
    <t>Thời gian vào: 2026-01-06 08:36:07</t>
  </si>
  <si>
    <t>Thời gian ra: 2026-01-06 18:43:09</t>
  </si>
  <si>
    <t>Thời lượng theo dõi:607 phút</t>
  </si>
  <si>
    <t>Thời gian vào: 2026-01-07 08:36:09</t>
  </si>
  <si>
    <t>Thời gian ra: 2026-01-07 18:47:22</t>
  </si>
  <si>
    <t>Thời lượng theo dõi:611 phút</t>
  </si>
  <si>
    <t>Thời gian vào: 2026-01-08 08:36:21</t>
  </si>
  <si>
    <t>Thời gian ra: 2026-01-08 18:54:06</t>
  </si>
  <si>
    <t>Thời lượng theo dõi:618 phút</t>
  </si>
  <si>
    <t>Thời gian vào: 2026-01-12 08:34:23</t>
  </si>
  <si>
    <t>Thời gian ra: 2026-01-12 18:46:15</t>
  </si>
  <si>
    <t>Thời lượng theo dõi:612 phút</t>
  </si>
  <si>
    <t>Thời gian vào: 2026-01-13 08:36:04</t>
  </si>
  <si>
    <t>Thời gian ra: 2026-01-13 18:47:19</t>
  </si>
  <si>
    <t>Thời gian vào: 2026-01-14 08:38:14</t>
  </si>
  <si>
    <t>Thời gian ra: 2026-01-14 18:07:51</t>
  </si>
  <si>
    <t>Thời lượng theo dõi:570 phút</t>
  </si>
  <si>
    <t>Thời gian vào: 2026-01-15 08:27:12</t>
  </si>
  <si>
    <t>Thời gian ra: 2026-01-15 18:22:56</t>
  </si>
  <si>
    <t>Thời lượng theo dõi:596 phút</t>
  </si>
  <si>
    <t>Thời gian vào: 2026-01-19 09:07:31</t>
  </si>
  <si>
    <t>Thời gian ra: 2026-01-19 18:25:52</t>
  </si>
  <si>
    <t>Thời lượng theo dõi:558 phút</t>
  </si>
  <si>
    <t>Thời gian vào: 2026-01-20 08:37:20</t>
  </si>
  <si>
    <t>Thời gian ra: 2026-01-20 18:06:47</t>
  </si>
  <si>
    <t>Thời lượng theo dõi:569 phút</t>
  </si>
  <si>
    <t>Thời gian vào: 2026-01-21 08:07:50</t>
  </si>
  <si>
    <t>Thời gian ra: 2026-01-21 18:54:58</t>
  </si>
  <si>
    <t>Thời lượng theo dõi:647 phút</t>
  </si>
  <si>
    <t>Thời gian vào: 2026-01-22 08:44:47</t>
  </si>
  <si>
    <t>Thời gian ra: 2026-01-22 18:54:32</t>
  </si>
  <si>
    <t>Thời lượng theo dõi:610 phút</t>
  </si>
  <si>
    <t>Thời gian vào: 2026-01-26 08:33:49</t>
  </si>
  <si>
    <t>Thời gian ra: 2026-01-26 18:32:34</t>
  </si>
  <si>
    <t>Thời lượng theo dõi:599 phút</t>
  </si>
  <si>
    <t>Thời gian vào: 2026-01-27 08:40:09</t>
  </si>
  <si>
    <t>Thời gian ra: 2026-01-27 18:55:24</t>
  </si>
  <si>
    <t>Thời lượng theo dõi:615 phút</t>
  </si>
  <si>
    <t>Thời gian vào: 2026-01-28 08:42:26</t>
  </si>
  <si>
    <t>Thời gian ra: 2026-01-28 18:25:31</t>
  </si>
  <si>
    <t>Thời gian vào: 2026-01-29 08:36:55</t>
  </si>
  <si>
    <t>Thời gian ra: 2026-01-29 18:53:12</t>
  </si>
  <si>
    <t>Thời lượng theo dõi:616 phút</t>
  </si>
  <si>
    <t>Thời gian vào: 2026-01-05 08:33:01</t>
  </si>
  <si>
    <t>Thời gian ra: 2026-01-05 18:02:23</t>
  </si>
  <si>
    <t>Thời gian vào: 2026-01-07 08:36:11</t>
  </si>
  <si>
    <t>Thời gian ra: 2026-01-07 18:04:06</t>
  </si>
  <si>
    <t>Thời gian vào: 2026-01-08 08:41:32</t>
  </si>
  <si>
    <t>Thời gian ra: 2026-01-08 18:04:15</t>
  </si>
  <si>
    <t>Thời lượng theo dõi:563 phút</t>
  </si>
  <si>
    <t>Thời gian vào: 2026-01-12 08:34:21</t>
  </si>
  <si>
    <t>Thời gian ra: 2026-01-12 18:04:33</t>
  </si>
  <si>
    <t>Thời gian vào: 2026-01-13 08:33:27</t>
  </si>
  <si>
    <t>Thời gian ra: 2026-01-13 17:33:04</t>
  </si>
  <si>
    <t>Thời lượng theo dõi:540 phút</t>
  </si>
  <si>
    <t>Thời gian vào: 2026-01-14 08:36:17</t>
  </si>
  <si>
    <t>Thời gian ra: 2026-01-14 14:07:48</t>
  </si>
  <si>
    <t>Thời lượng theo dõi:332 phút</t>
  </si>
  <si>
    <t>Thời gian vào: 2026-01-15 08:37:15</t>
  </si>
  <si>
    <t>Thời gian ra: 2026-01-15 18:14:21</t>
  </si>
  <si>
    <t>Thời gian vào: 2026-01-19 08:30:18</t>
  </si>
  <si>
    <t>Thời gian ra: 2026-01-19 18:03:49</t>
  </si>
  <si>
    <t>Thời gian vào: 2026-01-20 08:32:03</t>
  </si>
  <si>
    <t>Thời gian ra: 2026-01-20 18:02:36</t>
  </si>
  <si>
    <t>Thời lượng theo dõi:571 phút</t>
  </si>
  <si>
    <t>Thời gian vào: 2026-01-21 08:35:36</t>
  </si>
  <si>
    <t>Thời gian ra: 2026-01-21 18:02:57</t>
  </si>
  <si>
    <t>Thời gian vào: 2026-01-22 08:30:19</t>
  </si>
  <si>
    <t>Thời gian ra: 2026-01-22 18:03:36</t>
  </si>
  <si>
    <t>Thời lượng theo dõi:573 phút</t>
  </si>
  <si>
    <t>Thời gian vào: 2026-01-26 08:39:06</t>
  </si>
  <si>
    <t>Thời gian ra: 2026-01-26 18:09:39</t>
  </si>
  <si>
    <t>Thời gian vào: 2026-01-27 08:35:02</t>
  </si>
  <si>
    <t>Thời gian ra: 2026-01-27 18:05:49</t>
  </si>
  <si>
    <t>Thời gian vào: 2026-01-28 08:35:36</t>
  </si>
  <si>
    <t>Thời gian ra: 2026-01-28 18:05:08</t>
  </si>
  <si>
    <t>Thời gian vào: 2026-01-29 08:32:11</t>
  </si>
  <si>
    <t>Thời gian ra: 2026-01-29 18:09:44</t>
  </si>
  <si>
    <t>Thời lượng theo dõi:578 phút</t>
  </si>
  <si>
    <t>Phạm Thị Huế</t>
  </si>
  <si>
    <t>Lumina</t>
  </si>
  <si>
    <t>Thời gian vào: 2026-01-05 14:13:48</t>
  </si>
  <si>
    <t>Thời gian ra: 2026-01-05 22:05:23</t>
  </si>
  <si>
    <t>Thời lượng theo dõi:472 phút</t>
  </si>
  <si>
    <t>Thời gian vào: 2026-01-06 14:20:53</t>
  </si>
  <si>
    <t>Thời gian ra: 2026-01-06 22:22:15</t>
  </si>
  <si>
    <t>Thời lượng theo dõi:481 phút</t>
  </si>
  <si>
    <t>Thời gian vào: 2026-01-08 14:14:57</t>
  </si>
  <si>
    <t>Thời gian ra: 2026-01-08 22:08:48</t>
  </si>
  <si>
    <t>Thời lượng theo dõi:474 phút</t>
  </si>
  <si>
    <t>Thời gian vào: 2026-01-10 15:33:15</t>
  </si>
  <si>
    <t>Thời gian vào: 2026-01-12 14:31:30</t>
  </si>
  <si>
    <t>Thời gian ra: 2026-01-12 22:43:13</t>
  </si>
  <si>
    <t>Thời lượng theo dõi:492 phút</t>
  </si>
  <si>
    <t>Thời gian vào: 2026-01-13 13:19:55</t>
  </si>
  <si>
    <t>Thời gian ra: 2026-01-13 22:39:15</t>
  </si>
  <si>
    <t>Thời lượng theo dõi:559 phút</t>
  </si>
  <si>
    <t>Thời gian vào: 2026-01-14 13:24:46</t>
  </si>
  <si>
    <t>Thời gian ra: 2026-01-14 19:53:44</t>
  </si>
  <si>
    <t>Thời lượng theo dõi:389 phút</t>
  </si>
  <si>
    <t>Thời gian vào: 2026-01-15 08:24:46</t>
  </si>
  <si>
    <t>Thời gian ra: 2026-01-15 19:05:29</t>
  </si>
  <si>
    <t>Thời lượng theo dõi:641 phút</t>
  </si>
  <si>
    <t>Thời gian vào: 2026-01-16 08:32:08</t>
  </si>
  <si>
    <t>Thời gian ra: 2026-01-16 12:27:27</t>
  </si>
  <si>
    <t>Thời lượng theo dõi:235 phút</t>
  </si>
  <si>
    <t>Thời gian vào: 2026-01-19 14:38:04</t>
  </si>
  <si>
    <t>Thời gian ra: 2026-01-19 14:38:05</t>
  </si>
  <si>
    <t>Thời gian vào: 2026-01-20 08:33:18</t>
  </si>
  <si>
    <t>Thời gian ra: 2026-01-20 20:45:40</t>
  </si>
  <si>
    <t>Thời lượng theo dõi:732 phút</t>
  </si>
  <si>
    <t>Thời gian vào: 2026-01-21 14:19:49</t>
  </si>
  <si>
    <t>Thời gian ra: 2026-01-21 16:07:30</t>
  </si>
  <si>
    <t>Thời lượng theo dõi:108 phút</t>
  </si>
  <si>
    <t>Thời gian vào: 2026-01-22 14:13:28</t>
  </si>
  <si>
    <t>Thời gian ra: 2026-01-22 22:21:54</t>
  </si>
  <si>
    <t>Thời lượng theo dõi:488 phút</t>
  </si>
  <si>
    <t>Thời gian vào: 2026-01-23 14:14:32</t>
  </si>
  <si>
    <t>Thời gian vào: 2026-01-26 11:06:26</t>
  </si>
  <si>
    <t>Thời gian ra: 2026-01-26 14:57:35</t>
  </si>
  <si>
    <t>Thời lượng theo dõi:231 phút</t>
  </si>
  <si>
    <t>Thời gian vào: 2026-01-27 14:30:43</t>
  </si>
  <si>
    <t>Thời gian vào: 2026-01-29 14:26:00</t>
  </si>
  <si>
    <t>Thời gian ra: 2026-01-29 22:18:26</t>
  </si>
  <si>
    <t>Thời gian vào: 2026-01-05 08:29:17</t>
  </si>
  <si>
    <t>Thời gian ra: 2026-01-05 18:01:04</t>
  </si>
  <si>
    <t>Thời lượng theo dõi:572 phút</t>
  </si>
  <si>
    <t>Thời gian vào: 2026-01-06 08:34:16</t>
  </si>
  <si>
    <t>Thời gian ra: 2026-01-06 12:21:39</t>
  </si>
  <si>
    <t>Thời lượng theo dõi:227 phút</t>
  </si>
  <si>
    <t>Thời gian vào: 2026-01-07 08:29:21</t>
  </si>
  <si>
    <t>Thời gian ra: 2026-01-07 18:02:08</t>
  </si>
  <si>
    <t>Thời gian vào: 2026-01-08 08:28:57</t>
  </si>
  <si>
    <t>Thời gian ra: 2026-01-08 18:01:46</t>
  </si>
  <si>
    <t>Thời gian vào: 2026-01-13 08:30:02</t>
  </si>
  <si>
    <t>Thời gian ra: 2026-01-13 18:03:39</t>
  </si>
  <si>
    <t>Thời gian vào: 2026-01-14 08:26:13</t>
  </si>
  <si>
    <t>Thời gian ra: 2026-01-14 18:02:36</t>
  </si>
  <si>
    <t>Thời lượng theo dõi:576 phút</t>
  </si>
  <si>
    <t>Thời gian vào: 2026-01-15 08:29:26</t>
  </si>
  <si>
    <t>Thời gian ra: 2026-01-15 18:02:16</t>
  </si>
  <si>
    <t>Thời gian vào: 2026-01-19 08:34:46</t>
  </si>
  <si>
    <t>Thời gian ra: 2026-01-19 17:00:18</t>
  </si>
  <si>
    <t>Thời lượng theo dõi:506 phút</t>
  </si>
  <si>
    <t>Thời gian vào: 2026-01-20 08:31:53</t>
  </si>
  <si>
    <t>Thời gian ra: 2026-01-20 18:02:30</t>
  </si>
  <si>
    <t>Thời gian vào: 2026-01-06 08:24:41</t>
  </si>
  <si>
    <t>Thời gian ra: 2026-01-06 18:01:05</t>
  </si>
  <si>
    <t>Thời gian vào: 2026-01-07 08:22:08</t>
  </si>
  <si>
    <t>Thời gian ra: 2026-01-07 18:00:38</t>
  </si>
  <si>
    <t>Thời lượng theo dõi:579 phút</t>
  </si>
  <si>
    <t>Thời gian vào: 2026-01-08 08:25:57</t>
  </si>
  <si>
    <t>Thời gian ra: 2026-01-08 18:00:44</t>
  </si>
  <si>
    <t>Thời gian vào: 2026-01-12 08:26:11</t>
  </si>
  <si>
    <t>Thời gian ra: 2026-01-12 18:01:14</t>
  </si>
  <si>
    <t>Thời gian vào: 2026-01-13 08:25:16</t>
  </si>
  <si>
    <t>Thời gian ra: 2026-01-13 18:00:36</t>
  </si>
  <si>
    <t>Thời gian vào: 2026-01-14 08:24:44</t>
  </si>
  <si>
    <t>Thời gian ra: 2026-01-14 18:01:06</t>
  </si>
  <si>
    <t>Thời gian vào: 2026-01-15 08:26:16</t>
  </si>
  <si>
    <t>Thời gian ra: 2026-01-15 18:01:16</t>
  </si>
  <si>
    <t>Thời gian vào: 2026-01-19 08:25:34</t>
  </si>
  <si>
    <t>Thời gian ra: 2026-01-19 18:00:57</t>
  </si>
  <si>
    <t>Thời gian vào: 2026-01-20 08:28:39</t>
  </si>
  <si>
    <t>Thời gian ra: 2026-01-20 18:01:32</t>
  </si>
  <si>
    <t>Thời gian vào: 2026-01-21 08:24:16</t>
  </si>
  <si>
    <t>Thời gian ra: 2026-01-21 18:01:03</t>
  </si>
  <si>
    <t>Thời gian vào: 2026-01-22 08:27:27</t>
  </si>
  <si>
    <t>Thời gian ra: 2026-01-22 18:00:56</t>
  </si>
  <si>
    <t>Thời gian vào: 2026-01-26 08:23:50</t>
  </si>
  <si>
    <t>Thời gian ra: 2026-01-26 18:00:56</t>
  </si>
  <si>
    <t>Thời gian vào: 2026-01-27 08:23:28</t>
  </si>
  <si>
    <t>Thời gian ra: 2026-01-27 18:01:07</t>
  </si>
  <si>
    <t>Thời gian vào: 2026-01-28 08:23:47</t>
  </si>
  <si>
    <t>Thời gian ra: 2026-01-28 18:00:53</t>
  </si>
  <si>
    <t>Thời gian vào: 2026-01-29 08:25:44</t>
  </si>
  <si>
    <t>Thời gian ra: 2026-01-29 18:00:56</t>
  </si>
  <si>
    <t>NS - KT</t>
  </si>
  <si>
    <t>Thời gian vào: 2026-01-07 08:39:57</t>
  </si>
  <si>
    <t>Thời gian ra: 2026-01-07 08:40:08</t>
  </si>
  <si>
    <t>Thời gian vào: 2026-01-14 08:48:30</t>
  </si>
  <si>
    <t>Thời gian ra: 2026-01-14 08:49:19</t>
  </si>
  <si>
    <t>Thời lượng theo dõi:1 phút</t>
  </si>
  <si>
    <t>Thời gian vào: 2026-01-15 08:42:08</t>
  </si>
  <si>
    <t>Thời gian ra: 2026-01-15 08:42:12</t>
  </si>
  <si>
    <t>Thời gian vào: 2026-01-20 08:33:20</t>
  </si>
  <si>
    <t>Thời gian vào: 2026-01-05 08:55:55</t>
  </si>
  <si>
    <t>Thời gian ra: 2026-01-05 18:07:40</t>
  </si>
  <si>
    <t>Thời lượng theo dõi:552 phút</t>
  </si>
  <si>
    <t>Thời gian vào: 2026-01-06 18:04:18</t>
  </si>
  <si>
    <t>Thời gian vào: 2026-01-07 08:58:20</t>
  </si>
  <si>
    <t>Thời gian ra: 2026-01-07 18:08:18</t>
  </si>
  <si>
    <t>Thời lượng theo dõi:550 phút</t>
  </si>
  <si>
    <t>Thời gian vào: 2026-01-12 08:50:17</t>
  </si>
  <si>
    <t>Thời gian ra: 2026-01-12 18:08:42</t>
  </si>
  <si>
    <t>Thời gian vào: 2026-01-13 09:02:01</t>
  </si>
  <si>
    <t>Thời gian ra: 2026-01-13 18:09:24</t>
  </si>
  <si>
    <t>Thời lượng theo dõi:547 phút</t>
  </si>
  <si>
    <t>Thời gian vào: 2026-01-14 09:06:17</t>
  </si>
  <si>
    <t>Thời gian ra: 2026-01-14 18:07:54</t>
  </si>
  <si>
    <t>Thời gian vào: 2026-01-15 09:17:15</t>
  </si>
  <si>
    <t>Thời gian ra: 2026-01-15 18:11:17</t>
  </si>
  <si>
    <t>Thời lượng theo dõi:534 phút</t>
  </si>
  <si>
    <t>Thời gian vào: 2026-01-19 08:59:57</t>
  </si>
  <si>
    <t>Thời gian ra: 2026-01-19 18:06:44</t>
  </si>
  <si>
    <t>Thời gian vào: 2026-01-20 08:50:09</t>
  </si>
  <si>
    <t>Thời gian ra: 2026-01-20 18:05:18</t>
  </si>
  <si>
    <t>Thời lượng theo dõi:555 phút</t>
  </si>
  <si>
    <t>Thời gian vào: 2026-01-21 08:49:21</t>
  </si>
  <si>
    <t>Thời gian ra: 2026-01-21 18:05:20</t>
  </si>
  <si>
    <t>Thời lượng theo dõi:556 phút</t>
  </si>
  <si>
    <t>Thời gian vào: 2026-01-22 08:52:18</t>
  </si>
  <si>
    <t>Thời gian ra: 2026-01-22 18:21:55</t>
  </si>
  <si>
    <t>Thời gian vào: 2026-01-26 09:07:40</t>
  </si>
  <si>
    <t>Thời gian ra: 2026-01-26 18:05:41</t>
  </si>
  <si>
    <t>Thời gian vào: 2026-01-27 08:52:58</t>
  </si>
  <si>
    <t>Thời gian ra: 2026-01-27 18:36:05</t>
  </si>
  <si>
    <t>Thời gian vào: 2026-01-28 09:03:17</t>
  </si>
  <si>
    <t>Thời gian ra: 2026-01-28 18:12:14</t>
  </si>
  <si>
    <t>Thời lượng theo dõi:549 phút</t>
  </si>
  <si>
    <t>Thời gian vào: 2026-01-29 09:12:57</t>
  </si>
  <si>
    <t>Thời gian ra: 2026-01-29 18:15:46</t>
  </si>
  <si>
    <t>Thời lượng theo dõi:543 phút</t>
  </si>
  <si>
    <t>Thời gian vào: 2026-01-05 08:30:56</t>
  </si>
  <si>
    <t>Thời gian ra: 2026-01-05 18:23:19</t>
  </si>
  <si>
    <t>Thời lượng theo dõi:592 phút</t>
  </si>
  <si>
    <t>Thời gian vào: 2026-01-06 08:30:49</t>
  </si>
  <si>
    <t>Thời gian ra: 2026-01-06 18:11:39</t>
  </si>
  <si>
    <t>Thời gian vào: 2026-01-07 08:28:54</t>
  </si>
  <si>
    <t>Thời gian ra: 2026-01-07 18:04:42</t>
  </si>
  <si>
    <t>Thời gian vào: 2026-01-08 08:31:06</t>
  </si>
  <si>
    <t>Thời gian ra: 2026-01-08 18:04:05</t>
  </si>
  <si>
    <t>Thời gian vào: 2026-01-12 08:29:28</t>
  </si>
  <si>
    <t>Thời gian ra: 2026-01-12 18:02:07</t>
  </si>
  <si>
    <t>Thời gian vào: 2026-01-13 08:27:30</t>
  </si>
  <si>
    <t>Thời gian ra: 2026-01-13 18:07:02</t>
  </si>
  <si>
    <t>Thời lượng theo dõi:580 phút</t>
  </si>
  <si>
    <t>Thời gian vào: 2026-01-14 08:30:22</t>
  </si>
  <si>
    <t>Thời gian ra: 2026-01-14 18:02:52</t>
  </si>
  <si>
    <t>Thời gian vào: 2026-01-15 08:28:59</t>
  </si>
  <si>
    <t>Thời gian ra: 2026-01-15 18:04:37</t>
  </si>
  <si>
    <t>Thời gian vào: 2026-01-19 08:29:56</t>
  </si>
  <si>
    <t>Thời gian ra: 2026-01-19 18:06:32</t>
  </si>
  <si>
    <t>Thời gian vào: 2026-01-20 08:34:31</t>
  </si>
  <si>
    <t>Thời gian ra: 2026-01-20 18:08:11</t>
  </si>
  <si>
    <t>Thời gian vào: 2026-01-21 08:24:36</t>
  </si>
  <si>
    <t>Thời gian ra: 2026-01-21 18:03:45</t>
  </si>
  <si>
    <t>Thời gian vào: 2026-01-22 08:30:36</t>
  </si>
  <si>
    <t>Thời gian ra: 2026-01-22 18:05:15</t>
  </si>
  <si>
    <t>Thời gian vào: 2026-01-26 08:26:03</t>
  </si>
  <si>
    <t>Thời gian ra: 2026-01-26 18:01:07</t>
  </si>
  <si>
    <t>Thời gian vào: 2026-01-27 08:28:53</t>
  </si>
  <si>
    <t>Thời gian ra: 2026-01-27 18:08:30</t>
  </si>
  <si>
    <t>Thời gian vào: 2026-01-28 08:29:30</t>
  </si>
  <si>
    <t>Thời gian ra: 2026-01-28 18:10:20</t>
  </si>
  <si>
    <t>Thời gian vào: 2026-01-29 08:29:19</t>
  </si>
  <si>
    <t>Thời gian ra: 2026-01-29 18:15:56</t>
  </si>
  <si>
    <t>Thời lượng theo dõi:587 phút</t>
  </si>
  <si>
    <t>Thời gian vào: 2026-01-13 11:21:56</t>
  </si>
  <si>
    <t>Thời gian ra: 2026-01-13 16:21:39</t>
  </si>
  <si>
    <t>Thời lượng theo dõi:300 phút</t>
  </si>
  <si>
    <t>Thời gian vào: 2026-01-15 19:05:35</t>
  </si>
  <si>
    <t>Thời gian ra: 2026-01-15 19:05:40</t>
  </si>
  <si>
    <t>Trần Thúy Quỳnh</t>
  </si>
  <si>
    <t>Artcity</t>
  </si>
  <si>
    <t>Thời gian vào: 2026-01-05 08:47:46</t>
  </si>
  <si>
    <t>Thời gian ra: 2026-01-05 19:12:44</t>
  </si>
  <si>
    <t>Thời lượng theo dõi:625 phút</t>
  </si>
  <si>
    <t>Thời gian vào: 2026-01-06 13:25:50</t>
  </si>
  <si>
    <t>Thời gian ra: 2026-01-06 18:17:07</t>
  </si>
  <si>
    <t>Thời lượng theo dõi:291 phút</t>
  </si>
  <si>
    <t>Thời gian vào: 2026-01-07 09:21:49</t>
  </si>
  <si>
    <t>Thời gian ra: 2026-01-07 18:43:38</t>
  </si>
  <si>
    <t>Thời lượng theo dõi:562 phút</t>
  </si>
  <si>
    <t>Thời gian vào: 2026-01-08 09:20:37</t>
  </si>
  <si>
    <t>Thời gian ra: 2026-01-08 18:53:54</t>
  </si>
  <si>
    <t>Thời gian vào: 2026-01-09 08:58:52</t>
  </si>
  <si>
    <t>Thời gian ra: 2026-01-09 18:09:51</t>
  </si>
  <si>
    <t>Thời gian vào: 2026-01-10 10:18:46</t>
  </si>
  <si>
    <t>Thời gian ra: 2026-01-10 18:23:46</t>
  </si>
  <si>
    <t>Thời lượng theo dõi:485 phút</t>
  </si>
  <si>
    <t>Thời gian vào: 2026-01-12 08:54:59</t>
  </si>
  <si>
    <t>Thời gian ra: 2026-01-12 18:37:06</t>
  </si>
  <si>
    <t>Thời gian vào: 2026-01-13 13:40:50</t>
  </si>
  <si>
    <t>Thời gian ra: 2026-01-13 18:57:11</t>
  </si>
  <si>
    <t>Thời lượng theo dõi:316 phút</t>
  </si>
  <si>
    <t>Thời gian vào: 2026-01-14 08:53:20</t>
  </si>
  <si>
    <t>Thời gian ra: 2026-01-14 21:06:28</t>
  </si>
  <si>
    <t>Thời lượng theo dõi:733 phút</t>
  </si>
  <si>
    <t>Thời gian vào: 2026-01-15 08:47:40</t>
  </si>
  <si>
    <t>Thời gian ra: 2026-01-15 18:20:24</t>
  </si>
  <si>
    <t>Thời gian vào: 2026-01-16 09:50:56</t>
  </si>
  <si>
    <t>Thời gian ra: 2026-01-16 22:00:44</t>
  </si>
  <si>
    <t>Thời lượng theo dõi:730 phút</t>
  </si>
  <si>
    <t>Thời gian vào: 2026-01-19 08:51:40</t>
  </si>
  <si>
    <t>Thời gian ra: 2026-01-19 18:43:31</t>
  </si>
  <si>
    <t>Thời gian vào: 2026-01-20 09:04:05</t>
  </si>
  <si>
    <t>Thời gian ra: 2026-01-20 19:11:44</t>
  </si>
  <si>
    <t>Thời lượng theo dõi:608 phút</t>
  </si>
  <si>
    <t>Thời gian vào: 2026-01-21 09:04:41</t>
  </si>
  <si>
    <t>Thời gian ra: 2026-01-21 19:23:37</t>
  </si>
  <si>
    <t>Thời gian vào: 2026-01-22 09:01:05</t>
  </si>
  <si>
    <t>Thời gian ra: 2026-01-22 18:34:45</t>
  </si>
  <si>
    <t>Thời gian vào: 2026-01-23 09:28:08</t>
  </si>
  <si>
    <t>Thời gian ra: 2026-01-23 18:46:21</t>
  </si>
  <si>
    <t>Thời gian vào: 2026-01-26 09:46:24</t>
  </si>
  <si>
    <t>Thời gian ra: 2026-01-26 20:53:47</t>
  </si>
  <si>
    <t>Thời lượng theo dõi:667 phút</t>
  </si>
  <si>
    <t>Thời gian vào: 2026-01-27 13:28:10</t>
  </si>
  <si>
    <t>Thời gian ra: 2026-01-27 18:24:09</t>
  </si>
  <si>
    <t>Thời lượng theo dõi:296 phút</t>
  </si>
  <si>
    <t>Thời gian vào: 2026-01-28 09:28:35</t>
  </si>
  <si>
    <t>Thời gian ra: 2026-01-28 18:31:56</t>
  </si>
  <si>
    <t>Thời gian vào: 2026-01-29 09:08:04</t>
  </si>
  <si>
    <t>Thời gian ra: 2026-01-29 18:41:47</t>
  </si>
  <si>
    <t>Thời gian vào: 2026-01-30 10:04:19</t>
  </si>
  <si>
    <t>Thời gian ra: 2026-01-30 18:50:08</t>
  </si>
  <si>
    <t>Thời lượng theo dõi:526 phút</t>
  </si>
  <si>
    <t>Thời gian vào: 2026-01-06 09:58:04</t>
  </si>
  <si>
    <t>Thời gian vào: 2026-01-07 12:01:02</t>
  </si>
  <si>
    <t>Thời gian vào: 2026-01-13 10:52:32</t>
  </si>
  <si>
    <t>Thời gian ra: 2026-01-13 18:16:43</t>
  </si>
  <si>
    <t>Thời lượng theo dõi:444 phút</t>
  </si>
  <si>
    <t>Thời gian vào: 2026-01-19 18:04:08</t>
  </si>
  <si>
    <t>Thời gian vào: 2026-01-21 18:24:01</t>
  </si>
  <si>
    <t>Thời gian vào: 2026-01-25 08:21:41</t>
  </si>
  <si>
    <t>Thời gian vào: 2026-01-28 16:35:27</t>
  </si>
  <si>
    <t>Thời gian vào: 2026-01-29 12:40:47</t>
  </si>
  <si>
    <t>Thời gian vào: 2026-01-30 13:32:59</t>
  </si>
  <si>
    <t>Phim</t>
  </si>
  <si>
    <t>Thời gian vào: 2026-01-05 08:42:04</t>
  </si>
  <si>
    <t>Thời gian ra: 2026-01-05 18:20:53</t>
  </si>
  <si>
    <t>Thời gian vào: 2026-01-06 08:48:49</t>
  </si>
  <si>
    <t>Thời gian ra: 2026-01-06 18:27:00</t>
  </si>
  <si>
    <t>Thời gian vào: 2026-01-07 08:43:10</t>
  </si>
  <si>
    <t>Thời gian ra: 2026-01-07 18:08:37</t>
  </si>
  <si>
    <t>Thời lượng theo dõi:565 phút</t>
  </si>
  <si>
    <t>Thời gian vào: 2026-01-08 08:47:55</t>
  </si>
  <si>
    <t>Thời gian ra: 2026-01-08 18:17:55</t>
  </si>
  <si>
    <t>Thời gian vào: 2026-01-09 08:44:34</t>
  </si>
  <si>
    <t>Thời gian ra: 2026-01-09 18:53:53</t>
  </si>
  <si>
    <t>Thời lượng theo dõi:609 phút</t>
  </si>
  <si>
    <t>Thời gian vào: 2026-01-10 10:56:48</t>
  </si>
  <si>
    <t>Thời gian ra: 2026-01-10 19:10:42</t>
  </si>
  <si>
    <t>Thời lượng theo dõi:494 phút</t>
  </si>
  <si>
    <t>Thời gian vào: 2026-01-12 08:46:57</t>
  </si>
  <si>
    <t>Thời gian ra: 2026-01-12 18:28:22</t>
  </si>
  <si>
    <t>Thời gian vào: 2026-01-13 08:48:17</t>
  </si>
  <si>
    <t>Thời gian ra: 2026-01-13 18:09:20</t>
  </si>
  <si>
    <t>Thời lượng theo dõi:561 phút</t>
  </si>
  <si>
    <t>Thời gian vào: 2026-01-14 08:51:08</t>
  </si>
  <si>
    <t>Thời gian ra: 2026-01-14 18:10:21</t>
  </si>
  <si>
    <t>Thời gian vào: 2026-01-15 08:53:28</t>
  </si>
  <si>
    <t>Thời gian ra: 2026-01-15 18:06:57</t>
  </si>
  <si>
    <t>Thời lượng theo dõi:553 phút</t>
  </si>
  <si>
    <t>Thời gian vào: 2026-01-16 08:53:45</t>
  </si>
  <si>
    <t>Thời gian ra: 2026-01-16 18:23:55</t>
  </si>
  <si>
    <t>Thời gian vào: 2026-01-19 08:49:03</t>
  </si>
  <si>
    <t>Thời gian ra: 2026-01-19 18:11:07</t>
  </si>
  <si>
    <t>Thời gian vào: 2026-01-20 08:50:08</t>
  </si>
  <si>
    <t>Thời gian ra: 2026-01-20 18:05:05</t>
  </si>
  <si>
    <t>Thời gian vào: 2026-01-21 08:52:04</t>
  </si>
  <si>
    <t>Thời gian ra: 2026-01-21 18:24:56</t>
  </si>
  <si>
    <t>Thời gian vào: 2026-01-22 08:53:48</t>
  </si>
  <si>
    <t>Thời gian ra: 2026-01-22 18:11:00</t>
  </si>
  <si>
    <t>Thời lượng theo dõi:557 phút</t>
  </si>
  <si>
    <t>Thời gian vào: 2026-01-23 18:12:56</t>
  </si>
  <si>
    <t>Thời gian ra: 2026-01-23 18:13:45</t>
  </si>
  <si>
    <t>Thời gian vào: 2026-01-26 08:46:48</t>
  </si>
  <si>
    <t>Thời gian ra: 2026-01-26 18:18:33</t>
  </si>
  <si>
    <t>Thời gian vào: 2026-01-27 08:50:24</t>
  </si>
  <si>
    <t>Thời gian ra: 2026-01-27 18:11:13</t>
  </si>
  <si>
    <t>Thời gian vào: 2026-01-28 08:52:29</t>
  </si>
  <si>
    <t>Thời gian ra: 2026-01-28 18:17:39</t>
  </si>
  <si>
    <t>Thời gian vào: 2026-01-29 08:52:32</t>
  </si>
  <si>
    <t>Thời gian ra: 2026-01-29 18:20:23</t>
  </si>
  <si>
    <t>Thời gian vào: 2026-01-30 08:52:26</t>
  </si>
  <si>
    <t>Thời gian ra: 2026-01-30 19:25:32</t>
  </si>
  <si>
    <t>Thời lượng theo dõi:633 phút</t>
  </si>
  <si>
    <t>Ore</t>
  </si>
  <si>
    <t>Thời gian vào: 2026-01-05 08:55:27</t>
  </si>
  <si>
    <t>Thời gian ra: 2026-01-05 19:27:38</t>
  </si>
  <si>
    <t>Thời lượng theo dõi:632 phút</t>
  </si>
  <si>
    <t>Thời gian vào: 2026-01-06 09:34:32</t>
  </si>
  <si>
    <t>Thời gian ra: 2026-01-06 19:38:34</t>
  </si>
  <si>
    <t>Thời lượng theo dõi:604 phút</t>
  </si>
  <si>
    <t>Thời gian vào: 2026-01-07 09:52:44</t>
  </si>
  <si>
    <t>Thời gian ra: 2026-01-07 19:19:03</t>
  </si>
  <si>
    <t>Thời lượng theo dõi:566 phút</t>
  </si>
  <si>
    <t>Thời gian vào: 2026-01-08 10:06:28</t>
  </si>
  <si>
    <t>Thời gian ra: 2026-01-08 18:53:30</t>
  </si>
  <si>
    <t>Thời lượng theo dõi:527 phút</t>
  </si>
  <si>
    <t>Thời gian vào: 2026-01-09 12:56:04</t>
  </si>
  <si>
    <t>Thời gian ra: 2026-01-09 19:17:59</t>
  </si>
  <si>
    <t>Thời lượng theo dõi:382 phút</t>
  </si>
  <si>
    <t>Thời gian vào: 2026-01-10 09:09:21</t>
  </si>
  <si>
    <t>Thời gian ra: 2026-01-10 19:20:21</t>
  </si>
  <si>
    <t>Thời gian vào: 2026-01-12 08:59:11</t>
  </si>
  <si>
    <t>Thời gian ra: 2026-01-12 19:30:28</t>
  </si>
  <si>
    <t>Thời lượng theo dõi:631 phút</t>
  </si>
  <si>
    <t>Thời gian vào: 2026-01-13 09:30:18</t>
  </si>
  <si>
    <t>Thời gian ra: 2026-01-13 19:32:09</t>
  </si>
  <si>
    <t>Thời lượng theo dõi:602 phút</t>
  </si>
  <si>
    <t>Thời gian vào: 2026-01-14 08:36:38</t>
  </si>
  <si>
    <t>Thời gian ra: 2026-01-14 17:37:31</t>
  </si>
  <si>
    <t>Thời gian vào: 2026-01-15 09:17:10</t>
  </si>
  <si>
    <t>Thời gian ra: 2026-01-15 20:39:24</t>
  </si>
  <si>
    <t>Thời lượng theo dõi:682 phút</t>
  </si>
  <si>
    <t>Thời gian vào: 2026-01-16 09:19:53</t>
  </si>
  <si>
    <t>Thời gian ra: 2026-01-16 19:59:15</t>
  </si>
  <si>
    <t>Thời gian vào: 2026-01-19 09:19:54</t>
  </si>
  <si>
    <t>Thời gian ra: 2026-01-19 18:48:50</t>
  </si>
  <si>
    <t>Thời gian vào: 2026-01-20 09:26:34</t>
  </si>
  <si>
    <t>Thời gian ra: 2026-01-20 18:49:05</t>
  </si>
  <si>
    <t>Thời gian vào: 2026-01-21 09:34:40</t>
  </si>
  <si>
    <t>Thời gian ra: 2026-01-21 19:03:51</t>
  </si>
  <si>
    <t>Thời gian vào: 2026-01-22 09:53:50</t>
  </si>
  <si>
    <t>Thời gian ra: 2026-01-22 19:23:17</t>
  </si>
  <si>
    <t>Thời gian vào: 2026-01-23 09:53:46</t>
  </si>
  <si>
    <t>Thời gian ra: 2026-01-23 20:02:44</t>
  </si>
  <si>
    <t>Thời gian vào: 2026-01-26 13:49:40</t>
  </si>
  <si>
    <t>Thời gian ra: 2026-01-26 18:30:13</t>
  </si>
  <si>
    <t>Thời lượng theo dõi:281 phút</t>
  </si>
  <si>
    <t>Thời gian vào: 2026-01-27 09:38:57</t>
  </si>
  <si>
    <t>Thời gian ra: 2026-01-27 19:03:18</t>
  </si>
  <si>
    <t>Thời lượng theo dõi:564 phút</t>
  </si>
  <si>
    <t>Thời gian vào: 2026-01-28 09:19:03</t>
  </si>
  <si>
    <t>Thời gian ra: 2026-01-28 19:12:58</t>
  </si>
  <si>
    <t>Thời lượng theo dõi:594 phút</t>
  </si>
  <si>
    <t>Thời gian vào: 2026-01-29 09:14:56</t>
  </si>
  <si>
    <t>Thời gian ra: 2026-01-29 20:11:20</t>
  </si>
  <si>
    <t>Thời lượng theo dõi:656 phút</t>
  </si>
  <si>
    <t>Thời gian vào: 2026-01-30 13:24:43</t>
  </si>
  <si>
    <t>Thời gian ra: 2026-01-30 19:48:10</t>
  </si>
  <si>
    <t>Thời lượng theo dõi:383 phút</t>
  </si>
  <si>
    <t>Ảnh</t>
  </si>
  <si>
    <t>Thời gian vào: 2026-01-19 08:43:26</t>
  </si>
  <si>
    <t>Thời gian ra: 2026-01-19 08:57:57</t>
  </si>
  <si>
    <t>Thời lượng theo dõi:15 phút</t>
  </si>
  <si>
    <t>Thời gian vào: 2026-01-22 18:24:42</t>
  </si>
  <si>
    <t>Thời gian ra: 2026-01-22 18:24:45</t>
  </si>
  <si>
    <t>Thời gian vào: 2026-01-29 14:56:42</t>
  </si>
  <si>
    <t>Thời gian ra: 2026-01-29 14:57:14</t>
  </si>
  <si>
    <t>Thời gian vào: 2026-01-05 13:28:00</t>
  </si>
  <si>
    <t>Thời gian ra: 2026-01-05 18:03:11</t>
  </si>
  <si>
    <t>Thời lượng theo dõi:275 phút</t>
  </si>
  <si>
    <t>Thời gian vào: 2026-01-06 08:42:34</t>
  </si>
  <si>
    <t>Thời gian ra: 2026-01-06 18:17:05</t>
  </si>
  <si>
    <t>Thời gian vào: 2026-01-07 08:33:19</t>
  </si>
  <si>
    <t>Thời gian ra: 2026-01-07 18:43:37</t>
  </si>
  <si>
    <t>Thời gian vào: 2026-01-08 13:33:29</t>
  </si>
  <si>
    <t>Thời gian ra: 2026-01-08 18:47:44</t>
  </si>
  <si>
    <t>Thời lượng theo dõi:314 phút</t>
  </si>
  <si>
    <t>Thời gian vào: 2026-01-09 08:28:35</t>
  </si>
  <si>
    <t>Thời gian ra: 2026-01-09 18:09:48</t>
  </si>
  <si>
    <t>Thời gian vào: 2026-01-10 09:01:49</t>
  </si>
  <si>
    <t>Thời gian ra: 2026-01-10 18:23:44</t>
  </si>
  <si>
    <t>Thời gian vào: 2026-01-12 08:30:14</t>
  </si>
  <si>
    <t>Thời gian ra: 2026-01-12 18:19:29</t>
  </si>
  <si>
    <t>Thời gian vào: 2026-01-13 08:34:29</t>
  </si>
  <si>
    <t>Thời gian ra: 2026-01-13 18:57:22</t>
  </si>
  <si>
    <t>Thời lượng theo dõi:623 phút</t>
  </si>
  <si>
    <t>Thời gian vào: 2026-01-14 08:33:13</t>
  </si>
  <si>
    <t>Thời gian ra: 2026-01-14 21:06:32</t>
  </si>
  <si>
    <t>Thời lượng theo dõi:753 phút</t>
  </si>
  <si>
    <t>Thời gian vào: 2026-01-15 08:57:38</t>
  </si>
  <si>
    <t>Thời gian ra: 2026-01-15 18:20:12</t>
  </si>
  <si>
    <t>Thời gian vào: 2026-01-16 08:42:05</t>
  </si>
  <si>
    <t>Thời gian ra: 2026-01-16 22:00:40</t>
  </si>
  <si>
    <t>Thời lượng theo dõi:799 phút</t>
  </si>
  <si>
    <t>Thời gian vào: 2026-01-19 13:25:08</t>
  </si>
  <si>
    <t>Thời gian ra: 2026-01-19 18:43:24</t>
  </si>
  <si>
    <t>Thời lượng theo dõi:318 phút</t>
  </si>
  <si>
    <t>Thời gian vào: 2026-01-20 13:24:12</t>
  </si>
  <si>
    <t>Thời gian ra: 2026-01-20 18:51:46</t>
  </si>
  <si>
    <t>Thời lượng theo dõi:328 phút</t>
  </si>
  <si>
    <t>Thời gian vào: 2026-01-21 08:40:54</t>
  </si>
  <si>
    <t>Thời gian ra: 2026-01-21 18:27:42</t>
  </si>
  <si>
    <t>Thời gian vào: 2026-01-22 08:39:44</t>
  </si>
  <si>
    <t>Thời gian ra: 2026-01-22 18:25:59</t>
  </si>
  <si>
    <t>Thời lượng theo dõi:586 phút</t>
  </si>
  <si>
    <t>Thời gian vào: 2026-01-23 08:52:09</t>
  </si>
  <si>
    <t>Thời gian ra: 2026-01-23 18:58:13</t>
  </si>
  <si>
    <t>Thời lượng theo dõi:606 phút</t>
  </si>
  <si>
    <t>Thời gian vào: 2026-01-27 08:34:31</t>
  </si>
  <si>
    <t>Thời gian ra: 2026-01-27 18:24:14</t>
  </si>
  <si>
    <t>Thời lượng theo dõi:590 phút</t>
  </si>
  <si>
    <t>Thời gian vào: 2026-01-28 08:41:41</t>
  </si>
  <si>
    <t>Thời gian ra: 2026-01-28 18:17:40</t>
  </si>
  <si>
    <t>Thời gian vào: 2026-01-29 08:43:39</t>
  </si>
  <si>
    <t>Thời gian ra: 2026-01-29 18:41:40</t>
  </si>
  <si>
    <t>Thời lượng theo dõi:598 phút</t>
  </si>
  <si>
    <t>Thời gian vào: 2026-01-30 09:04:16</t>
  </si>
  <si>
    <t>Thời gian ra: 2026-01-30 18:23:30</t>
  </si>
  <si>
    <t>Thời gian vào: 2026-01-05 10:58:09</t>
  </si>
  <si>
    <t>Thời gian vào: 2026-01-06 07:28:02</t>
  </si>
  <si>
    <t>Thời gian vào: 2026-01-12 07:29:08</t>
  </si>
  <si>
    <t>Thời gian vào: 2026-01-13 07:30:48</t>
  </si>
  <si>
    <t>Thời gian ra: 2026-01-13 18:22:48</t>
  </si>
  <si>
    <t>Thời lượng theo dõi:652 phút</t>
  </si>
  <si>
    <t>Thời gian vào: 2026-01-15 07:43:11</t>
  </si>
  <si>
    <t>Thời gian ra: 2026-01-15 07:43:35</t>
  </si>
  <si>
    <t>Thời gian vào: 2026-01-16 07:38:27</t>
  </si>
  <si>
    <t>Thời gian ra: 2026-01-16 09:17:46</t>
  </si>
  <si>
    <t>Thời lượng theo dõi:99 phút</t>
  </si>
  <si>
    <t>Thời gian vào: 2026-01-20 07:44:08</t>
  </si>
  <si>
    <t>Thời gian ra: 2026-01-20 18:10:37</t>
  </si>
  <si>
    <t>Thời lượng theo dõi:626 phút</t>
  </si>
  <si>
    <t>Thời gian vào: 2026-01-21 07:45:39</t>
  </si>
  <si>
    <t>Thời gian ra: 2026-01-21 07:45:47</t>
  </si>
  <si>
    <t>Thời gian vào: 2026-01-22 07:36:08</t>
  </si>
  <si>
    <t>Thời gian vào: 2026-01-23 07:51:13</t>
  </si>
  <si>
    <t>Thời gian ra: 2026-01-23 07:51:19</t>
  </si>
  <si>
    <t>Thời gian vào: 2026-01-26 07:54:14</t>
  </si>
  <si>
    <t>Thời gian ra: 2026-01-26 18:18:38</t>
  </si>
  <si>
    <t>Thời lượng theo dõi:624 phút</t>
  </si>
  <si>
    <t>Thời gian vào: 2026-01-27 07:42:32</t>
  </si>
  <si>
    <t>Thời gian ra: 2026-01-27 07:42:50</t>
  </si>
  <si>
    <t>Thời gian vào: 2026-01-30 07:48:17</t>
  </si>
  <si>
    <t>Thời gian ra: 2026-01-30 07:48:27</t>
  </si>
  <si>
    <t>Thời gian vào: 2026-01-05 21:57:18</t>
  </si>
  <si>
    <t>Thời gian vào: 2026-01-07 19:05:24</t>
  </si>
  <si>
    <t>Thời gian ra: 2026-01-07 19:05:48</t>
  </si>
  <si>
    <t>Thời gian vào: 2026-01-08 20:13:53</t>
  </si>
  <si>
    <t>Thời gian vào: 2026-01-13 19:23:50</t>
  </si>
  <si>
    <t>Thời gian vào: 2026-01-14 22:18:06</t>
  </si>
  <si>
    <t>Thời gian vào: 2026-01-16 11:56:12</t>
  </si>
  <si>
    <t>Thời gian ra: 2026-01-16 11:56:38</t>
  </si>
  <si>
    <t>Thời gian vào: 2026-01-19 22:29:27</t>
  </si>
  <si>
    <t>Thời gian ra: 2026-01-19 22:29:55</t>
  </si>
  <si>
    <t>Thời gian vào: 2026-01-23 22:07:23</t>
  </si>
  <si>
    <t>Thời gian vào: 2026-01-26 20:48:50</t>
  </si>
  <si>
    <t>Thời gian vào: 2026-01-27 19:55:46</t>
  </si>
  <si>
    <t>Thời gian vào: 2026-01-28 22:12:06</t>
  </si>
  <si>
    <t>Thời gian ra: 2026-01-28 22:12:40</t>
  </si>
  <si>
    <t>Thời gian vào: 2026-01-29 14:49:42</t>
  </si>
  <si>
    <t>Thời gian vào: 2026-01-05 09:16:44</t>
  </si>
  <si>
    <t>Thời gian ra: 2026-01-05 18:06:25</t>
  </si>
  <si>
    <t>Thời lượng theo dõi:530 phút</t>
  </si>
  <si>
    <t>Thời gian vào: 2026-01-06 13:54:08</t>
  </si>
  <si>
    <t>Thời gian ra: 2026-01-06 18:54:48</t>
  </si>
  <si>
    <t>Thời lượng theo dõi:301 phút</t>
  </si>
  <si>
    <t>Thời gian vào: 2026-01-07 09:06:29</t>
  </si>
  <si>
    <t>Thời gian ra: 2026-01-07 18:06:40</t>
  </si>
  <si>
    <t>Thời gian vào: 2026-01-08 18:47:00</t>
  </si>
  <si>
    <t>Thời gian vào: 2026-01-09 09:07:07</t>
  </si>
  <si>
    <t>Thời gian ra: 2026-01-09 18:24:16</t>
  </si>
  <si>
    <t>Thời gian vào: 2026-01-10 09:26:09</t>
  </si>
  <si>
    <t>Thời gian ra: 2026-01-10 18:21:53</t>
  </si>
  <si>
    <t>Thời lượng theo dõi:536 phút</t>
  </si>
  <si>
    <t>Thời gian vào: 2026-01-12 08:55:56</t>
  </si>
  <si>
    <t>Thời gian ra: 2026-01-12 18:06:13</t>
  </si>
  <si>
    <t>Thời gian vào: 2026-01-13 08:53:16</t>
  </si>
  <si>
    <t>Thời gian ra: 2026-01-13 18:09:07</t>
  </si>
  <si>
    <t>Thời gian vào: 2026-01-14 08:54:38</t>
  </si>
  <si>
    <t>Thời gian ra: 2026-01-14 18:07:10</t>
  </si>
  <si>
    <t>Thời gian vào: 2026-01-15 08:43:57</t>
  </si>
  <si>
    <t>Thời gian ra: 2026-01-15 19:49:34</t>
  </si>
  <si>
    <t>Thời lượng theo dõi:666 phút</t>
  </si>
  <si>
    <t>Thời gian vào: 2026-01-16 08:53:49</t>
  </si>
  <si>
    <t>Thời gian ra: 2026-01-16 18:17:55</t>
  </si>
  <si>
    <t>Thời gian vào: 2026-01-19 08:29:23</t>
  </si>
  <si>
    <t>Thời gian ra: 2026-01-19 18:11:01</t>
  </si>
  <si>
    <t>Thời gian vào: 2026-01-20 08:37:26</t>
  </si>
  <si>
    <t>Thời gian ra: 2026-01-20 18:39:00</t>
  </si>
  <si>
    <t>Thời gian vào: 2026-01-21 09:12:49</t>
  </si>
  <si>
    <t>Thời gian ra: 2026-01-21 19:53:12</t>
  </si>
  <si>
    <t>Thời lượng theo dõi:640 phút</t>
  </si>
  <si>
    <t>Thời gian vào: 2026-01-22 09:32:49</t>
  </si>
  <si>
    <t>Thời gian ra: 2026-01-22 18:24:49</t>
  </si>
  <si>
    <t>Thời lượng theo dõi:532 phút</t>
  </si>
  <si>
    <t>Thời gian vào: 2026-01-23 09:41:31</t>
  </si>
  <si>
    <t>Thời gian ra: 2026-01-23 18:48:16</t>
  </si>
  <si>
    <t>Thời gian vào: 2026-01-26 20:28:25</t>
  </si>
  <si>
    <t>Thời gian vào: 2026-01-28 08:36:39</t>
  </si>
  <si>
    <t>Thời gian ra: 2026-01-28 19:03:12</t>
  </si>
  <si>
    <t>Thời lượng theo dõi:627 phút</t>
  </si>
  <si>
    <t>Thời gian vào: 2026-01-29 09:16:52</t>
  </si>
  <si>
    <t>Thời gian ra: 2026-01-29 18:14:40</t>
  </si>
  <si>
    <t>Thời gian vào: 2026-01-30 13:30:23</t>
  </si>
  <si>
    <t>Thời gian ra: 2026-01-30 18:07:13</t>
  </si>
  <si>
    <t>Thời lượng theo dõi:277 phút</t>
  </si>
  <si>
    <t>Thời gian vào: 2026-01-05 09:16:36</t>
  </si>
  <si>
    <t>Thời gian ra: 2026-01-05 18:17:50</t>
  </si>
  <si>
    <t>Thời gian vào: 2026-01-06 09:27:05</t>
  </si>
  <si>
    <t>Thời gian ra: 2026-01-06 19:06:19</t>
  </si>
  <si>
    <t>Thời gian vào: 2026-01-07 18:24:54</t>
  </si>
  <si>
    <t>Thời gian vào: 2026-01-08 09:24:22</t>
  </si>
  <si>
    <t>Thời gian ra: 2026-01-08 20:04:12</t>
  </si>
  <si>
    <t>Thời gian vào: 2026-01-12 09:04:38</t>
  </si>
  <si>
    <t>Thời gian ra: 2026-01-12 18:15:54</t>
  </si>
  <si>
    <t>Thời gian vào: 2026-01-13 10:09:26</t>
  </si>
  <si>
    <t>Thời gian ra: 2026-01-13 18:44:26</t>
  </si>
  <si>
    <t>Thời lượng theo dõi:515 phút</t>
  </si>
  <si>
    <t>Thời gian vào: 2026-01-14 10:02:18</t>
  </si>
  <si>
    <t>Thời gian ra: 2026-01-14 18:16:05</t>
  </si>
  <si>
    <t>Thời gian vào: 2026-01-19 09:43:33</t>
  </si>
  <si>
    <t>Thời gian ra: 2026-01-19 18:39:46</t>
  </si>
  <si>
    <t>Thời gian vào: 2026-01-20 09:59:10</t>
  </si>
  <si>
    <t>Thời gian ra: 2026-01-20 18:19:39</t>
  </si>
  <si>
    <t>Thời lượng theo dõi:500 phút</t>
  </si>
  <si>
    <t>Thời gian vào: 2026-01-21 09:10:35</t>
  </si>
  <si>
    <t>Thời gian ra: 2026-01-21 18:36:56</t>
  </si>
  <si>
    <t>Thời gian vào: 2026-01-22 10:00:36</t>
  </si>
  <si>
    <t>Thời gian ra: 2026-01-22 18:12:33</t>
  </si>
  <si>
    <t>Thời gian vào: 2026-01-26 09:57:50</t>
  </si>
  <si>
    <t>Thời gian ra: 2026-01-26 18:22:02</t>
  </si>
  <si>
    <t>Thời lượng theo dõi:504 phút</t>
  </si>
  <si>
    <t>Thời gian vào: 2026-01-27 09:19:21</t>
  </si>
  <si>
    <t>Thời gian ra: 2026-01-27 18:30:57</t>
  </si>
  <si>
    <t>Thời gian vào: 2026-01-28 09:46:36</t>
  </si>
  <si>
    <t>Thời gian ra: 2026-01-28 18:41:47</t>
  </si>
  <si>
    <t>Thời lượng theo dõi:535 phút</t>
  </si>
  <si>
    <t>Thời gian vào: 2026-01-29 10:09:39</t>
  </si>
  <si>
    <t>Thời gian ra: 2026-01-29 20:00:30</t>
  </si>
  <si>
    <t>Thời lượng theo dõi:591 phút</t>
  </si>
  <si>
    <t>Nguyễn Thị Lan</t>
  </si>
  <si>
    <t>Thời gian vào: 2026-01-05 08:57:34</t>
  </si>
  <si>
    <t>Thời gian ra: 2026-01-05 18:33:59</t>
  </si>
  <si>
    <t>Thời gian vào: 2026-01-06 09:49:26</t>
  </si>
  <si>
    <t>Thời gian ra: 2026-01-06 19:46:30</t>
  </si>
  <si>
    <t>Thời lượng theo dõi:597 phút</t>
  </si>
  <si>
    <t>Thời gian vào: 2026-01-07 09:49:30</t>
  </si>
  <si>
    <t>Thời gian ra: 2026-01-07 19:10:35</t>
  </si>
  <si>
    <t>Thời gian vào: 2026-01-08 09:46:09</t>
  </si>
  <si>
    <t>Thời gian ra: 2026-01-08 18:35:12</t>
  </si>
  <si>
    <t>Thời lượng theo dõi:529 phút</t>
  </si>
  <si>
    <t>Thời gian vào: 2026-01-09 10:26:30</t>
  </si>
  <si>
    <t>Thời gian ra: 2026-01-09 19:12:45</t>
  </si>
  <si>
    <t>Thời gian vào: 2026-01-10 09:35:00</t>
  </si>
  <si>
    <t>Thời gian ra: 2026-01-10 18:46:48</t>
  </si>
  <si>
    <t>Thời gian vào: 2026-01-12 09:10:43</t>
  </si>
  <si>
    <t>Thời gian ra: 2026-01-12 20:04:11</t>
  </si>
  <si>
    <t>Thời gian vào: 2026-01-13 09:13:26</t>
  </si>
  <si>
    <t>Thời gian ra: 2026-01-13 12:11:20</t>
  </si>
  <si>
    <t>Thời lượng theo dõi:178 phút</t>
  </si>
  <si>
    <t>Thời gian vào: 2026-01-14 09:27:56</t>
  </si>
  <si>
    <t>Thời gian ra: 2026-01-14 18:59:13</t>
  </si>
  <si>
    <t>Thời gian vào: 2026-01-15 09:52:36</t>
  </si>
  <si>
    <t>Thời gian ra: 2026-01-15 20:45:53</t>
  </si>
  <si>
    <t>Thời gian vào: 2026-01-16 09:31:42</t>
  </si>
  <si>
    <t>Thời gian ra: 2026-01-16 19:34:57</t>
  </si>
  <si>
    <t>Thời lượng theo dõi:603 phút</t>
  </si>
  <si>
    <t>Thời gian vào: 2026-01-19 09:23:35</t>
  </si>
  <si>
    <t>Thời gian ra: 2026-01-19 18:48:17</t>
  </si>
  <si>
    <t>Thời gian vào: 2026-01-20 09:52:10</t>
  </si>
  <si>
    <t>Thời gian ra: 2026-01-20 19:53:38</t>
  </si>
  <si>
    <t>Thời lượng theo dõi:601 phút</t>
  </si>
  <si>
    <t>Thời gian vào: 2026-01-21 09:23:15</t>
  </si>
  <si>
    <t>Thời gian ra: 2026-01-21 18:59:44</t>
  </si>
  <si>
    <t>Thời gian vào: 2026-01-22 09:54:53</t>
  </si>
  <si>
    <t>Thời gian ra: 2026-01-22 19:07:56</t>
  </si>
  <si>
    <t>Thời gian vào: 2026-01-23 09:39:34</t>
  </si>
  <si>
    <t>Thời gian ra: 2026-01-23 20:02:07</t>
  </si>
  <si>
    <t>Thời gian vào: 2026-01-26 09:26:19</t>
  </si>
  <si>
    <t>Thời gian ra: 2026-01-26 18:29:37</t>
  </si>
  <si>
    <t>Thời gian vào: 2026-01-27 09:39:49</t>
  </si>
  <si>
    <t>Thời gian ra: 2026-01-27 19:03:15</t>
  </si>
  <si>
    <t>Thời gian vào: 2026-01-29 09:38:03</t>
  </si>
  <si>
    <t>Thời gian ra: 2026-01-29 19:27:44</t>
  </si>
  <si>
    <t>Thời gian vào: 2026-01-30 09:46:45</t>
  </si>
  <si>
    <t>Thời gian ra: 2026-01-30 19:48:09</t>
  </si>
  <si>
    <t>Nguyễn Hoàng Giang</t>
  </si>
  <si>
    <t>Nguyễn Vũ Thùy Linh</t>
  </si>
  <si>
    <t>Thời gian vào: 2026-01-15 10:31:57</t>
  </si>
  <si>
    <t>Thời gian ra: 2026-01-15 10:32:58</t>
  </si>
  <si>
    <t>Thời gian vào: 2026-01-05 08:38:29</t>
  </si>
  <si>
    <t>Thời gian ra: 2026-01-05 18:32:55</t>
  </si>
  <si>
    <t>Thời gian vào: 2026-01-06 08:58:29</t>
  </si>
  <si>
    <t>Thời gian ra: 2026-01-06 18:35:25</t>
  </si>
  <si>
    <t>Thời gian vào: 2026-01-07 08:40:57</t>
  </si>
  <si>
    <t>Thời gian ra: 2026-01-07 18:20:43</t>
  </si>
  <si>
    <t>Thời gian vào: 2026-01-08 08:40:21</t>
  </si>
  <si>
    <t>Thời gian ra: 2026-01-08 18:15:30</t>
  </si>
  <si>
    <t>Thời gian vào: 2026-01-09 08:57:24</t>
  </si>
  <si>
    <t>Thời gian ra: 2026-01-09 19:51:10</t>
  </si>
  <si>
    <t>Thời lượng theo dõi:654 phút</t>
  </si>
  <si>
    <t>Thời gian vào: 2026-01-12 08:47:59</t>
  </si>
  <si>
    <t>Thời gian vào: 2026-01-13 08:42:04</t>
  </si>
  <si>
    <t>Thời gian ra: 2026-01-13 18:16:56</t>
  </si>
  <si>
    <t>Thời gian vào: 2026-01-14 08:47:22</t>
  </si>
  <si>
    <t>Thời gian ra: 2026-01-14 18:25:54</t>
  </si>
  <si>
    <t>Thời gian vào: 2026-01-15 12:18:48</t>
  </si>
  <si>
    <t>Thời gian ra: 2026-01-15 18:04:13</t>
  </si>
  <si>
    <t>Thời lượng theo dõi:345 phút</t>
  </si>
  <si>
    <t>Thời gian vào: 2026-01-16 08:22:19</t>
  </si>
  <si>
    <t>Thời gian ra: 2026-01-16 18:02:55</t>
  </si>
  <si>
    <t>Thời gian vào: 2026-01-19 08:36:19</t>
  </si>
  <si>
    <t>Thời gian ra: 2026-01-19 18:24:11</t>
  </si>
  <si>
    <t>Thời lượng theo dõi:588 phút</t>
  </si>
  <si>
    <t>Thời gian vào: 2026-01-20 13:21:53</t>
  </si>
  <si>
    <t>Thời gian ra: 2026-01-20 18:04:20</t>
  </si>
  <si>
    <t>Thời lượng theo dõi:282 phút</t>
  </si>
  <si>
    <t>Thời gian vào: 2026-01-21 08:45:36</t>
  </si>
  <si>
    <t>Thời gian ra: 2026-01-21 18:40:51</t>
  </si>
  <si>
    <t>Thời gian vào: 2026-01-22 08:52:01</t>
  </si>
  <si>
    <t>Thời gian ra: 2026-01-22 18:22:25</t>
  </si>
  <si>
    <t>Thời gian vào: 2026-01-23 08:58:24</t>
  </si>
  <si>
    <t>Thời gian ra: 2026-01-23 18:25:30</t>
  </si>
  <si>
    <t>Thời gian vào: 2026-01-26 13:33:58</t>
  </si>
  <si>
    <t>Thời gian ra: 2026-01-26 18:17:17</t>
  </si>
  <si>
    <t>Thời lượng theo dõi:283 phút</t>
  </si>
  <si>
    <t>Thời gian vào: 2026-01-27 08:38:51</t>
  </si>
  <si>
    <t>Thời gian ra: 2026-01-27 18:22:09</t>
  </si>
  <si>
    <t>Thời gian vào: 2026-01-29 08:19:20</t>
  </si>
  <si>
    <t>Thời gian ra: 2026-01-29 18:18:10</t>
  </si>
  <si>
    <t>Trần Đức Dũng</t>
  </si>
  <si>
    <t xml:space="preserve">Tết </t>
  </si>
  <si>
    <t xml:space="preserve"> </t>
  </si>
  <si>
    <t>Thời gian vào: 2026-01-05 08:43:13</t>
  </si>
  <si>
    <t>Thời gian ra: 2026-01-05 18:15:35</t>
  </si>
  <si>
    <t>Thời gian vào: 2026-01-06 08:40:42</t>
  </si>
  <si>
    <t>Thời gian ra: 2026-01-06 18:15:56</t>
  </si>
  <si>
    <t>Thời gian vào: 2026-01-07 08:40:31</t>
  </si>
  <si>
    <t>Thời gian ra: 2026-01-07 18:12:49</t>
  </si>
  <si>
    <t>Thời gian vào: 2026-01-08 08:43:36</t>
  </si>
  <si>
    <t>Thời gian ra: 2026-01-08 18:15:51</t>
  </si>
  <si>
    <t>Thời gian vào: 2026-01-09 08:53:07</t>
  </si>
  <si>
    <t>Thời gian ra: 2026-01-09 18:08:55</t>
  </si>
  <si>
    <t>Thời gian vào: 2026-01-12 08:55:40</t>
  </si>
  <si>
    <t>Thời gian ra: 2026-01-12 18:13:53</t>
  </si>
  <si>
    <t>Thời gian vào: 2026-01-13 08:35:50</t>
  </si>
  <si>
    <t>Thời gian ra: 2026-01-13 18:12:21</t>
  </si>
  <si>
    <t>Thời gian vào: 2026-01-14 08:42:41</t>
  </si>
  <si>
    <t>Thời gian ra: 2026-01-14 18:12:20</t>
  </si>
  <si>
    <t>Thời gian vào: 2026-01-15 08:35:44</t>
  </si>
  <si>
    <t>Thời gian ra: 2026-01-15 18:14:15</t>
  </si>
  <si>
    <t>Thời gian vào: 2026-01-16 08:33:05</t>
  </si>
  <si>
    <t>Thời gian ra: 2026-01-16 18:11:25</t>
  </si>
  <si>
    <t>Thời gian vào: 2026-01-19 08:46:26</t>
  </si>
  <si>
    <t>Thời gian ra: 2026-01-19 18:15:32</t>
  </si>
  <si>
    <t>Thời gian vào: 2026-01-20 08:43:54</t>
  </si>
  <si>
    <t>Thời gian ra: 2026-01-20 18:11:26</t>
  </si>
  <si>
    <t>Thời gian vào: 2026-01-21 08:34:13</t>
  </si>
  <si>
    <t>Thời gian ra: 2026-01-21 18:09:32</t>
  </si>
  <si>
    <t>Thời gian vào: 2026-01-22 08:48:55</t>
  </si>
  <si>
    <t>Thời gian ra: 2026-01-22 18:15:23</t>
  </si>
  <si>
    <t>Thời gian vào: 2026-01-23 08:44:32</t>
  </si>
  <si>
    <t>Thời gian ra: 2026-01-23 17:09:10</t>
  </si>
  <si>
    <t>Thời lượng theo dõi:505 phút</t>
  </si>
  <si>
    <t>Thời gian vào: 2026-01-26 09:11:30</t>
  </si>
  <si>
    <t>Thời gian ra: 2026-01-26 18:46:12</t>
  </si>
  <si>
    <t>Thời gian vào: 2026-01-27 08:44:11</t>
  </si>
  <si>
    <t>Thời gian ra: 2026-01-27 18:26:07</t>
  </si>
  <si>
    <t>Thời gian vào: 2026-01-28 08:46:51</t>
  </si>
  <si>
    <t>Thời gian ra: 2026-01-28 18:13:59</t>
  </si>
  <si>
    <t>Thời gian vào: 2026-01-30 08:48:03</t>
  </si>
  <si>
    <t>Thời gian ra: 2026-01-30 18:17:14</t>
  </si>
  <si>
    <t>Đinh Thị Thu Hà</t>
  </si>
  <si>
    <t>Thời gian vào: 2026-01-05 08:22:35</t>
  </si>
  <si>
    <t>Thời gian ra: 2026-01-05 18:02:12</t>
  </si>
  <si>
    <t>Thời gian vào: 2026-01-06 08:44:43</t>
  </si>
  <si>
    <t>Thời gian ra: 2026-01-06 18:08:09</t>
  </si>
  <si>
    <t>Thời gian vào: 2026-01-07 08:16:29</t>
  </si>
  <si>
    <t>Thời gian ra: 2026-01-07 18:02:12</t>
  </si>
  <si>
    <t>Thời gian vào: 2026-01-08 08:38:12</t>
  </si>
  <si>
    <t>Thời gian ra: 2026-01-08 18:03:03</t>
  </si>
  <si>
    <t>Thời gian vào: 2026-01-09 08:15:20</t>
  </si>
  <si>
    <t>Thời gian ra: 2026-01-09 18:04:05</t>
  </si>
  <si>
    <t>Thời gian vào: 2026-01-12 08:04:03</t>
  </si>
  <si>
    <t>Thời gian ra: 2026-01-12 18:03:05</t>
  </si>
  <si>
    <t>Thời gian vào: 2026-01-13 08:16:39</t>
  </si>
  <si>
    <t>Thời gian ra: 2026-01-13 18:02:47</t>
  </si>
  <si>
    <t>Thời gian vào: 2026-01-14 08:21:14</t>
  </si>
  <si>
    <t>Thời gian ra: 2026-01-14 12:52:37</t>
  </si>
  <si>
    <t>Thời lượng theo dõi:271 phút</t>
  </si>
  <si>
    <t>Thời gian vào: 2026-01-15 08:21:08</t>
  </si>
  <si>
    <t>Thời gian ra: 2026-01-15 18:02:41</t>
  </si>
  <si>
    <t>Thời gian vào: 2026-01-16 08:12:24</t>
  </si>
  <si>
    <t>Thời gian ra: 2026-01-16 18:02:45</t>
  </si>
  <si>
    <t>Thời gian vào: 2026-01-19 08:28:37</t>
  </si>
  <si>
    <t>Thời gian ra: 2026-01-19 18:03:11</t>
  </si>
  <si>
    <t>Thời gian vào: 2026-01-20 08:22:12</t>
  </si>
  <si>
    <t>Thời gian ra: 2026-01-20 18:08:25</t>
  </si>
  <si>
    <t>Thời gian vào: 2026-01-23 08:25:25</t>
  </si>
  <si>
    <t>Thời gian ra: 2026-01-23 18:03:14</t>
  </si>
  <si>
    <t>Thời gian vào: 2026-01-26 08:28:57</t>
  </si>
  <si>
    <t>Thời gian ra: 2026-01-26 18:04:47</t>
  </si>
  <si>
    <t>Hoàng Thị Hiền Minh</t>
  </si>
  <si>
    <t>Thời gian vào: 2026-01-05 08:36:30</t>
  </si>
  <si>
    <t>Thời gian ra: 2026-01-05 18:15:44</t>
  </si>
  <si>
    <t>Thời gian vào: 2026-01-06 08:43:55</t>
  </si>
  <si>
    <t>Thời gian ra: 2026-01-06 18:16:03</t>
  </si>
  <si>
    <t>Thời gian vào: 2026-01-07 08:35:27</t>
  </si>
  <si>
    <t>Thời gian ra: 2026-01-07 18:23:45</t>
  </si>
  <si>
    <t>Thời gian vào: 2026-01-08 08:42:18</t>
  </si>
  <si>
    <t>Thời gian ra: 2026-01-08 18:13:41</t>
  </si>
  <si>
    <t>Thời gian vào: 2026-01-09 08:44:45</t>
  </si>
  <si>
    <t>Thời gian ra: 2026-01-09 18:16:49</t>
  </si>
  <si>
    <t>Thời gian vào: 2026-01-12 08:31:28</t>
  </si>
  <si>
    <t>Thời gian ra: 2026-01-12 18:23:03</t>
  </si>
  <si>
    <t>Thời gian vào: 2026-01-13 08:24:07</t>
  </si>
  <si>
    <t>Thời gian ra: 2026-01-13 18:11:17</t>
  </si>
  <si>
    <t>Thời gian vào: 2026-01-14 08:22:14</t>
  </si>
  <si>
    <t>Thời gian ra: 2026-01-14 18:12:27</t>
  </si>
  <si>
    <t>Thời gian vào: 2026-01-15 08:24:36</t>
  </si>
  <si>
    <t>Thời gian ra: 2026-01-15 18:11:15</t>
  </si>
  <si>
    <t>Thời gian vào: 2026-01-16 08:27:14</t>
  </si>
  <si>
    <t>Thời gian ra: 2026-01-16 18:16:42</t>
  </si>
  <si>
    <t>Thời gian vào: 2026-01-19 08:23:42</t>
  </si>
  <si>
    <t>Thời gian ra: 2026-01-19 18:16:25</t>
  </si>
  <si>
    <t>Thời gian vào: 2026-01-20 08:23:45</t>
  </si>
  <si>
    <t>Thời gian ra: 2026-01-20 18:12:38</t>
  </si>
  <si>
    <t>Thời gian vào: 2026-01-21 08:24:34</t>
  </si>
  <si>
    <t>Thời gian ra: 2026-01-21 18:06:41</t>
  </si>
  <si>
    <t>Thời gian vào: 2026-01-22 08:27:38</t>
  </si>
  <si>
    <t>Thời gian ra: 2026-01-22 18:14:08</t>
  </si>
  <si>
    <t>Thời gian vào: 2026-01-23 08:24:03</t>
  </si>
  <si>
    <t>Thời gian ra: 2026-01-23 12:00:13</t>
  </si>
  <si>
    <t>Thời lượng theo dõi:216 phút</t>
  </si>
  <si>
    <t>Thời gian vào: 2026-01-28 08:22:06</t>
  </si>
  <si>
    <t>Thời gian ra: 2026-01-28 18:12:33</t>
  </si>
  <si>
    <t>Thời gian vào: 2026-01-29 08:25:31</t>
  </si>
  <si>
    <t>Thời gian ra: 2026-01-29 18:12:11</t>
  </si>
  <si>
    <t>Thời gian vào: 2026-01-30 08:24:37</t>
  </si>
  <si>
    <t>Thời gian ra: 2026-01-30 18:10:09</t>
  </si>
  <si>
    <t>Thời gian vào: 2026-01-16 08:44:38</t>
  </si>
  <si>
    <t>Thời gian vào: 2026-01-19 08:57:28</t>
  </si>
  <si>
    <t>Thời gian ra: 2026-01-19 18:01:43</t>
  </si>
  <si>
    <t>Thời gian vào: 2026-01-20 08:39:26</t>
  </si>
  <si>
    <t>Thời gian ra: 2026-01-20 16:47:00</t>
  </si>
  <si>
    <t>Thời gian vào: 2026-01-21 18:07:19</t>
  </si>
  <si>
    <t>Thời gian vào: 2026-01-22 18:00:10</t>
  </si>
  <si>
    <t>Thời gian vào: 2026-01-23 08:49:08</t>
  </si>
  <si>
    <t>Thời gian ra: 2026-01-23 18:00:14</t>
  </si>
  <si>
    <t>Thời gian vào: 2026-01-26 08:39:30</t>
  </si>
  <si>
    <t>Thời gian ra: 2026-01-26 18:02:02</t>
  </si>
  <si>
    <t>Thời gian vào: 2026-01-27 08:40:59</t>
  </si>
  <si>
    <t>Thời gian ra: 2026-01-27 17:01:11</t>
  </si>
  <si>
    <t>Thời gian vào: 2026-01-28 08:31:09</t>
  </si>
  <si>
    <t>Thời gian ra: 2026-01-28 17:33:48</t>
  </si>
  <si>
    <t>Thời gian vào: 2026-01-29 08:29:05</t>
  </si>
  <si>
    <t>Thời gian ra: 2026-01-29 18:02:52</t>
  </si>
  <si>
    <t>Thời gian vào: 2026-01-30 08:33:31</t>
  </si>
  <si>
    <t>Thời gian ra: 2026-01-30 17:26:21</t>
  </si>
  <si>
    <t>Thời lượng theo dõi:533 phút</t>
  </si>
  <si>
    <t>Thời gian vào: 2026-01-05 08:32:11</t>
  </si>
  <si>
    <t>Thời gian ra: 2026-01-05 18:13:53</t>
  </si>
  <si>
    <t>Thời gian vào: 2026-01-06 08:46:44</t>
  </si>
  <si>
    <t>Thời gian ra: 2026-01-06 18:34:10</t>
  </si>
  <si>
    <t>Thời gian vào: 2026-01-07 08:39:01</t>
  </si>
  <si>
    <t>Thời gian ra: 2026-01-07 18:35:42</t>
  </si>
  <si>
    <t>Thời gian vào: 2026-01-08 08:52:40</t>
  </si>
  <si>
    <t>Thời gian ra: 2026-01-08 18:12:22</t>
  </si>
  <si>
    <t>Thời lượng theo dõi:560 phút</t>
  </si>
  <si>
    <t>Thời gian vào: 2026-01-09 08:34:46</t>
  </si>
  <si>
    <t>Thời gian ra: 2026-01-09 18:38:25</t>
  </si>
  <si>
    <t>Thời gian vào: 2026-01-10 08:38:13</t>
  </si>
  <si>
    <t>Thời gian ra: 2026-01-10 18:32:56</t>
  </si>
  <si>
    <t>Thời gian vào: 2026-01-12 08:37:44</t>
  </si>
  <si>
    <t>Thời gian ra: 2026-01-12 18:15:11</t>
  </si>
  <si>
    <t>Thời gian vào: 2026-01-13 08:54:41</t>
  </si>
  <si>
    <t>Thời gian ra: 2026-01-13 18:22:27</t>
  </si>
  <si>
    <t>Thời gian vào: 2026-01-14 08:35:12</t>
  </si>
  <si>
    <t>Thời gian ra: 2026-01-14 18:09:17</t>
  </si>
  <si>
    <t>Thời gian vào: 2026-01-15 08:44:18</t>
  </si>
  <si>
    <t>Thời gian ra: 2026-01-15 18:18:48</t>
  </si>
  <si>
    <t>Thời gian vào: 2026-01-16 08:40:32</t>
  </si>
  <si>
    <t>Thời gian ra: 2026-01-16 18:44:51</t>
  </si>
  <si>
    <t>Thời gian vào: 2026-01-19 08:40:55</t>
  </si>
  <si>
    <t>Thời gian ra: 2026-01-19 18:17:04</t>
  </si>
  <si>
    <t>Thời gian vào: 2026-01-20 08:32:06</t>
  </si>
  <si>
    <t>Thời gian ra: 2026-01-20 18:09:37</t>
  </si>
  <si>
    <t>Thời gian vào: 2026-01-21 08:42:39</t>
  </si>
  <si>
    <t>Thời gian ra: 2026-01-21 18:19:06</t>
  </si>
  <si>
    <t>Thời gian vào: 2026-01-22 08:31:10</t>
  </si>
  <si>
    <t>Thời gian ra: 2026-01-22 18:10:18</t>
  </si>
  <si>
    <t>Thời gian vào: 2026-01-23 08:36:51</t>
  </si>
  <si>
    <t>Thời gian ra: 2026-01-23 18:48:06</t>
  </si>
  <si>
    <t>Thời gian vào: 2026-01-26 08:33:56</t>
  </si>
  <si>
    <t>Thời gian ra: 2026-01-26 18:21:21</t>
  </si>
  <si>
    <t>Thời gian vào: 2026-01-27 08:41:14</t>
  </si>
  <si>
    <t>Thời gian ra: 2026-01-27 19:26:22</t>
  </si>
  <si>
    <t>Thời lượng theo dõi:645 phút</t>
  </si>
  <si>
    <t>Thời gian vào: 2026-01-28 08:34:40</t>
  </si>
  <si>
    <t>Thời gian ra: 2026-01-28 18:10:58</t>
  </si>
  <si>
    <t>Thời gian vào: 2026-01-29 08:43:18</t>
  </si>
  <si>
    <t>Thời gian ra: 2026-01-29 18:36:49</t>
  </si>
  <si>
    <t>Thời gian vào: 2026-01-30 08:37:23</t>
  </si>
  <si>
    <t>Thời gian ra: 2026-01-30 19:05:13</t>
  </si>
  <si>
    <t>Thời lượng theo dõi:628 phút</t>
  </si>
  <si>
    <t>Nguyễn Phương Thảo</t>
  </si>
  <si>
    <t>Khổng Thị Vân Anh</t>
  </si>
  <si>
    <t>Thời gian vào: 2026-01-08 17:42:40</t>
  </si>
  <si>
    <t>Thời gian ra: 2026-01-08 19:24:38</t>
  </si>
  <si>
    <t>Thời lượng theo dõi:102 phút</t>
  </si>
  <si>
    <t>Thời gian vào: 2026-01-09 07:23:13</t>
  </si>
  <si>
    <t>Thời gian ra: 2026-01-09 19:13:10</t>
  </si>
  <si>
    <t>Thời lượng theo dõi:710 phút</t>
  </si>
  <si>
    <t>Thời gian vào: 2026-01-10 08:54:15</t>
  </si>
  <si>
    <t>Thời gian ra: 2026-01-10 18:57:42</t>
  </si>
  <si>
    <t>Thời gian vào: 2026-01-12 08:58:29</t>
  </si>
  <si>
    <t>Thời gian ra: 2026-01-12 19:40:31</t>
  </si>
  <si>
    <t>Thời lượng theo dõi:642 phút</t>
  </si>
  <si>
    <t>Thời gian vào: 2026-01-13 08:42:53</t>
  </si>
  <si>
    <t>Thời gian ra: 2026-01-13 18:54:20</t>
  </si>
  <si>
    <t>Thời gian vào: 2026-01-14 08:47:38</t>
  </si>
  <si>
    <t>Thời gian ra: 2026-01-14 18:43:15</t>
  </si>
  <si>
    <t>Thời gian vào: 2026-01-15 08:50:23</t>
  </si>
  <si>
    <t>Thời gian ra: 2026-01-15 19:04:06</t>
  </si>
  <si>
    <t>Thời lượng theo dõi:614 phút</t>
  </si>
  <si>
    <t>Thời gian vào: 2026-01-16 13:40:15</t>
  </si>
  <si>
    <t>Thời gian ra: 2026-01-16 18:14:48</t>
  </si>
  <si>
    <t>Thời gian vào: 2026-01-19 08:45:30</t>
  </si>
  <si>
    <t>Thời gian ra: 2026-01-19 12:41:15</t>
  </si>
  <si>
    <t>Thời lượng theo dõi:236 phút</t>
  </si>
  <si>
    <t>Thời gian vào: 2026-01-20 08:46:38</t>
  </si>
  <si>
    <t>Thời gian ra: 2026-01-20 19:53:57</t>
  </si>
  <si>
    <t>Thời gian vào: 2026-01-21 08:45:14</t>
  </si>
  <si>
    <t>Thời gian ra: 2026-01-21 19:16:31</t>
  </si>
  <si>
    <t>Thời gian vào: 2026-01-26 08:47:34</t>
  </si>
  <si>
    <t>Thời gian ra: 2026-01-26 18:33:05</t>
  </si>
  <si>
    <t>Thời gian vào: 2026-01-27 08:53:35</t>
  </si>
  <si>
    <t>Thời gian ra: 2026-01-27 20:40:22</t>
  </si>
  <si>
    <t>Thời lượng theo dõi:707 phút</t>
  </si>
  <si>
    <t>Thời gian vào: 2026-01-28 08:56:03</t>
  </si>
  <si>
    <t>Thời gian ra: 2026-01-28 18:21:55</t>
  </si>
  <si>
    <t>Thời gian vào: 2026-01-29 08:56:30</t>
  </si>
  <si>
    <t>Thời gian ra: 2026-01-29 18:52:13</t>
  </si>
  <si>
    <t>Thời gian vào: 2026-01-30 08:56:36</t>
  </si>
  <si>
    <t>Thời gian ra: 2026-01-30 19:07:48</t>
  </si>
  <si>
    <t>Nguyễn Hà Tú</t>
  </si>
  <si>
    <t>Trendi</t>
  </si>
  <si>
    <t>Thời gian vào: 2026-01-08 16:20:43</t>
  </si>
  <si>
    <t>Thời gian vào: 2026-01-09 08:28:31</t>
  </si>
  <si>
    <t>Thời gian ra: 2026-01-09 20:53:25</t>
  </si>
  <si>
    <t>Thời lượng theo dõi:745 phút</t>
  </si>
  <si>
    <t>Thời gian vào: 2026-01-12 08:27:33</t>
  </si>
  <si>
    <t>Thời gian ra: 2026-01-12 18:56:42</t>
  </si>
  <si>
    <t>Thời gian vào: 2026-01-13 08:30:49</t>
  </si>
  <si>
    <t>Thời gian ra: 2026-01-13 18:47:51</t>
  </si>
  <si>
    <t>Thời lượng theo dõi:617 phút</t>
  </si>
  <si>
    <t>Thời gian vào: 2026-01-14 08:28:35</t>
  </si>
  <si>
    <t>Thời gian ra: 2026-01-14 19:35:13</t>
  </si>
  <si>
    <t>Thời gian vào: 2026-01-15 08:35:57</t>
  </si>
  <si>
    <t>Thời gian ra: 2026-01-15 21:52:42</t>
  </si>
  <si>
    <t>Thời lượng theo dõi:797 phút</t>
  </si>
  <si>
    <t>Thời gian vào: 2026-01-16 08:27:06</t>
  </si>
  <si>
    <t>Thời gian ra: 2026-01-16 12:35:36</t>
  </si>
  <si>
    <t>Thời lượng theo dõi:249 phút</t>
  </si>
  <si>
    <t>Thời gian vào: 2026-01-19 08:43:21</t>
  </si>
  <si>
    <t>Thời gian ra: 2026-01-19 18:15:13</t>
  </si>
  <si>
    <t>Thời gian vào: 2026-01-20 08:28:43</t>
  </si>
  <si>
    <t>Thời gian ra: 2026-01-20 18:08:07</t>
  </si>
  <si>
    <t>Thời gian vào: 2026-01-21 08:28:41</t>
  </si>
  <si>
    <t>Thời gian ra: 2026-01-21 18:06:13</t>
  </si>
  <si>
    <t>Thời gian vào: 2026-01-22 08:31:18</t>
  </si>
  <si>
    <t>Thời gian ra: 2026-01-22 18:09:12</t>
  </si>
  <si>
    <t>Thời gian vào: 2026-01-23 08:26:06</t>
  </si>
  <si>
    <t>Thời gian ra: 2026-01-23 18:05:20</t>
  </si>
  <si>
    <t>Thời gian vào: 2026-01-26 08:34:25</t>
  </si>
  <si>
    <t>Thời gian ra: 2026-01-26 18:18:50</t>
  </si>
  <si>
    <t>Thời lượng theo dõi:584 phút</t>
  </si>
  <si>
    <t>Thời gian vào: 2026-01-27 08:30:17</t>
  </si>
  <si>
    <t>Thời gian ra: 2026-01-27 17:36:40</t>
  </si>
  <si>
    <t>Thời gian vào: 2026-01-28 08:28:36</t>
  </si>
  <si>
    <t>Thời gian ra: 2026-01-28 17:44:43</t>
  </si>
  <si>
    <t>Thời gian vào: 2026-01-29 08:25:34</t>
  </si>
  <si>
    <t>Thời gian ra: 2026-01-29 17:46:51</t>
  </si>
  <si>
    <t>Thời gian vào: 2026-01-30 08:30:38</t>
  </si>
  <si>
    <t>Thời gian ra: 2026-01-30 18:29:18</t>
  </si>
  <si>
    <t>Đào Thị Thơm</t>
  </si>
  <si>
    <t>Thời gian vào: 2026-01-08 16:16:07</t>
  </si>
  <si>
    <t>Thời gian ra: 2026-01-08 19:24:45</t>
  </si>
  <si>
    <t>Thời lượng theo dõi:189 phút</t>
  </si>
  <si>
    <t>Thời gian vào: 2026-01-09 09:17:52</t>
  </si>
  <si>
    <t>Thời gian ra: 2026-01-09 19:17:50</t>
  </si>
  <si>
    <t>Thời gian vào: 2026-01-10 08:48:40</t>
  </si>
  <si>
    <t>Thời gian ra: 2026-01-10 19:50:57</t>
  </si>
  <si>
    <t>Thời lượng theo dõi:662 phút</t>
  </si>
  <si>
    <t>Thời gian vào: 2026-01-12 08:56:06</t>
  </si>
  <si>
    <t>Thời gian ra: 2026-01-12 19:35:53</t>
  </si>
  <si>
    <t>Thời gian vào: 2026-01-13 09:08:30</t>
  </si>
  <si>
    <t>Thời gian ra: 2026-01-13 18:52:11</t>
  </si>
  <si>
    <t>Thời gian vào: 2026-01-15 08:52:02</t>
  </si>
  <si>
    <t>Thời gian ra: 2026-01-15 18:55:26</t>
  </si>
  <si>
    <t>Thời gian vào: 2026-01-16 14:35:30</t>
  </si>
  <si>
    <t>Thời gian ra: 2026-01-16 18:19:44</t>
  </si>
  <si>
    <t>Thời lượng theo dõi:224 phút</t>
  </si>
  <si>
    <t>Thời gian vào: 2026-01-19 08:59:55</t>
  </si>
  <si>
    <t>Thời gian ra: 2026-01-19 18:31:54</t>
  </si>
  <si>
    <t>Thời gian vào: 2026-01-20 08:47:31</t>
  </si>
  <si>
    <t>Thời gian ra: 2026-01-20 18:28:42</t>
  </si>
  <si>
    <t>Thời gian vào: 2026-01-21 08:53:33</t>
  </si>
  <si>
    <t>Thời gian ra: 2026-01-21 18:03:56</t>
  </si>
  <si>
    <t>Thời gian vào: 2026-01-22 08:54:54</t>
  </si>
  <si>
    <t>Thời gian ra: 2026-01-22 18:06:41</t>
  </si>
  <si>
    <t>Thời gian vào: 2026-01-23 08:56:42</t>
  </si>
  <si>
    <t>Thời gian ra: 2026-01-23 18:52:01</t>
  </si>
  <si>
    <t>Thời gian vào: 2026-01-26 08:59:56</t>
  </si>
  <si>
    <t>Thời gian ra: 2026-01-26 18:10:12</t>
  </si>
  <si>
    <t>Thời gian vào: 2026-01-27 08:58:33</t>
  </si>
  <si>
    <t>Thời gian ra: 2026-01-27 18:10:46</t>
  </si>
  <si>
    <t>Thời gian vào: 2026-01-28 09:00:59</t>
  </si>
  <si>
    <t>Thời gian ra: 2026-01-28 18:20:52</t>
  </si>
  <si>
    <t>Thời gian vào: 2026-01-30 09:00:46</t>
  </si>
  <si>
    <t>Thời gian ra: 2026-01-30 18:02:26</t>
  </si>
  <si>
    <t>Mai Công Huân</t>
  </si>
  <si>
    <t>Thời gian vào: 2026-01-08 16:27:38</t>
  </si>
  <si>
    <t>Thời gian ra: 2026-01-08 18:20:57</t>
  </si>
  <si>
    <t>Thời lượng theo dõi:113 phút</t>
  </si>
  <si>
    <t>Thời gian vào: 2026-01-09 08:29:20</t>
  </si>
  <si>
    <t>Thời gian ra: 2026-01-09 18:10:11</t>
  </si>
  <si>
    <t>Thời gian vào: 2026-01-12 08:26:55</t>
  </si>
  <si>
    <t>Thời gian ra: 2026-01-12 18:04:58</t>
  </si>
  <si>
    <t>Thời gian vào: 2026-01-13 08:26:37</t>
  </si>
  <si>
    <t>Thời gian ra: 2026-01-13 18:05:21</t>
  </si>
  <si>
    <t>Thời gian vào: 2026-01-14 12:57:37</t>
  </si>
  <si>
    <t>Thời gian ra: 2026-01-14 22:10:06</t>
  </si>
  <si>
    <t>Thời gian vào: 2026-01-15 08:32:29</t>
  </si>
  <si>
    <t>Thời gian ra: 2026-01-15 12:28:51</t>
  </si>
  <si>
    <t>Thời gian vào: 2026-01-16 00:16:16</t>
  </si>
  <si>
    <t>Thời gian ra: 2026-01-16 16:35:57</t>
  </si>
  <si>
    <t>Thời lượng theo dõi:980 phút</t>
  </si>
  <si>
    <t>Thời gian vào: 2026-01-19 08:29:26</t>
  </si>
  <si>
    <t>Thời gian ra: 2026-01-19 18:03:03</t>
  </si>
  <si>
    <t>Thời gian vào: 2026-01-20 08:26:16</t>
  </si>
  <si>
    <t>Thời gian ra: 2026-01-20 18:04:16</t>
  </si>
  <si>
    <t>Thời gian vào: 2026-01-21 08:22:35</t>
  </si>
  <si>
    <t>Thời gian vào: 2026-01-22 08:29:05</t>
  </si>
  <si>
    <t>Thời gian ra: 2026-01-22 18:03:44</t>
  </si>
  <si>
    <t>Thời gian vào: 2026-01-23 08:29:24</t>
  </si>
  <si>
    <t>Thời gian ra: 2026-01-23 20:59:15</t>
  </si>
  <si>
    <t>Thời lượng theo dõi:750 phút</t>
  </si>
  <si>
    <t>Thời gian vào: 2026-01-26 13:19:58</t>
  </si>
  <si>
    <t>Thời gian ra: 2026-01-26 18:58:54</t>
  </si>
  <si>
    <t>Thời lượng theo dõi:339 phút</t>
  </si>
  <si>
    <t>Thời gian vào: 2026-01-27 08:38:14</t>
  </si>
  <si>
    <t>Thời gian vào: 2026-01-28 10:34:15</t>
  </si>
  <si>
    <t>Thời gian ra: 2026-01-28 18:49:58</t>
  </si>
  <si>
    <t>Thời lượng theo dõi:496 phút</t>
  </si>
  <si>
    <t>Thời gian vào: 2026-01-29 08:27:56</t>
  </si>
  <si>
    <t>Thời gian ra: 2026-01-29 18:13:58</t>
  </si>
  <si>
    <t>Thời gian vào: 2026-01-30 08:25:29</t>
  </si>
  <si>
    <t>Thời gian ra: 2026-01-30 18:51:56</t>
  </si>
  <si>
    <t>Thời gian vào: 2026-02-01 14:07:30</t>
  </si>
  <si>
    <t>Lương Tú Đức</t>
  </si>
  <si>
    <t>Thời gian vào: 2026-01-26 17:43:10</t>
  </si>
  <si>
    <t>Thời gian ra: 2026-01-26 18:35:07</t>
  </si>
  <si>
    <t>Thời lượng theo dõi:52 phút</t>
  </si>
  <si>
    <t>Thời gian vào: 2026-01-27 08:34:25</t>
  </si>
  <si>
    <t>Thời gian ra: 2026-01-27 18:31:03</t>
  </si>
  <si>
    <t>Thời gian vào: 2026-01-28 08:31:18</t>
  </si>
  <si>
    <t>Thời gian ra: 2026-01-28 22:30:39</t>
  </si>
  <si>
    <t>Thời lượng theo dõi:839 phút</t>
  </si>
  <si>
    <t>Thời gian vào: 2026-01-29 09:05:54</t>
  </si>
  <si>
    <t>Thời gian ra: 2026-01-29 22:24:07</t>
  </si>
  <si>
    <t>Thời lượng theo dõi:798 phút</t>
  </si>
  <si>
    <t>Thời gian vào: 2026-01-30 09:48:51</t>
  </si>
  <si>
    <t>Thời gian ra: 2026-01-30 19:54:35</t>
  </si>
  <si>
    <t>Thời gian vào: 2026-02-01 10:48:24</t>
  </si>
  <si>
    <t>Thời gian ra: 2026-02-01 10:48:28</t>
  </si>
  <si>
    <t>Bùi Minh Huy</t>
  </si>
  <si>
    <t>Canopi</t>
  </si>
  <si>
    <t>Thời gian vào: 2026-01-29 15:47:39</t>
  </si>
  <si>
    <t>Thời gian ra: 2026-01-29 18:21:43</t>
  </si>
  <si>
    <t>Thời lượng theo dõi:154 phút</t>
  </si>
  <si>
    <t>Thời gian vào: 2026-01-30 08:19:58</t>
  </si>
  <si>
    <t>Thời gian ra: 2026-01-30 18:22:42</t>
  </si>
  <si>
    <t>Vũ Thị Thuý Nga</t>
  </si>
  <si>
    <t>Nguyễn Minh Hạnh</t>
  </si>
  <si>
    <t>Đỗ Khánh Huyền</t>
  </si>
  <si>
    <t xml:space="preserve">TET </t>
  </si>
  <si>
    <t xml:space="preserve">Weekend </t>
  </si>
  <si>
    <t>Thời gian vào: 2026-01-05 08:27:20</t>
  </si>
  <si>
    <t>Thời gian ra: 2026-01-05 18:27:25</t>
  </si>
  <si>
    <t>Họp sửa đề cương HMUH tại BV</t>
  </si>
  <si>
    <t>Thời gian vào: 2026-01-06 18:22:30</t>
  </si>
  <si>
    <t>Thời gian vào: 2026-01-07 08:08:56</t>
  </si>
  <si>
    <t>Thời gian ra: 2026-01-07 18:02:00</t>
  </si>
  <si>
    <t>Thời gian vào: 2026-01-08 08:22:38</t>
  </si>
  <si>
    <t>Thời gian ra: 2026-01-08 18:29:43</t>
  </si>
  <si>
    <t xml:space="preserve">REMOTE </t>
  </si>
  <si>
    <t>Thời gian vào: 2026-01-09 08:24:40</t>
  </si>
  <si>
    <t>Thời gian ra: 2026-01-09 12:19:50</t>
  </si>
  <si>
    <t>No data</t>
  </si>
  <si>
    <t>ko check out?</t>
  </si>
  <si>
    <t>Thời gian vào: 2026-01-13 08:18:45</t>
  </si>
  <si>
    <t>Thời gian vào: 2026-01-14 08:18:56</t>
  </si>
  <si>
    <t>Thời gian ra: 2026-01-14 18:15:16</t>
  </si>
  <si>
    <t>Thời gian vào: 2026-01-15 18:20:22</t>
  </si>
  <si>
    <t>Họp sửa hồ sơ với BV</t>
  </si>
  <si>
    <t>Thời gian vào: 2026-01-16 08:17:50</t>
  </si>
  <si>
    <t>Thời gian ra: 2026-01-16 12:43:20</t>
  </si>
  <si>
    <t>Thời lượng theo dõi:266 phút</t>
  </si>
  <si>
    <t>Thời gian vào: 2026-01-19 08:27:44</t>
  </si>
  <si>
    <t>Thời gian ra: 2026-01-19 16:54:06</t>
  </si>
  <si>
    <t>ko chekc in?</t>
  </si>
  <si>
    <t>Thời gian vào: 2026-01-20 18:21:07</t>
  </si>
  <si>
    <t>Thời gian vào: 2026-01-21 08:24:53</t>
  </si>
  <si>
    <t>Thời gian ra: 2026-01-21 18:19:33</t>
  </si>
  <si>
    <t xml:space="preserve">Cần kiêm tra </t>
  </si>
  <si>
    <t>Thời gian vào: 2026-01-23 08:26:17</t>
  </si>
  <si>
    <t>Thời gian ra: 2026-01-23 13:33:21</t>
  </si>
  <si>
    <t>Thời lượng theo dõi:307 phút</t>
  </si>
  <si>
    <t>Thời gian vào: 2026-01-26 08:27:53</t>
  </si>
  <si>
    <t>Thời gian vào: 2026-01-28 08:26:10</t>
  </si>
  <si>
    <t>Thời gian vào: 2026-01-29 08:22:46</t>
  </si>
  <si>
    <t>Thời gian vào: 2026-01-30 08:31:05</t>
  </si>
  <si>
    <t>Thời gian ra: 2026-01-30 17:39:21</t>
  </si>
  <si>
    <t>PH</t>
  </si>
  <si>
    <t>Thời gian vào: 2026-01-05 08:35:55</t>
  </si>
  <si>
    <t>Thời gian ra: 2026-01-05 18:16:13</t>
  </si>
  <si>
    <t>Thời gian vào: 2026-01-06 08:45:12</t>
  </si>
  <si>
    <t>Thời gian ra: 2026-01-06 18:20:34</t>
  </si>
  <si>
    <t>Thời gian vào: 2026-01-07 08:51:07</t>
  </si>
  <si>
    <t>Thời gian ra: 2026-01-07 18:29:31</t>
  </si>
  <si>
    <t>Thời gian vào: 2026-01-08 10:44:06</t>
  </si>
  <si>
    <t>Thời gian ra: 2026-01-08 18:47:05</t>
  </si>
  <si>
    <t>Thời lượng theo dõi:483 phút</t>
  </si>
  <si>
    <t>Thời gian vào: 2026-01-09 08:56:31</t>
  </si>
  <si>
    <t>Thời gian ra: 2026-01-09 17:10:22</t>
  </si>
  <si>
    <t>Thời gian vào: 2026-01-10 08:42:48</t>
  </si>
  <si>
    <t>Thời gian ra: 2026-01-10 18:05:58</t>
  </si>
  <si>
    <t>Thời gian vào: 2026-01-13 08:47:26</t>
  </si>
  <si>
    <t>Thời gian ra: 2026-01-13 18:12:30</t>
  </si>
  <si>
    <t>Thời gian vào: 2026-01-14 13:39:23</t>
  </si>
  <si>
    <t>Thời gian ra: 2026-01-14 13:39:32</t>
  </si>
  <si>
    <t>Thời gian vào: 2026-01-16 09:54:56</t>
  </si>
  <si>
    <t>Thời gian ra: 2026-01-16 18:42:42</t>
  </si>
  <si>
    <t>Thời lượng theo dõi:528 phút</t>
  </si>
  <si>
    <t>Thời gian vào: 2026-01-19 08:38:13</t>
  </si>
  <si>
    <t>Thời gian ra: 2026-01-19 18:14:43</t>
  </si>
  <si>
    <t>Thời gian vào: 2026-01-20 08:10:09</t>
  </si>
  <si>
    <t>Thời gian ra: 2026-01-20 18:07:38</t>
  </si>
  <si>
    <t>Thời gian vào: 2026-01-21 08:39:47</t>
  </si>
  <si>
    <t>Thời gian ra: 2026-01-21 18:11:26</t>
  </si>
  <si>
    <t>Thời gian vào: 2026-01-22 08:29:00</t>
  </si>
  <si>
    <t>Thời gian ra: 2026-01-22 18:40:18</t>
  </si>
  <si>
    <t>Thời gian vào: 2026-01-26 09:06:29</t>
  </si>
  <si>
    <t>Thời gian ra: 2026-01-26 14:15:56</t>
  </si>
  <si>
    <t>Thời lượng theo dõi:309 phút</t>
  </si>
  <si>
    <t>Thời gian vào: 2026-01-27 08:40:05</t>
  </si>
  <si>
    <t>Thời gian ra: 2026-01-27 18:10:29</t>
  </si>
  <si>
    <t>Nguyễn Đức Hùng</t>
  </si>
  <si>
    <t>Thời gian vào: 2026-01-05 08:24:33</t>
  </si>
  <si>
    <t>Thời gian ra: 2026-01-05 18:12:34</t>
  </si>
  <si>
    <t>Thời gian vào: 2026-01-06 08:36:24</t>
  </si>
  <si>
    <t>Thời gian ra: 2026-01-06 18:35:55</t>
  </si>
  <si>
    <t>Thời gian vào: 2026-01-07 08:38:04</t>
  </si>
  <si>
    <t>Thời gian ra: 2026-01-07 18:43:40</t>
  </si>
  <si>
    <t>Thời gian vào: 2026-01-08 09:24:31</t>
  </si>
  <si>
    <t>Thời gian ra: 2026-01-08 18:58:10</t>
  </si>
  <si>
    <t>Thời gian vào: 2026-01-09 12:33:08</t>
  </si>
  <si>
    <t>Thời gian vào: 2026-01-12 08:35:37</t>
  </si>
  <si>
    <t>Thời gian ra: 2026-01-12 18:39:44</t>
  </si>
  <si>
    <t>Thời gian vào: 2026-01-13 08:42:39</t>
  </si>
  <si>
    <t>Thời gian ra: 2026-01-13 18:32:01</t>
  </si>
  <si>
    <t>Thời gian vào: 2026-01-14 08:45:21</t>
  </si>
  <si>
    <t>Thời gian ra: 2026-01-14 19:39:45</t>
  </si>
  <si>
    <t>Thời gian vào: 2026-01-15 08:40:08</t>
  </si>
  <si>
    <t>Thời gian ra: 2026-01-15 18:55:30</t>
  </si>
  <si>
    <t>Thời gian vào: 2026-01-16 18:29:20</t>
  </si>
  <si>
    <t>Thời gian vào: 2026-01-19 08:59:26</t>
  </si>
  <si>
    <t>Thời gian ra: 2026-01-19 19:28:02</t>
  </si>
  <si>
    <t>Thời gian vào: 2026-01-20 08:34:28</t>
  </si>
  <si>
    <t>Thời gian ra: 2026-01-20 18:15:03</t>
  </si>
  <si>
    <t>Thời gian vào: 2026-01-21 08:43:19</t>
  </si>
  <si>
    <t>Thời gian ra: 2026-01-21 18:51:55</t>
  </si>
  <si>
    <t>Thời gian vào: 2026-01-22 08:40:04</t>
  </si>
  <si>
    <t>Thời gian ra: 2026-01-22 18:58:56</t>
  </si>
  <si>
    <t>Thời gian vào: 2026-01-26 08:39:34</t>
  </si>
  <si>
    <t>Thời gian ra: 2026-01-26 18:38:42</t>
  </si>
  <si>
    <t>Thời gian vào: 2026-01-27 08:39:28</t>
  </si>
  <si>
    <t>Thời gian ra: 2026-01-27 20:07:35</t>
  </si>
  <si>
    <t>Thời lượng theo dõi:688 phút</t>
  </si>
  <si>
    <t>Thời gian vào: 2026-01-28 08:43:16</t>
  </si>
  <si>
    <t>Thời gian ra: 2026-01-28 19:23:30</t>
  </si>
  <si>
    <t>Thời gian vào: 2026-01-29 08:32:15</t>
  </si>
  <si>
    <t>Thời gian ra: 2026-01-29 19:20:42</t>
  </si>
  <si>
    <t>Thời lượng theo dõi:648 phút</t>
  </si>
  <si>
    <t>Thời gian vào: 2026-01-30 18:23:39</t>
  </si>
  <si>
    <t>Phạm Giang Huy</t>
  </si>
  <si>
    <t>Thời gian vào: 2026-01-05 09:04:46</t>
  </si>
  <si>
    <t>Thời gian ra: 2026-01-05 19:26:38</t>
  </si>
  <si>
    <t>Thời lượng theo dõi:622 phút</t>
  </si>
  <si>
    <t>Thời gian vào: 2026-01-06 12:59:17</t>
  </si>
  <si>
    <t>Thời gian ra: 2026-01-06 20:46:48</t>
  </si>
  <si>
    <t>Thời lượng theo dõi:468 phút</t>
  </si>
  <si>
    <t>Thời gian vào: 2026-01-07 09:22:21</t>
  </si>
  <si>
    <t>Thời gian ra: 2026-01-07 19:57:24</t>
  </si>
  <si>
    <t>Thời lượng theo dõi:635 phút</t>
  </si>
  <si>
    <t>Thời gian vào: 2026-01-08 09:33:34</t>
  </si>
  <si>
    <t>Thời gian ra: 2026-01-08 18:32:13</t>
  </si>
  <si>
    <t>Thời gian vào: 2026-01-09 19:17:42</t>
  </si>
  <si>
    <t>Thời gian vào: 2026-01-10 09:20:54</t>
  </si>
  <si>
    <t>Thời gian ra: 2026-01-10 19:20:46</t>
  </si>
  <si>
    <t>Thời gian vào: 2026-01-12 08:57:17</t>
  </si>
  <si>
    <t>Thời gian ra: 2026-01-12 19:24:30</t>
  </si>
  <si>
    <t>Thời gian vào: 2026-01-13 09:00:53</t>
  </si>
  <si>
    <t>Thời gian ra: 2026-01-13 19:27:42</t>
  </si>
  <si>
    <t>Thời gian vào: 2026-01-14 09:19:26</t>
  </si>
  <si>
    <t>Thời gian ra: 2026-01-14 19:33:24</t>
  </si>
  <si>
    <t>Thời gian vào: 2026-01-15 09:30:41</t>
  </si>
  <si>
    <t>Thời gian ra: 2026-01-15 19:05:13</t>
  </si>
  <si>
    <t>Thời gian vào: 2026-01-16 09:00:11</t>
  </si>
  <si>
    <t>Thời gian ra: 2026-01-16 19:55:53</t>
  </si>
  <si>
    <t>Thời gian vào: 2026-01-19 09:06:51</t>
  </si>
  <si>
    <t>Thời gian ra: 2026-01-19 19:34:31</t>
  </si>
  <si>
    <t>Thời gian vào: 2026-01-20 21:15:17</t>
  </si>
  <si>
    <t>Thời gian ra: 2026-01-20 21:15:18</t>
  </si>
  <si>
    <t>Thời gian vào: 2026-01-21 10:00:51</t>
  </si>
  <si>
    <t>Thời gian ra: 2026-01-21 19:31:26</t>
  </si>
  <si>
    <t>Thời gian vào: 2026-01-22 09:34:06</t>
  </si>
  <si>
    <t>Thời gian ra: 2026-01-22 20:36:50</t>
  </si>
  <si>
    <t>Thời lượng theo dõi:663 phút</t>
  </si>
  <si>
    <t>Thời gian vào: 2026-01-23 13:57:17</t>
  </si>
  <si>
    <t>Thời gian ra: 2026-01-23 21:49:55</t>
  </si>
  <si>
    <t>Thời lượng theo dõi:473 phút</t>
  </si>
  <si>
    <t>Thời gian vào: 2026-01-26 09:19:02</t>
  </si>
  <si>
    <t>Thời gian ra: 2026-01-26 18:29:46</t>
  </si>
  <si>
    <t>Thời gian vào: 2026-01-27 09:13:54</t>
  </si>
  <si>
    <t>Thời gian ra: 2026-01-27 20:40:21</t>
  </si>
  <si>
    <t>Thời lượng theo dõi:686 phút</t>
  </si>
  <si>
    <t>Thời gian vào: 2026-01-28 14:06:23</t>
  </si>
  <si>
    <t>Thời gian ra: 2026-01-28 19:41:29</t>
  </si>
  <si>
    <t>Thời lượng theo dõi:335 phút</t>
  </si>
  <si>
    <t>Thời gian vào: 2026-01-29 09:19:02</t>
  </si>
  <si>
    <t>Thời gian ra: 2026-01-29 20:11:01</t>
  </si>
  <si>
    <t>Thời gian vào: 2026-01-30 10:11:14</t>
  </si>
  <si>
    <t>Thời gian ra: 2026-01-30 10:11:17</t>
  </si>
  <si>
    <t>Thời gian vào: 2026-01-05 22:02:18</t>
  </si>
  <si>
    <t>Thời gian vào: 2026-01-07 14:14:19</t>
  </si>
  <si>
    <t>Thời gian vào: 2026-01-12 15:25:42</t>
  </si>
  <si>
    <t>Thời gian ra: 2026-01-12 15:26:07</t>
  </si>
  <si>
    <t>Thời gian vào: 2026-01-14 12:02:50</t>
  </si>
  <si>
    <t>Thời gian vào: 2026-01-15 19:04:42</t>
  </si>
  <si>
    <t>Thời gian vào: 2026-01-16 12:31:35</t>
  </si>
  <si>
    <t>Thời gian ra: 2026-01-16 12:32:35</t>
  </si>
  <si>
    <t>Thời gian vào: 2026-01-26 21:03:09</t>
  </si>
  <si>
    <t>Thời gian vào: 2026-01-27 11:06:20</t>
  </si>
  <si>
    <t>Thời gian vào: 2026-01-29 13:00:40</t>
  </si>
  <si>
    <t>Thời gian ra: 2026-01-29 20:12:50</t>
  </si>
  <si>
    <t>Thời lượng theo dõi:432 phút</t>
  </si>
  <si>
    <t>Thời gian vào: 2026-01-05 08:26:35</t>
  </si>
  <si>
    <t>Thời gian ra: 2026-01-05 19:26:33</t>
  </si>
  <si>
    <t>Thời lượng theo dõi:660 phút</t>
  </si>
  <si>
    <t>Thời gian vào: 2026-01-06 09:37:19</t>
  </si>
  <si>
    <t>Thời gian ra: 2026-01-06 14:57:30</t>
  </si>
  <si>
    <t>Thời lượng theo dõi:320 phút</t>
  </si>
  <si>
    <t>Thời gian vào: 2026-01-07 09:04:06</t>
  </si>
  <si>
    <t>Thời gian ra: 2026-01-07 18:56:37</t>
  </si>
  <si>
    <t>Thời gian vào: 2026-01-08 09:26:15</t>
  </si>
  <si>
    <t>Thời gian ra: 2026-01-08 19:14:46</t>
  </si>
  <si>
    <t>Thời gian vào: 2026-01-09 08:47:59</t>
  </si>
  <si>
    <t>Thời gian ra: 2026-01-09 19:17:48</t>
  </si>
  <si>
    <t>Thời lượng theo dõi:630 phút</t>
  </si>
  <si>
    <t>Thời gian vào: 2026-01-10 09:25:32</t>
  </si>
  <si>
    <t>Thời gian ra: 2026-01-10 18:45:50</t>
  </si>
  <si>
    <t>Thời gian vào: 2026-01-12 09:19:08</t>
  </si>
  <si>
    <t>Thời gian ra: 2026-01-12 19:24:18</t>
  </si>
  <si>
    <t>Thời lượng theo dõi:605 phút</t>
  </si>
  <si>
    <t>Thời gian vào: 2026-01-13 08:28:17</t>
  </si>
  <si>
    <t>Thời gian ra: 2026-01-13 18:33:15</t>
  </si>
  <si>
    <t>Thời gian vào: 2026-01-14 09:12:29</t>
  </si>
  <si>
    <t>Thời gian ra: 2026-01-14 18:07:32</t>
  </si>
  <si>
    <t>Thời gian vào: 2026-01-15 13:45:35</t>
  </si>
  <si>
    <t>Thời gian ra: 2026-01-15 19:05:24</t>
  </si>
  <si>
    <t>Thời gian vào: 2026-01-16 08:56:59</t>
  </si>
  <si>
    <t>Thời gian ra: 2026-01-16 18:15:53</t>
  </si>
  <si>
    <t>Thời gian vào: 2026-01-19 09:02:09</t>
  </si>
  <si>
    <t>Thời gian ra: 2026-01-19 18:20:03</t>
  </si>
  <si>
    <t>Thời gian vào: 2026-01-20 09:10:45</t>
  </si>
  <si>
    <t>Thời gian ra: 2026-01-20 18:08:43</t>
  </si>
  <si>
    <t>Thời gian vào: 2026-01-21 09:12:18</t>
  </si>
  <si>
    <t>Thời gian ra: 2026-01-21 17:00:47</t>
  </si>
  <si>
    <t>Thời gian vào: 2026-01-22 09:45:23</t>
  </si>
  <si>
    <t>Thời gian ra: 2026-01-22 18:53:04</t>
  </si>
  <si>
    <t>Thời gian vào: 2026-01-23 09:23:23</t>
  </si>
  <si>
    <t>Thời gian ra: 2026-01-23 17:14:23</t>
  </si>
  <si>
    <t>Thời lượng theo dõi:471 phút</t>
  </si>
  <si>
    <t>Thời gian vào: 2026-01-26 09:23:40</t>
  </si>
  <si>
    <t>Thời gian ra: 2026-01-26 18:21:11</t>
  </si>
  <si>
    <t>Thời gian vào: 2026-01-27 09:19:19</t>
  </si>
  <si>
    <t>Thời gian ra: 2026-01-27 18:13:55</t>
  </si>
  <si>
    <t>Thời gian vào: 2026-01-28 09:32:57</t>
  </si>
  <si>
    <t>Thời gian ra: 2026-01-28 18:51:30</t>
  </si>
  <si>
    <t>Thời gian vào: 2026-01-29 09:01:08</t>
  </si>
  <si>
    <t>Thời gian ra: 2026-01-29 18:21:13</t>
  </si>
  <si>
    <t>Thời gian vào: 2026-01-30 09:26:50</t>
  </si>
  <si>
    <t>Thời gian ra: 2026-01-30 18:17:07</t>
  </si>
  <si>
    <t>Thời gian vào: 2026-01-05 18:11:27</t>
  </si>
  <si>
    <t>Thời gian vào: 2026-01-06 14:12:17</t>
  </si>
  <si>
    <t>Thời gian ra: 2026-01-06 18:15:50</t>
  </si>
  <si>
    <t>Thời lượng theo dõi:244 phút</t>
  </si>
  <si>
    <t>Thời gian vào: 2026-01-07 09:00:02</t>
  </si>
  <si>
    <t>Thời gian ra: 2026-01-07 18:39:59</t>
  </si>
  <si>
    <t>Thời gian vào: 2026-01-09 08:24:52</t>
  </si>
  <si>
    <t>Thời gian ra: 2026-01-09 18:14:28</t>
  </si>
  <si>
    <t>Thời gian vào: 2026-01-12 08:24:16</t>
  </si>
  <si>
    <t>Thời gian ra: 2026-01-12 18:12:19</t>
  </si>
  <si>
    <t>Thời gian vào: 2026-01-14 08:39:59</t>
  </si>
  <si>
    <t>Thời gian ra: 2026-01-14 18:02:17</t>
  </si>
  <si>
    <t>Thời gian vào: 2026-01-15 08:22:50</t>
  </si>
  <si>
    <t>Thời gian ra: 2026-01-15 18:58:54</t>
  </si>
  <si>
    <t>Thời lượng theo dõi:636 phút</t>
  </si>
  <si>
    <t>Thời gian vào: 2026-01-16 18:56:08</t>
  </si>
  <si>
    <t>Thời gian vào: 2026-01-19 08:32:46</t>
  </si>
  <si>
    <t>Thời gian ra: 2026-01-19 18:12:20</t>
  </si>
  <si>
    <t>Thời gian vào: 2026-01-20 13:48:45</t>
  </si>
  <si>
    <t>Thời gian ra: 2026-01-20 18:17:18</t>
  </si>
  <si>
    <t>Thời lượng theo dõi:269 phút</t>
  </si>
  <si>
    <t>Thời gian vào: 2026-01-22 08:30:16</t>
  </si>
  <si>
    <t>Thời gian ra: 2026-01-22 18:16:51</t>
  </si>
  <si>
    <t>Thời gian vào: 2026-01-26 08:29:28</t>
  </si>
  <si>
    <t>Thời gian ra: 2026-01-26 09:49:56</t>
  </si>
  <si>
    <t>Thời lượng theo dõi:80 phút</t>
  </si>
  <si>
    <t>Thời gian vào: 2026-01-27 18:13:42</t>
  </si>
  <si>
    <t>Thời gian ra: 2026-01-27 18:13:45</t>
  </si>
  <si>
    <t>Thời gian vào: 2026-01-28 08:28:01</t>
  </si>
  <si>
    <t>Thời gian ra: 2026-01-28 19:37:21</t>
  </si>
  <si>
    <t>Thời lượng theo dõi:669 phút</t>
  </si>
  <si>
    <t>Thời gian vào: 2026-01-29 08:26:58</t>
  </si>
  <si>
    <t>Thời gian ra: 2026-01-29 18:12:21</t>
  </si>
  <si>
    <t>Thời gian vào: 2026-01-30 08:19:06</t>
  </si>
  <si>
    <t>Thời gian ra: 2026-01-30 08:20:26</t>
  </si>
  <si>
    <t>Thời gian vào: 2026-01-05 09:22:20</t>
  </si>
  <si>
    <t>Thời gian ra: 2026-01-05 18:17:02</t>
  </si>
  <si>
    <t>Thời gian vào: 2026-01-06 18:25:47</t>
  </si>
  <si>
    <t>Thời gian ra: 2026-01-06 18:25:51</t>
  </si>
  <si>
    <t>Thời gian vào: 2026-01-07 09:31:27</t>
  </si>
  <si>
    <t>Thời gian ra: 2026-01-07 18:32:21</t>
  </si>
  <si>
    <t>Thời gian vào: 2026-01-08 11:05:39</t>
  </si>
  <si>
    <t>Thời gian ra: 2026-01-08 18:50:01</t>
  </si>
  <si>
    <t>Thời lượng theo dõi:464 phút</t>
  </si>
  <si>
    <t>Thời gian vào: 2026-01-12 08:53:06</t>
  </si>
  <si>
    <t>Thời gian ra: 2026-01-12 18:15:38</t>
  </si>
  <si>
    <t>Thời gian vào: 2026-01-13 18:19:13</t>
  </si>
  <si>
    <t>Thời gian ra: 2026-01-13 18:19:16</t>
  </si>
  <si>
    <t>Thời gian vào: 2026-01-14 16:37:56</t>
  </si>
  <si>
    <t>Thời gian ra: 2026-01-14 18:38:27</t>
  </si>
  <si>
    <t>Thời lượng theo dõi:121 phút</t>
  </si>
  <si>
    <t>Thời gian vào: 2026-01-15 18:30:56</t>
  </si>
  <si>
    <t>Thời gian ra: 2026-01-15 18:31:29</t>
  </si>
  <si>
    <t>Thời gian vào: 2026-01-16 15:19:56</t>
  </si>
  <si>
    <t>Thời gian ra: 2026-01-16 18:47:59</t>
  </si>
  <si>
    <t>Thời lượng theo dõi:208 phút</t>
  </si>
  <si>
    <t>Thời gian vào: 2026-01-19 09:23:33</t>
  </si>
  <si>
    <t>Thời gian ra: 2026-01-19 18:49:28</t>
  </si>
  <si>
    <t>Thời gian vào: 2026-01-20 18:16:44</t>
  </si>
  <si>
    <t>Thời gian ra: 2026-01-20 18:16:45</t>
  </si>
  <si>
    <t>Thời gian vào: 2026-01-21 09:46:20</t>
  </si>
  <si>
    <t>Thời gian ra: 2026-01-21 18:30:02</t>
  </si>
  <si>
    <t>Thời lượng theo dõi:524 phút</t>
  </si>
  <si>
    <t>Thời gian vào: 2026-01-22 08:52:15</t>
  </si>
  <si>
    <t>Thời gian ra: 2026-01-22 18:34:28</t>
  </si>
  <si>
    <t>Thời gian vào: 2026-01-23 10:30:51</t>
  </si>
  <si>
    <t>Thời gian ra: 2026-01-23 18:44:08</t>
  </si>
  <si>
    <t>Thời lượng theo dõi:493 phút</t>
  </si>
  <si>
    <t>Thời gian vào: 2026-01-26 09:21:31</t>
  </si>
  <si>
    <t>Thời gian ra: 2026-01-26 18:29:24</t>
  </si>
  <si>
    <t>Thời gian vào: 2026-01-27 11:06:06</t>
  </si>
  <si>
    <t>Thời gian ra: 2026-01-27 18:24:11</t>
  </si>
  <si>
    <t>Thời lượng theo dõi:438 phút</t>
  </si>
  <si>
    <t>Thời gian vào: 2026-01-28 10:14:46</t>
  </si>
  <si>
    <t>Thời gian vào: 2026-01-29 09:02:45</t>
  </si>
  <si>
    <t>Thời gian ra: 2026-01-29 18:46:49</t>
  </si>
  <si>
    <t>Thời gian vào: 2026-01-30 16:10:20</t>
  </si>
  <si>
    <t>Thời gian ra: 2026-01-30 18:20:03</t>
  </si>
  <si>
    <t>Thời lượng theo dõi:130 phút</t>
  </si>
  <si>
    <t>Thời gian vào: 2026-01-05 09:28:34</t>
  </si>
  <si>
    <t>Thời gian ra: 2026-01-05 18:35:15</t>
  </si>
  <si>
    <t>Thời gian vào: 2026-01-06 09:30:06</t>
  </si>
  <si>
    <t>Thời gian ra: 2026-01-06 18:25:53</t>
  </si>
  <si>
    <t>Thời gian vào: 2026-01-07 09:38:31</t>
  </si>
  <si>
    <t>Thời gian ra: 2026-01-07 18:43:32</t>
  </si>
  <si>
    <t>Thời gian vào: 2026-01-08 09:35:53</t>
  </si>
  <si>
    <t>Thời gian ra: 2026-01-08 18:52:13</t>
  </si>
  <si>
    <t>Thời gian vào: 2026-01-09 09:13:16</t>
  </si>
  <si>
    <t>Thời gian ra: 2026-01-09 19:26:29</t>
  </si>
  <si>
    <t>Thời lượng theo dõi:613 phút</t>
  </si>
  <si>
    <t>Thời gian vào: 2026-01-10 09:45:37</t>
  </si>
  <si>
    <t>Thời gian ra: 2026-01-10 17:47:42</t>
  </si>
  <si>
    <t>Thời lượng theo dõi:482 phút</t>
  </si>
  <si>
    <t>Thời gian vào: 2026-01-12 18:15:30</t>
  </si>
  <si>
    <t>Thời gian vào: 2026-01-13 09:05:02</t>
  </si>
  <si>
    <t>Thời gian ra: 2026-01-13 18:25:44</t>
  </si>
  <si>
    <t>Thời gian vào: 2026-01-14 09:08:04</t>
  </si>
  <si>
    <t>Thời gian ra: 2026-01-14 18:38:19</t>
  </si>
  <si>
    <t>Thời gian vào: 2026-01-15 09:24:09</t>
  </si>
  <si>
    <t>Thời gian ra: 2026-01-15 18:44:10</t>
  </si>
  <si>
    <t>Thời gian vào: 2026-01-16 09:22:45</t>
  </si>
  <si>
    <t>Thời gian ra: 2026-01-16 18:48:15</t>
  </si>
  <si>
    <t>Thời gian vào: 2026-01-19 09:04:54</t>
  </si>
  <si>
    <t>Thời gian ra: 2026-01-19 18:49:26</t>
  </si>
  <si>
    <t>Thời gian vào: 2026-01-20 09:22:42</t>
  </si>
  <si>
    <t>Thời gian ra: 2026-01-20 18:57:18</t>
  </si>
  <si>
    <t>Thời gian vào: 2026-01-21 09:29:54</t>
  </si>
  <si>
    <t>Thời gian ra: 2026-01-21 18:54:44</t>
  </si>
  <si>
    <t>Thời gian vào: 2026-01-22 09:44:33</t>
  </si>
  <si>
    <t>Thời gian ra: 2026-01-22 18:47:35</t>
  </si>
  <si>
    <t>Thời gian vào: 2026-01-23 09:34:56</t>
  </si>
  <si>
    <t>Thời gian ra: 2026-01-23 18:44:10</t>
  </si>
  <si>
    <t>Thời gian vào: 2026-01-27 09:21:38</t>
  </si>
  <si>
    <t>Thời gian ra: 2026-01-27 18:24:06</t>
  </si>
  <si>
    <t>Thời gian vào: 2026-01-28 09:41:36</t>
  </si>
  <si>
    <t>Thời gian ra: 2026-01-28 18:33:08</t>
  </si>
  <si>
    <t>Thời gian vào: 2026-01-29 09:47:44</t>
  </si>
  <si>
    <t>Thời gian ra: 2026-01-29 18:43:58</t>
  </si>
  <si>
    <t>Thời gian vào: 2026-01-30 09:43:55</t>
  </si>
  <si>
    <t>Thời gian ra: 2026-01-30 18:50:40</t>
  </si>
  <si>
    <t>Kím Sơn Tiến</t>
  </si>
  <si>
    <t>Thời gian vào: 2026-01-05 08:03:11</t>
  </si>
  <si>
    <t>Thời gian ra: 2026-01-05 18:42:55</t>
  </si>
  <si>
    <t>Thời gian vào: 2026-01-06 08:09:08</t>
  </si>
  <si>
    <t>Thời gian ra: 2026-01-06 18:25:30</t>
  </si>
  <si>
    <t>Thời gian vào: 2026-01-07 08:05:39</t>
  </si>
  <si>
    <t>Thời gian ra: 2026-01-07 18:43:44</t>
  </si>
  <si>
    <t>Thời lượng theo dõi:638 phút</t>
  </si>
  <si>
    <t>Thời gian vào: 2026-01-12 08:07:22</t>
  </si>
  <si>
    <t>Thời gian ra: 2026-01-12 18:40:36</t>
  </si>
  <si>
    <t>Thời gian vào: 2026-01-13 08:05:13</t>
  </si>
  <si>
    <t>Thời gian ra: 2026-01-13 18:19:02</t>
  </si>
  <si>
    <t>Thời gian vào: 2026-01-14 08:09:19</t>
  </si>
  <si>
    <t>Thời gian ra: 2026-01-14 18:48:25</t>
  </si>
  <si>
    <t>Thời gian vào: 2026-01-15 08:09:54</t>
  </si>
  <si>
    <t>Thời gian ra: 2026-01-15 18:33:48</t>
  </si>
  <si>
    <t>Thời gian vào: 2026-01-19 08:09:24</t>
  </si>
  <si>
    <t>Thời gian ra: 2026-01-19 18:41:55</t>
  </si>
  <si>
    <t>Thời gian vào: 2026-01-20 08:04:36</t>
  </si>
  <si>
    <t>Thời gian ra: 2026-01-20 18:03:19</t>
  </si>
  <si>
    <t>Thời gian vào: 2026-01-21 08:02:32</t>
  </si>
  <si>
    <t>Thời gian ra: 2026-01-21 18:10:51</t>
  </si>
  <si>
    <t>Thời gian vào: 2026-01-22 08:03:45</t>
  </si>
  <si>
    <t>Thời gian ra: 2026-01-22 18:03:33</t>
  </si>
  <si>
    <t>Thời gian vào: 2026-01-26 08:08:17</t>
  </si>
  <si>
    <t>Thời gian ra: 2026-01-26 18:43:43</t>
  </si>
  <si>
    <t>Thời gian vào: 2026-01-27 08:06:21</t>
  </si>
  <si>
    <t>Thời gian ra: 2026-01-27 18:17:48</t>
  </si>
  <si>
    <t>Thời gian vào: 2026-01-28 08:06:34</t>
  </si>
  <si>
    <t>Thời gian ra: 2026-01-28 18:05:06</t>
  </si>
  <si>
    <t>Thời gian vào: 2026-01-29 07:57:51</t>
  </si>
  <si>
    <t>Thời gian ra: 2026-01-29 18:33:28</t>
  </si>
  <si>
    <t>Thời gian vào: 2026-01-08 12:05:35</t>
  </si>
  <si>
    <t>Thời gian ra: 2026-01-08 20:15:42</t>
  </si>
  <si>
    <t>Thời lượng theo dõi:490 phút</t>
  </si>
  <si>
    <t>Thời gian vào: 2026-01-09 18:20:19</t>
  </si>
  <si>
    <t>Thời gian ra: 2026-01-09 18:20:46</t>
  </si>
  <si>
    <t>Thời gian vào: 2026-01-10 12:05:19</t>
  </si>
  <si>
    <t>Thời gian ra: 2026-01-10 18:36:38</t>
  </si>
  <si>
    <t>Thời lượng theo dõi:391 phút</t>
  </si>
  <si>
    <t>Thời gian vào: 2026-01-12 09:58:58</t>
  </si>
  <si>
    <t>Thời gian vào: 2026-01-13 18:33:06</t>
  </si>
  <si>
    <t>Thời gian ra: 2026-01-13 18:33:18</t>
  </si>
  <si>
    <t>Thời gian vào: 2026-01-15 09:19:55</t>
  </si>
  <si>
    <t>Thời gian ra: 2026-01-15 12:11:02</t>
  </si>
  <si>
    <t>Thời lượng theo dõi:171 phút</t>
  </si>
  <si>
    <t>Thời gian vào: 2026-01-17 10:28:12</t>
  </si>
  <si>
    <t>Thời gian vào: 2026-01-19 19:19:34</t>
  </si>
  <si>
    <t>Thời gian ra: 2026-01-19 19:19:37</t>
  </si>
  <si>
    <t>Thời gian vào: 2026-01-20 18:18:27</t>
  </si>
  <si>
    <t>Thời gian ra: 2026-01-20 18:20:06</t>
  </si>
  <si>
    <t>Thời lượng theo dõi:2 phút</t>
  </si>
  <si>
    <t>Thời gian vào: 2026-01-22 10:28:53</t>
  </si>
  <si>
    <t>Thời gian ra: 2026-01-22 10:28:56</t>
  </si>
  <si>
    <t>Thời gian vào: 2026-01-30 12:18:04</t>
  </si>
  <si>
    <t>Thời gian ra: 2026-01-30 12:18:22</t>
  </si>
  <si>
    <t>Thời gian vào: 2026-01-06 13:30:50</t>
  </si>
  <si>
    <t>Thời gian vào: 2026-01-09 12:19:42</t>
  </si>
  <si>
    <t>Thời gian vào: 2026-01-12 08:18:05</t>
  </si>
  <si>
    <t>Thời gian ra: 2026-01-12 18:31:15</t>
  </si>
  <si>
    <t>Thời gian vào: 2026-01-13 16:30:42</t>
  </si>
  <si>
    <t>Thời gian vào: 2026-01-15 08:29:07</t>
  </si>
  <si>
    <t>Thời gian ra: 2026-01-15 18:20:18</t>
  </si>
  <si>
    <t>Thời gian vào: 2026-01-20 08:28:09</t>
  </si>
  <si>
    <t>Thời gian ra: 2026-01-20 18:21:12</t>
  </si>
  <si>
    <t>Thời gian vào: 2026-01-22 08:27:51</t>
  </si>
  <si>
    <t>Thời gian ra: 2026-01-22 18:26:02</t>
  </si>
  <si>
    <t>Thời gian vào: 2026-01-23 13:33:47</t>
  </si>
  <si>
    <t>Thời gian vào: 2026-01-26 18:09:31</t>
  </si>
  <si>
    <t>Thời gian vào: 2026-01-27 08:26:48</t>
  </si>
  <si>
    <t>Thời gian ra: 2026-01-27 18:14:05</t>
  </si>
  <si>
    <t>Thời gian vào: 2026-01-05 08:25:30</t>
  </si>
  <si>
    <t>Thời gian ra: 2026-01-05 18:20:14</t>
  </si>
  <si>
    <t>Thời gian vào: 2026-01-06 08:32:42</t>
  </si>
  <si>
    <t>Thời gian ra: 2026-01-06 18:24:18</t>
  </si>
  <si>
    <t>Thời gian vào: 2026-01-07 08:26:48</t>
  </si>
  <si>
    <t>Thời gian ra: 2026-01-07 18:35:24</t>
  </si>
  <si>
    <t>Thời gian vào: 2026-01-08 08:21:58</t>
  </si>
  <si>
    <t>Thời gian ra: 2026-01-08 18:29:34</t>
  </si>
  <si>
    <t>Thời gian vào: 2026-01-12 08:27:53</t>
  </si>
  <si>
    <t>Thời gian ra: 2026-01-12 18:24:16</t>
  </si>
  <si>
    <t>Thời gian vào: 2026-01-13 08:26:06</t>
  </si>
  <si>
    <t>Thời gian ra: 2026-01-13 18:26:16</t>
  </si>
  <si>
    <t>Thời gian vào: 2026-01-14 08:24:33</t>
  </si>
  <si>
    <t>Thời gian ra: 2026-01-14 18:24:09</t>
  </si>
  <si>
    <t>Thời gian vào: 2026-01-15 08:22:35</t>
  </si>
  <si>
    <t>Thời gian ra: 2026-01-15 16:36:08</t>
  </si>
  <si>
    <t>Thời gian vào: 2026-01-19 08:21:28</t>
  </si>
  <si>
    <t>Thời gian vào: 2026-01-20 08:25:56</t>
  </si>
  <si>
    <t>Thời gian ra: 2026-01-20 18:37:17</t>
  </si>
  <si>
    <t>Thời gian vào: 2026-01-21 08:21:35</t>
  </si>
  <si>
    <t>Thời gian ra: 2026-01-21 18:29:14</t>
  </si>
  <si>
    <t>Thời gian vào: 2026-01-22 08:28:17</t>
  </si>
  <si>
    <t>Thời gian ra: 2026-01-22 18:22:29</t>
  </si>
  <si>
    <t>Thời gian vào: 2026-01-26 08:24:19</t>
  </si>
  <si>
    <t>Thời gian ra: 2026-01-26 18:19:13</t>
  </si>
  <si>
    <t>Thời gian vào: 2026-01-27 08:27:17</t>
  </si>
  <si>
    <t>Thời gian ra: 2026-01-27 18:29:44</t>
  </si>
  <si>
    <t>Thời gian vào: 2026-01-02 12:54:01</t>
  </si>
  <si>
    <t>Thời gian ra: 2026-01-02 19:55:50</t>
  </si>
  <si>
    <t>Thời lượng theo dõi:422 phút</t>
  </si>
  <si>
    <t>Thời gian vào: 2026-01-05 09:00:25</t>
  </si>
  <si>
    <t>Thời gian ra: 2026-01-05 19:25:08</t>
  </si>
  <si>
    <t>Thời gian vào: 2026-01-06 09:08:03</t>
  </si>
  <si>
    <t>Thời gian ra: 2026-01-06 21:11:32</t>
  </si>
  <si>
    <t>Thời lượng theo dõi:723 phút</t>
  </si>
  <si>
    <t>Thời gian vào: 2026-01-07 09:00:06</t>
  </si>
  <si>
    <t>Thời gian ra: 2026-01-07 19:57:15</t>
  </si>
  <si>
    <t>Thời lượng theo dõi:657 phút</t>
  </si>
  <si>
    <t>Thời gian vào: 2026-01-08 09:13:45</t>
  </si>
  <si>
    <t>Thời gian ra: 2026-01-08 20:35:51</t>
  </si>
  <si>
    <t>Thời gian vào: 2026-01-09 09:16:56</t>
  </si>
  <si>
    <t>Thời gian ra: 2026-01-09 18:28:19</t>
  </si>
  <si>
    <t>Thời gian vào: 2026-01-10 18:50:52</t>
  </si>
  <si>
    <t>Thời gian ra: 2026-01-10 23:24:18</t>
  </si>
  <si>
    <t>Thời lượng theo dõi:273 phút</t>
  </si>
  <si>
    <t>Thời gian vào: 2026-01-12 08:59:12</t>
  </si>
  <si>
    <t>Thời gian ra: 2026-01-12 21:39:56</t>
  </si>
  <si>
    <t>Thời lượng theo dõi:761 phút</t>
  </si>
  <si>
    <t>Thời gian vào: 2026-01-13 09:02:23</t>
  </si>
  <si>
    <t>Thời gian ra: 2026-01-13 22:05:45</t>
  </si>
  <si>
    <t>Thời lượng theo dõi:783 phút</t>
  </si>
  <si>
    <t>Thời gian vào: 2026-01-14 09:00:14</t>
  </si>
  <si>
    <t>Thời gian vào: 2026-01-15 09:17:19</t>
  </si>
  <si>
    <t>Thời gian ra: 2026-01-15 22:13:26</t>
  </si>
  <si>
    <t>Thời lượng theo dõi:776 phút</t>
  </si>
  <si>
    <t>Thời gian vào: 2026-01-16 17:54:50</t>
  </si>
  <si>
    <t>Thời gian ra: 2026-01-16 17:54:52</t>
  </si>
  <si>
    <t>Thời gian vào: 2026-01-17 11:57:20</t>
  </si>
  <si>
    <t>Thời gian ra: 2026-01-17 21:10:30</t>
  </si>
  <si>
    <t>Thời gian vào: 2026-01-19 09:14:14</t>
  </si>
  <si>
    <t>Thời gian ra: 2026-01-19 20:27:42</t>
  </si>
  <si>
    <t>Thời lượng theo dõi:673 phút</t>
  </si>
  <si>
    <t>Thời gian vào: 2026-01-20 09:06:55</t>
  </si>
  <si>
    <t>Thời gian ra: 2026-01-20 20:48:03</t>
  </si>
  <si>
    <t>Thời lượng theo dõi:701 phút</t>
  </si>
  <si>
    <t>Thời gian vào: 2026-01-21 09:17:23</t>
  </si>
  <si>
    <t>Thời gian ra: 2026-01-21 19:15:06</t>
  </si>
  <si>
    <t>Thời gian vào: 2026-01-22 08:59:44</t>
  </si>
  <si>
    <t>Thời gian vào: 2026-01-23 12:51:57</t>
  </si>
  <si>
    <t>Thời gian ra: 2026-01-23 19:18:46</t>
  </si>
  <si>
    <t>Thời lượng theo dõi:387 phút</t>
  </si>
  <si>
    <t>Thời gian vào: 2026-01-24 14:21:43</t>
  </si>
  <si>
    <t>Thời gian ra: 2026-01-24 14:21:47</t>
  </si>
  <si>
    <t>Thời gian vào: 2026-01-26 08:59:43</t>
  </si>
  <si>
    <t>Thời gian ra: 2026-01-26 19:29:41</t>
  </si>
  <si>
    <t>Thời gian vào: 2026-01-27 09:12:43</t>
  </si>
  <si>
    <t>Thời gian ra: 2026-01-27 20:24:18</t>
  </si>
  <si>
    <t>Thời lượng theo dõi:672 phút</t>
  </si>
  <si>
    <t>Thời gian vào: 2026-01-28 08:53:35</t>
  </si>
  <si>
    <t>Thời gian ra: 2026-01-28 20:54:59</t>
  </si>
  <si>
    <t>Thời lượng theo dõi:721 phút</t>
  </si>
  <si>
    <t>Thời gian vào: 2026-01-29 09:16:05</t>
  </si>
  <si>
    <t>Thời gian ra: 2026-01-29 21:32:25</t>
  </si>
  <si>
    <t>Thời lượng theo dõi:736 phút</t>
  </si>
  <si>
    <t>Thời gian vào: 2026-01-30 22:04:55</t>
  </si>
  <si>
    <t>Thời gian ra: 2026-01-30 22:05:07</t>
  </si>
  <si>
    <t>Thời gian vào: 2026-01-05 08:17:54</t>
  </si>
  <si>
    <t>Thời gian ra: 2026-01-05 18:26:23</t>
  </si>
  <si>
    <t>Thời gian vào: 2026-01-06 08:30:56</t>
  </si>
  <si>
    <t>Thời gian ra: 2026-01-06 18:20:29</t>
  </si>
  <si>
    <t>Thời gian vào: 2026-01-07 08:15:59</t>
  </si>
  <si>
    <t>Thời gian ra: 2026-01-07 18:18:49</t>
  </si>
  <si>
    <t>Thời gian vào: 2026-01-08 08:21:15</t>
  </si>
  <si>
    <t>Thời gian ra: 2026-01-08 18:17:23</t>
  </si>
  <si>
    <t>Thời gian vào: 2026-01-12 08:20:32</t>
  </si>
  <si>
    <t>Thời gian ra: 2026-01-12 18:23:26</t>
  </si>
  <si>
    <t>Thời gian vào: 2026-01-13 08:12:01</t>
  </si>
  <si>
    <t>Thời gian ra: 2026-01-13 18:11:03</t>
  </si>
  <si>
    <t>Thời gian vào: 2026-01-14 08:15:25</t>
  </si>
  <si>
    <t>Thời gian ra: 2026-01-14 18:17:10</t>
  </si>
  <si>
    <t>Thời gian vào: 2026-01-15 08:23:19</t>
  </si>
  <si>
    <t>Thời gian ra: 2026-01-15 16:35:22</t>
  </si>
  <si>
    <t>Thời gian vào: 2026-01-19 08:23:04</t>
  </si>
  <si>
    <t>Thời gian ra: 2026-01-19 12:15:06</t>
  </si>
  <si>
    <t>Thời lượng theo dõi:232 phút</t>
  </si>
  <si>
    <t>Thời gian vào: 2026-01-20 08:21:52</t>
  </si>
  <si>
    <t>Thời gian ra: 2026-01-20 18:09:45</t>
  </si>
  <si>
    <t>Thời gian vào: 2026-01-21 08:21:29</t>
  </si>
  <si>
    <t>Thời gian ra: 2026-01-21 18:22:53</t>
  </si>
  <si>
    <t>Thời gian vào: 2026-01-22 08:20:01</t>
  </si>
  <si>
    <t>Thời gian ra: 2026-01-22 17:32:02</t>
  </si>
  <si>
    <t>Thời gian ra: 2026-01-26 18:24:52</t>
  </si>
  <si>
    <t>Thời gian vào: 2026-01-27 08:20:10</t>
  </si>
  <si>
    <t>Thời gian ra: 2026-01-27 18:19:47</t>
  </si>
  <si>
    <t>Thời gian vào: 2026-01-28 08:22:49</t>
  </si>
  <si>
    <t>Thời gian ra: 2026-01-28 17:37:36</t>
  </si>
  <si>
    <t>Thời gian vào: 2026-01-29 08:21:00</t>
  </si>
  <si>
    <t>Thời gian ra: 2026-01-29 17:53:11</t>
  </si>
  <si>
    <t>Thời gian vào: 2026-01-02 19:00:40</t>
  </si>
  <si>
    <t>Thời gian ra: 2026-01-02 19:00:50</t>
  </si>
  <si>
    <t>Thời gian vào: 2026-01-05 08:43:56</t>
  </si>
  <si>
    <t>Thời gian ra: 2026-01-05 19:02:10</t>
  </si>
  <si>
    <t>Thời gian vào: 2026-01-06 09:01:34</t>
  </si>
  <si>
    <t>Thời gian ra: 2026-01-06 21:11:18</t>
  </si>
  <si>
    <t>Thời gian vào: 2026-01-07 08:48:35</t>
  </si>
  <si>
    <t>Thời gian ra: 2026-01-07 19:56:16</t>
  </si>
  <si>
    <t>Thời lượng theo dõi:668 phút</t>
  </si>
  <si>
    <t>Thời gian vào: 2026-01-08 08:39:59</t>
  </si>
  <si>
    <t>Thời gian ra: 2026-01-08 18:48:21</t>
  </si>
  <si>
    <t>Thời gian vào: 2026-01-09 19:21:39</t>
  </si>
  <si>
    <t>Thời gian ra: 2026-01-09 19:22:10</t>
  </si>
  <si>
    <t>Thời gian vào: 2026-01-10 16:31:39</t>
  </si>
  <si>
    <t>Thời gian ra: 2026-01-10 17:18:06</t>
  </si>
  <si>
    <t>Thời lượng theo dõi:46 phút</t>
  </si>
  <si>
    <t>Thời gian vào: 2026-01-12 08:39:11</t>
  </si>
  <si>
    <t>Thời gian ra: 2026-01-12 18:42:49</t>
  </si>
  <si>
    <t>Thời gian vào: 2026-01-13 08:44:05</t>
  </si>
  <si>
    <t>Thời gian ra: 2026-01-13 21:22:41</t>
  </si>
  <si>
    <t>Thời lượng theo dõi:759 phút</t>
  </si>
  <si>
    <t>Thời gian vào: 2026-01-14 08:47:40</t>
  </si>
  <si>
    <t>Thời gian ra: 2026-01-14 18:57:14</t>
  </si>
  <si>
    <t>Thời gian vào: 2026-01-15 08:43:07</t>
  </si>
  <si>
    <t>Thời gian ra: 2026-01-15 17:36:08</t>
  </si>
  <si>
    <t>Thời gian vào: 2026-01-16 09:36:24</t>
  </si>
  <si>
    <t>Thời gian ra: 2026-01-16 22:09:29</t>
  </si>
  <si>
    <t>Thời gian vào: 2026-01-19 08:32:56</t>
  </si>
  <si>
    <t>Thời gian ra: 2026-01-19 18:53:00</t>
  </si>
  <si>
    <t>Thời lượng theo dõi:620 phút</t>
  </si>
  <si>
    <t>Thời gian vào: 2026-01-20 08:42:01</t>
  </si>
  <si>
    <t>Thời gian ra: 2026-01-20 18:56:01</t>
  </si>
  <si>
    <t>Thời gian vào: 2026-01-21 08:54:48</t>
  </si>
  <si>
    <t>Thời gian ra: 2026-01-21 18:51:28</t>
  </si>
  <si>
    <t>Thời gian vào: 2026-01-22 08:49:19</t>
  </si>
  <si>
    <t>Thời gian vào: 2026-01-30 21:33:01</t>
  </si>
  <si>
    <t>Thời gian vào: 2026-01-05 08:43:54</t>
  </si>
  <si>
    <t>Thời gian ra: 2026-01-05 18:51:43</t>
  </si>
  <si>
    <t>Thời gian vào: 2026-01-06 08:42:39</t>
  </si>
  <si>
    <t>Thời gian ra: 2026-01-06 18:49:15</t>
  </si>
  <si>
    <t>Thời gian vào: 2026-01-07 08:31:35</t>
  </si>
  <si>
    <t>Thời gian ra: 2026-01-07 18:46:20</t>
  </si>
  <si>
    <t>Thời gian vào: 2026-01-08 08:37:24</t>
  </si>
  <si>
    <t>Thời gian ra: 2026-01-08 18:54:52</t>
  </si>
  <si>
    <t>Thời gian vào: 2026-01-11 18:28:01</t>
  </si>
  <si>
    <t>Thời gian ra: 2026-01-11 18:28:29</t>
  </si>
  <si>
    <t>Thời gian vào: 2026-01-12 08:24:08</t>
  </si>
  <si>
    <t>Thời gian ra: 2026-01-12 18:42:32</t>
  </si>
  <si>
    <t>Thời gian vào: 2026-01-13 08:36:14</t>
  </si>
  <si>
    <t>Thời gian ra: 2026-01-13 19:54:09</t>
  </si>
  <si>
    <t>Thời lượng theo dõi:678 phút</t>
  </si>
  <si>
    <t>Thời gian vào: 2026-01-14 10:29:12</t>
  </si>
  <si>
    <t>Thời gian ra: 2026-01-14 18:54:00</t>
  </si>
  <si>
    <t>Thời gian vào: 2026-01-15 08:48:49</t>
  </si>
  <si>
    <t>Thời gian ra: 2026-01-15 18:55:21</t>
  </si>
  <si>
    <t>Thời gian vào: 2026-01-16 16:39:56</t>
  </si>
  <si>
    <t>Thời gian ra: 2026-01-16 16:41:00</t>
  </si>
  <si>
    <t>Thời gian vào: 2026-01-19 21:43:24</t>
  </si>
  <si>
    <t>Thời gian ra: 2026-01-19 21:43:28</t>
  </si>
  <si>
    <t>Thời gian vào: 2026-01-21 08:35:41</t>
  </si>
  <si>
    <t>Thời gian ra: 2026-01-21 18:54:08</t>
  </si>
  <si>
    <t>Thời gian vào: 2026-01-22 08:37:39</t>
  </si>
  <si>
    <t>Thời gian ra: 2026-01-22 18:59:02</t>
  </si>
  <si>
    <t>Thời lượng theo dõi:621 phút</t>
  </si>
  <si>
    <t>Thời gian vào: 2026-01-23 09:06:52</t>
  </si>
  <si>
    <t>Thời gian vào: 2026-01-26 08:45:56</t>
  </si>
  <si>
    <t>Thời gian ra: 2026-01-26 22:18:20</t>
  </si>
  <si>
    <t>Thời lượng theo dõi:812 phút</t>
  </si>
  <si>
    <t>Thời gian vào: 2026-01-27 08:42:44</t>
  </si>
  <si>
    <t>Thời gian ra: 2026-01-27 20:07:39</t>
  </si>
  <si>
    <t>Thời lượng theo dõi:685 phút</t>
  </si>
  <si>
    <t>Thời gian vào: 2026-01-28 08:35:40</t>
  </si>
  <si>
    <t>Thời gian ra: 2026-01-28 19:23:52</t>
  </si>
  <si>
    <t>Thời gian vào: 2026-01-29 08:39:55</t>
  </si>
  <si>
    <t>Thời gian ra: 2026-01-29 21:01:47</t>
  </si>
  <si>
    <t>Thời lượng theo dõi:742 phút</t>
  </si>
  <si>
    <t>Thời gian vào: 2026-01-05 09:00:23</t>
  </si>
  <si>
    <t>Thời gian ra: 2026-01-05 18:21:07</t>
  </si>
  <si>
    <t>Thời gian vào: 2026-01-06 08:58:27</t>
  </si>
  <si>
    <t>Thời gian ra: 2026-01-06 20:06:07</t>
  </si>
  <si>
    <t>Thời gian vào: 2026-01-07 09:00:04</t>
  </si>
  <si>
    <t>Thời gian ra: 2026-01-07 18:25:48</t>
  </si>
  <si>
    <t>Thời gian vào: 2026-01-08 09:02:45</t>
  </si>
  <si>
    <t>Thời gian ra: 2026-01-08 18:53:56</t>
  </si>
  <si>
    <t>Thời gian vào: 2026-01-12 08:53:47</t>
  </si>
  <si>
    <t>Thời gian ra: 2026-01-12 18:26:47</t>
  </si>
  <si>
    <t>Thời gian vào: 2026-01-13 08:47:23</t>
  </si>
  <si>
    <t>Thời gian ra: 2026-01-13 18:22:08</t>
  </si>
  <si>
    <t>Thời gian vào: 2026-01-14 08:53:17</t>
  </si>
  <si>
    <t>Thời gian ra: 2026-01-14 19:36:24</t>
  </si>
  <si>
    <t>Thời gian vào: 2026-01-15 09:01:38</t>
  </si>
  <si>
    <t>Thời gian ra: 2026-01-15 18:26:04</t>
  </si>
  <si>
    <t>Thời gian vào: 2026-01-19 09:41:55</t>
  </si>
  <si>
    <t>Thời gian ra: 2026-01-19 18:23:21</t>
  </si>
  <si>
    <t>Thời lượng theo dõi:521 phút</t>
  </si>
  <si>
    <t>Thời gian vào: 2026-01-20 08:54:06</t>
  </si>
  <si>
    <t>Thời gian ra: 2026-01-20 18:32:54</t>
  </si>
  <si>
    <t>Thời gian vào: 2026-01-21 10:03:13</t>
  </si>
  <si>
    <t>Thời gian ra: 2026-01-21 18:57:42</t>
  </si>
  <si>
    <t>Thời gian vào: 2026-01-22 08:59:37</t>
  </si>
  <si>
    <t>Thời gian ra: 2026-01-22 18:36:15</t>
  </si>
  <si>
    <t>Thời gian vào: 2026-01-26 08:18:24</t>
  </si>
  <si>
    <t>Thời gian ra: 2026-01-26 18:39:01</t>
  </si>
  <si>
    <t>Thời gian vào: 2026-01-27 08:40:00</t>
  </si>
  <si>
    <t>Thời gian vào: 2026-01-28 08:49:24</t>
  </si>
  <si>
    <t>Thời gian ra: 2026-01-28 18:15:55</t>
  </si>
  <si>
    <t>Thời gian vào: 2026-01-29 08:52:29</t>
  </si>
  <si>
    <t>Thời gian ra: 2026-01-29 18:44:44</t>
  </si>
  <si>
    <t>Thời gian vào: 2026-01-05 08:26:05</t>
  </si>
  <si>
    <t>Thời gian ra: 2026-01-05 18:06:20</t>
  </si>
  <si>
    <t>Thời gian vào: 2026-01-06 08:29:01</t>
  </si>
  <si>
    <t>Thời gian ra: 2026-01-06 18:04:23</t>
  </si>
  <si>
    <t>Thời gian vào: 2026-01-07 08:28:40</t>
  </si>
  <si>
    <t>Thời gian ra: 2026-01-07 18:01:57</t>
  </si>
  <si>
    <t>Thời gian vào: 2026-01-08 08:28:33</t>
  </si>
  <si>
    <t>Thời gian ra: 2026-01-08 18:03:58</t>
  </si>
  <si>
    <t>Thời gian vào: 2026-01-12 08:28:43</t>
  </si>
  <si>
    <t>Thời gian ra: 2026-01-12 18:01:45</t>
  </si>
  <si>
    <t>Thời gian vào: 2026-01-13 08:28:41</t>
  </si>
  <si>
    <t>Thời gian ra: 2026-01-13 18:01:59</t>
  </si>
  <si>
    <t>Thời gian vào: 2026-01-14 08:24:32</t>
  </si>
  <si>
    <t>Thời gian ra: 2026-01-14 18:01:36</t>
  </si>
  <si>
    <t>Thời gian vào: 2026-01-15 08:28:43</t>
  </si>
  <si>
    <t>Thời gian ra: 2026-01-15 18:01:36</t>
  </si>
  <si>
    <t>Thời gian vào: 2026-01-19 08:23:48</t>
  </si>
  <si>
    <t>Thời gian ra: 2026-01-19 18:02:13</t>
  </si>
  <si>
    <t>Thời gian vào: 2026-01-20 08:26:30</t>
  </si>
  <si>
    <t>Thời gian ra: 2026-01-20 18:02:11</t>
  </si>
  <si>
    <t>Thời gian vào: 2026-01-21 08:29:16</t>
  </si>
  <si>
    <t>Thời gian ra: 2026-01-21 18:01:08</t>
  </si>
  <si>
    <t>Thời gian vào: 2026-01-22 08:31:57</t>
  </si>
  <si>
    <t>Thời gian ra: 2026-01-22 18:02:33</t>
  </si>
  <si>
    <t>Thời gian vào: 2026-01-26 08:32:13</t>
  </si>
  <si>
    <t>Thời gian ra: 2026-01-26 18:00:52</t>
  </si>
  <si>
    <t>Thời gian vào: 2026-01-27 08:29:51</t>
  </si>
  <si>
    <t>Thời gian ra: 2026-01-27 18:02:50</t>
  </si>
  <si>
    <t>Thời gian vào: 2026-01-28 08:32:29</t>
  </si>
  <si>
    <t>Thời gian ra: 2026-01-28 18:02:03</t>
  </si>
  <si>
    <t>Thời gian vào: 2026-01-29 08:28:43</t>
  </si>
  <si>
    <t>Thời gian ra: 2026-01-29 18:01:10</t>
  </si>
  <si>
    <t>Thời gian vào: 2026-01-07 22:15:42</t>
  </si>
  <si>
    <t>Thời gian ra: 2026-01-07 22:15:45</t>
  </si>
  <si>
    <t>Thời gian vào: 2026-01-05 16:19:35</t>
  </si>
  <si>
    <t>Thời gian vào: 2026-01-06 14:01:53</t>
  </si>
  <si>
    <t>Thời gian ra: 2026-01-06 18:16:37</t>
  </si>
  <si>
    <t>Thời lượng theo dõi:255 phút</t>
  </si>
  <si>
    <t>Thời gian vào: 2026-01-07 09:00:25</t>
  </si>
  <si>
    <t>Thời gian ra: 2026-01-07 18:35:47</t>
  </si>
  <si>
    <t>Thời gian vào: 2026-01-08 18:59:19</t>
  </si>
  <si>
    <t>Thời gian vào: 2026-01-09 08:18:57</t>
  </si>
  <si>
    <t>Thời gian ra: 2026-01-09 18:14:00</t>
  </si>
  <si>
    <t>Thời gian vào: 2026-01-12 08:26:08</t>
  </si>
  <si>
    <t>Thời gian ra: 2026-01-12 18:12:22</t>
  </si>
  <si>
    <t>Thời gian vào: 2026-01-14 08:42:52</t>
  </si>
  <si>
    <t>Thời gian vào: 2026-01-15 08:26:47</t>
  </si>
  <si>
    <t>Thời gian ra: 2026-01-15 19:02:29</t>
  </si>
  <si>
    <t>Thời gian vào: 2026-01-16 18:56:10</t>
  </si>
  <si>
    <t>Thời gian vào: 2026-01-19 08:32:48</t>
  </si>
  <si>
    <t>Thời gian ra: 2026-01-19 18:05:33</t>
  </si>
  <si>
    <t>Thời gian vào: 2026-01-22 08:32:07</t>
  </si>
  <si>
    <t>Thời gian ra: 2026-01-22 18:18:50</t>
  </si>
  <si>
    <t>Thời gian vào: 2026-01-26 08:29:05</t>
  </si>
  <si>
    <t>Thời gian ra: 2026-01-26 18:16:46</t>
  </si>
  <si>
    <t>Thời gian vào: 2026-01-27 13:55:49</t>
  </si>
  <si>
    <t>Thời gian ra: 2026-01-27 18:02:34</t>
  </si>
  <si>
    <t>Thời lượng theo dõi:247 phút</t>
  </si>
  <si>
    <t>Thời gian vào: 2026-01-28 08:25:49</t>
  </si>
  <si>
    <t>Thời gian ra: 2026-01-28 19:31:51</t>
  </si>
  <si>
    <t>Thời gian vào: 2026-01-29 08:26:57</t>
  </si>
  <si>
    <t>Thời gian ra: 2026-01-29 18:05:56</t>
  </si>
  <si>
    <t>Thời gian vào: 2026-01-30 08:22:39</t>
  </si>
  <si>
    <t>Vũ Thị Vân Anh</t>
  </si>
  <si>
    <t>Thời gian vào: 2026-01-05 09:05:20</t>
  </si>
  <si>
    <t>Thời gian vào: 2026-01-06 09:42:14</t>
  </si>
  <si>
    <t>Thời gian ra: 2026-01-06 19:07:44</t>
  </si>
  <si>
    <t>Thời gian vào: 2026-01-07 09:04:08</t>
  </si>
  <si>
    <t>Thời gian ra: 2026-01-07 18:08:44</t>
  </si>
  <si>
    <t>Thời gian vào: 2026-01-08 09:24:27</t>
  </si>
  <si>
    <t>Thời gian ra: 2026-01-08 18:34:00</t>
  </si>
  <si>
    <t>Thời gian vào: 2026-01-09 09:32:40</t>
  </si>
  <si>
    <t>Thời gian ra: 2026-01-09 19:21:06</t>
  </si>
  <si>
    <t>Thời gian vào: 2026-01-12 09:22:35</t>
  </si>
  <si>
    <t>Thời gian ra: 2026-01-12 18:39:15</t>
  </si>
  <si>
    <t>Thời gian vào: 2026-01-13 09:14:05</t>
  </si>
  <si>
    <t>Thời gian ra: 2026-01-13 18:35:58</t>
  </si>
  <si>
    <t>Thời gian vào: 2026-01-14 10:15:10</t>
  </si>
  <si>
    <t>Thời gian ra: 2026-01-14 18:14:51</t>
  </si>
  <si>
    <t>Thời lượng theo dõi:480 phút</t>
  </si>
  <si>
    <t>Thời gian vào: 2026-01-15 11:05:58</t>
  </si>
  <si>
    <t>Thời gian ra: 2026-01-15 19:26:10</t>
  </si>
  <si>
    <t>Thời gian vào: 2026-01-16 09:21:09</t>
  </si>
  <si>
    <t>Thời gian ra: 2026-01-16 18:34:49</t>
  </si>
  <si>
    <t>Thời lượng theo dõi:554 phút</t>
  </si>
  <si>
    <t>Thời gian vào: 2026-01-19 09:03:02</t>
  </si>
  <si>
    <t>Thời gian ra: 2026-01-19 18:07:29</t>
  </si>
  <si>
    <t>Thời gian vào: 2026-01-20 09:07:13</t>
  </si>
  <si>
    <t>Thời gian ra: 2026-01-20 18:00:27</t>
  </si>
  <si>
    <t>Thời gian vào: 2026-01-21 10:17:41</t>
  </si>
  <si>
    <t>Thời gian ra: 2026-01-21 19:23:33</t>
  </si>
  <si>
    <t>Thời gian vào: 2026-01-22 13:37:05</t>
  </si>
  <si>
    <t>Thời gian ra: 2026-01-22 18:13:28</t>
  </si>
  <si>
    <t>Thời lượng theo dõi:276 phút</t>
  </si>
  <si>
    <t>Thời gian vào: 2026-01-23 09:40:14</t>
  </si>
  <si>
    <t>Thời gian ra: 2026-01-23 17:19:37</t>
  </si>
  <si>
    <t>Thời lượng theo dõi:459 phút</t>
  </si>
  <si>
    <t>Thời gian vào: 2026-01-26 09:09:46</t>
  </si>
  <si>
    <t>Thời gian ra: 2026-01-26 18:35:45</t>
  </si>
  <si>
    <t>Thời gian vào: 2026-01-27 10:17:58</t>
  </si>
  <si>
    <t>Thời gian ra: 2026-01-27 18:15:06</t>
  </si>
  <si>
    <t>Thời lượng theo dõi:477 phút</t>
  </si>
  <si>
    <t>Thời gian vào: 2026-01-28 09:23:33</t>
  </si>
  <si>
    <t>Thời gian ra: 2026-01-28 18:27:24</t>
  </si>
  <si>
    <t>Thời gian vào: 2026-01-29 14:09:42</t>
  </si>
  <si>
    <t>Thời gian ra: 2026-01-29 18:24:39</t>
  </si>
  <si>
    <t>Thời gian vào: 2026-01-30 09:40:04</t>
  </si>
  <si>
    <t>Thời gian ra: 2026-01-30 19:05:04</t>
  </si>
  <si>
    <t>Thời gian vào: 2026-01-05 13:34:26</t>
  </si>
  <si>
    <t>Thời gian ra: 2026-01-05 18:47:34</t>
  </si>
  <si>
    <t>Thời lượng theo dõi:313 phút</t>
  </si>
  <si>
    <t>Thời gian vào: 2026-01-06 08:51:07</t>
  </si>
  <si>
    <t>Thời gian ra: 2026-01-06 19:08:59</t>
  </si>
  <si>
    <t>Thời gian vào: 2026-01-07 09:00:21</t>
  </si>
  <si>
    <t>Thời gian ra: 2026-01-07 18:29:21</t>
  </si>
  <si>
    <t>Thời gian vào: 2026-01-08 08:53:58</t>
  </si>
  <si>
    <t>Thời gian ra: 2026-01-08 18:46:30</t>
  </si>
  <si>
    <t>Thời gian vào: 2026-01-12 08:41:18</t>
  </si>
  <si>
    <t>Thời gian ra: 2026-01-12 20:10:57</t>
  </si>
  <si>
    <t>Thời lượng theo dõi:690 phút</t>
  </si>
  <si>
    <t>Thời gian vào: 2026-01-13 08:42:47</t>
  </si>
  <si>
    <t>Thời gian ra: 2026-01-13 18:24:15</t>
  </si>
  <si>
    <t>Thời gian vào: 2026-01-14 08:54:48</t>
  </si>
  <si>
    <t>Thời gian ra: 2026-01-14 19:02:32</t>
  </si>
  <si>
    <t>Thời gian vào: 2026-01-15 08:53:43</t>
  </si>
  <si>
    <t>Thời gian ra: 2026-01-15 18:36:55</t>
  </si>
  <si>
    <t>Thời gian vào: 2026-01-19 09:02:00</t>
  </si>
  <si>
    <t>Thời gian ra: 2026-01-19 19:27:48</t>
  </si>
  <si>
    <t>Thời gian vào: 2026-01-20 08:53:59</t>
  </si>
  <si>
    <t>Thời gian ra: 2026-01-20 18:33:29</t>
  </si>
  <si>
    <t>Thời gian vào: 2026-01-21 08:50:08</t>
  </si>
  <si>
    <t>Thời gian ra: 2026-01-21 18:20:43</t>
  </si>
  <si>
    <t>Thời gian vào: 2026-01-22 09:04:21</t>
  </si>
  <si>
    <t>Thời gian ra: 2026-01-22 18:34:40</t>
  </si>
  <si>
    <t>Thời gian vào: 2026-01-26 13:44:48</t>
  </si>
  <si>
    <t>Thời gian ra: 2026-01-26 20:44:42</t>
  </si>
  <si>
    <t>Thời lượng theo dõi:420 phút</t>
  </si>
  <si>
    <t>Thời gian vào: 2026-01-27 09:02:44</t>
  </si>
  <si>
    <t>Thời gian ra: 2026-01-27 18:34:27</t>
  </si>
  <si>
    <t>Thời gian vào: 2026-01-28 08:58:23</t>
  </si>
  <si>
    <t>Thời gian ra: 2026-01-28 18:40:56</t>
  </si>
  <si>
    <t>Thời gian vào: 2026-01-29 09:19:06</t>
  </si>
  <si>
    <t>Thời gian ra: 2026-01-29 19:20:47</t>
  </si>
  <si>
    <t>Thời gian vào: 2026-01-07 15:04:31</t>
  </si>
  <si>
    <t>Thời gian vào: 2026-01-31 13:54:34</t>
  </si>
  <si>
    <t>Thời gian vào: 2026-01-05 08:52:04</t>
  </si>
  <si>
    <t>Thời gian ra: 2026-01-05 19:06:39</t>
  </si>
  <si>
    <t>Thời gian vào: 2026-01-06 09:15:19</t>
  </si>
  <si>
    <t>Thời gian ra: 2026-01-06 17:54:39</t>
  </si>
  <si>
    <t>Thời lượng theo dõi:519 phút</t>
  </si>
  <si>
    <t>Thời gian vào: 2026-01-07 09:07:24</t>
  </si>
  <si>
    <t>Thời gian ra: 2026-01-07 18:08:35</t>
  </si>
  <si>
    <t>Thời gian vào: 2026-01-08 09:14:41</t>
  </si>
  <si>
    <t>Thời gian ra: 2026-01-08 18:32:18</t>
  </si>
  <si>
    <t>Thời gian vào: 2026-01-09 09:04:16</t>
  </si>
  <si>
    <t>Thời gian ra: 2026-01-09 19:12:48</t>
  </si>
  <si>
    <t>Thời gian vào: 2026-01-10 09:20:43</t>
  </si>
  <si>
    <t>Thời gian ra: 2026-01-10 19:20:57</t>
  </si>
  <si>
    <t>Thời gian vào: 2026-01-12 09:01:01</t>
  </si>
  <si>
    <t>Thời gian ra: 2026-01-12 18:14:22</t>
  </si>
  <si>
    <t>Thời gian vào: 2026-01-13 09:00:51</t>
  </si>
  <si>
    <t>Thời gian ra: 2026-01-13 18:25:05</t>
  </si>
  <si>
    <t>Thời gian vào: 2026-01-14 09:10:25</t>
  </si>
  <si>
    <t>Thời gian ra: 2026-01-14 18:53:44</t>
  </si>
  <si>
    <t>Thời gian vào: 2026-01-15 13:38:06</t>
  </si>
  <si>
    <t>Thời gian ra: 2026-01-15 18:28:20</t>
  </si>
  <si>
    <t>Thời lượng theo dõi:290 phút</t>
  </si>
  <si>
    <t>Thời gian vào: 2026-01-16 09:06:08</t>
  </si>
  <si>
    <t>Thời gian ra: 2026-01-16 18:44:44</t>
  </si>
  <si>
    <t>Thời gian vào: 2026-01-19 09:04:32</t>
  </si>
  <si>
    <t>Thời gian ra: 2026-01-19 18:26:09</t>
  </si>
  <si>
    <t>Thời gian vào: 2026-01-20 08:54:01</t>
  </si>
  <si>
    <t>Thời gian ra: 2026-01-20 19:48:54</t>
  </si>
  <si>
    <t>Thời lượng theo dõi:655 phút</t>
  </si>
  <si>
    <t>Thời gian vào: 2026-01-21 13:33:43</t>
  </si>
  <si>
    <t>Thời gian ra: 2026-01-21 18:06:44</t>
  </si>
  <si>
    <t>Thời gian vào: 2026-01-22 08:52:03</t>
  </si>
  <si>
    <t>Thời gian ra: 2026-01-22 18:51:25</t>
  </si>
  <si>
    <t>Thời gian vào: 2026-01-23 09:04:45</t>
  </si>
  <si>
    <t>Thời gian ra: 2026-01-23 18:49:49</t>
  </si>
  <si>
    <t>Thời gian vào: 2026-01-26 09:04:58</t>
  </si>
  <si>
    <t>Thời gian ra: 2026-01-26 18:15:11</t>
  </si>
  <si>
    <t>Thời gian vào: 2026-01-27 09:05:33</t>
  </si>
  <si>
    <t>Thời gian ra: 2026-01-27 18:34:09</t>
  </si>
  <si>
    <t>Thời gian vào: 2026-01-28 08:39:41</t>
  </si>
  <si>
    <t>Thời gian ra: 2026-01-28 18:59:20</t>
  </si>
  <si>
    <t>Thời gian vào: 2026-01-29 08:08:48</t>
  </si>
  <si>
    <t>Thời gian ra: 2026-01-29 08:19:27</t>
  </si>
  <si>
    <t>Thời lượng theo dõi:11 phút</t>
  </si>
  <si>
    <t>Thời gian vào: 2026-01-30 09:09:31</t>
  </si>
  <si>
    <t>Thời gian ra: 2026-01-30 18:52:49</t>
  </si>
  <si>
    <t>Thời gian vào: 2026-01-05 09:02:25</t>
  </si>
  <si>
    <t>Thời gian ra: 2026-01-05 18:40:50</t>
  </si>
  <si>
    <t>Thời gian vào: 2026-01-06 13:41:24</t>
  </si>
  <si>
    <t>Thời gian ra: 2026-01-06 21:30:32</t>
  </si>
  <si>
    <t>Thời lượng theo dõi:469 phút</t>
  </si>
  <si>
    <t>Thời gian vào: 2026-01-07 09:04:17</t>
  </si>
  <si>
    <t>Thời gian ra: 2026-01-07 18:29:17</t>
  </si>
  <si>
    <t>Thời gian vào: 2026-01-12 09:21:59</t>
  </si>
  <si>
    <t>Thời gian ra: 2026-01-12 20:10:55</t>
  </si>
  <si>
    <t>Thời lượng theo dõi:649 phút</t>
  </si>
  <si>
    <t>Thời gian vào: 2026-01-13 13:47:07</t>
  </si>
  <si>
    <t>Thời gian ra: 2026-01-13 22:38:57</t>
  </si>
  <si>
    <t>Thời gian vào: 2026-01-14 08:57:54</t>
  </si>
  <si>
    <t>Thời gian ra: 2026-01-14 19:02:41</t>
  </si>
  <si>
    <t>Thời gian vào: 2026-01-15 13:36:37</t>
  </si>
  <si>
    <t>Thời gian ra: 2026-01-15 22:01:18</t>
  </si>
  <si>
    <t>Thời gian vào: 2026-01-16 08:32:01</t>
  </si>
  <si>
    <t>Thời gian ra: 2026-01-16 19:25:41</t>
  </si>
  <si>
    <t>Thời gian vào: 2026-01-19 09:19:52</t>
  </si>
  <si>
    <t>Thời gian ra: 2026-01-19 19:58:28</t>
  </si>
  <si>
    <t>Thời gian vào: 2026-01-20 13:39:04</t>
  </si>
  <si>
    <t>Thời gian ra: 2026-01-20 21:31:38</t>
  </si>
  <si>
    <t>Thời gian vào: 2026-01-21 09:39:37</t>
  </si>
  <si>
    <t>Thời gian ra: 2026-01-21 19:12:53</t>
  </si>
  <si>
    <t>Thời gian vào: 2026-01-22 13:36:50</t>
  </si>
  <si>
    <t>Thời gian ra: 2026-01-22 22:14:52</t>
  </si>
  <si>
    <t>Thời lượng theo dõi:518 phút</t>
  </si>
  <si>
    <t>Thời gian vào: 2026-01-26 09:27:49</t>
  </si>
  <si>
    <t>Thời gian ra: 2026-01-26 20:42:36</t>
  </si>
  <si>
    <t>Thời gian vào: 2026-01-27 13:42:41</t>
  </si>
  <si>
    <t>Thời gian ra: 2026-01-27 21:44:00</t>
  </si>
  <si>
    <t>Thời gian vào: 2026-01-28 09:49:45</t>
  </si>
  <si>
    <t>Thời gian ra: 2026-01-28 18:10:02</t>
  </si>
  <si>
    <t>Thời gian vào: 2026-01-29 13:34:41</t>
  </si>
  <si>
    <t>Thời gian ra: 2026-01-29 22:17:25</t>
  </si>
  <si>
    <t>Thời lượng theo dõi:523 phút</t>
  </si>
  <si>
    <t>Thời gian vào: 2026-01-05 09:44:32</t>
  </si>
  <si>
    <t>Thời gian ra: 2026-01-05 18:33:04</t>
  </si>
  <si>
    <t>Thời gian vào: 2026-01-06 09:57:08</t>
  </si>
  <si>
    <t>Thời gian ra: 2026-01-06 18:38:03</t>
  </si>
  <si>
    <t>Thời gian vào: 2026-01-07 09:45:40</t>
  </si>
  <si>
    <t>Thời gian ra: 2026-01-07 19:20:30</t>
  </si>
  <si>
    <t>Thời gian vào: 2026-01-08 10:08:08</t>
  </si>
  <si>
    <t>Thời gian ra: 2026-01-08 19:19:57</t>
  </si>
  <si>
    <t>Thời gian vào: 2026-01-11 14:18:41</t>
  </si>
  <si>
    <t>Thời gian ra: 2026-01-11 17:19:07</t>
  </si>
  <si>
    <t>Thời lượng theo dõi:180 phút</t>
  </si>
  <si>
    <t>Thời gian vào: 2026-01-12 09:40:26</t>
  </si>
  <si>
    <t>Thời gian ra: 2026-01-12 20:33:04</t>
  </si>
  <si>
    <t>Thời gian vào: 2026-01-13 08:30:17</t>
  </si>
  <si>
    <t>Thời gian ra: 2026-01-13 17:18:43</t>
  </si>
  <si>
    <t>Thời gian vào: 2026-01-14 08:32:15</t>
  </si>
  <si>
    <t>Thời gian ra: 2026-01-14 16:23:44</t>
  </si>
  <si>
    <t>Thời gian vào: 2026-01-15 08:34:40</t>
  </si>
  <si>
    <t>Thời gian ra: 2026-01-15 22:01:20</t>
  </si>
  <si>
    <t>Thời lượng theo dõi:807 phút</t>
  </si>
  <si>
    <t>Thời gian vào: 2026-01-16 08:32:03</t>
  </si>
  <si>
    <t>Thời gian ra: 2026-01-16 15:32:18</t>
  </si>
  <si>
    <t>Thời gian vào: 2026-01-19 09:48:14</t>
  </si>
  <si>
    <t>Thời gian ra: 2026-01-19 20:57:14</t>
  </si>
  <si>
    <t>Thời gian vào: 2026-01-20 08:48:58</t>
  </si>
  <si>
    <t>Thời gian ra: 2026-01-20 20:45:36</t>
  </si>
  <si>
    <t>Thời lượng theo dõi:717 phút</t>
  </si>
  <si>
    <t>Thời gian vào: 2026-01-21 10:09:27</t>
  </si>
  <si>
    <t>Thời gian ra: 2026-01-21 18:31:12</t>
  </si>
  <si>
    <t>Thời lượng theo dõi:502 phút</t>
  </si>
  <si>
    <t>Thời gian vào: 2026-01-27 09:36:48</t>
  </si>
  <si>
    <t>Thời gian ra: 2026-01-27 18:54:08</t>
  </si>
  <si>
    <t>Thời gian vào: 2026-01-28 10:04:32</t>
  </si>
  <si>
    <t>Thời gian ra: 2026-01-28 19:20:19</t>
  </si>
  <si>
    <t>Thời gian vào: 2026-01-29 09:59:57</t>
  </si>
  <si>
    <t>Thời gian ra: 2026-01-29 19:00:41</t>
  </si>
  <si>
    <t>Thời gian vào: 2026-01-05 08:32:36</t>
  </si>
  <si>
    <t>Thời gian ra: 2026-01-05 19:08:06</t>
  </si>
  <si>
    <t>Thời gian vào: 2026-01-06 08:40:36</t>
  </si>
  <si>
    <t>Thời gian ra: 2026-01-06 20:47:55</t>
  </si>
  <si>
    <t>Thời lượng theo dõi:727 phút</t>
  </si>
  <si>
    <t>Thời gian vào: 2026-01-07 08:38:14</t>
  </si>
  <si>
    <t>Thời gian ra: 2026-01-07 15:22:02</t>
  </si>
  <si>
    <t>Thời lượng theo dõi:404 phút</t>
  </si>
  <si>
    <t>Thời gian vào: 2026-01-08 08:38:35</t>
  </si>
  <si>
    <t>Thời gian ra: 2026-01-08 19:13:29</t>
  </si>
  <si>
    <t>Thời gian vào: 2026-01-09 08:30:22</t>
  </si>
  <si>
    <t>Thời gian ra: 2026-01-09 18:41:30</t>
  </si>
  <si>
    <t>Thời gian vào: 2026-01-10 08:48:38</t>
  </si>
  <si>
    <t>Thời gian ra: 2026-01-10 18:55:22</t>
  </si>
  <si>
    <t>Thời gian vào: 2026-01-12 08:08:36</t>
  </si>
  <si>
    <t>Thời gian ra: 2026-01-12 18:06:39</t>
  </si>
  <si>
    <t>Thời gian vào: 2026-01-13 13:08:35</t>
  </si>
  <si>
    <t>Thời gian ra: 2026-01-13 18:34:18</t>
  </si>
  <si>
    <t>Thời lượng theo dõi:326 phút</t>
  </si>
  <si>
    <t>Thời gian vào: 2026-01-14 08:44:13</t>
  </si>
  <si>
    <t>Thời gian ra: 2026-01-14 18:33:27</t>
  </si>
  <si>
    <t>Thời gian vào: 2026-01-15 08:00:39</t>
  </si>
  <si>
    <t>Thời gian ra: 2026-01-15 18:36:38</t>
  </si>
  <si>
    <t>Thời gian vào: 2026-01-16 08:08:25</t>
  </si>
  <si>
    <t>Thời gian ra: 2026-01-16 19:09:34</t>
  </si>
  <si>
    <t>Thời lượng theo dõi:661 phút</t>
  </si>
  <si>
    <t>Thời gian vào: 2026-01-19 08:45:44</t>
  </si>
  <si>
    <t>Thời gian ra: 2026-01-19 19:13:55</t>
  </si>
  <si>
    <t>Thời gian vào: 2026-01-20 08:36:37</t>
  </si>
  <si>
    <t>Thời gian ra: 2026-01-20 19:54:21</t>
  </si>
  <si>
    <t>Thời gian vào: 2026-01-21 13:36:54</t>
  </si>
  <si>
    <t>Thời gian ra: 2026-01-21 18:52:13</t>
  </si>
  <si>
    <t>Thời lượng theo dõi:315 phút</t>
  </si>
  <si>
    <t>Thời gian vào: 2026-01-22 08:38:14</t>
  </si>
  <si>
    <t>Thời gian ra: 2026-01-22 19:06:25</t>
  </si>
  <si>
    <t>Thời gian vào: 2026-01-23 08:26:11</t>
  </si>
  <si>
    <t>Thời gian ra: 2026-01-23 18:19:35</t>
  </si>
  <si>
    <t>Thời gian vào: 2026-01-26 08:31:22</t>
  </si>
  <si>
    <t>Thời gian ra: 2026-01-26 18:21:17</t>
  </si>
  <si>
    <t>Thời gian vào: 2026-01-27 08:23:24</t>
  </si>
  <si>
    <t>Thời gian ra: 2026-01-27 18:46:15</t>
  </si>
  <si>
    <t>Thời gian vào: 2026-01-28 08:44:31</t>
  </si>
  <si>
    <t>Thời gian ra: 2026-01-28 18:08:54</t>
  </si>
  <si>
    <t>Thời gian vào: 2026-01-30 08:14:20</t>
  </si>
  <si>
    <t>Thời gian ra: 2026-01-30 18:23:35</t>
  </si>
  <si>
    <t>Thời gian vào: 2026-01-05 09:02:11</t>
  </si>
  <si>
    <t>Thời gian ra: 2026-01-05 18:07:30</t>
  </si>
  <si>
    <t>Thời gian vào: 2026-01-06 13:28:09</t>
  </si>
  <si>
    <t>Thời gian ra: 2026-01-06 18:03:45</t>
  </si>
  <si>
    <t>Thời gian vào: 2026-01-07 13:33:07</t>
  </si>
  <si>
    <t>Thời gian ra: 2026-01-07 18:04:09</t>
  </si>
  <si>
    <t>Thời gian vào: 2026-01-08 08:38:28</t>
  </si>
  <si>
    <t>Thời gian ra: 2026-01-08 18:02:02</t>
  </si>
  <si>
    <t>Thời gian vào: 2026-01-12 08:35:41</t>
  </si>
  <si>
    <t>Thời gian ra: 2026-01-12 18:04:35</t>
  </si>
  <si>
    <t>Thời gian vào: 2026-01-13 08:54:56</t>
  </si>
  <si>
    <t>Thời gian ra: 2026-01-13 18:04:03</t>
  </si>
  <si>
    <t>Thời gian vào: 2026-01-14 13:31:24</t>
  </si>
  <si>
    <t>Thời gian ra: 2026-01-14 18:02:07</t>
  </si>
  <si>
    <t>Thời gian vào: 2026-01-15 08:43:04</t>
  </si>
  <si>
    <t>Thời gian ra: 2026-01-15 18:03:31</t>
  </si>
  <si>
    <t>Thời gian vào: 2026-01-19 08:59:59</t>
  </si>
  <si>
    <t>Thời gian ra: 2026-01-19 18:03:52</t>
  </si>
  <si>
    <t>Thời gian vào: 2026-01-20 09:35:27</t>
  </si>
  <si>
    <t>Thời gian ra: 2026-01-20 18:03:09</t>
  </si>
  <si>
    <t>Thời lượng theo dõi:508 phút</t>
  </si>
  <si>
    <t>Thời gian vào: 2026-01-21 08:43:25</t>
  </si>
  <si>
    <t>Thời gian ra: 2026-01-21 18:02:50</t>
  </si>
  <si>
    <t>Thời gian vào: 2026-01-22 08:59:42</t>
  </si>
  <si>
    <t>Thời gian ra: 2026-01-22 18:02:02</t>
  </si>
  <si>
    <t>Thời gian vào: 2026-01-26 08:39:08</t>
  </si>
  <si>
    <t>Thời gian ra: 2026-01-26 18:09:42</t>
  </si>
  <si>
    <t>Thời gian vào: 2026-01-27 13:09:32</t>
  </si>
  <si>
    <t>Thời gian ra: 2026-01-27 18:05:51</t>
  </si>
  <si>
    <t>Thời gian vào: 2026-01-28 08:42:29</t>
  </si>
  <si>
    <t>Thời gian ra: 2026-01-28 18:11:36</t>
  </si>
  <si>
    <t>Thời gian vào: 2026-01-29 10:06:36</t>
  </si>
  <si>
    <t>Thời gian ra: 2026-01-29 18:10:23</t>
  </si>
  <si>
    <t>Thời lượng theo dõi:484 phút</t>
  </si>
  <si>
    <t>Nguyễn Minh Quang</t>
  </si>
  <si>
    <t>MKT Nexira</t>
  </si>
  <si>
    <t>Thời gian vào: 2026-01-05 08:14:32</t>
  </si>
  <si>
    <t>Thời gian ra: 2026-01-05 18:51:27</t>
  </si>
  <si>
    <t>Thời lượng theo dõi:637 phút</t>
  </si>
  <si>
    <t>Thời gian vào: 2026-01-06 08:47:00</t>
  </si>
  <si>
    <t>Thời gian ra: 2026-01-06 18:20:31</t>
  </si>
  <si>
    <t>Thời gian vào: 2026-01-07 08:15:57</t>
  </si>
  <si>
    <t>Thời gian ra: 2026-01-07 18:46:00</t>
  </si>
  <si>
    <t>Thời gian vào: 2026-01-08 08:16:13</t>
  </si>
  <si>
    <t>Thời gian ra: 2026-01-08 18:58:19</t>
  </si>
  <si>
    <t>Thời gian vào: 2026-01-09 08:00:25</t>
  </si>
  <si>
    <t>Thời gian ra: 2026-01-09 12:33:03</t>
  </si>
  <si>
    <t>Thời gian vào: 2026-01-12 08:24:12</t>
  </si>
  <si>
    <t>Thời gian ra: 2026-01-12 18:39:58</t>
  </si>
  <si>
    <t>Thời gian vào: 2026-01-13 08:30:22</t>
  </si>
  <si>
    <t>Thời gian ra: 2026-01-13 18:39:00</t>
  </si>
  <si>
    <t>Thời gian vào: 2026-01-14 08:35:08</t>
  </si>
  <si>
    <t>Thời gian ra: 2026-01-14 19:38:01</t>
  </si>
  <si>
    <t>Thời gian vào: 2026-01-15 08:27:08</t>
  </si>
  <si>
    <t>Thời gian ra: 2026-01-15 18:46:07</t>
  </si>
  <si>
    <t>Thời gian vào: 2026-01-16 08:29:59</t>
  </si>
  <si>
    <t>Thời gian ra: 2026-01-16 08:30:06</t>
  </si>
  <si>
    <t>Thời gian vào: 2026-01-19 08:17:23</t>
  </si>
  <si>
    <t>Thời gian ra: 2026-01-19 18:47:01</t>
  </si>
  <si>
    <t>Thời gian vào: 2026-01-20 08:17:57</t>
  </si>
  <si>
    <t>Thời gian ra: 2026-01-20 18:15:12</t>
  </si>
  <si>
    <t>Thời gian vào: 2026-01-21 08:21:23</t>
  </si>
  <si>
    <t>Thời gian ra: 2026-01-21 18:54:04</t>
  </si>
  <si>
    <t>Thời gian vào: 2026-01-26 08:33:43</t>
  </si>
  <si>
    <t>Thời gian ra: 2026-01-26 17:25:08</t>
  </si>
  <si>
    <t>Thời lượng theo dõi:531 phút</t>
  </si>
  <si>
    <t>Thời gian vào: 2026-01-27 08:09:07</t>
  </si>
  <si>
    <t>Thời gian ra: 2026-01-27 19:12:37</t>
  </si>
  <si>
    <t>Thời lượng theo dõi:664 phút</t>
  </si>
  <si>
    <t>Thời gian vào: 2026-01-28 08:27:35</t>
  </si>
  <si>
    <t>Thời gian ra: 2026-01-28 19:23:55</t>
  </si>
  <si>
    <t>Thời gian vào: 2026-01-29 08:27:42</t>
  </si>
  <si>
    <t>Thời gian ra: 2026-01-29 19:21:52</t>
  </si>
  <si>
    <t>Thời gian vào: 2026-01-30 18:23:31</t>
  </si>
  <si>
    <t>Thời gian ra: 2026-01-30 18:23:47</t>
  </si>
  <si>
    <t>Thời gian vào: 2026-01-05 08:40:55</t>
  </si>
  <si>
    <t>Thời gian ra: 2026-01-05 18:34:08</t>
  </si>
  <si>
    <t>Thời gian vào: 2026-01-06 09:09:09</t>
  </si>
  <si>
    <t>Thời gian ra: 2026-01-06 18:34:30</t>
  </si>
  <si>
    <t>Thời gian vào: 2026-01-07 09:00:08</t>
  </si>
  <si>
    <t>Thời gian ra: 2026-01-07 18:46:09</t>
  </si>
  <si>
    <t>Thời gian vào: 2026-01-08 08:38:32</t>
  </si>
  <si>
    <t>Thời gian ra: 2026-01-08 18:07:54</t>
  </si>
  <si>
    <t>Thời gian vào: 2026-01-09 08:40:04</t>
  </si>
  <si>
    <t>Thời gian ra: 2026-01-09 18:19:55</t>
  </si>
  <si>
    <t>Thời gian vào: 2026-01-10 08:39:29</t>
  </si>
  <si>
    <t>Thời gian ra: 2026-01-10 12:12:17</t>
  </si>
  <si>
    <t>Thời lượng theo dõi:213 phút</t>
  </si>
  <si>
    <t>Thời gian vào: 2026-01-12 08:41:02</t>
  </si>
  <si>
    <t>Thời gian vào: 2026-01-13 08:45:47</t>
  </si>
  <si>
    <t>Thời gian ra: 2026-01-13 18:27:27</t>
  </si>
  <si>
    <t>Thời gian vào: 2026-01-14 08:51:00</t>
  </si>
  <si>
    <t>Thời gian ra: 2026-01-14 18:48:30</t>
  </si>
  <si>
    <t>Thời gian vào: 2026-01-15 08:51:23</t>
  </si>
  <si>
    <t>Thời gian ra: 2026-01-15 18:24:54</t>
  </si>
  <si>
    <t>Thời gian vào: 2026-01-16 08:50:48</t>
  </si>
  <si>
    <t>Thời gian ra: 2026-01-16 18:44:47</t>
  </si>
  <si>
    <t>Thời gian vào: 2026-01-21 08:39:43</t>
  </si>
  <si>
    <t>Thời gian ra: 2026-01-21 18:38:51</t>
  </si>
  <si>
    <t>Thời gian vào: 2026-01-22 08:46:18</t>
  </si>
  <si>
    <t>Thời gian ra: 2026-01-22 18:26:24</t>
  </si>
  <si>
    <t>Thời gian vào: 2026-01-23 08:44:15</t>
  </si>
  <si>
    <t>Thời gian ra: 2026-01-23 18:46:03</t>
  </si>
  <si>
    <t>Thời gian vào: 2026-01-26 08:37:55</t>
  </si>
  <si>
    <t>Thời gian ra: 2026-01-26 18:13:30</t>
  </si>
  <si>
    <t>Thời gian vào: 2026-01-27 08:39:25</t>
  </si>
  <si>
    <t>Thời gian ra: 2026-01-27 18:06:15</t>
  </si>
  <si>
    <t>Thời gian vào: 2026-01-28 08:41:01</t>
  </si>
  <si>
    <t>Thời gian ra: 2026-01-28 18:36:40</t>
  </si>
  <si>
    <t>Thời gian vào: 2026-01-29 08:54:36</t>
  </si>
  <si>
    <t>Thời gian ra: 2026-01-29 18:29:18</t>
  </si>
  <si>
    <t>Thời gian vào: 2026-01-30 08:55:18</t>
  </si>
  <si>
    <t>Thời gian ra: 2026-01-30 18:52:14</t>
  </si>
  <si>
    <t>Thời gian vào: 2026-01-05 14:30:54</t>
  </si>
  <si>
    <t>Thời gian vào: 2026-01-13 11:04:33</t>
  </si>
  <si>
    <t>Thời gian ra: 2026-01-13 16:22:12</t>
  </si>
  <si>
    <t>Thời gian vào: 2026-01-14 18:48:20</t>
  </si>
  <si>
    <t>Thời gian ra: 2026-01-14 19:53:32</t>
  </si>
  <si>
    <t>Thời lượng theo dõi:65 phút</t>
  </si>
  <si>
    <t>Hồ Nghĩa Hoàng Phúc</t>
  </si>
  <si>
    <t>Thời gian vào: 2026-01-05 08:38:43</t>
  </si>
  <si>
    <t>Thời gian ra: 2026-01-05 18:15:45</t>
  </si>
  <si>
    <t>Thời gian vào: 2026-01-06 08:32:25</t>
  </si>
  <si>
    <t>Thời gian ra: 2026-01-06 18:23:14</t>
  </si>
  <si>
    <t>Thời gian vào: 2026-01-07 08:36:16</t>
  </si>
  <si>
    <t>Thời gian ra: 2026-01-07 18:22:02</t>
  </si>
  <si>
    <t>Thời gian vào: 2026-01-08 08:36:18</t>
  </si>
  <si>
    <t>Thời gian ra: 2026-01-08 18:27:28</t>
  </si>
  <si>
    <t>Thời gian vào: 2026-01-09 08:56:12</t>
  </si>
  <si>
    <t>Thời gian ra: 2026-01-09 12:15:01</t>
  </si>
  <si>
    <t>Thời lượng theo dõi:199 phút</t>
  </si>
  <si>
    <t>Thời gian vào: 2026-01-12 08:37:17</t>
  </si>
  <si>
    <t>Thời gian ra: 2026-01-12 18:33:17</t>
  </si>
  <si>
    <t>Thời gian vào: 2026-01-13 08:30:13</t>
  </si>
  <si>
    <t>Thời gian ra: 2026-01-13 18:18:52</t>
  </si>
  <si>
    <t>Thời gian vào: 2026-01-14 08:32:29</t>
  </si>
  <si>
    <t>Thời gian ra: 2026-01-14 18:08:24</t>
  </si>
  <si>
    <t>Thời gian vào: 2026-01-15 08:40:10</t>
  </si>
  <si>
    <t>Thời gian ra: 2026-01-15 18:48:47</t>
  </si>
  <si>
    <t>Thời gian vào: 2026-01-20 08:40:25</t>
  </si>
  <si>
    <t>Thời gian ra: 2026-01-20 18:15:14</t>
  </si>
  <si>
    <t>Thời gian vào: 2026-01-21 08:28:31</t>
  </si>
  <si>
    <t>Thời gian ra: 2026-01-21 18:06:58</t>
  </si>
  <si>
    <t>Thời gian vào: 2026-01-22 08:35:23</t>
  </si>
  <si>
    <t>Thời gian ra: 2026-01-22 18:58:33</t>
  </si>
  <si>
    <t>Thời gian vào: 2026-01-26 08:39:11</t>
  </si>
  <si>
    <t>Thời gian ra: 2026-01-26 18:32:03</t>
  </si>
  <si>
    <t>Thời gian vào: 2026-01-27 08:31:49</t>
  </si>
  <si>
    <t>Thời gian ra: 2026-01-27 18:33:00</t>
  </si>
  <si>
    <t>Thời gian vào: 2026-01-28 08:33:08</t>
  </si>
  <si>
    <t>Thời gian ra: 2026-01-28 18:16:52</t>
  </si>
  <si>
    <t>Thời gian vào: 2026-01-29 08:36:44</t>
  </si>
  <si>
    <t>Thời gian ra: 2026-01-29 18:14:33</t>
  </si>
  <si>
    <t>Thời gian vào: 2026-01-05 09:00:48</t>
  </si>
  <si>
    <t>Thời gian ra: 2026-01-05 18:21:24</t>
  </si>
  <si>
    <t>Thời gian vào: 2026-01-06 09:17:47</t>
  </si>
  <si>
    <t>Thời gian ra: 2026-01-06 18:17:26</t>
  </si>
  <si>
    <t>Thời gian vào: 2026-01-08 09:05:46</t>
  </si>
  <si>
    <t>Thời gian ra: 2026-01-08 22:05:03</t>
  </si>
  <si>
    <t>Thời lượng theo dõi:779 phút</t>
  </si>
  <si>
    <t>Thời gian vào: 2026-01-09 08:49:47</t>
  </si>
  <si>
    <t>Thời gian ra: 2026-01-09 21:22:58</t>
  </si>
  <si>
    <t>Thời gian vào: 2026-01-10 10:37:42</t>
  </si>
  <si>
    <t>Thời gian vào: 2026-01-12 08:51:55</t>
  </si>
  <si>
    <t>Thời gian ra: 2026-01-12 20:41:15</t>
  </si>
  <si>
    <t>Thời lượng theo dõi:709 phút</t>
  </si>
  <si>
    <t>Thời gian vào: 2026-01-13 09:11:55</t>
  </si>
  <si>
    <t>Thời gian ra: 2026-01-13 18:25:46</t>
  </si>
  <si>
    <t>Thời gian vào: 2026-01-14 13:50:25</t>
  </si>
  <si>
    <t>Thời gian ra: 2026-01-14 22:16:09</t>
  </si>
  <si>
    <t>Thời gian vào: 2026-01-15 10:01:15</t>
  </si>
  <si>
    <t>Thời gian ra: 2026-01-15 18:43:55</t>
  </si>
  <si>
    <t>Thời gian vào: 2026-01-16 09:51:38</t>
  </si>
  <si>
    <t>Thời gian ra: 2026-01-16 18:48:19</t>
  </si>
  <si>
    <t>Thời lượng theo dõi:537 phút</t>
  </si>
  <si>
    <t>Thời gian vào: 2026-01-19 10:04:47</t>
  </si>
  <si>
    <t>Thời gian ra: 2026-01-19 18:49:31</t>
  </si>
  <si>
    <t>Thời lượng theo dõi:525 phút</t>
  </si>
  <si>
    <t>Thời gian vào: 2026-01-20 13:48:42</t>
  </si>
  <si>
    <t>Thời gian ra: 2026-01-20 18:58:24</t>
  </si>
  <si>
    <t>Thời lượng theo dõi:310 phút</t>
  </si>
  <si>
    <t>Thời gian vào: 2026-01-21 10:09:37</t>
  </si>
  <si>
    <t>Thời gian ra: 2026-01-21 19:23:49</t>
  </si>
  <si>
    <t>Thời gian vào: 2026-01-22 09:47:48</t>
  </si>
  <si>
    <t>Thời gian ra: 2026-01-22 18:41:52</t>
  </si>
  <si>
    <t>Thời gian vào: 2026-01-23 13:32:34</t>
  </si>
  <si>
    <t>Thời gian ra: 2026-01-23 18:55:14</t>
  </si>
  <si>
    <t>Thời lượng theo dõi:323 phút</t>
  </si>
  <si>
    <t>Thời gian vào: 2026-01-28 09:24:55</t>
  </si>
  <si>
    <t>Thời gian ra: 2026-01-28 19:36:28</t>
  </si>
  <si>
    <t>Thời gian vào: 2026-01-29 09:33:09</t>
  </si>
  <si>
    <t>Thời gian ra: 2026-01-29 18:44:16</t>
  </si>
  <si>
    <t>Thời gian vào: 2026-01-30 09:57:12</t>
  </si>
  <si>
    <t>Thời gian ra: 2026-01-30 18:59:43</t>
  </si>
  <si>
    <t>Thời gian vào: 2026-01-05 11:29:37</t>
  </si>
  <si>
    <t>Thời gian ra: 2026-01-05 18:04:28</t>
  </si>
  <si>
    <t>Thời lượng theo dõi:395 phút</t>
  </si>
  <si>
    <t>Thời gian vào: 2026-01-06 08:27:37</t>
  </si>
  <si>
    <t>Thời gian ra: 2026-01-06 21:23:38</t>
  </si>
  <si>
    <t>Thời gian vào: 2026-01-07 09:28:10</t>
  </si>
  <si>
    <t>Thời gian ra: 2026-01-07 18:05:59</t>
  </si>
  <si>
    <t>Thời gian vào: 2026-01-08 08:25:40</t>
  </si>
  <si>
    <t>Thời gian ra: 2026-01-08 18:09:17</t>
  </si>
  <si>
    <t>Thời gian vào: 2026-01-09 08:25:41</t>
  </si>
  <si>
    <t>Thời gian ra: 2026-01-09 18:08:39</t>
  </si>
  <si>
    <t>Thời gian vào: 2026-01-10 08:23:27</t>
  </si>
  <si>
    <t>Thời gian ra: 2026-01-10 18:07:45</t>
  </si>
  <si>
    <t>Thời gian vào: 2026-01-12 08:27:20</t>
  </si>
  <si>
    <t>Thời gian ra: 2026-01-12 17:36:33</t>
  </si>
  <si>
    <t>Thời gian vào: 2026-01-13 08:30:16</t>
  </si>
  <si>
    <t>Thời gian ra: 2026-01-13 17:36:29</t>
  </si>
  <si>
    <t>Thời gian vào: 2026-01-14 08:27:22</t>
  </si>
  <si>
    <t>Thời gian ra: 2026-01-14 17:31:57</t>
  </si>
  <si>
    <t>Thời gian vào: 2026-01-15 08:30:24</t>
  </si>
  <si>
    <t>Thời gian ra: 2026-01-15 20:47:13</t>
  </si>
  <si>
    <t>Thời lượng theo dõi:737 phút</t>
  </si>
  <si>
    <t>Thời gian vào: 2026-01-16 10:32:59</t>
  </si>
  <si>
    <t>Thời gian ra: 2026-01-16 18:09:52</t>
  </si>
  <si>
    <t>Thời lượng theo dõi:457 phút</t>
  </si>
  <si>
    <t>Thời gian vào: 2026-01-19 08:29:19</t>
  </si>
  <si>
    <t>Thời gian ra: 2026-01-19 18:03:42</t>
  </si>
  <si>
    <t>Thời gian vào: 2026-01-20 08:30:58</t>
  </si>
  <si>
    <t>Thời gian ra: 2026-01-20 18:07:49</t>
  </si>
  <si>
    <t>Thời gian vào: 2026-01-21 08:24:39</t>
  </si>
  <si>
    <t>Thời gian ra: 2026-01-21 18:06:50</t>
  </si>
  <si>
    <t>Thời gian vào: 2026-01-22 08:26:59</t>
  </si>
  <si>
    <t>Thời gian ra: 2026-01-22 18:10:29</t>
  </si>
  <si>
    <t>Thời gian vào: 2026-01-23 08:29:28</t>
  </si>
  <si>
    <t>Thời gian ra: 2026-01-23 18:06:40</t>
  </si>
  <si>
    <t>Thời gian vào: 2026-01-26 08:30:33</t>
  </si>
  <si>
    <t>Thời gian ra: 2026-01-26 18:10:06</t>
  </si>
  <si>
    <t>Thời gian vào: 2026-01-27 08:30:06</t>
  </si>
  <si>
    <t>Thời gian ra: 2026-01-27 18:10:43</t>
  </si>
  <si>
    <t>Thời gian vào: 2026-01-28 08:26:28</t>
  </si>
  <si>
    <t>Thời gian ra: 2026-01-28 18:17:13</t>
  </si>
  <si>
    <t>Thời gian vào: 2026-01-29 08:27:46</t>
  </si>
  <si>
    <t>Thời gian ra: 2026-01-29 18:08:02</t>
  </si>
  <si>
    <t>Thời gian vào: 2026-01-30 08:27:54</t>
  </si>
  <si>
    <t>Thời gian ra: 2026-01-30 18:29:25</t>
  </si>
  <si>
    <t>Thời gian vào: 2026-01-05 09:00:20</t>
  </si>
  <si>
    <t>Thời gian ra: 2026-01-05 18:20:55</t>
  </si>
  <si>
    <t>Thời gian vào: 2026-01-06 09:01:51</t>
  </si>
  <si>
    <t>Thời gian ra: 2026-01-06 18:26:49</t>
  </si>
  <si>
    <t>Thời gian vào: 2026-01-07 08:51:03</t>
  </si>
  <si>
    <t>Thời gian ra: 2026-01-07 18:08:39</t>
  </si>
  <si>
    <t>Thời gian vào: 2026-01-08 09:08:14</t>
  </si>
  <si>
    <t>Thời gian ra: 2026-01-08 18:17:52</t>
  </si>
  <si>
    <t>Thời gian vào: 2026-01-09 08:22:53</t>
  </si>
  <si>
    <t>Thời gian ra: 2026-01-09 18:54:04</t>
  </si>
  <si>
    <t>Thời gian vào: 2026-01-10 14:32:53</t>
  </si>
  <si>
    <t>Thời gian ra: 2026-01-10 18:56:57</t>
  </si>
  <si>
    <t>Thời lượng theo dõi:264 phút</t>
  </si>
  <si>
    <t>Thời gian vào: 2026-01-12 08:51:06</t>
  </si>
  <si>
    <t>Thời gian ra: 2026-01-12 18:28:23</t>
  </si>
  <si>
    <t>Thời gian vào: 2026-01-13 18:09:49</t>
  </si>
  <si>
    <t>Thời gian vào: 2026-01-14 08:51:35</t>
  </si>
  <si>
    <t>Thời gian ra: 2026-01-14 18:10:07</t>
  </si>
  <si>
    <t>Thời gian vào: 2026-01-15 08:42:44</t>
  </si>
  <si>
    <t>Thời gian ra: 2026-01-15 18:05:58</t>
  </si>
  <si>
    <t>Thời gian vào: 2026-01-16 08:55:20</t>
  </si>
  <si>
    <t>Thời gian ra: 2026-01-16 18:24:03</t>
  </si>
  <si>
    <t>Thời gian vào: 2026-01-19 08:52:49</t>
  </si>
  <si>
    <t>Thời gian ra: 2026-01-19 18:14:35</t>
  </si>
  <si>
    <t>Thời gian vào: 2026-01-20 08:51:35</t>
  </si>
  <si>
    <t>Thời gian ra: 2026-01-20 18:04:55</t>
  </si>
  <si>
    <t>Thời gian vào: 2026-01-21 08:50:13</t>
  </si>
  <si>
    <t>Thời gian ra: 2026-01-21 18:24:05</t>
  </si>
  <si>
    <t>Thời gian vào: 2026-01-22 08:56:56</t>
  </si>
  <si>
    <t>Thời gian ra: 2026-01-22 18:10:55</t>
  </si>
  <si>
    <t>Thời gian vào: 2026-01-23 08:42:44</t>
  </si>
  <si>
    <t>Thời gian ra: 2026-01-23 18:13:42</t>
  </si>
  <si>
    <t>Thời gian vào: 2026-01-26 09:05:51</t>
  </si>
  <si>
    <t>Thời gian ra: 2026-01-26 18:09:21</t>
  </si>
  <si>
    <t>Thời gian vào: 2026-01-27 08:51:35</t>
  </si>
  <si>
    <t>Thời gian ra: 2026-01-27 18:11:10</t>
  </si>
  <si>
    <t>Thời gian vào: 2026-01-28 08:40:35</t>
  </si>
  <si>
    <t>Thời gian ra: 2026-01-28 18:17:30</t>
  </si>
  <si>
    <t>Thời gian vào: 2026-01-29 08:57:14</t>
  </si>
  <si>
    <t>Thời gian ra: 2026-01-29 18:20:24</t>
  </si>
  <si>
    <t>Thời gian vào: 2026-01-30 08:39:12</t>
  </si>
  <si>
    <t>Thời gian ra: 2026-01-30 19:25:30</t>
  </si>
  <si>
    <t>Thời gian vào: 2026-01-05 11:17:28</t>
  </si>
  <si>
    <t>Thời gian ra: 2026-01-05 18:18:59</t>
  </si>
  <si>
    <t>Thời gian vào: 2026-01-06 12:05:42</t>
  </si>
  <si>
    <t>Thời gian ra: 2026-01-06 18:07:54</t>
  </si>
  <si>
    <t>Thời lượng theo dõi:362 phút</t>
  </si>
  <si>
    <t>Thời gian vào: 2026-01-07 19:13:54</t>
  </si>
  <si>
    <t>Thời gian vào: 2026-01-09 18:13:58</t>
  </si>
  <si>
    <t>Thời gian vào: 2026-01-14 10:25:44</t>
  </si>
  <si>
    <t>Thời gian ra: 2026-01-14 18:02:20</t>
  </si>
  <si>
    <t>Thời gian vào: 2026-01-16 14:05:24</t>
  </si>
  <si>
    <t>Thời gian ra: 2026-01-16 18:02:47</t>
  </si>
  <si>
    <t>Thời lượng theo dõi:237 phút</t>
  </si>
  <si>
    <t>Thời gian vào: 2026-01-19 13:48:41</t>
  </si>
  <si>
    <t>Thời gian ra: 2026-01-19 19:03:46</t>
  </si>
  <si>
    <t>Thời gian vào: 2026-01-20 14:49:12</t>
  </si>
  <si>
    <t>Thời gian ra: 2026-01-20 18:31:58</t>
  </si>
  <si>
    <t>Thời lượng theo dõi:223 phút</t>
  </si>
  <si>
    <t>Bùi Phương Mai</t>
  </si>
  <si>
    <t>Thời gian vào: 2026-01-06 18:55:15</t>
  </si>
  <si>
    <t>Thời gian vào: 2026-01-09 17:16:08</t>
  </si>
  <si>
    <t>Thời gian ra: 2026-01-09 17:16:12</t>
  </si>
  <si>
    <t>Thời gian vào: 2026-01-12 10:47:53</t>
  </si>
  <si>
    <t>Thời gian ra: 2026-01-12 14:41:31</t>
  </si>
  <si>
    <t>Thời lượng theo dõi:234 phút</t>
  </si>
  <si>
    <t>Thời gian vào: 2026-01-13 12:12:13</t>
  </si>
  <si>
    <t>Thời gian ra: 2026-01-13 18:19:24</t>
  </si>
  <si>
    <t>Thời lượng theo dõi:367 phút</t>
  </si>
  <si>
    <t>Thời gian vào: 2026-01-15 13:34:42</t>
  </si>
  <si>
    <t>Thời gian vào: 2026-01-20 18:51:44</t>
  </si>
  <si>
    <t>Thời gian ra: 2026-01-20 18:51:48</t>
  </si>
  <si>
    <t>Thời gian vào: 2026-01-21 14:21:13</t>
  </si>
  <si>
    <t>Thời gian vào: 2026-01-22 16:52:38</t>
  </si>
  <si>
    <t>Thời gian vào: 2026-01-23 16:05:40</t>
  </si>
  <si>
    <t>Thời gian ra: 2026-01-23 16:06:24</t>
  </si>
  <si>
    <t>Thời gian vào: 2026-01-26 14:02:00</t>
  </si>
  <si>
    <t>Thời gian ra: 2026-01-26 14:02:04</t>
  </si>
  <si>
    <t>Thời gian vào: 2026-01-28 12:02:06</t>
  </si>
  <si>
    <t>Thời gian ra: 2026-01-28 12:02:46</t>
  </si>
  <si>
    <t>Thời gian vào: 2026-01-30 17:44:37</t>
  </si>
  <si>
    <t>Thời gian vào: 2026-01-05 09:04:43</t>
  </si>
  <si>
    <t>Thời gian ra: 2026-01-05 19:53:27</t>
  </si>
  <si>
    <t>Thời gian vào: 2026-01-06 09:42:12</t>
  </si>
  <si>
    <t>Thời gian ra: 2026-01-06 18:37:14</t>
  </si>
  <si>
    <t>Thời gian vào: 2026-01-07 13:56:09</t>
  </si>
  <si>
    <t>Thời gian ra: 2026-01-07 20:26:20</t>
  </si>
  <si>
    <t>Thời lượng theo dõi:390 phút</t>
  </si>
  <si>
    <t>Thời gian vào: 2026-01-08 13:39:03</t>
  </si>
  <si>
    <t>Thời gian ra: 2026-01-08 19:59:09</t>
  </si>
  <si>
    <t>Thời lượng theo dõi:380 phút</t>
  </si>
  <si>
    <t>Thời gian vào: 2026-01-09 14:34:18</t>
  </si>
  <si>
    <t>Thời gian ra: 2026-01-09 18:19:28</t>
  </si>
  <si>
    <t>Thời lượng theo dõi:225 phút</t>
  </si>
  <si>
    <t>Thời gian vào: 2026-01-11 14:46:30</t>
  </si>
  <si>
    <t>Thời gian ra: 2026-01-11 18:14:21</t>
  </si>
  <si>
    <t>Thời gian vào: 2026-01-12 13:34:05</t>
  </si>
  <si>
    <t>Thời gian ra: 2026-01-12 20:33:07</t>
  </si>
  <si>
    <t>Thời lượng theo dõi:419 phút</t>
  </si>
  <si>
    <t>Thời gian vào: 2026-01-13 08:33:49</t>
  </si>
  <si>
    <t>Thời gian ra: 2026-01-13 20:35:27</t>
  </si>
  <si>
    <t>Thời lượng theo dõi:722 phút</t>
  </si>
  <si>
    <t>Thời gian vào: 2026-01-14 08:20:34</t>
  </si>
  <si>
    <t>Thời gian ra: 2026-01-14 22:18:18</t>
  </si>
  <si>
    <t>Thời lượng theo dõi:838 phút</t>
  </si>
  <si>
    <t>Thời gian vào: 2026-01-15 08:38:07</t>
  </si>
  <si>
    <t>Thời gian ra: 2026-01-15 19:02:35</t>
  </si>
  <si>
    <t>Thời gian vào: 2026-01-16 08:42:07</t>
  </si>
  <si>
    <t>Thời gian ra: 2026-01-16 19:03:29</t>
  </si>
  <si>
    <t>Thời gian vào: 2026-01-19 13:41:54</t>
  </si>
  <si>
    <t>Thời gian ra: 2026-01-19 20:24:07</t>
  </si>
  <si>
    <t>Thời lượng theo dõi:402 phút</t>
  </si>
  <si>
    <t>Thời gian vào: 2026-01-20 08:34:25</t>
  </si>
  <si>
    <t>Thời gian ra: 2026-01-20 20:45:41</t>
  </si>
  <si>
    <t>Thời lượng theo dõi:731 phút</t>
  </si>
  <si>
    <t>Thời gian vào: 2026-01-21 13:36:51</t>
  </si>
  <si>
    <t>Thời gian ra: 2026-01-21 20:12:07</t>
  </si>
  <si>
    <t>Thời gian vào: 2026-01-22 16:41:54</t>
  </si>
  <si>
    <t>Thời gian ra: 2026-01-22 20:24:52</t>
  </si>
  <si>
    <t>Thời gian vào: 2026-01-25 14:05:46</t>
  </si>
  <si>
    <t>Thời gian ra: 2026-01-25 17:19:37</t>
  </si>
  <si>
    <t>Thời lượng theo dõi:194 phút</t>
  </si>
  <si>
    <t>Thời gian vào: 2026-01-26 09:06:28</t>
  </si>
  <si>
    <t>Thời gian ra: 2026-01-26 19:48:48</t>
  </si>
  <si>
    <t>Thời gian vào: 2026-01-27 13:37:04</t>
  </si>
  <si>
    <t>Thời gian ra: 2026-01-27 17:42:15</t>
  </si>
  <si>
    <t>Thời lượng theo dõi:245 phút</t>
  </si>
  <si>
    <t>Thời gian vào: 2026-01-28 15:54:04</t>
  </si>
  <si>
    <t>Thời gian ra: 2026-01-28 19:42:41</t>
  </si>
  <si>
    <t>Thời lượng theo dõi:229 phút</t>
  </si>
  <si>
    <t>Thời gian vào: 2026-01-29 09:22:19</t>
  </si>
  <si>
    <t>Thời gian ra: 2026-01-29 19:01:00</t>
  </si>
  <si>
    <t>Thời gian vào: 2026-02-01 15:05:44</t>
  </si>
  <si>
    <t>Thời gian ra: 2026-02-01 16:37:19</t>
  </si>
  <si>
    <t>Thời lượng theo dõi:92 phút</t>
  </si>
  <si>
    <t>Thời gian vào: 2026-01-06 21:26:44</t>
  </si>
  <si>
    <t>Thời gian ra: 2026-01-06 21:26:48</t>
  </si>
  <si>
    <t>Thời gian vào: 2026-01-07 10:42:37</t>
  </si>
  <si>
    <t>Thời gian ra: 2026-01-07 18:33:53</t>
  </si>
  <si>
    <t>Thời gian vào: 2026-01-08 08:29:00</t>
  </si>
  <si>
    <t>Thời gian ra: 2026-01-08 18:33:45</t>
  </si>
  <si>
    <t>Thời gian vào: 2026-01-09 08:25:50</t>
  </si>
  <si>
    <t>Thời gian ra: 2026-01-09 18:26:13</t>
  </si>
  <si>
    <t>Thời gian vào: 2026-01-10 08:28:08</t>
  </si>
  <si>
    <t>Thời gian ra: 2026-01-10 16:40:23</t>
  </si>
  <si>
    <t>Thời gian vào: 2026-01-12 08:26:52</t>
  </si>
  <si>
    <t>Thời gian ra: 2026-01-12 16:44:15</t>
  </si>
  <si>
    <t>Thời lượng theo dõi:497 phút</t>
  </si>
  <si>
    <t>Thời gian vào: 2026-01-13 08:31:25</t>
  </si>
  <si>
    <t>Thời gian ra: 2026-01-13 18:10:56</t>
  </si>
  <si>
    <t>Thời gian vào: 2026-01-14 08:27:31</t>
  </si>
  <si>
    <t>Thời gian ra: 2026-01-14 19:06:53</t>
  </si>
  <si>
    <t>Thời gian vào: 2026-01-15 06:36:09</t>
  </si>
  <si>
    <t>Thời gian ra: 2026-01-15 06:36:24</t>
  </si>
  <si>
    <t>Thời gian vào: 2026-01-16 00:14:22</t>
  </si>
  <si>
    <t>Thời gian vào: 2026-01-17 14:56:17</t>
  </si>
  <si>
    <t>Thời gian ra: 2026-01-17 14:56:27</t>
  </si>
  <si>
    <t>Thời gian vào: 2026-01-19 08:25:24</t>
  </si>
  <si>
    <t>Thời gian ra: 2026-01-19 16:36:44</t>
  </si>
  <si>
    <t>Thời gian vào: 2026-01-20 08:31:06</t>
  </si>
  <si>
    <t>Thời gian ra: 2026-01-20 18:14:31</t>
  </si>
  <si>
    <t>Thời gian vào: 2026-01-21 08:24:48</t>
  </si>
  <si>
    <t>Thời gian ra: 2026-01-21 18:14:34</t>
  </si>
  <si>
    <t>Thời gian vào: 2026-01-22 08:30:13</t>
  </si>
  <si>
    <t>Thời gian ra: 2026-01-22 18:16:11</t>
  </si>
  <si>
    <t>Thời gian vào: 2026-01-23 08:30:37</t>
  </si>
  <si>
    <t>Thời gian ra: 2026-01-23 18:12:23</t>
  </si>
  <si>
    <t>Thời gian vào: 2026-01-26 08:51:46</t>
  </si>
  <si>
    <t>Thời gian ra: 2026-01-26 18:09:49</t>
  </si>
  <si>
    <t>Thời gian vào: 2026-01-27 08:30:11</t>
  </si>
  <si>
    <t>Thời gian ra: 2026-01-27 18:10:35</t>
  </si>
  <si>
    <t>Thời gian vào: 2026-01-28 08:28:22</t>
  </si>
  <si>
    <t>Thời gian ra: 2026-01-28 17:33:47</t>
  </si>
  <si>
    <t>Thời gian vào: 2026-01-29 08:27:51</t>
  </si>
  <si>
    <t>Thời gian ra: 2026-01-29 17:41:33</t>
  </si>
  <si>
    <t>Thời gian vào: 2026-01-30 13:28:34</t>
  </si>
  <si>
    <t>Thời gian ra: 2026-01-30 21:50:56</t>
  </si>
  <si>
    <t>Thời gian vào: 2026-01-05 08:57:40</t>
  </si>
  <si>
    <t>Thời gian ra: 2026-01-05 18:34:42</t>
  </si>
  <si>
    <t>Thời gian vào: 2026-01-06 08:47:02</t>
  </si>
  <si>
    <t>Thời gian ra: 2026-01-06 18:08:00</t>
  </si>
  <si>
    <t>Thời gian vào: 2026-01-07 08:38:02</t>
  </si>
  <si>
    <t>Thời gian ra: 2026-01-07 18:11:22</t>
  </si>
  <si>
    <t>Thời gian vào: 2026-01-08 08:49:29</t>
  </si>
  <si>
    <t>Thời gian ra: 2026-01-08 18:09:40</t>
  </si>
  <si>
    <t>Thời gian vào: 2026-01-09 08:32:21</t>
  </si>
  <si>
    <t>Thời gian ra: 2026-01-09 18:09:18</t>
  </si>
  <si>
    <t>Thời gian vào: 2026-01-10 08:35:47</t>
  </si>
  <si>
    <t>Thời gian ra: 2026-01-10 12:10:03</t>
  </si>
  <si>
    <t>Thời lượng theo dõi:214 phút</t>
  </si>
  <si>
    <t>Thời gian vào: 2026-01-12 08:39:13</t>
  </si>
  <si>
    <t>Thời gian ra: 2026-01-12 18:05:33</t>
  </si>
  <si>
    <t>Thời gian vào: 2026-01-13 08:27:51</t>
  </si>
  <si>
    <t>Thời gian ra: 2026-01-13 18:05:53</t>
  </si>
  <si>
    <t>Thời gian vào: 2026-01-14 08:40:04</t>
  </si>
  <si>
    <t>Thời gian ra: 2026-01-14 18:10:27</t>
  </si>
  <si>
    <t>Thời gian vào: 2026-01-15 13:30:53</t>
  </si>
  <si>
    <t>Thời gian ra: 2026-01-15 18:07:52</t>
  </si>
  <si>
    <t>Thời gian vào: 2026-01-16 08:37:38</t>
  </si>
  <si>
    <t>Thời gian ra: 2026-01-16 18:44:49</t>
  </si>
  <si>
    <t>Thời gian vào: 2026-01-19 08:40:48</t>
  </si>
  <si>
    <t>Thời gian ra: 2026-01-19 18:07:39</t>
  </si>
  <si>
    <t>Thời gian vào: 2026-01-20 08:40:27</t>
  </si>
  <si>
    <t>Thời gian ra: 2026-01-20 18:13:17</t>
  </si>
  <si>
    <t>Thời gian vào: 2026-01-21 08:37:59</t>
  </si>
  <si>
    <t>Thời gian ra: 2026-01-21 18:07:56</t>
  </si>
  <si>
    <t>Thời gian vào: 2026-01-22 08:40:09</t>
  </si>
  <si>
    <t>Thời gian ra: 2026-01-22 18:09:07</t>
  </si>
  <si>
    <t>Thời gian vào: 2026-01-23 08:44:10</t>
  </si>
  <si>
    <t>Thời gian ra: 2026-01-23 18:46:14</t>
  </si>
  <si>
    <t>Thời gian vào: 2026-01-26 08:40:33</t>
  </si>
  <si>
    <t>Thời gian ra: 2026-01-26 18:13:34</t>
  </si>
  <si>
    <t>Thời gian vào: 2026-01-27 08:49:28</t>
  </si>
  <si>
    <t>Thời gian ra: 2026-01-27 18:12:57</t>
  </si>
  <si>
    <t>Thời gian vào: 2026-01-28 08:40:31</t>
  </si>
  <si>
    <t>Thời gian ra: 2026-01-28 18:16:06</t>
  </si>
  <si>
    <t>Thời gian vào: 2026-01-29 08:34:15</t>
  </si>
  <si>
    <t>Thời gian ra: 2026-01-29 18:07:42</t>
  </si>
  <si>
    <t>Thời gian vào: 2026-01-30 13:24:45</t>
  </si>
  <si>
    <t>Thời gian ra: 2026-01-30 18:52:34</t>
  </si>
  <si>
    <t>Thời gian vào: 2026-01-05 13:01:42</t>
  </si>
  <si>
    <t>Thời gian ra: 2026-01-05 19:04:05</t>
  </si>
  <si>
    <t>Thời gian vào: 2026-01-06 19:38:25</t>
  </si>
  <si>
    <t>Thời gian ra: 2026-01-06 19:38:28</t>
  </si>
  <si>
    <t>Thời gian vào: 2026-01-07 08:57:14</t>
  </si>
  <si>
    <t>Thời gian vào: 2026-01-08 08:52:20</t>
  </si>
  <si>
    <t>Thời gian ra: 2026-01-08 18:32:57</t>
  </si>
  <si>
    <t>Thời gian vào: 2026-01-09 12:19:04</t>
  </si>
  <si>
    <t>Thời gian vào: 2026-01-13 12:44:06</t>
  </si>
  <si>
    <t>Thời gian ra: 2026-01-13 18:49:01</t>
  </si>
  <si>
    <t>Thời lượng theo dõi:365 phút</t>
  </si>
  <si>
    <t>Thời gian vào: 2026-01-14 08:43:10</t>
  </si>
  <si>
    <t>Thời gian ra: 2026-01-14 08:44:36</t>
  </si>
  <si>
    <t>Thời gian vào: 2026-01-15 19:44:49</t>
  </si>
  <si>
    <t>Thời gian ra: 2026-01-15 19:45:03</t>
  </si>
  <si>
    <t>Thời gian vào: 2026-01-19 14:00:43</t>
  </si>
  <si>
    <t>Thời gian ra: 2026-01-19 18:49:05</t>
  </si>
  <si>
    <t>Thời lượng theo dõi:288 phút</t>
  </si>
  <si>
    <t>Thời gian vào: 2026-01-27 18:52:28</t>
  </si>
  <si>
    <t>Thời gian ra: 2026-01-27 18:53:14</t>
  </si>
  <si>
    <t>Thời gian vào: 2026-01-28 12:18:44</t>
  </si>
  <si>
    <t>Thời gian ra: 2026-01-28 18:51:02</t>
  </si>
  <si>
    <t>Thời lượng theo dõi:392 phút</t>
  </si>
  <si>
    <t>Thời gian vào: 2026-01-29 20:03:24</t>
  </si>
  <si>
    <t>Thời gian vào: 2026-01-05 08:32:08</t>
  </si>
  <si>
    <t>Thời gian ra: 2026-01-05 18:35:19</t>
  </si>
  <si>
    <t>Thời gian vào: 2026-01-06 07:59:32</t>
  </si>
  <si>
    <t>Thời gian ra: 2026-01-06 18:30:26</t>
  </si>
  <si>
    <t>Thời gian vào: 2026-01-07 08:31:07</t>
  </si>
  <si>
    <t>Thời gian ra: 2026-01-07 18:08:29</t>
  </si>
  <si>
    <t>Thời gian vào: 2026-01-08 08:40:18</t>
  </si>
  <si>
    <t>Thời gian ra: 2026-01-08 18:14:00</t>
  </si>
  <si>
    <t>Thời gian vào: 2026-01-09 08:47:56</t>
  </si>
  <si>
    <t>Thời gian ra: 2026-01-09 18:18:31</t>
  </si>
  <si>
    <t>Thời gian vào: 2026-01-10 08:35:49</t>
  </si>
  <si>
    <t>Thời gian ra: 2026-01-10 18:29:25</t>
  </si>
  <si>
    <t>Thời gian vào: 2026-01-12 08:36:43</t>
  </si>
  <si>
    <t>Thời gian ra: 2026-01-12 18:14:53</t>
  </si>
  <si>
    <t>Thời gian vào: 2026-01-13 08:36:47</t>
  </si>
  <si>
    <t>Thời gian ra: 2026-01-13 18:07:36</t>
  </si>
  <si>
    <t>Thời gian vào: 2026-01-14 08:51:39</t>
  </si>
  <si>
    <t>Thời gian ra: 2026-01-14 18:22:19</t>
  </si>
  <si>
    <t>Thời gian vào: 2026-01-15 08:31:48</t>
  </si>
  <si>
    <t>Thời gian ra: 2026-01-15 18:12:02</t>
  </si>
  <si>
    <t>Thời gian vào: 2026-01-16 08:37:36</t>
  </si>
  <si>
    <t>Thời gian ra: 2026-01-16 18:33:07</t>
  </si>
  <si>
    <t>Thời gian vào: 2026-01-19 08:51:55</t>
  </si>
  <si>
    <t>Thời gian ra: 2026-01-19 18:30:17</t>
  </si>
  <si>
    <t>Thời gian vào: 2026-01-20 08:39:07</t>
  </si>
  <si>
    <t>Thời gian ra: 2026-01-20 18:15:41</t>
  </si>
  <si>
    <t>Thời gian vào: 2026-01-21 08:34:06</t>
  </si>
  <si>
    <t>Thời gian ra: 2026-01-21 18:24:51</t>
  </si>
  <si>
    <t>Thời gian vào: 2026-01-22 08:40:13</t>
  </si>
  <si>
    <t>Thời gian ra: 2026-01-22 18:19:46</t>
  </si>
  <si>
    <t>Thời gian vào: 2026-01-23 08:40:33</t>
  </si>
  <si>
    <t>Thời gian ra: 2026-01-23 18:42:36</t>
  </si>
  <si>
    <t>Thời gian vào: 2026-01-27 08:20:14</t>
  </si>
  <si>
    <t>Thời gian ra: 2026-01-27 18:10:03</t>
  </si>
  <si>
    <t>Thời gian vào: 2026-01-28 08:49:27</t>
  </si>
  <si>
    <t>Thời gian ra: 2026-01-28 18:14:47</t>
  </si>
  <si>
    <t>Thời gian vào: 2026-01-29 08:48:37</t>
  </si>
  <si>
    <t>Thời gian ra: 2026-01-29 18:05:26</t>
  </si>
  <si>
    <t>Thời gian vào: 2026-01-30 08:42:34</t>
  </si>
  <si>
    <t>Thời gian ra: 2026-01-30 18:55:39</t>
  </si>
  <si>
    <t>Thời gian vào: 2026-01-05 08:23:57</t>
  </si>
  <si>
    <t>Thời gian ra: 2026-01-05 18:10:26</t>
  </si>
  <si>
    <t>Thời gian vào: 2026-01-06 08:23:27</t>
  </si>
  <si>
    <t>Thời gian ra: 2026-01-06 18:10:09</t>
  </si>
  <si>
    <t>Thời gian vào: 2026-01-07 08:26:15</t>
  </si>
  <si>
    <t>Thời gian ra: 2026-01-07 17:32:33</t>
  </si>
  <si>
    <t>Thời gian vào: 2026-01-08 08:31:46</t>
  </si>
  <si>
    <t>Thời gian ra: 2026-01-08 18:12:08</t>
  </si>
  <si>
    <t>Thời gian vào: 2026-01-09 18:36:51</t>
  </si>
  <si>
    <t>Thời gian vào: 2026-01-10 08:54:25</t>
  </si>
  <si>
    <t>Thời gian ra: 2026-01-10 18:04:25</t>
  </si>
  <si>
    <t>Thời gian vào: 2026-01-12 08:27:28</t>
  </si>
  <si>
    <t>Thời gian ra: 2026-01-12 18:18:12</t>
  </si>
  <si>
    <t>Thời gian vào: 2026-01-13 08:27:37</t>
  </si>
  <si>
    <t>Thời gian ra: 2026-01-13 18:07:16</t>
  </si>
  <si>
    <t>Thời gian vào: 2026-01-14 08:18:04</t>
  </si>
  <si>
    <t>Thời gian ra: 2026-01-14 18:07:11</t>
  </si>
  <si>
    <t>Thời gian vào: 2026-01-15 08:23:15</t>
  </si>
  <si>
    <t>Thời gian ra: 2026-01-15 18:03:12</t>
  </si>
  <si>
    <t>Thời gian vào: 2026-01-16 08:20:01</t>
  </si>
  <si>
    <t>Thời gian ra: 2026-01-16 18:06:10</t>
  </si>
  <si>
    <t>Thời gian vào: 2026-01-19 08:45:08</t>
  </si>
  <si>
    <t>Thời gian ra: 2026-01-19 18:08:40</t>
  </si>
  <si>
    <t>Thời gian vào: 2026-01-20 08:26:05</t>
  </si>
  <si>
    <t>Thời gian ra: 2026-01-20 18:03:46</t>
  </si>
  <si>
    <t>Thời gian vào: 2026-01-21 08:25:01</t>
  </si>
  <si>
    <t>Thời gian ra: 2026-01-21 18:04:29</t>
  </si>
  <si>
    <t>Thời gian vào: 2026-01-22 08:25:40</t>
  </si>
  <si>
    <t>Thời gian ra: 2026-01-22 18:06:00</t>
  </si>
  <si>
    <t>Thời gian vào: 2026-01-23 08:29:21</t>
  </si>
  <si>
    <t>Thời gian ra: 2026-01-23 18:07:25</t>
  </si>
  <si>
    <t>Thời gian vào: 2026-01-26 08:33:52</t>
  </si>
  <si>
    <t>Thời gian ra: 2026-01-26 18:01:55</t>
  </si>
  <si>
    <t>Thời gian vào: 2026-01-27 08:53:38</t>
  </si>
  <si>
    <t>Thời gian ra: 2026-01-27 18:06:01</t>
  </si>
  <si>
    <t>Thời gian vào: 2026-01-28 08:27:10</t>
  </si>
  <si>
    <t>Thời gian ra: 2026-01-28 18:11:13</t>
  </si>
  <si>
    <t>Thời gian vào: 2026-01-29 08:21:08</t>
  </si>
  <si>
    <t>Thời gian ra: 2026-01-29 18:00:43</t>
  </si>
  <si>
    <t>Thời gian vào: 2026-01-30 08:26:55</t>
  </si>
  <si>
    <t>Thời gian ra: 2026-01-30 18:08:28</t>
  </si>
  <si>
    <t>Thời gian vào: 2026-01-05 09:17:46</t>
  </si>
  <si>
    <t>Thời gian ra: 2026-01-05 18:10:28</t>
  </si>
  <si>
    <t>Thời gian vào: 2026-01-06 09:04:35</t>
  </si>
  <si>
    <t>Thời gian ra: 2026-01-06 18:12:37</t>
  </si>
  <si>
    <t>Thời gian vào: 2026-01-07 09:05:52</t>
  </si>
  <si>
    <t>Thời gian ra: 2026-01-07 19:55:18</t>
  </si>
  <si>
    <t>Thời gian vào: 2026-01-08 09:08:30</t>
  </si>
  <si>
    <t>Thời gian ra: 2026-01-08 20:26:58</t>
  </si>
  <si>
    <t>Thời gian vào: 2026-01-09 08:44:31</t>
  </si>
  <si>
    <t>Thời gian ra: 2026-01-09 18:48:44</t>
  </si>
  <si>
    <t>Thời gian vào: 2026-01-10 08:32:51</t>
  </si>
  <si>
    <t>Thời gian ra: 2026-01-10 18:04:29</t>
  </si>
  <si>
    <t>Thời gian vào: 2026-01-12 08:57:29</t>
  </si>
  <si>
    <t>Thời gian ra: 2026-01-12 19:45:34</t>
  </si>
  <si>
    <t>Thời gian vào: 2026-01-13 08:50:16</t>
  </si>
  <si>
    <t>Thời gian ra: 2026-01-13 18:39:03</t>
  </si>
  <si>
    <t>Thời gian vào: 2026-01-14 08:45:23</t>
  </si>
  <si>
    <t>Thời gian ra: 2026-01-14 22:42:05</t>
  </si>
  <si>
    <t>Thời lượng theo dõi:837 phút</t>
  </si>
  <si>
    <t>Thời gian vào: 2026-01-15 13:23:53</t>
  </si>
  <si>
    <t>Thời gian ra: 2026-01-15 18:03:20</t>
  </si>
  <si>
    <t>Thời lượng theo dõi:279 phút</t>
  </si>
  <si>
    <t>Thời gian vào: 2026-01-16 09:16:15</t>
  </si>
  <si>
    <t>Thời gian ra: 2026-01-16 18:06:06</t>
  </si>
  <si>
    <t>Thời gian vào: 2026-01-19 08:45:47</t>
  </si>
  <si>
    <t>Thời gian ra: 2026-01-19 18:08:08</t>
  </si>
  <si>
    <t>Thời gian vào: 2026-01-20 08:30:50</t>
  </si>
  <si>
    <t>Thời gian ra: 2026-01-20 18:04:57</t>
  </si>
  <si>
    <t>Thời gian vào: 2026-01-21 08:50:31</t>
  </si>
  <si>
    <t>Thời gian ra: 2026-01-21 22:23:13</t>
  </si>
  <si>
    <t>Thời lượng theo dõi:813 phút</t>
  </si>
  <si>
    <t>Thời gian vào: 2026-01-22 09:21:31</t>
  </si>
  <si>
    <t>Thời gian ra: 2026-01-22 22:07:21</t>
  </si>
  <si>
    <t>Thời lượng theo dõi:766 phút</t>
  </si>
  <si>
    <t>Thời gian vào: 2026-01-23 08:25:59</t>
  </si>
  <si>
    <t>Thời gian ra: 2026-01-23 22:23:44</t>
  </si>
  <si>
    <t>Thời gian vào: 2026-01-26 09:16:56</t>
  </si>
  <si>
    <t>Thời gian vào: 2026-01-27 09:01:49</t>
  </si>
  <si>
    <t>Thời gian ra: 2026-01-27 18:06:04</t>
  </si>
  <si>
    <t>Thời gian vào: 2026-01-28 13:48:14</t>
  </si>
  <si>
    <t>Thời gian ra: 2026-01-28 18:16:46</t>
  </si>
  <si>
    <t>Thời gian vào: 2026-01-29 09:03:40</t>
  </si>
  <si>
    <t>Thời gian ra: 2026-01-29 18:01:44</t>
  </si>
  <si>
    <t>Thời gian vào: 2026-01-30 08:55:02</t>
  </si>
  <si>
    <t>Thời gian ra: 2026-01-30 18:08:26</t>
  </si>
  <si>
    <t>Thời gian vào: 2026-02-01 13:27:55</t>
  </si>
  <si>
    <t>Thời gian ra: 2026-02-01 20:15:37</t>
  </si>
  <si>
    <t>Thời lượng theo dõi:408 phút</t>
  </si>
  <si>
    <t>Thời gian vào: 2026-01-05 08:38:39</t>
  </si>
  <si>
    <t>Thời gian ra: 2026-01-05 19:15:31</t>
  </si>
  <si>
    <t>Thời gian vào: 2026-01-06 08:45:15</t>
  </si>
  <si>
    <t>Thời gian ra: 2026-01-06 20:22:17</t>
  </si>
  <si>
    <t>Thời lượng theo dõi:697 phút</t>
  </si>
  <si>
    <t>Thời gian vào: 2026-01-07 08:45:02</t>
  </si>
  <si>
    <t>Thời gian ra: 2026-01-07 19:04:13</t>
  </si>
  <si>
    <t>Thời gian vào: 2026-01-08 08:55:14</t>
  </si>
  <si>
    <t>Thời gian ra: 2026-01-08 18:17:51</t>
  </si>
  <si>
    <t>Thời gian vào: 2026-01-09 09:04:09</t>
  </si>
  <si>
    <t>Thời gian ra: 2026-01-09 18:53:19</t>
  </si>
  <si>
    <t>Thời gian vào: 2026-01-10 08:50:46</t>
  </si>
  <si>
    <t>Thời gian ra: 2026-01-10 19:23:03</t>
  </si>
  <si>
    <t>Thời gian vào: 2026-01-12 08:39:16</t>
  </si>
  <si>
    <t>Thời gian ra: 2026-01-12 18:37:09</t>
  </si>
  <si>
    <t>Thời gian vào: 2026-01-14 08:50:57</t>
  </si>
  <si>
    <t>Thời gian ra: 2026-01-14 18:57:44</t>
  </si>
  <si>
    <t>Thời gian vào: 2026-01-15 08:47:48</t>
  </si>
  <si>
    <t>Thời gian ra: 2026-01-15 21:03:59</t>
  </si>
  <si>
    <t>Thời gian vào: 2026-01-16 08:47:40</t>
  </si>
  <si>
    <t>Thời gian ra: 2026-01-16 19:33:36</t>
  </si>
  <si>
    <t>Thời gian vào: 2026-01-19 08:38:10</t>
  </si>
  <si>
    <t>Thời gian ra: 2026-01-19 18:55:05</t>
  </si>
  <si>
    <t>Thời gian vào: 2026-01-20 08:44:43</t>
  </si>
  <si>
    <t>Thời gian ra: 2026-01-20 19:53:59</t>
  </si>
  <si>
    <t>Thời gian vào: 2026-01-21 08:43:22</t>
  </si>
  <si>
    <t>Thời gian ra: 2026-01-21 19:08:41</t>
  </si>
  <si>
    <t>Thời gian vào: 2026-01-22 08:45:03</t>
  </si>
  <si>
    <t>Thời gian ra: 2026-01-22 18:59:28</t>
  </si>
  <si>
    <t>Thời gian vào: 2026-01-28 08:39:37</t>
  </si>
  <si>
    <t>Thời gian ra: 2026-01-28 18:50:57</t>
  </si>
  <si>
    <t>Thời gian vào: 2026-01-29 08:46:54</t>
  </si>
  <si>
    <t>Thời gian ra: 2026-01-29 20:02:51</t>
  </si>
  <si>
    <t>Thời lượng theo dõi:676 phút</t>
  </si>
  <si>
    <t>Thời gian vào: 2026-01-30 08:42:37</t>
  </si>
  <si>
    <t>Thời gian ra: 2026-01-30 19:47:57</t>
  </si>
  <si>
    <t>Thời lượng theo dõi:665 phút</t>
  </si>
  <si>
    <t>Thời gian vào: 2026-01-05 08:58:48</t>
  </si>
  <si>
    <t>Thời gian ra: 2026-01-05 18:29:54</t>
  </si>
  <si>
    <t>Thời gian vào: 2026-01-06 09:05:03</t>
  </si>
  <si>
    <t>Thời gian ra: 2026-01-06 18:28:10</t>
  </si>
  <si>
    <t>Thời gian vào: 2026-01-07 09:17:17</t>
  </si>
  <si>
    <t>Thời gian ra: 2026-01-07 19:04:18</t>
  </si>
  <si>
    <t>Thời gian vào: 2026-01-08 08:52:07</t>
  </si>
  <si>
    <t>Thời gian ra: 2026-01-08 20:21:43</t>
  </si>
  <si>
    <t>Thời gian vào: 2026-01-09 09:01:08</t>
  </si>
  <si>
    <t>Thời gian ra: 2026-01-09 19:17:53</t>
  </si>
  <si>
    <t>Thời gian vào: 2026-01-10 08:54:13</t>
  </si>
  <si>
    <t>Thời gian ra: 2026-01-10 19:23:06</t>
  </si>
  <si>
    <t>Thời gian vào: 2026-01-12 08:48:46</t>
  </si>
  <si>
    <t>Thời gian ra: 2026-01-12 18:37:00</t>
  </si>
  <si>
    <t>Thời gian vào: 2026-01-13 08:44:08</t>
  </si>
  <si>
    <t>Thời gian ra: 2026-01-13 19:19:24</t>
  </si>
  <si>
    <t>Thời gian vào: 2026-01-14 08:53:55</t>
  </si>
  <si>
    <t>Thời gian ra: 2026-01-14 18:57:46</t>
  </si>
  <si>
    <t>Thời gian vào: 2026-01-15 08:55:55</t>
  </si>
  <si>
    <t>Thời gian ra: 2026-01-15 20:23:33</t>
  </si>
  <si>
    <t>Thời gian vào: 2026-01-16 08:57:21</t>
  </si>
  <si>
    <t>Thời gian ra: 2026-01-16 18:18:00</t>
  </si>
  <si>
    <t>Thời gian vào: 2026-01-19 08:54:55</t>
  </si>
  <si>
    <t>Thời gian ra: 2026-01-19 12:09:21</t>
  </si>
  <si>
    <t>Thời gian vào: 2026-01-20 08:56:00</t>
  </si>
  <si>
    <t>Thời gian ra: 2026-01-20 18:03:31</t>
  </si>
  <si>
    <t>Thời gian vào: 2026-01-21 08:54:50</t>
  </si>
  <si>
    <t>Thời gian ra: 2026-01-21 18:35:20</t>
  </si>
  <si>
    <t>Thời gian vào: 2026-01-22 08:56:58</t>
  </si>
  <si>
    <t>Thời gian ra: 2026-01-22 18:59:30</t>
  </si>
  <si>
    <t>Thời gian vào: 2026-01-23 08:49:23</t>
  </si>
  <si>
    <t>Thời gian ra: 2026-01-23 20:02:39</t>
  </si>
  <si>
    <t>Thời gian vào: 2026-01-27 08:51:41</t>
  </si>
  <si>
    <t>Thời gian ra: 2026-01-27 18:23:01</t>
  </si>
  <si>
    <t>Thời gian vào: 2026-01-28 08:58:18</t>
  </si>
  <si>
    <t>Thời gian ra: 2026-01-28 18:50:59</t>
  </si>
  <si>
    <t>Thời gian vào: 2026-01-29 08:49:45</t>
  </si>
  <si>
    <t>Thời gian ra: 2026-01-29 20:02:59</t>
  </si>
  <si>
    <t>Thời gian vào: 2026-01-30 08:58:05</t>
  </si>
  <si>
    <t>Thời gian ra: 2026-01-30 19:48:00</t>
  </si>
  <si>
    <t>Thời lượng theo dõi:650 phút</t>
  </si>
  <si>
    <t>Thời gian vào: 2026-01-05 09:35:55</t>
  </si>
  <si>
    <t>Thời gian ra: 2026-01-05 18:20:37</t>
  </si>
  <si>
    <t>Thời gian vào: 2026-01-06 09:48:11</t>
  </si>
  <si>
    <t>Thời gian ra: 2026-01-06 18:29:35</t>
  </si>
  <si>
    <t>Thời gian vào: 2026-01-07 13:41:44</t>
  </si>
  <si>
    <t>Thời gian ra: 2026-01-07 20:31:58</t>
  </si>
  <si>
    <t>Thời lượng theo dõi:410 phút</t>
  </si>
  <si>
    <t>Thời gian vào: 2026-01-08 13:47:45</t>
  </si>
  <si>
    <t>Thời gian ra: 2026-01-08 21:03:12</t>
  </si>
  <si>
    <t>Thời lượng theo dõi:435 phút</t>
  </si>
  <si>
    <t>Thời gian vào: 2026-01-09 15:06:22</t>
  </si>
  <si>
    <t>Thời gian ra: 2026-01-09 20:59:17</t>
  </si>
  <si>
    <t>Thời lượng theo dõi:353 phút</t>
  </si>
  <si>
    <t>Thời gian vào: 2026-01-10 14:26:50</t>
  </si>
  <si>
    <t>Thời gian ra: 2026-01-10 16:10:53</t>
  </si>
  <si>
    <t>Thời lượng theo dõi:104 phút</t>
  </si>
  <si>
    <t>Thời gian vào: 2026-01-12 13:40:54</t>
  </si>
  <si>
    <t>Thời gian ra: 2026-01-12 21:31:12</t>
  </si>
  <si>
    <t>Thời lượng theo dõi:470 phút</t>
  </si>
  <si>
    <t>Thời gian vào: 2026-01-13 08:42:42</t>
  </si>
  <si>
    <t>Thời gian ra: 2026-01-13 22:02:58</t>
  </si>
  <si>
    <t>Thời lượng theo dõi:800 phút</t>
  </si>
  <si>
    <t>Thời gian vào: 2026-01-14 08:47:39</t>
  </si>
  <si>
    <t>Thời gian ra: 2026-01-14 22:03:32</t>
  </si>
  <si>
    <t>Thời lượng theo dõi:796 phút</t>
  </si>
  <si>
    <t>Thời gian vào: 2026-01-15 08:43:01</t>
  </si>
  <si>
    <t>Thời gian ra: 2026-01-15 19:22:13</t>
  </si>
  <si>
    <t>Thời gian vào: 2026-01-16 08:52:55</t>
  </si>
  <si>
    <t>Thời gian ra: 2026-01-16 11:30:30</t>
  </si>
  <si>
    <t>Thời lượng theo dõi:158 phút</t>
  </si>
  <si>
    <t>Thời gian vào: 2026-01-17 13:33:12</t>
  </si>
  <si>
    <t>Thời gian ra: 2026-01-17 18:38:32</t>
  </si>
  <si>
    <t>Thời lượng theo dõi:305 phút</t>
  </si>
  <si>
    <t>Thời gian vào: 2026-01-18 14:20:28</t>
  </si>
  <si>
    <t>Thời gian ra: 2026-01-18 16:51:48</t>
  </si>
  <si>
    <t>Thời lượng theo dõi:151 phút</t>
  </si>
  <si>
    <t>Thời gian vào: 2026-01-19 13:35:45</t>
  </si>
  <si>
    <t>Thời gian ra: 2026-01-19 20:08:38</t>
  </si>
  <si>
    <t>Thời lượng theo dõi:393 phút</t>
  </si>
  <si>
    <t>Thời gian vào: 2026-01-20 08:46:32</t>
  </si>
  <si>
    <t>Thời gian ra: 2026-01-20 18:33:17</t>
  </si>
  <si>
    <t>Thời gian vào: 2026-01-22 13:34:58</t>
  </si>
  <si>
    <t>Thời gian ra: 2026-01-22 19:31:38</t>
  </si>
  <si>
    <t>Thời lượng theo dõi:357 phút</t>
  </si>
  <si>
    <t>Thời gian vào: 2026-01-24 14:45:04</t>
  </si>
  <si>
    <t>Thời gian ra: 2026-01-24 19:53:50</t>
  </si>
  <si>
    <t>Thời gian vào: 2026-01-25 14:08:18</t>
  </si>
  <si>
    <t>Thời gian ra: 2026-01-25 15:09:24</t>
  </si>
  <si>
    <t>Thời lượng theo dõi:61 phút</t>
  </si>
  <si>
    <t>Thời gian vào: 2026-01-26 13:47:48</t>
  </si>
  <si>
    <t>Thời gian ra: 2026-01-26 19:49:59</t>
  </si>
  <si>
    <t>Thời gian vào: 2026-01-27 13:43:18</t>
  </si>
  <si>
    <t>Thời gian ra: 2026-01-27 20:08:41</t>
  </si>
  <si>
    <t>Thời lượng theo dõi:385 phút</t>
  </si>
  <si>
    <t>Thời gian vào: 2026-01-28 14:36:17</t>
  </si>
  <si>
    <t>Thời gian ra: 2026-01-28 19:42:44</t>
  </si>
  <si>
    <t>Thời lượng theo dõi:306 phút</t>
  </si>
  <si>
    <t>Thời gian vào: 2026-01-29 13:10:27</t>
  </si>
  <si>
    <t>Thời gian ra: 2026-01-29 20:00:24</t>
  </si>
  <si>
    <t>Thời gian vào: 2026-01-05 11:09:07</t>
  </si>
  <si>
    <t>Thời gian ra: 2026-01-05 12:04:13</t>
  </si>
  <si>
    <t>Thời lượng theo dõi:55 phút</t>
  </si>
  <si>
    <t>Thời gian vào: 2026-01-06 13:38:49</t>
  </si>
  <si>
    <t>Thời gian ra: 2026-01-06 21:26:17</t>
  </si>
  <si>
    <t>Thời lượng theo dõi:467 phút</t>
  </si>
  <si>
    <t>Thời gian vào: 2026-01-07 18:22:01</t>
  </si>
  <si>
    <t>Thời gian vào: 2026-01-08 18:35:31</t>
  </si>
  <si>
    <t>Thời gian vào: 2026-01-09 11:36:40</t>
  </si>
  <si>
    <t>Thời gian ra: 2026-01-09 18:25:58</t>
  </si>
  <si>
    <t>Thời lượng theo dõi:409 phút</t>
  </si>
  <si>
    <t>Thời gian vào: 2026-01-10 09:57:48</t>
  </si>
  <si>
    <t>Thời gian ra: 2026-01-10 16:16:52</t>
  </si>
  <si>
    <t>Thời lượng theo dõi:379 phút</t>
  </si>
  <si>
    <t>Thời gian vào: 2026-01-13 16:42:23</t>
  </si>
  <si>
    <t>Thời gian ra: 2026-01-13 17:02:55</t>
  </si>
  <si>
    <t>Thời lượng theo dõi:21 phút</t>
  </si>
  <si>
    <t>Thời gian vào: 2026-01-15 10:01:13</t>
  </si>
  <si>
    <t>Thời gian ra: 2026-01-15 15:41:03</t>
  </si>
  <si>
    <t>Thời lượng theo dõi:340 phút</t>
  </si>
  <si>
    <t>Thời gian vào: 2026-01-16 00:14:24</t>
  </si>
  <si>
    <t>Thời gian vào: 2026-01-20 14:29:48</t>
  </si>
  <si>
    <t>Thời gian ra: 2026-01-20 18:13:21</t>
  </si>
  <si>
    <t>Thời gian vào: 2026-01-21 18:14:36</t>
  </si>
  <si>
    <t>Thời gian vào: 2026-01-22 18:31:58</t>
  </si>
  <si>
    <t>Thời gian ra: 2026-01-22 18:32:33</t>
  </si>
  <si>
    <t>Thời gian vào: 2026-01-23 11:37:18</t>
  </si>
  <si>
    <t>Thời gian vào: 2026-01-27 11:52:33</t>
  </si>
  <si>
    <t>Thời gian ra: 2026-01-27 18:11:22</t>
  </si>
  <si>
    <t>Thời gian vào: 2026-01-29 12:03:14</t>
  </si>
  <si>
    <t>Thời gian ra: 2026-01-29 18:20:26</t>
  </si>
  <si>
    <t>Thời lượng theo dõi:377 phút</t>
  </si>
  <si>
    <t>Thời gian vào: 2026-01-30 12:07:50</t>
  </si>
  <si>
    <t>Thời gian ra: 2026-01-30 18:52:42</t>
  </si>
  <si>
    <t>Thời lượng theo dõi:405 phút</t>
  </si>
  <si>
    <t>Thời gian vào: 2026-02-01 23:43:42</t>
  </si>
  <si>
    <t>Thời gian ra: 2026-02-01 23:43:45</t>
  </si>
  <si>
    <t>Thời gian vào: 2026-01-03 08:04:31</t>
  </si>
  <si>
    <t>Thời gian ra: 2026-01-03 09:56:58</t>
  </si>
  <si>
    <t>Thời lượng theo dõi:112 phút</t>
  </si>
  <si>
    <t>Thời gian vào: 2026-01-05 08:25:45</t>
  </si>
  <si>
    <t>Thời gian ra: 2026-01-05 15:00:17</t>
  </si>
  <si>
    <t>Thời gian vào: 2026-01-06 08:25:59</t>
  </si>
  <si>
    <t>Thời gian ra: 2026-01-06 15:00:16</t>
  </si>
  <si>
    <t>Thời lượng theo dõi:394 phút</t>
  </si>
  <si>
    <t>Thời gian vào: 2026-01-07 08:25:38</t>
  </si>
  <si>
    <t>Thời gian ra: 2026-01-07 15:02:24</t>
  </si>
  <si>
    <t>Thời lượng theo dõi:397 phút</t>
  </si>
  <si>
    <t>Thời gian vào: 2026-01-08 08:25:33</t>
  </si>
  <si>
    <t>Thời gian ra: 2026-01-08 15:19:41</t>
  </si>
  <si>
    <t>Thời lượng theo dõi:414 phút</t>
  </si>
  <si>
    <t>Thời gian vào: 2026-01-09 08:25:33</t>
  </si>
  <si>
    <t>Thời gian ra: 2026-01-09 15:00:02</t>
  </si>
  <si>
    <t>Thời gian vào: 2026-01-10 08:18:17</t>
  </si>
  <si>
    <t>Thời gian ra: 2026-01-10 15:05:10</t>
  </si>
  <si>
    <t>Thời lượng theo dõi:407 phút</t>
  </si>
  <si>
    <t>Thời gian vào: 2026-01-12 08:25:03</t>
  </si>
  <si>
    <t>Thời gian ra: 2026-01-12 15:00:35</t>
  </si>
  <si>
    <t>Thời lượng theo dõi:396 phút</t>
  </si>
  <si>
    <t>Thời gian vào: 2026-01-13 08:25:21</t>
  </si>
  <si>
    <t>Thời gian ra: 2026-01-13 14:59:26</t>
  </si>
  <si>
    <t>Thời gian vào: 2026-01-14 08:25:22</t>
  </si>
  <si>
    <t>Thời gian ra: 2026-01-14 15:03:30</t>
  </si>
  <si>
    <t>Thời lượng theo dõi:398 phút</t>
  </si>
  <si>
    <t>Thời gian vào: 2026-01-15 08:25:27</t>
  </si>
  <si>
    <t>Thời gian ra: 2026-01-15 15:03:24</t>
  </si>
  <si>
    <t>Thời gian vào: 2026-01-16 08:25:52</t>
  </si>
  <si>
    <t>Thời gian ra: 2026-01-16 15:02:17</t>
  </si>
  <si>
    <t>Thời gian vào: 2026-01-17 08:12:11</t>
  </si>
  <si>
    <t>Thời gian ra: 2026-01-17 10:20:38</t>
  </si>
  <si>
    <t>Thời lượng theo dõi:128 phút</t>
  </si>
  <si>
    <t>Thời gian vào: 2026-01-19 08:26:16</t>
  </si>
  <si>
    <t>Thời gian ra: 2026-01-19 15:00:52</t>
  </si>
  <si>
    <t>Thời gian vào: 2026-01-20 08:25:30</t>
  </si>
  <si>
    <t>Thời gian ra: 2026-01-20 15:00:52</t>
  </si>
  <si>
    <t>Thời gian vào: 2026-01-21 08:25:25</t>
  </si>
  <si>
    <t>Thời gian ra: 2026-01-21 15:02:37</t>
  </si>
  <si>
    <t>Thời gian vào: 2026-01-22 08:25:21</t>
  </si>
  <si>
    <t>Thời gian ra: 2026-01-22 15:01:21</t>
  </si>
  <si>
    <t>Thời gian vào: 2026-01-23 08:25:23</t>
  </si>
  <si>
    <t>Thời gian ra: 2026-01-23 15:02:51</t>
  </si>
  <si>
    <t>Thời gian vào: 2026-01-24 08:05:57</t>
  </si>
  <si>
    <t>Thời gian ra: 2026-01-24 10:32:15</t>
  </si>
  <si>
    <t>Thời lượng theo dõi:146 phút</t>
  </si>
  <si>
    <t>Thời gian vào: 2026-01-26 08:25:10</t>
  </si>
  <si>
    <t>Thời gian ra: 2026-01-26 15:06:04</t>
  </si>
  <si>
    <t>Thời lượng theo dõi:401 phút</t>
  </si>
  <si>
    <t>Thời gian vào: 2026-01-27 08:25:19</t>
  </si>
  <si>
    <t>Thời gian ra: 2026-01-27 15:01:56</t>
  </si>
  <si>
    <t>Thời gian vào: 2026-01-28 08:25:36</t>
  </si>
  <si>
    <t>Thời gian ra: 2026-01-28 15:00:39</t>
  </si>
  <si>
    <t>Thời gian vào: 2026-01-29 08:25:07</t>
  </si>
  <si>
    <t>Thời gian ra: 2026-01-29 15:00:53</t>
  </si>
  <si>
    <t>Thời gian vào: 2026-01-30 08:25:26</t>
  </si>
  <si>
    <t>Thời gian ra: 2026-01-30 15:03:16</t>
  </si>
  <si>
    <t>Thời gian vào: 2026-01-31 08:19:36</t>
  </si>
  <si>
    <t>Thời gian ra: 2026-01-31 10:36:10</t>
  </si>
  <si>
    <t>Thời lượng theo dõi:137 phút</t>
  </si>
  <si>
    <t>Thời gian vào: 2026-01-05 08:32:39</t>
  </si>
  <si>
    <t>Thời gian ra: 2026-01-05 18:22:33</t>
  </si>
  <si>
    <t>Thời gian vào: 2026-01-06 11:11:16</t>
  </si>
  <si>
    <t>Thời gian vào: 2026-01-08 18:03:27</t>
  </si>
  <si>
    <t>Thời gian vào: 2026-01-09 08:32:19</t>
  </si>
  <si>
    <t>Thời gian ra: 2026-01-09 12:00:40</t>
  </si>
  <si>
    <t>Thời gian vào: 2026-01-12 18:08:50</t>
  </si>
  <si>
    <t>Thời gian ra: 2026-01-12 18:09:09</t>
  </si>
  <si>
    <t>Thời gian vào: 2026-01-13 08:36:06</t>
  </si>
  <si>
    <t>Thời gian ra: 2026-01-13 17:37:19</t>
  </si>
  <si>
    <t>Thời gian vào: 2026-01-14 18:02:23</t>
  </si>
  <si>
    <t>Thời gian vào: 2026-01-15 09:22:21</t>
  </si>
  <si>
    <t>Thời gian ra: 2026-01-15 17:31:06</t>
  </si>
  <si>
    <t>Thời lượng theo dõi:489 phút</t>
  </si>
  <si>
    <t>Thời gian vào: 2026-01-16 08:30:00</t>
  </si>
  <si>
    <t>Thời gian ra: 2026-01-16 14:23:38</t>
  </si>
  <si>
    <t>Thời lượng theo dõi:354 phút</t>
  </si>
  <si>
    <t>Thời gian vào: 2026-01-19 14:45:53</t>
  </si>
  <si>
    <t>Thời gian ra: 2026-01-19 18:13:17</t>
  </si>
  <si>
    <t>Thời lượng theo dõi:207 phút</t>
  </si>
  <si>
    <t>Thời gian vào: 2026-01-20 17:54:28</t>
  </si>
  <si>
    <t>Thời gian ra: 2026-01-20 18:29:13</t>
  </si>
  <si>
    <t>Thời lượng theo dõi:35 phút</t>
  </si>
  <si>
    <t>Thời gian vào: 2026-01-21 18:49:35</t>
  </si>
  <si>
    <t>Thời gian vào: 2026-01-22 14:36:31</t>
  </si>
  <si>
    <t>Thời gian ra: 2026-01-22 18:04:54</t>
  </si>
  <si>
    <t>Thời gian vào: 2026-01-26 08:29:26</t>
  </si>
  <si>
    <t>Thời gian ra: 2026-01-26 19:27:01</t>
  </si>
  <si>
    <t>Thời lượng theo dõi:658 phút</t>
  </si>
  <si>
    <t>Thời gian vào: 2026-01-27 13:53:11</t>
  </si>
  <si>
    <t>Thời gian ra: 2026-01-27 18:23:49</t>
  </si>
  <si>
    <t>Thời gian vào: 2026-01-29 18:46:48</t>
  </si>
  <si>
    <t>Thời gian ra: 2026-01-29 18:47:43</t>
  </si>
  <si>
    <t>Thời gian vào: 2026-01-05 08:32:05</t>
  </si>
  <si>
    <t>Thời gian ra: 2026-01-05 18:02:06</t>
  </si>
  <si>
    <t>Thời gian vào: 2026-01-06 08:53:54</t>
  </si>
  <si>
    <t>Thời gian ra: 2026-01-06 18:13:27</t>
  </si>
  <si>
    <t>Thời gian vào: 2026-01-07 08:31:37</t>
  </si>
  <si>
    <t>Thời gian ra: 2026-01-07 18:08:42</t>
  </si>
  <si>
    <t>Thời gian vào: 2026-01-08 08:42:50</t>
  </si>
  <si>
    <t>Thời gian ra: 2026-01-08 18:02:04</t>
  </si>
  <si>
    <t>Thời gian vào: 2026-01-09 08:34:43</t>
  </si>
  <si>
    <t>Thời gian ra: 2026-01-09 18:02:46</t>
  </si>
  <si>
    <t>Thời gian vào: 2026-01-10 08:40:47</t>
  </si>
  <si>
    <t>Thời gian ra: 2026-01-10 12:27:22</t>
  </si>
  <si>
    <t>Thời gian vào: 2026-01-12 08:44:07</t>
  </si>
  <si>
    <t>Thời gian ra: 2026-01-12 18:05:02</t>
  </si>
  <si>
    <t>Thời gian vào: 2026-01-13 08:39:05</t>
  </si>
  <si>
    <t>Thời gian ra: 2026-01-13 18:03:17</t>
  </si>
  <si>
    <t>Thời gian vào: 2026-01-14 08:41:17</t>
  </si>
  <si>
    <t>Thời gian ra: 2026-01-14 18:06:25</t>
  </si>
  <si>
    <t>Thời gian vào: 2026-01-15 08:34:57</t>
  </si>
  <si>
    <t>Thời gian ra: 2026-01-15 15:55:34</t>
  </si>
  <si>
    <t>Thời lượng theo dõi:441 phút</t>
  </si>
  <si>
    <t>Thời gian vào: 2026-01-16 08:37:41</t>
  </si>
  <si>
    <t>Thời gian ra: 2026-01-16 18:11:32</t>
  </si>
  <si>
    <t>Thời gian vào: 2026-01-19 08:47:27</t>
  </si>
  <si>
    <t>Thời gian ra: 2026-01-19 18:06:57</t>
  </si>
  <si>
    <t>Thời gian vào: 2026-01-20 08:37:18</t>
  </si>
  <si>
    <t>Thời gian ra: 2026-01-20 18:03:51</t>
  </si>
  <si>
    <t>Thời gian vào: 2026-01-21 08:35:32</t>
  </si>
  <si>
    <t>Thời gian ra: 2026-01-21 18:07:51</t>
  </si>
  <si>
    <t>Thời gian vào: 2026-01-22 08:45:05</t>
  </si>
  <si>
    <t>Thời gian ra: 2026-01-22 18:05:50</t>
  </si>
  <si>
    <t>Thời gian vào: 2026-01-23 08:38:28</t>
  </si>
  <si>
    <t>Thời gian ra: 2026-01-23 18:03:52</t>
  </si>
  <si>
    <t>Thời gian vào: 2026-01-26 08:47:31</t>
  </si>
  <si>
    <t>Thời gian ra: 2026-01-26 18:07:28</t>
  </si>
  <si>
    <t>Thời gian vào: 2026-01-27 08:40:03</t>
  </si>
  <si>
    <t>Thời gian ra: 2026-01-27 18:01:16</t>
  </si>
  <si>
    <t>Thời gian vào: 2026-01-28 08:44:25</t>
  </si>
  <si>
    <t>Thời gian ra: 2026-01-28 18:00:33</t>
  </si>
  <si>
    <t>Thời gian vào: 2026-01-29 08:39:58</t>
  </si>
  <si>
    <t>Thời gian ra: 2026-01-29 18:09:29</t>
  </si>
  <si>
    <t>Thời gian vào: 2026-01-30 08:42:39</t>
  </si>
  <si>
    <t>Thời gian ra: 2026-01-30 18:07:59</t>
  </si>
  <si>
    <t>Dương Văn Chung</t>
  </si>
  <si>
    <t>Thời gian vào: 2026-01-05 08:22:01</t>
  </si>
  <si>
    <t>Thời gian ra: 2026-01-05 18:02:54</t>
  </si>
  <si>
    <t>Thời gian vào: 2026-01-06 08:36:04</t>
  </si>
  <si>
    <t>Thời gian vào: 2026-01-07 10:00:14</t>
  </si>
  <si>
    <t>Thời gian ra: 2026-01-07 18:05:57</t>
  </si>
  <si>
    <t>Thời lượng theo dõi:486 phút</t>
  </si>
  <si>
    <t>Thời gian vào: 2026-01-08 08:23:36</t>
  </si>
  <si>
    <t>Thời gian vào: 2026-01-09 08:22:21</t>
  </si>
  <si>
    <t>Thời gian ra: 2026-01-09 18:08:35</t>
  </si>
  <si>
    <t>Thời gian vào: 2026-01-10 08:23:30</t>
  </si>
  <si>
    <t>Thời gian ra: 2026-01-10 18:07:40</t>
  </si>
  <si>
    <t>Thời gian vào: 2026-01-12 08:24:15</t>
  </si>
  <si>
    <t>Thời gian ra: 2026-01-12 17:36:19</t>
  </si>
  <si>
    <t>Thời gian vào: 2026-01-13 08:16:40</t>
  </si>
  <si>
    <t>Thời gian ra: 2026-01-13 17:36:09</t>
  </si>
  <si>
    <t>Thời gian vào: 2026-01-14 08:15:30</t>
  </si>
  <si>
    <t>Thời gian ra: 2026-01-14 17:32:00</t>
  </si>
  <si>
    <t>Thời gian vào: 2026-01-15 08:23:22</t>
  </si>
  <si>
    <t>Thời gian ra: 2026-01-15 20:01:54</t>
  </si>
  <si>
    <t>Thời lượng theo dõi:699 phút</t>
  </si>
  <si>
    <t>Thời gian vào: 2026-01-16 08:15:56</t>
  </si>
  <si>
    <t>Thời gian ra: 2026-01-16 18:08:01</t>
  </si>
  <si>
    <t>Thời gian vào: 2026-01-19 08:16:39</t>
  </si>
  <si>
    <t>Thời gian ra: 2026-01-19 18:03:27</t>
  </si>
  <si>
    <t>Thời gian vào: 2026-01-20 08:21:55</t>
  </si>
  <si>
    <t>Thời gian ra: 2026-01-20 18:06:58</t>
  </si>
  <si>
    <t>Thời gian vào: 2026-01-21 08:13:03</t>
  </si>
  <si>
    <t>Thời gian ra: 2026-01-21 18:05:44</t>
  </si>
  <si>
    <t>Thời gian vào: 2026-01-22 08:23:24</t>
  </si>
  <si>
    <t>Thời gian ra: 2026-01-22 18:08:16</t>
  </si>
  <si>
    <t>Thời gian vào: 2026-01-23 08:26:04</t>
  </si>
  <si>
    <t>Thời gian ra: 2026-01-23 18:05:13</t>
  </si>
  <si>
    <t>Thời gian vào: 2026-01-26 08:23:58</t>
  </si>
  <si>
    <t>Thời gian ra: 2026-01-26 18:07:10</t>
  </si>
  <si>
    <t>Thời gian vào: 2026-01-27 08:20:05</t>
  </si>
  <si>
    <t>Thời gian ra: 2026-01-27 18:09:49</t>
  </si>
  <si>
    <t>Thời gian vào: 2026-01-28 08:24:42</t>
  </si>
  <si>
    <t>Thời gian ra: 2026-01-28 18:05:33</t>
  </si>
  <si>
    <t>Thời gian vào: 2026-01-29 08:22:44</t>
  </si>
  <si>
    <t>Thời gian ra: 2026-01-29 18:08:43</t>
  </si>
  <si>
    <t>Thời gian vào: 2026-01-30 08:19:10</t>
  </si>
  <si>
    <t>Thời gian ra: 2026-01-30 18:11:05</t>
  </si>
  <si>
    <t>Thời gian vào: 2026-01-15 12:07:34</t>
  </si>
  <si>
    <t>Thời gian ra: 2026-01-15 12:08:23</t>
  </si>
  <si>
    <t>Thời gian vào: 2026-01-03 11:07:33</t>
  </si>
  <si>
    <t>Thời gian vào: 2026-01-06 08:19:50</t>
  </si>
  <si>
    <t>Thời gian ra: 2026-01-06 21:23:49</t>
  </si>
  <si>
    <t>Thời lượng theo dõi:784 phút</t>
  </si>
  <si>
    <t>Thời gian vào: 2026-01-07 18:21:29</t>
  </si>
  <si>
    <t>Thời gian vào: 2026-01-10 18:07:28</t>
  </si>
  <si>
    <t>Thời gian vào: 2026-01-12 08:48:49</t>
  </si>
  <si>
    <t>Thời gian ra: 2026-01-12 18:26:59</t>
  </si>
  <si>
    <t>Thời gian vào: 2026-01-13 08:33:51</t>
  </si>
  <si>
    <t>Thời gian ra: 2026-01-13 18:11:00</t>
  </si>
  <si>
    <t>Thời gian vào: 2026-01-14 09:07:55</t>
  </si>
  <si>
    <t>Thời gian ra: 2026-01-14 19:49:09</t>
  </si>
  <si>
    <t>Thời gian vào: 2026-01-15 09:03:31</t>
  </si>
  <si>
    <t>Thời gian ra: 2026-01-15 18:23:29</t>
  </si>
  <si>
    <t>Thời gian vào: 2026-01-16 08:39:05</t>
  </si>
  <si>
    <t>Thời gian ra: 2026-01-16 08:47:42</t>
  </si>
  <si>
    <t>Thời lượng theo dõi:9 phút</t>
  </si>
  <si>
    <t>Thời gian vào: 2026-01-19 08:31:38</t>
  </si>
  <si>
    <t>Thời gian ra: 2026-01-19 18:03:30</t>
  </si>
  <si>
    <t>Thời gian vào: 2026-01-20 08:40:29</t>
  </si>
  <si>
    <t>Thời gian ra: 2026-01-20 18:30:38</t>
  </si>
  <si>
    <t>Thời gian vào: 2026-01-21 08:50:15</t>
  </si>
  <si>
    <t>Thời gian vào: 2026-01-22 14:49:55</t>
  </si>
  <si>
    <t>Thời gian ra: 2026-01-22 18:10:22</t>
  </si>
  <si>
    <t>Thời lượng theo dõi:200 phút</t>
  </si>
  <si>
    <t>Thời gian vào: 2026-01-23 13:42:14</t>
  </si>
  <si>
    <t>Thời gian vào: 2026-01-27 15:24:28</t>
  </si>
  <si>
    <t>Thời gian ra: 2026-01-27 18:09:57</t>
  </si>
  <si>
    <t>Thời lượng theo dõi:165 phút</t>
  </si>
  <si>
    <t>Thời gian vào: 2026-01-28 08:47:17</t>
  </si>
  <si>
    <t>Thời gian ra: 2026-01-28 18:05:36</t>
  </si>
  <si>
    <t>Thời gian vào: 2026-01-05 08:55:28</t>
  </si>
  <si>
    <t>Thời gian ra: 2026-01-05 19:26:49</t>
  </si>
  <si>
    <t>Thời gian vào: 2026-01-06 08:44:54</t>
  </si>
  <si>
    <t>Thời gian ra: 2026-01-06 20:46:51</t>
  </si>
  <si>
    <t>Thời gian vào: 2026-01-07 08:43:04</t>
  </si>
  <si>
    <t>Thời gian ra: 2026-01-07 20:02:29</t>
  </si>
  <si>
    <t>Thời lượng theo dõi:679 phút</t>
  </si>
  <si>
    <t>Thời gian vào: 2026-01-08 08:49:31</t>
  </si>
  <si>
    <t>Thời gian ra: 2026-01-08 19:09:03</t>
  </si>
  <si>
    <t>Thời gian vào: 2026-01-09 08:34:37</t>
  </si>
  <si>
    <t>Thời gian ra: 2026-01-09 19:17:33</t>
  </si>
  <si>
    <t>Thời gian vào: 2026-01-10 08:34:25</t>
  </si>
  <si>
    <t>Thời gian vào: 2026-01-12 08:59:08</t>
  </si>
  <si>
    <t>Thời gian ra: 2026-01-12 19:47:06</t>
  </si>
  <si>
    <t>Thời gian vào: 2026-01-13 08:44:09</t>
  </si>
  <si>
    <t>Thời gian ra: 2026-01-13 20:11:27</t>
  </si>
  <si>
    <t>Thời lượng theo dõi:687 phút</t>
  </si>
  <si>
    <t>Thời gian vào: 2026-01-14 08:47:42</t>
  </si>
  <si>
    <t>Thời gian ra: 2026-01-14 22:10:47</t>
  </si>
  <si>
    <t>Thời lượng theo dõi:803 phút</t>
  </si>
  <si>
    <t>Thời gian vào: 2026-01-15 08:55:50</t>
  </si>
  <si>
    <t>Thời gian ra: 2026-01-15 22:53:22</t>
  </si>
  <si>
    <t>Thời gian vào: 2026-01-16 08:31:58</t>
  </si>
  <si>
    <t>Thời gian ra: 2026-01-16 19:59:19</t>
  </si>
  <si>
    <t>Thời gian vào: 2026-01-19 08:44:38</t>
  </si>
  <si>
    <t>Thời gian ra: 2026-01-19 19:36:49</t>
  </si>
  <si>
    <t>Thời gian vào: 2026-01-20 08:57:58</t>
  </si>
  <si>
    <t>Thời gian ra: 2026-01-20 19:09:42</t>
  </si>
  <si>
    <t>Thời gian vào: 2026-01-21 08:53:30</t>
  </si>
  <si>
    <t>Thời gian ra: 2026-01-21 19:27:35</t>
  </si>
  <si>
    <t>Thời lượng theo dõi:634 phút</t>
  </si>
  <si>
    <t>Thời gian vào: 2026-01-22 08:45:00</t>
  </si>
  <si>
    <t>Thời gian ra: 2026-01-22 22:53:23</t>
  </si>
  <si>
    <t>Thời lượng theo dõi:848 phút</t>
  </si>
  <si>
    <t>Thời gian vào: 2026-01-23 08:56:06</t>
  </si>
  <si>
    <t>Thời lượng theo dõi:774 phút</t>
  </si>
  <si>
    <t>Thời gian vào: 2026-01-27 08:49:30</t>
  </si>
  <si>
    <t>Thời gian ra: 2026-01-27 19:54:25</t>
  </si>
  <si>
    <t>Thời gian vào: 2026-01-28 08:47:19</t>
  </si>
  <si>
    <t>Thời gian ra: 2026-01-28 19:12:59</t>
  </si>
  <si>
    <t>Thời gian vào: 2026-01-29 08:44:24</t>
  </si>
  <si>
    <t>Thời gian ra: 2026-01-29 19:33:42</t>
  </si>
  <si>
    <t>Thời gian vào: 2026-01-30 08:53:34</t>
  </si>
  <si>
    <t>Thời gian ra: 2026-01-30 20:08:29</t>
  </si>
  <si>
    <t>Thời gian vào: 2026-01-05 08:21:52</t>
  </si>
  <si>
    <t>Thời gian ra: 2026-01-05 18:08:05</t>
  </si>
  <si>
    <t>Thời gian vào: 2026-01-06 08:25:25</t>
  </si>
  <si>
    <t>Thời gian ra: 2026-01-06 18:11:28</t>
  </si>
  <si>
    <t>Thời gian vào: 2026-01-07 08:28:13</t>
  </si>
  <si>
    <t>Thời gian ra: 2026-01-07 18:12:59</t>
  </si>
  <si>
    <t>Thời gian vào: 2026-01-08 08:32:07</t>
  </si>
  <si>
    <t>Thời gian ra: 2026-01-08 18:24:53</t>
  </si>
  <si>
    <t>Thời gian vào: 2026-01-13 08:27:46</t>
  </si>
  <si>
    <t>Thời gian ra: 2026-01-13 18:24:19</t>
  </si>
  <si>
    <t>Thời gian vào: 2026-01-14 08:27:37</t>
  </si>
  <si>
    <t>Thời gian ra: 2026-01-14 18:21:53</t>
  </si>
  <si>
    <t>Thời gian vào: 2026-01-15 13:34:04</t>
  </si>
  <si>
    <t>Thời gian ra: 2026-01-15 18:13:45</t>
  </si>
  <si>
    <t>Thời lượng theo dõi:280 phút</t>
  </si>
  <si>
    <t>Thời gian vào: 2026-01-19 08:25:20</t>
  </si>
  <si>
    <t>Thời gian ra: 2026-01-19 12:04:22</t>
  </si>
  <si>
    <t>Thời lượng theo dõi:219 phút</t>
  </si>
  <si>
    <t>Thời gian vào: 2026-01-20 08:57:56</t>
  </si>
  <si>
    <t>Thời gian ra: 2026-01-20 18:33:32</t>
  </si>
  <si>
    <t>Thời gian vào: 2026-01-21 08:28:27</t>
  </si>
  <si>
    <t>Thời gian ra: 2026-01-21 18:10:42</t>
  </si>
  <si>
    <t>Thời gian vào: 2026-01-22 08:29:03</t>
  </si>
  <si>
    <t>Thời gian ra: 2026-01-22 18:15:00</t>
  </si>
  <si>
    <t>Thời gian vào: 2026-01-26 13:28:04</t>
  </si>
  <si>
    <t>Thời gian ra: 2026-01-26 18:25:26</t>
  </si>
  <si>
    <t>Thời lượng theo dõi:297 phút</t>
  </si>
  <si>
    <t>Thời gian vào: 2026-01-27 08:16:26</t>
  </si>
  <si>
    <t>Thời gian ra: 2026-01-27 18:34:22</t>
  </si>
  <si>
    <t>Thời gian vào: 2026-01-28 08:25:16</t>
  </si>
  <si>
    <t>Thời gian ra: 2026-01-28 18:13:55</t>
  </si>
  <si>
    <t>Thời gian vào: 2026-01-29 08:32:08</t>
  </si>
  <si>
    <t>Thời gian ra: 2026-01-29 18:12:24</t>
  </si>
  <si>
    <t>Thời gian vào: 2026-01-05 08:55:54</t>
  </si>
  <si>
    <t>Thời gian ra: 2026-01-05 18:02:05</t>
  </si>
  <si>
    <t>Thời gian vào: 2026-01-06 09:15:45</t>
  </si>
  <si>
    <t>Thời gian ra: 2026-01-06 18:12:55</t>
  </si>
  <si>
    <t>Thời gian vào: 2026-01-07 09:22:26</t>
  </si>
  <si>
    <t>Thời gian ra: 2026-01-07 18:11:18</t>
  </si>
  <si>
    <t>Thời gian vào: 2026-01-09 09:01:11</t>
  </si>
  <si>
    <t>Thời gian ra: 2026-01-09 18:03:26</t>
  </si>
  <si>
    <t>Thời gian vào: 2026-01-12 08:57:18</t>
  </si>
  <si>
    <t>Thời gian ra: 2026-01-12 19:35:35</t>
  </si>
  <si>
    <t>Thời gian vào: 2026-01-14 09:06:19</t>
  </si>
  <si>
    <t>Thời gian ra: 2026-01-14 18:04:29</t>
  </si>
  <si>
    <t>Thời gian vào: 2026-01-15 15:56:09</t>
  </si>
  <si>
    <t>Thời gian vào: 2026-01-16 08:57:18</t>
  </si>
  <si>
    <t>Thời gian ra: 2026-01-16 18:05:28</t>
  </si>
  <si>
    <t>Thời gian vào: 2026-01-18 09:05:48</t>
  </si>
  <si>
    <t>Thời gian ra: 2026-01-18 09:06:38</t>
  </si>
  <si>
    <t>Thời gian vào: 2026-01-20 09:04:03</t>
  </si>
  <si>
    <t>Thời gian ra: 2026-01-20 18:20:14</t>
  </si>
  <si>
    <t>Thời gian vào: 2026-01-21 09:14:01</t>
  </si>
  <si>
    <t>Thời gian ra: 2026-01-21 18:05:01</t>
  </si>
  <si>
    <t>Thời gian vào: 2026-01-22 13:39:53</t>
  </si>
  <si>
    <t>Thời gian ra: 2026-01-22 18:05:54</t>
  </si>
  <si>
    <t>Thời gian vào: 2026-01-23 08:56:12</t>
  </si>
  <si>
    <t>Thời gian ra: 2026-01-23 18:04:02</t>
  </si>
  <si>
    <t>Thời gian vào: 2026-01-26 09:01:45</t>
  </si>
  <si>
    <t>Thời gian ra: 2026-01-26 18:06:22</t>
  </si>
  <si>
    <t>Thời gian vào: 2026-01-27 13:37:06</t>
  </si>
  <si>
    <t>Thời gian ra: 2026-01-27 18:01:26</t>
  </si>
  <si>
    <t>Thời gian vào: 2026-01-28 08:53:09</t>
  </si>
  <si>
    <t>Thời gian ra: 2026-01-28 18:00:36</t>
  </si>
  <si>
    <t>Thời gian vào: 2026-01-29 09:24:18</t>
  </si>
  <si>
    <t>Thời gian ra: 2026-01-29 18:04:20</t>
  </si>
  <si>
    <t>Thời lượng theo dõi:520 phút</t>
  </si>
  <si>
    <t>Thời gian vào: 2026-01-30 13:43:20</t>
  </si>
  <si>
    <t>Thời gian ra: 2026-01-30 18:07:35</t>
  </si>
  <si>
    <t>Thời gian vào: 2026-01-05 08:23:51</t>
  </si>
  <si>
    <t>Thời gian ra: 2026-01-05 18:05:07</t>
  </si>
  <si>
    <t>Thời gian vào: 2026-01-06 08:27:41</t>
  </si>
  <si>
    <t>Thời gian ra: 2026-01-06 18:09:20</t>
  </si>
  <si>
    <t>Thời gian vào: 2026-01-07 09:00:09</t>
  </si>
  <si>
    <t>Thời gian ra: 2026-01-07 18:39:06</t>
  </si>
  <si>
    <t>Thời gian vào: 2026-01-08 08:26:12</t>
  </si>
  <si>
    <t>Thời gian ra: 2026-01-08 18:13:32</t>
  </si>
  <si>
    <t>Thời gian vào: 2026-01-12 08:54:53</t>
  </si>
  <si>
    <t>Thời gian ra: 2026-01-12 18:06:03</t>
  </si>
  <si>
    <t>Thời gian vào: 2026-01-13 08:23:30</t>
  </si>
  <si>
    <t>Thời gian ra: 2026-01-13 18:16:02</t>
  </si>
  <si>
    <t>Thời gian vào: 2026-01-14 08:52:27</t>
  </si>
  <si>
    <t>Thời gian ra: 2026-01-14 18:47:00</t>
  </si>
  <si>
    <t>Thời gian vào: 2026-01-15 08:27:10</t>
  </si>
  <si>
    <t>Thời gian ra: 2026-01-15 12:02:49</t>
  </si>
  <si>
    <t>Thời gian vào: 2026-01-19 08:14:02</t>
  </si>
  <si>
    <t>Thời gian ra: 2026-01-19 18:17:34</t>
  </si>
  <si>
    <t>Thời gian vào: 2026-01-20 08:21:48</t>
  </si>
  <si>
    <t>Thời gian ra: 2026-01-20 18:03:35</t>
  </si>
  <si>
    <t>Thời gian vào: 2026-01-21 09:01:06</t>
  </si>
  <si>
    <t>Thời gian ra: 2026-01-21 18:07:24</t>
  </si>
  <si>
    <t>Thời gian vào: 2026-01-22 08:25:36</t>
  </si>
  <si>
    <t>Thời gian ra: 2026-01-22 18:04:34</t>
  </si>
  <si>
    <t>Thời gian vào: 2026-01-26 13:13:54</t>
  </si>
  <si>
    <t>Thời gian ra: 2026-01-26 20:32:16</t>
  </si>
  <si>
    <t>Thời gian vào: 2026-01-27 08:11:46</t>
  </si>
  <si>
    <t>Thời gian ra: 2026-01-27 18:13:48</t>
  </si>
  <si>
    <t>Thời gian vào: 2026-01-28 08:39:40</t>
  </si>
  <si>
    <t>Thời gian ra: 2026-01-28 18:06:43</t>
  </si>
  <si>
    <t>Thời gian vào: 2026-01-29 08:21:04</t>
  </si>
  <si>
    <t>Thời gian ra: 2026-01-29 18:08:51</t>
  </si>
  <si>
    <t>Nguyễn Như Huy Hoàng</t>
  </si>
  <si>
    <t>Thời gian vào: 2026-01-05 08:42:27</t>
  </si>
  <si>
    <t>Thời gian ra: 2026-01-05 19:36:14</t>
  </si>
  <si>
    <t>Thời gian vào: 2026-01-06 08:34:22</t>
  </si>
  <si>
    <t>Thời gian ra: 2026-01-06 18:17:59</t>
  </si>
  <si>
    <t>Thời gian vào: 2026-01-07 08:43:13</t>
  </si>
  <si>
    <t>Thời gian ra: 2026-01-07 19:05:37</t>
  </si>
  <si>
    <t>Thời gian vào: 2026-01-08 08:37:28</t>
  </si>
  <si>
    <t>Thời gian ra: 2026-01-08 19:05:51</t>
  </si>
  <si>
    <t>Thời gian vào: 2026-01-09 18:33:31</t>
  </si>
  <si>
    <t>Thời gian vào: 2026-01-12 08:39:44</t>
  </si>
  <si>
    <t>Thời gian ra: 2026-01-12 18:47:03</t>
  </si>
  <si>
    <t>Thời gian vào: 2026-01-13 08:30:35</t>
  </si>
  <si>
    <t>Thời gian ra: 2026-01-13 18:41:36</t>
  </si>
  <si>
    <t>Thời gian vào: 2026-01-14 08:48:45</t>
  </si>
  <si>
    <t>Thời gian ra: 2026-01-14 19:14:49</t>
  </si>
  <si>
    <t>Thời gian vào: 2026-01-15 08:38:44</t>
  </si>
  <si>
    <t>Thời gian ra: 2026-01-15 19:08:31</t>
  </si>
  <si>
    <t>Thời gian vào: 2026-01-19 08:49:16</t>
  </si>
  <si>
    <t>Thời gian ra: 2026-01-19 19:04:17</t>
  </si>
  <si>
    <t>Thời gian vào: 2026-01-20 08:41:47</t>
  </si>
  <si>
    <t>Thời gian ra: 2026-01-20 18:22:01</t>
  </si>
  <si>
    <t>Thời gian vào: 2026-01-21 08:40:36</t>
  </si>
  <si>
    <t>Thời gian ra: 2026-01-21 18:34:29</t>
  </si>
  <si>
    <t>Thời gian vào: 2026-01-22 08:49:47</t>
  </si>
  <si>
    <t>Thời gian ra: 2026-01-22 19:33:15</t>
  </si>
  <si>
    <t>Thời gian vào: 2026-01-26 08:37:37</t>
  </si>
  <si>
    <t>Thời gian ra: 2026-01-26 18:29:50</t>
  </si>
  <si>
    <t>Thời gian vào: 2026-01-27 08:30:45</t>
  </si>
  <si>
    <t>Thời gian ra: 2026-01-27 19:41:39</t>
  </si>
  <si>
    <t>Thời lượng theo dõi:671 phút</t>
  </si>
  <si>
    <t>Thời gian vào: 2026-01-28 08:37:54</t>
  </si>
  <si>
    <t>Thời gian ra: 2026-01-28 19:28:17</t>
  </si>
  <si>
    <t>Thời gian vào: 2026-01-29 08:36:58</t>
  </si>
  <si>
    <t>Thời gian ra: 2026-01-29 18:06:53</t>
  </si>
  <si>
    <t>Thời gian vào: 2026-01-05 08:27:45</t>
  </si>
  <si>
    <t>Thời gian ra: 2026-01-05 18:09:42</t>
  </si>
  <si>
    <t>Thời gian vào: 2026-01-06 08:37:10</t>
  </si>
  <si>
    <t>Thời gian ra: 2026-01-06 18:08:06</t>
  </si>
  <si>
    <t>Thời gian vào: 2026-01-07 08:33:58</t>
  </si>
  <si>
    <t>Thời gian ra: 2026-01-07 17:32:07</t>
  </si>
  <si>
    <t>Thời gian vào: 2026-01-08 08:28:17</t>
  </si>
  <si>
    <t>Thời gian ra: 2026-01-08 18:08:53</t>
  </si>
  <si>
    <t>Thời gian vào: 2026-01-12 08:34:36</t>
  </si>
  <si>
    <t>Thời gian ra: 2026-01-12 12:32:31</t>
  </si>
  <si>
    <t>Thời lượng theo dõi:238 phút</t>
  </si>
  <si>
    <t>Thời gian vào: 2026-01-13 08:29:29</t>
  </si>
  <si>
    <t>Thời gian ra: 2026-01-13 18:03:55</t>
  </si>
  <si>
    <t>Thời gian vào: 2026-01-14 08:32:31</t>
  </si>
  <si>
    <t>Thời gian ra: 2026-01-14 18:04:02</t>
  </si>
  <si>
    <t>Thời gian vào: 2026-01-15 08:27:05</t>
  </si>
  <si>
    <t>Thời gian ra: 2026-01-15 18:15:08</t>
  </si>
  <si>
    <t>Thời gian vào: 2026-01-19 08:35:01</t>
  </si>
  <si>
    <t>Thời gian ra: 2026-01-19 18:04:18</t>
  </si>
  <si>
    <t>Thời gian vào: 2026-01-20 08:25:49</t>
  </si>
  <si>
    <t>Thời gian ra: 2026-01-20 18:07:04</t>
  </si>
  <si>
    <t>Thời gian vào: 2026-01-21 08:59:38</t>
  </si>
  <si>
    <t>Thời gian ra: 2026-01-21 18:22:32</t>
  </si>
  <si>
    <t>Thời gian vào: 2026-01-22 08:34:49</t>
  </si>
  <si>
    <t>Thời gian ra: 2026-01-22 18:04:27</t>
  </si>
  <si>
    <t>Thời gian vào: 2026-01-26 08:37:34</t>
  </si>
  <si>
    <t>Thời gian ra: 2026-01-26 18:29:33</t>
  </si>
  <si>
    <t>Thời gian vào: 2026-01-27 08:35:00</t>
  </si>
  <si>
    <t>Thời gian ra: 2026-01-27 18:07:28</t>
  </si>
  <si>
    <t>Thời gian vào: 2026-01-28 08:30:49</t>
  </si>
  <si>
    <t>Thời gian ra: 2026-01-28 18:10:43</t>
  </si>
  <si>
    <t>Thời gian vào: 2026-01-29 08:37:26</t>
  </si>
  <si>
    <t>Thời gian ra: 2026-01-29 18:12:54</t>
  </si>
  <si>
    <t>Thời gian vào: 2026-01-05 08:27:47</t>
  </si>
  <si>
    <t>Thời gian ra: 2026-01-05 18:05:47</t>
  </si>
  <si>
    <t>Thời gian vào: 2026-01-06 13:46:19</t>
  </si>
  <si>
    <t>Thời gian ra: 2026-01-06 18:05:31</t>
  </si>
  <si>
    <t>Thời lượng theo dõi:259 phút</t>
  </si>
  <si>
    <t>Thời gian vào: 2026-01-07 10:06:09</t>
  </si>
  <si>
    <t>Thời gian ra: 2026-01-07 18:04:22</t>
  </si>
  <si>
    <t>Thời lượng theo dõi:478 phút</t>
  </si>
  <si>
    <t>Thời gian vào: 2026-01-08 08:50:31</t>
  </si>
  <si>
    <t>Thời gian ra: 2026-01-08 18:04:07</t>
  </si>
  <si>
    <t>Thời gian vào: 2026-01-12 09:58:01</t>
  </si>
  <si>
    <t>Thời gian ra: 2026-01-12 18:04:13</t>
  </si>
  <si>
    <t>Thời gian vào: 2026-01-13 08:31:28</t>
  </si>
  <si>
    <t>Thời gian ra: 2026-01-13 18:05:33</t>
  </si>
  <si>
    <t>Thời gian vào: 2026-01-14 10:44:29</t>
  </si>
  <si>
    <t>Thời gian ra: 2026-01-14 18:06:12</t>
  </si>
  <si>
    <t>Thời lượng theo dõi:442 phút</t>
  </si>
  <si>
    <t>Thời gian vào: 2026-01-19 08:31:32</t>
  </si>
  <si>
    <t>Thời gian ra: 2026-01-19 18:03:17</t>
  </si>
  <si>
    <t>Thời gian vào: 2026-01-20 09:32:11</t>
  </si>
  <si>
    <t>Thời gian ra: 2026-01-20 18:04:59</t>
  </si>
  <si>
    <t>Thời lượng theo dõi:513 phút</t>
  </si>
  <si>
    <t>Thời gian vào: 2026-01-21 18:07:38</t>
  </si>
  <si>
    <t>Thời gian vào: 2026-01-22 10:07:05</t>
  </si>
  <si>
    <t>Thời gian ra: 2026-01-22 18:02:40</t>
  </si>
  <si>
    <t>Thời lượng theo dõi:476 phút</t>
  </si>
  <si>
    <t>Thời gian vào: 2026-01-26 08:30:28</t>
  </si>
  <si>
    <t>Thời gian ra: 2026-01-26 18:04:27</t>
  </si>
  <si>
    <t>Thời gian vào: 2026-01-27 13:22:20</t>
  </si>
  <si>
    <t>Thời gian ra: 2026-01-27 18:07:02</t>
  </si>
  <si>
    <t>Thời lượng theo dõi:285 phút</t>
  </si>
  <si>
    <t>Thời gian vào: 2026-01-28 13:34:02</t>
  </si>
  <si>
    <t>Thời gian ra: 2026-01-28 18:03:33</t>
  </si>
  <si>
    <t>Thời lượng theo dõi:270 phút</t>
  </si>
  <si>
    <t>Thời gian vào: 2026-01-29 08:30:46</t>
  </si>
  <si>
    <t>Thời gian ra: 2026-01-29 18:06:32</t>
  </si>
  <si>
    <t>Thời gian vào: 2026-01-05 08:17:58</t>
  </si>
  <si>
    <t>Thời gian ra: 2026-01-05 18:06:34</t>
  </si>
  <si>
    <t>Thời gian vào: 2026-01-07 08:28:05</t>
  </si>
  <si>
    <t>Thời gian ra: 2026-01-07 18:55:57</t>
  </si>
  <si>
    <t>Thời gian vào: 2026-01-08 08:33:42</t>
  </si>
  <si>
    <t>Thời gian ra: 2026-01-08 18:02:21</t>
  </si>
  <si>
    <t>Thời gian vào: 2026-01-12 20:24:34</t>
  </si>
  <si>
    <t>Thời gian ra: 2026-01-12 20:31:51</t>
  </si>
  <si>
    <t>Thời lượng theo dõi:7 phút</t>
  </si>
  <si>
    <t>Thời gian vào: 2026-01-14 08:32:46</t>
  </si>
  <si>
    <t>Thời gian vào: 2026-01-19 08:30:38</t>
  </si>
  <si>
    <t>Thời gian ra: 2026-01-19 18:03:08</t>
  </si>
  <si>
    <t>Thời gian vào: 2026-01-20 08:35:29</t>
  </si>
  <si>
    <t>Thời gian ra: 2026-01-20 18:06:06</t>
  </si>
  <si>
    <t>Thời gian vào: 2026-01-21 08:32:05</t>
  </si>
  <si>
    <t>Thời gian ra: 2026-01-21 18:05:18</t>
  </si>
  <si>
    <t>Thời gian vào: 2026-01-22 08:31:33</t>
  </si>
  <si>
    <t>Thời gian ra: 2026-01-22 18:09:03</t>
  </si>
  <si>
    <t>Thời gian vào: 2026-01-26 08:34:44</t>
  </si>
  <si>
    <t>Thời gian ra: 2026-01-26 20:33:04</t>
  </si>
  <si>
    <t>Thời lượng theo dõi:718 phút</t>
  </si>
  <si>
    <t>Thời gian vào: 2026-01-27 08:27:46</t>
  </si>
  <si>
    <t>Thời gian ra: 2026-01-27 18:10:53</t>
  </si>
  <si>
    <t>Thời gian vào: 2026-01-28 08:35:34</t>
  </si>
  <si>
    <t>Thời gian ra: 2026-01-28 18:25:35</t>
  </si>
  <si>
    <t>Thời gian vào: 2026-01-29 08:27:58</t>
  </si>
  <si>
    <t>Thời gian ra: 2026-01-29 18:09:34</t>
  </si>
  <si>
    <t>Holiday</t>
  </si>
  <si>
    <t>Thời gian vào: 2026-01-05 08:20:56</t>
  </si>
  <si>
    <t>Thời gian ra: 2026-01-05 18:02:27</t>
  </si>
  <si>
    <t>Thời gian vào: 2026-01-06 08:33:41</t>
  </si>
  <si>
    <t>Thời gian ra: 2026-01-06 18:36:01</t>
  </si>
  <si>
    <t>Đi văn miếu test app</t>
  </si>
  <si>
    <t>Thời gian vào: 2026-01-08 07:59:43</t>
  </si>
  <si>
    <t>Thời gian ra: 2026-01-08 18:06:22</t>
  </si>
  <si>
    <t>Thời gian vào: 2026-01-12 08:18:59</t>
  </si>
  <si>
    <t>Thời gian ra: 2026-01-12 18:08:15</t>
  </si>
  <si>
    <t>Thời gian vào: 2026-01-13 08:15:32</t>
  </si>
  <si>
    <t>Thời gian ra: 2026-01-13 16:17:34</t>
  </si>
  <si>
    <t>Thời gian vào: 2026-01-15 08:15:33</t>
  </si>
  <si>
    <t>Thời gian ra: 2026-01-15 18:07:23</t>
  </si>
  <si>
    <t>Thời gian vào: 2026-01-16 08:25:55</t>
  </si>
  <si>
    <t>Thời gian ra: 2026-01-16 18:35:58</t>
  </si>
  <si>
    <t>Thời gian vào: 2026-01-19 08:16:01</t>
  </si>
  <si>
    <t>Thời gian ra: 2026-01-19 18:16:16</t>
  </si>
  <si>
    <t>Thời gian vào: 2026-01-20 08:15:05</t>
  </si>
  <si>
    <t>Thời gian ra: 2026-01-20 18:03:12</t>
  </si>
  <si>
    <t>Thời gian vào: 2026-01-22 08:12:04</t>
  </si>
  <si>
    <t>Thời gian ra: 2026-01-22 18:33:46</t>
  </si>
  <si>
    <t>Thời gian vào: 2026-01-23 08:10:22</t>
  </si>
  <si>
    <t>Thời gian ra: 2026-01-23 18:17:23</t>
  </si>
  <si>
    <t>Thời gian vào: 2026-01-27 08:21:00</t>
  </si>
  <si>
    <t>Thời gian ra: 2026-01-27 18:04:04</t>
  </si>
  <si>
    <t>Thời gian vào: 2026-01-29 08:25:27</t>
  </si>
  <si>
    <t>Thời gian ra: 2026-01-29 18:01:04</t>
  </si>
  <si>
    <t>Thời gian vào: 2026-01-30 20:49:36</t>
  </si>
  <si>
    <t>Thời gian vào: 2026-01-02 08:58:15</t>
  </si>
  <si>
    <t>Thời gian ra: 2026-01-02 18:03:40</t>
  </si>
  <si>
    <t>Thời gian vào: 2026-01-06 09:22:07</t>
  </si>
  <si>
    <t>Thời gian ra: 2026-01-06 18:57:59</t>
  </si>
  <si>
    <t>Thời gian vào: 2026-01-07 09:45:43</t>
  </si>
  <si>
    <t>Thời gian ra: 2026-01-07 16:06:53</t>
  </si>
  <si>
    <t>Thời lượng theo dõi:381 phút</t>
  </si>
  <si>
    <t>Thời gian vào: 2026-01-12 09:41:47</t>
  </si>
  <si>
    <t>Thời gian vào: 2026-01-13 14:35:09</t>
  </si>
  <si>
    <t>Thời gian vào: 2026-01-14 11:03:11</t>
  </si>
  <si>
    <t>Thời gian vào: 2026-01-19 09:48:02</t>
  </si>
  <si>
    <t>Thời gian ra: 2026-01-19 18:51:30</t>
  </si>
  <si>
    <t>Thời gian vào: 2026-01-26 09:16:51</t>
  </si>
  <si>
    <t>Thời gian ra: 2026-01-26 18:49:33</t>
  </si>
  <si>
    <t>Thời gian vào: 2026-01-30 13:55:46</t>
  </si>
  <si>
    <t>Thời gian ra: 2026-01-30 18:19:06</t>
  </si>
  <si>
    <t>Thời lượng theo dõi:263 phút</t>
  </si>
  <si>
    <t>Thời gian vào: 2026-01-02 08:26:48</t>
  </si>
  <si>
    <t>Thời gian ra: 2026-01-02 18:19:48</t>
  </si>
  <si>
    <t>Thời gian vào: 2026-01-05 09:04:07</t>
  </si>
  <si>
    <t>Thời gian ra: 2026-01-05 18:42:27</t>
  </si>
  <si>
    <t>Thời gian vào: 2026-01-06 10:17:39</t>
  </si>
  <si>
    <t>Thời gian ra: 2026-01-06 19:10:01</t>
  </si>
  <si>
    <t>Thời gian vào: 2026-01-07 08:39:52</t>
  </si>
  <si>
    <t>Thời gian ra: 2026-01-07 18:07:14</t>
  </si>
  <si>
    <t>Thời gian vào: 2026-01-09 08:28:24</t>
  </si>
  <si>
    <t>Thời gian ra: 2026-01-09 18:22:37</t>
  </si>
  <si>
    <t>Thời gian vào: 2026-01-12 08:26:40</t>
  </si>
  <si>
    <t>Thời gian ra: 2026-01-12 18:26:09</t>
  </si>
  <si>
    <t>Thời gian vào: 2026-01-13 10:05:23</t>
  </si>
  <si>
    <t>Thời gian ra: 2026-01-13 16:26:55</t>
  </si>
  <si>
    <t>Thời gian vào: 2026-01-14 13:55:29</t>
  </si>
  <si>
    <t>Thời gian ra: 2026-01-14 18:10:09</t>
  </si>
  <si>
    <t>Thời gian vào: 2026-01-16 08:33:56</t>
  </si>
  <si>
    <t>Thời gian ra: 2026-01-16 19:44:36</t>
  </si>
  <si>
    <t>Thời gian vào: 2026-01-19 12:47:12</t>
  </si>
  <si>
    <t>Thời gian ra: 2026-01-19 19:02:57</t>
  </si>
  <si>
    <t>Thời lượng theo dõi:376 phút</t>
  </si>
  <si>
    <t>Thời gian vào: 2026-01-20 08:28:07</t>
  </si>
  <si>
    <t>Thời gian ra: 2026-01-20 18:27:40</t>
  </si>
  <si>
    <t>Thời gian vào: 2026-01-21 10:16:27</t>
  </si>
  <si>
    <t>Thời gian ra: 2026-01-21 18:09:08</t>
  </si>
  <si>
    <t>Thời gian vào: 2026-01-22 08:36:59</t>
  </si>
  <si>
    <t>Thời gian ra: 2026-01-22 13:35:12</t>
  </si>
  <si>
    <t>Thời lượng theo dõi:298 phút</t>
  </si>
  <si>
    <t>Thời gian vào: 2026-01-23 08:37:40</t>
  </si>
  <si>
    <t>Thời gian ra: 2026-01-23 18:09:28</t>
  </si>
  <si>
    <t>Thời gian vào: 2026-01-26 08:41:55</t>
  </si>
  <si>
    <t>Thời gian ra: 2026-01-26 18:24:10</t>
  </si>
  <si>
    <t>Thời gian vào: 2026-01-27 13:22:31</t>
  </si>
  <si>
    <t>Thời gian ra: 2026-01-27 18:10:20</t>
  </si>
  <si>
    <t>Thời gian vào: 2026-01-28 08:44:26</t>
  </si>
  <si>
    <t>Thời gian ra: 2026-01-28 16:41:01</t>
  </si>
  <si>
    <t>Thời gian vào: 2026-01-29 08:22:38</t>
  </si>
  <si>
    <t>Thời gian ra: 2026-01-29 18:12:27</t>
  </si>
  <si>
    <t>Thời gian vào: 2026-01-30 08:32:04</t>
  </si>
  <si>
    <t>Thời gian ra: 2026-01-30 18:19:49</t>
  </si>
  <si>
    <t>Thời gian vào: 2026-01-12 16:27:47</t>
  </si>
  <si>
    <t>Thời gian ra: 2026-01-12 16:29:00</t>
  </si>
  <si>
    <t>Thời gian vào: 2026-01-21 17:30:35</t>
  </si>
  <si>
    <t>Thời gian ra: 2026-01-21 17:31:33</t>
  </si>
  <si>
    <t>Thời gian vào: 2026-01-02 08:29:39</t>
  </si>
  <si>
    <t>Thời gian ra: 2026-01-02 18:29:40</t>
  </si>
  <si>
    <t>Thời gian vào: 2026-01-06 08:35:35</t>
  </si>
  <si>
    <t>Thời gian ra: 2026-01-06 20:30:50</t>
  </si>
  <si>
    <t>Thời lượng theo dõi:715 phút</t>
  </si>
  <si>
    <t>Thời gian vào: 2026-01-08 08:47:02</t>
  </si>
  <si>
    <t>Thời gian ra: 2026-01-08 20:34:15</t>
  </si>
  <si>
    <t>Thời gian vào: 2026-01-09 08:28:51</t>
  </si>
  <si>
    <t>Thời gian ra: 2026-01-09 18:32:49</t>
  </si>
  <si>
    <t>Thời gian vào: 2026-01-13 08:28:00</t>
  </si>
  <si>
    <t>Thời gian ra: 2026-01-13 16:13:12</t>
  </si>
  <si>
    <t>Thời lượng theo dõi:465 phút</t>
  </si>
  <si>
    <t>Thời gian vào: 2026-01-15 08:34:43</t>
  </si>
  <si>
    <t>Thời gian ra: 2026-01-15 18:18:01</t>
  </si>
  <si>
    <t>Thời gian vào: 2026-01-16 09:37:44</t>
  </si>
  <si>
    <t>Thời gian ra: 2026-01-16 19:18:14</t>
  </si>
  <si>
    <t>Thời gian vào: 2026-01-20 08:26:11</t>
  </si>
  <si>
    <t>Thời gian ra: 2026-01-20 18:30:06</t>
  </si>
  <si>
    <t>Thời gian vào: 2026-01-21 08:21:13</t>
  </si>
  <si>
    <t>Thời gian ra: 2026-01-21 20:02:44</t>
  </si>
  <si>
    <t>Thời lượng theo dõi:702 phút</t>
  </si>
  <si>
    <t>Thời gian vào: 2026-01-23 18:39:43</t>
  </si>
  <si>
    <t>Thời gian vào: 2026-01-27 08:12:21</t>
  </si>
  <si>
    <t>Thời gian ra: 2026-01-27 19:43:37</t>
  </si>
  <si>
    <t>Thời lượng theo dõi:691 phút</t>
  </si>
  <si>
    <t>Thời gian vào: 2026-01-29 08:49:48</t>
  </si>
  <si>
    <t>Thời gian ra: 2026-01-29 19:48:27</t>
  </si>
  <si>
    <t>Thời lượng theo dõi:659 phút</t>
  </si>
  <si>
    <t>Thời gian vào: 2026-01-30 08:31:59</t>
  </si>
  <si>
    <t>Thời gian ra: 2026-01-30 16:38:34</t>
  </si>
  <si>
    <t>Thời lượng theo dõi:487 phút</t>
  </si>
  <si>
    <t>Thời gian vào: 2026-01-02 08:33:19</t>
  </si>
  <si>
    <t>Thời gian ra: 2026-01-02 14:04:59</t>
  </si>
  <si>
    <t>Thời gian vào: 2026-01-05 09:09:53</t>
  </si>
  <si>
    <t>Thời gian ra: 2026-01-05 18:15:01</t>
  </si>
  <si>
    <t>Thời gian vào: 2026-01-06 08:37:04</t>
  </si>
  <si>
    <t>Thời gian ra: 2026-01-06 18:15:28</t>
  </si>
  <si>
    <t>Thời gian vào: 2026-01-07 09:11:49</t>
  </si>
  <si>
    <t>Thời gian ra: 2026-01-07 18:11:54</t>
  </si>
  <si>
    <t>Thời gian vào: 2026-01-08 13:24:13</t>
  </si>
  <si>
    <t>Thời gian ra: 2026-01-08 18:16:08</t>
  </si>
  <si>
    <t>Thời lượng theo dõi:292 phút</t>
  </si>
  <si>
    <t>Thời gian vào: 2026-01-09 09:21:04</t>
  </si>
  <si>
    <t>Thời gian ra: 2026-01-09 18:27:52</t>
  </si>
  <si>
    <t>Thời gian vào: 2026-01-12 09:00:59</t>
  </si>
  <si>
    <t>Thời gian ra: 2026-01-12 18:17:39</t>
  </si>
  <si>
    <t>Thời gian vào: 2026-01-13 13:43:17</t>
  </si>
  <si>
    <t>Thời gian vào: 2026-01-14 09:20:04</t>
  </si>
  <si>
    <t>Thời gian ra: 2026-01-14 18:24:03</t>
  </si>
  <si>
    <t>Thời gian vào: 2026-01-15 09:00:12</t>
  </si>
  <si>
    <t>Thời gian ra: 2026-01-15 18:17:43</t>
  </si>
  <si>
    <t>Thời gian vào: 2026-01-16 08:58:18</t>
  </si>
  <si>
    <t>Thời gian ra: 2026-01-16 12:45:18</t>
  </si>
  <si>
    <t>Thời gian vào: 2026-01-19 09:12:10</t>
  </si>
  <si>
    <t>Thời gian ra: 2026-01-19 18:20:43</t>
  </si>
  <si>
    <t>Thời gian vào: 2026-01-20 09:06:18</t>
  </si>
  <si>
    <t>Thời gian ra: 2026-01-20 18:10:12</t>
  </si>
  <si>
    <t>Thời gian vào: 2026-01-21 09:01:39</t>
  </si>
  <si>
    <t>Thời gian ra: 2026-01-21 18:16:39</t>
  </si>
  <si>
    <t>Thời gian vào: 2026-01-22 09:06:31</t>
  </si>
  <si>
    <t>Thời gian ra: 2026-01-22 18:13:37</t>
  </si>
  <si>
    <t>Thời gian vào: 2026-01-26 09:08:11</t>
  </si>
  <si>
    <t>Thời gian ra: 2026-01-26 18:19:39</t>
  </si>
  <si>
    <t>Thời gian vào: 2026-01-27 09:14:51</t>
  </si>
  <si>
    <t>Thời gian ra: 2026-01-27 18:15:45</t>
  </si>
  <si>
    <t>Thời gian vào: 2026-01-28 09:17:25</t>
  </si>
  <si>
    <t>Thời gian ra: 2026-01-28 18:11:01</t>
  </si>
  <si>
    <t>Thời gian vào: 2026-01-29 09:25:12</t>
  </si>
  <si>
    <t>Thời gian ra: 2026-01-29 18:13:55</t>
  </si>
  <si>
    <t>Thời gian vào: 2026-01-30 09:17:48</t>
  </si>
  <si>
    <t>Thời gian ra: 2026-01-30 17:04:07</t>
  </si>
  <si>
    <t>Thời lượng theo dõi:466 phút</t>
  </si>
  <si>
    <t>Thời gian vào: 2026-01-28 12:09:15</t>
  </si>
  <si>
    <t>Thời gian vào: 2026-01-29 18:05:39</t>
  </si>
  <si>
    <t xml:space="preserve">Tet </t>
  </si>
  <si>
    <t>Quênc check in?</t>
  </si>
  <si>
    <t>Thời gian vào: 2026-01-02 18:31:16</t>
  </si>
  <si>
    <t xml:space="preserve">weekend </t>
  </si>
  <si>
    <t>Thời gian vào: 2026-01-05 08:19:56</t>
  </si>
  <si>
    <t>Thời gian ra: 2026-01-05 18:21:57</t>
  </si>
  <si>
    <t>Thời gian vào: 2026-01-06 08:23:31</t>
  </si>
  <si>
    <t>Thời gian ra: 2026-01-06 18:14:12</t>
  </si>
  <si>
    <t>Thời gian vào: 2026-01-07 08:21:34</t>
  </si>
  <si>
    <t>Thời gian ra: 2026-01-07 18:15:30</t>
  </si>
  <si>
    <t>Thời gian vào: 2026-01-08 08:29:50</t>
  </si>
  <si>
    <t>Thời gian ra: 2026-01-08 18:22:10</t>
  </si>
  <si>
    <t>Thời gian vào: 2026-01-09 08:25:03</t>
  </si>
  <si>
    <t>Thời gian ra: 2026-01-09 18:27:08</t>
  </si>
  <si>
    <t>Thời gian vào: 2026-01-12 08:22:32</t>
  </si>
  <si>
    <t>Thời gian ra: 2026-01-12 18:15:58</t>
  </si>
  <si>
    <t>Quên chekc out?</t>
  </si>
  <si>
    <t>Thời gian vào: 2026-01-13 08:29:31</t>
  </si>
  <si>
    <t>Thời gian vào: 2026-01-14 08:38:34</t>
  </si>
  <si>
    <t>Thời gian ra: 2026-01-14 18:20:51</t>
  </si>
  <si>
    <t>Thời gian vào: 2026-01-15 08:25:06</t>
  </si>
  <si>
    <t>Thời gian ra: 2026-01-15 18:18:11</t>
  </si>
  <si>
    <t>Thời gian vào: 2026-01-16 08:27:49</t>
  </si>
  <si>
    <t>Thời gian ra: 2026-01-16 18:19:40</t>
  </si>
  <si>
    <t>Thời gian vào: 2026-01-19 09:32:31</t>
  </si>
  <si>
    <t>Thời gian ra: 2026-01-19 18:14:31</t>
  </si>
  <si>
    <t>Thời lượng theo dõi:522 phút</t>
  </si>
  <si>
    <t>Thời gian vào: 2026-01-20 08:39:09</t>
  </si>
  <si>
    <t>Thời gian ra: 2026-01-20 18:24:32</t>
  </si>
  <si>
    <t>Thời gian vào: 2026-01-21 08:32:10</t>
  </si>
  <si>
    <t>Thời gian ra: 2026-01-21 18:19:10</t>
  </si>
  <si>
    <t>Thời gian vào: 2026-01-22 08:32:10</t>
  </si>
  <si>
    <t>Thời gian ra: 2026-01-22 18:23:30</t>
  </si>
  <si>
    <t>Làm việc ở văn miếu</t>
  </si>
  <si>
    <t>Thời gian vào: 2026-01-23 12:11:41</t>
  </si>
  <si>
    <t>Thời gian ra: 2026-01-23 18:24:59</t>
  </si>
  <si>
    <t>Thời lượng theo dõi:373 phút</t>
  </si>
  <si>
    <t>Thời gian vào: 2026-01-26 08:28:50</t>
  </si>
  <si>
    <t>Thời gian ra: 2026-01-26 18:15:22</t>
  </si>
  <si>
    <t>Thời gian vào: 2026-01-27 08:22:35</t>
  </si>
  <si>
    <t>Thời gian ra: 2026-01-27 18:28:22</t>
  </si>
  <si>
    <t>Thời gian vào: 2026-01-28 08:30:00</t>
  </si>
  <si>
    <t>Thời gian ra: 2026-01-28 18:14:57</t>
  </si>
  <si>
    <t>Thời gian vào: 2026-01-29 08:29:47</t>
  </si>
  <si>
    <t>Thời gian ra: 2026-01-29 18:13:30</t>
  </si>
  <si>
    <t>Họp Văn Miếu</t>
  </si>
  <si>
    <t>weekend</t>
  </si>
  <si>
    <t>Thời gian vào: 2026-01-05 08:34:31</t>
  </si>
  <si>
    <t>Thời gian ra: 2026-01-05 18:28:19</t>
  </si>
  <si>
    <t>Thời gian vào: 2026-01-06 08:40:09</t>
  </si>
  <si>
    <t>Thời gian ra: 2026-01-06 17:32:45</t>
  </si>
  <si>
    <t>Thời gian vào: 2026-01-07 08:39:47</t>
  </si>
  <si>
    <t>Thời gian ra: 2026-01-07 18:45:11</t>
  </si>
  <si>
    <t>Thời gian vào: 2026-01-08 08:29:33</t>
  </si>
  <si>
    <t>Thời gian ra: 2026-01-08 18:07:48</t>
  </si>
  <si>
    <t>Thời gian vào: 2026-01-09 08:28:42</t>
  </si>
  <si>
    <t>Thời gian ra: 2026-01-09 18:13:45</t>
  </si>
  <si>
    <t>Thời gian vào: 2026-01-12 08:32:29</t>
  </si>
  <si>
    <t>Thời gian ra: 2026-01-12 18:05:44</t>
  </si>
  <si>
    <t>Thời gian vào: 2026-01-13 08:20:36</t>
  </si>
  <si>
    <t>Thời gian ra: 2026-01-13 16:31:14</t>
  </si>
  <si>
    <t>Thời gian vào: 2026-01-14 08:30:28</t>
  </si>
  <si>
    <t>Thời gian ra: 2026-01-14 18:20:46</t>
  </si>
  <si>
    <t>Thời gian vào: 2026-01-15 09:14:59</t>
  </si>
  <si>
    <t>Thời gian ra: 2026-01-15 18:17:58</t>
  </si>
  <si>
    <t xml:space="preserve">Đi gặp vendor </t>
  </si>
  <si>
    <t>Thời gian vào: 2026-01-16 11:37:20</t>
  </si>
  <si>
    <t>Thời gian ra: 2026-01-16 18:24:11</t>
  </si>
  <si>
    <t>Thời gian vào: 2026-01-19 08:31:11</t>
  </si>
  <si>
    <t>Thời gian ra: 2026-01-19 18:17:29</t>
  </si>
  <si>
    <t>Thời gian vào: 2026-01-20 12:13:03</t>
  </si>
  <si>
    <t>Thời gian ra: 2026-01-20 18:21:13</t>
  </si>
  <si>
    <t>Thời lượng theo dõi:368 phút</t>
  </si>
  <si>
    <t>Thời gian vào: 2026-01-21 08:28:48</t>
  </si>
  <si>
    <t>Thời gian ra: 2026-01-21 18:05:04</t>
  </si>
  <si>
    <t>Thời gian vào: 2026-01-22 08:37:43</t>
  </si>
  <si>
    <t>Thời gian ra: 2026-01-22 18:29:04</t>
  </si>
  <si>
    <t>lÀM Văn Miếu</t>
  </si>
  <si>
    <t>Thời gian vào: 2026-01-23 12:11:39</t>
  </si>
  <si>
    <t>Thời gian ra: 2026-01-23 18:30:21</t>
  </si>
  <si>
    <t>Thời gian vào: 2026-01-26 14:13:18</t>
  </si>
  <si>
    <t>Thời gian ra: 2026-01-26 18:00:25</t>
  </si>
  <si>
    <t>Thời gian vào: 2026-01-27 10:39:00</t>
  </si>
  <si>
    <t>Thời gian ra: 2026-01-27 18:14:23</t>
  </si>
  <si>
    <t>Thời lượng theo dõi:455 phút</t>
  </si>
  <si>
    <t>Thời gian vào: 2026-01-28 08:25:45</t>
  </si>
  <si>
    <t>Thời gian ra: 2026-01-28 18:12:36</t>
  </si>
  <si>
    <t>Thời gian vào: 2026-01-29 08:37:01</t>
  </si>
  <si>
    <t>Thời gian ra: 2026-01-29 18:14:50</t>
  </si>
  <si>
    <t>Thời gian vào: 2026-01-30 08:04:00</t>
  </si>
  <si>
    <t>Thời gian ra: 2026-01-30 18:33:33</t>
  </si>
  <si>
    <t xml:space="preserve">tet </t>
  </si>
  <si>
    <t>Thời gian vào: 2026-01-05 08:47:53</t>
  </si>
  <si>
    <t>Thời gian ra: 2026-01-05 18:09:35</t>
  </si>
  <si>
    <t>Thời gian vào: 2026-01-06 08:39:26</t>
  </si>
  <si>
    <t>Thời gian ra: 2026-01-06 18:18:07</t>
  </si>
  <si>
    <t>Thời gian vào: 2026-01-08 08:43:14</t>
  </si>
  <si>
    <t>Thời gian ra: 2026-01-08 18:16:47</t>
  </si>
  <si>
    <t>Thời gian vào: 2026-01-09 08:24:45</t>
  </si>
  <si>
    <t>Thời gian ra: 2026-01-09 18:04:10</t>
  </si>
  <si>
    <t>Thời gian vào: 2026-01-12 08:27:01</t>
  </si>
  <si>
    <t>Thời gian ra: 2026-01-12 18:17:41</t>
  </si>
  <si>
    <t>ko chekc out?</t>
  </si>
  <si>
    <t>Thời gian vào: 2026-01-13 08:26:12</t>
  </si>
  <si>
    <t>Thời gian vào: 2026-01-14 09:43:26</t>
  </si>
  <si>
    <t>Thời gian ra: 2026-01-14 18:24:07</t>
  </si>
  <si>
    <t>Thời gian vào: 2026-01-15 08:40:00</t>
  </si>
  <si>
    <t>Thời gian vào: 2026-01-21 08:32:24</t>
  </si>
  <si>
    <t>Thời gian vào: 2026-01-22 08:37:28</t>
  </si>
  <si>
    <t>Thời gian ra: 2026-01-22 18:14:35</t>
  </si>
  <si>
    <t>Thời gian vào: 2026-01-23 08:23:57</t>
  </si>
  <si>
    <t>Thời gian ra: 2026-01-23 18:15:01</t>
  </si>
  <si>
    <t>Thời gian vào: 2026-01-26 13:50:35</t>
  </si>
  <si>
    <t>Thời gian ra: 2026-01-26 18:19:46</t>
  </si>
  <si>
    <t>Thời gian vào: 2026-01-28 08:24:11</t>
  </si>
  <si>
    <t>Thời gian ra: 2026-01-28 18:10:11</t>
  </si>
  <si>
    <t xml:space="preserve">về sớm </t>
  </si>
  <si>
    <t>Thời gian vào: 2026-01-29 08:30:39</t>
  </si>
  <si>
    <t>Thời gian ra: 2026-01-29 17:22:02</t>
  </si>
  <si>
    <t>Thời gian vào: 2026-01-02 09:07:37</t>
  </si>
  <si>
    <t>Thời gian ra: 2026-01-02 18:30:45</t>
  </si>
  <si>
    <t>Thời gian vào: 2026-01-05 08:39:55</t>
  </si>
  <si>
    <t>Thời gian ra: 2026-01-05 18:14:57</t>
  </si>
  <si>
    <t>Thời gian vào: 2026-01-06 09:02:06</t>
  </si>
  <si>
    <t>Thời gian ra: 2026-01-06 18:15:37</t>
  </si>
  <si>
    <t>Thời gian vào: 2026-01-07 08:50:23</t>
  </si>
  <si>
    <t>Thời gian ra: 2026-01-07 18:11:59</t>
  </si>
  <si>
    <t>Thời gian vào: 2026-01-08 08:39:26</t>
  </si>
  <si>
    <t>Thời gian ra: 2026-01-08 18:17:20</t>
  </si>
  <si>
    <t>Thời gian vào: 2026-01-09 08:28:26</t>
  </si>
  <si>
    <t>Thời gian ra: 2026-01-09 18:27:11</t>
  </si>
  <si>
    <t>Thời gian vào: 2026-01-12 08:44:58</t>
  </si>
  <si>
    <t>Thời gian ra: 2026-01-12 18:17:46</t>
  </si>
  <si>
    <t>Thời gian vào: 2026-01-14 09:11:26</t>
  </si>
  <si>
    <t>Thời gian ra: 2026-01-14 18:23:00</t>
  </si>
  <si>
    <t>Thời gian vào: 2026-01-15 09:14:10</t>
  </si>
  <si>
    <t>Thời gian ra: 2026-01-15 18:18:59</t>
  </si>
  <si>
    <t>Thời gian vào: 2026-01-16 08:25:08</t>
  </si>
  <si>
    <t>Thời gian ra: 2026-01-16 18:25:08</t>
  </si>
  <si>
    <t>Thời gian vào: 2026-01-19 09:05:31</t>
  </si>
  <si>
    <t>Thời gian ra: 2026-01-19 18:22:07</t>
  </si>
  <si>
    <t>Thời gian vào: 2026-01-20 13:38:58</t>
  </si>
  <si>
    <t>Thời gian ra: 2026-01-20 18:10:09</t>
  </si>
  <si>
    <t>Thời gian vào: 2026-01-21 09:38:35</t>
  </si>
  <si>
    <t>Thời gian ra: 2026-01-21 18:36:40</t>
  </si>
  <si>
    <t>Thời gian vào: 2026-01-22 08:40:16</t>
  </si>
  <si>
    <t>Thời gian ra: 2026-01-22 18:14:38</t>
  </si>
  <si>
    <t>Thời gian vào: 2026-01-23 09:25:53</t>
  </si>
  <si>
    <t>Thời gian ra: 2026-01-23 18:13:35</t>
  </si>
  <si>
    <t>Thời gian vào: 2026-01-26 18:19:44</t>
  </si>
  <si>
    <t>Thời gian vào: 2026-01-27 09:26:33</t>
  </si>
  <si>
    <t>Thời gian ra: 2026-01-27 18:15:51</t>
  </si>
  <si>
    <t>Thời gian vào: 2026-01-28 09:24:54</t>
  </si>
  <si>
    <t>Thời gian ra: 2026-01-28 18:11:07</t>
  </si>
  <si>
    <t>Thời gian vào: 2026-01-29 09:27:22</t>
  </si>
  <si>
    <t>Thời gian ra: 2026-01-29 18:13:51</t>
  </si>
  <si>
    <t>Thời gian vào: 2026-01-30 08:32:21</t>
  </si>
  <si>
    <t>Thời gian ra: 2026-01-30 18:24:38</t>
  </si>
  <si>
    <t>Tet holiday</t>
  </si>
  <si>
    <t>Thời gian vào: 2026-01-02 07:16:35</t>
  </si>
  <si>
    <t>Thời gian ra: 2026-01-02 11:40:36</t>
  </si>
  <si>
    <t>Thời gian vào: 2026-01-05 08:03:05</t>
  </si>
  <si>
    <t>Thời gian ra: 2026-01-05 18:01:39</t>
  </si>
  <si>
    <t>Thời gian vào: 2026-01-06 08:11:40</t>
  </si>
  <si>
    <t>Thời gian ra: 2026-01-06 18:03:52</t>
  </si>
  <si>
    <t>Thời gian vào: 2026-01-07 07:54:41</t>
  </si>
  <si>
    <t>Thời gian ra: 2026-01-07 18:03:32</t>
  </si>
  <si>
    <t>Thời gian vào: 2026-01-08 08:20:00</t>
  </si>
  <si>
    <t>Thời gian ra: 2026-01-08 18:05:39</t>
  </si>
  <si>
    <t>Thời gian vào: 2026-01-09 07:32:39</t>
  </si>
  <si>
    <t>Thời gian ra: 2026-01-09 12:36:50</t>
  </si>
  <si>
    <t>Thời lượng theo dõi:304 phút</t>
  </si>
  <si>
    <t>Thời gian vào: 2026-01-12 07:59:26</t>
  </si>
  <si>
    <t>Thời gian ra: 2026-01-12 18:10:11</t>
  </si>
  <si>
    <t>Thời gian vào: 2026-01-13 07:58:34</t>
  </si>
  <si>
    <t>Thời gian ra: 2026-01-13 18:05:16</t>
  </si>
  <si>
    <t>Thời gian vào: 2026-01-14 08:22:10</t>
  </si>
  <si>
    <t>Thời gian ra: 2026-01-14 18:02:08</t>
  </si>
  <si>
    <t>Thời gian vào: 2026-01-15 07:55:44</t>
  </si>
  <si>
    <t>Thời gian ra: 2026-01-15 18:02:18</t>
  </si>
  <si>
    <t>Thời gian vào: 2026-01-16 07:22:38</t>
  </si>
  <si>
    <t>Thời gian ra: 2026-01-16 11:41:07</t>
  </si>
  <si>
    <t>Thời lượng theo dõi:258 phút</t>
  </si>
  <si>
    <t>Thời gian vào: 2026-01-19 08:35:21</t>
  </si>
  <si>
    <t>Thời gian ra: 2026-01-19 18:12:22</t>
  </si>
  <si>
    <t>Thời gian vào: 2026-01-20 08:22:55</t>
  </si>
  <si>
    <t>Thời gian ra: 2026-01-20 18:05:16</t>
  </si>
  <si>
    <t>Thời gian vào: 2026-01-21 08:09:02</t>
  </si>
  <si>
    <t>Thời gian ra: 2026-01-21 18:09:48</t>
  </si>
  <si>
    <t>Thời gian vào: 2026-01-22 08:14:55</t>
  </si>
  <si>
    <t>Thời gian ra: 2026-01-22 18:25:02</t>
  </si>
  <si>
    <t>Thời gian vào: 2026-01-23 07:00:29</t>
  </si>
  <si>
    <t>Thời gian ra: 2026-01-23 11:37:56</t>
  </si>
  <si>
    <t>Thời gian vào: 2026-01-26 08:07:26</t>
  </si>
  <si>
    <t>Thời gian ra: 2026-01-26 18:21:41</t>
  </si>
  <si>
    <t>Thời gian vào: 2026-01-27 08:24:47</t>
  </si>
  <si>
    <t>Thời gian ra: 2026-01-27 18:37:22</t>
  </si>
  <si>
    <t>Thời gian vào: 2026-01-28 12:28:52</t>
  </si>
  <si>
    <t>Thời gian ra: 2026-01-28 18:23:04</t>
  </si>
  <si>
    <t>Thời gian vào: 2026-01-29 08:09:02</t>
  </si>
  <si>
    <t>Thời gian ra: 2026-01-29 18:05:05</t>
  </si>
  <si>
    <t>Thời gian vào: 2026-01-30 07:32:55</t>
  </si>
  <si>
    <t>Thời gian ra: 2026-01-30 12:06:37</t>
  </si>
  <si>
    <t>Thời lượng theo dõi:274 phút</t>
  </si>
  <si>
    <t>đi Văn miếu</t>
  </si>
  <si>
    <t>Thời gian vào: 2026-01-05 08:29:52</t>
  </si>
  <si>
    <t>Thời gian ra: 2026-01-05 18:13:46</t>
  </si>
  <si>
    <t>Thang máy đông</t>
  </si>
  <si>
    <t>Thời gian vào: 2026-01-06 08:31:19</t>
  </si>
  <si>
    <t>Thời gian ra: 2026-01-06 18:14:27</t>
  </si>
  <si>
    <t>Thời gian vào: 2026-01-08 13:29:29</t>
  </si>
  <si>
    <t>Thời gian ra: 2026-01-08 18:08:20</t>
  </si>
  <si>
    <t>Thời gian vào: 2026-01-09 08:22:58</t>
  </si>
  <si>
    <t>Thời gian ra: 2026-01-09 12:02:58</t>
  </si>
  <si>
    <t>Thời lượng theo dõi:220 phút</t>
  </si>
  <si>
    <t>Thời gian vào: 2026-01-12 08:29:08</t>
  </si>
  <si>
    <t>Thời gian ra: 2026-01-12 18:12:38</t>
  </si>
  <si>
    <t>Thời gian vào: 2026-01-14 08:24:37</t>
  </si>
  <si>
    <t>Thời gian ra: 2026-01-14 18:05:29</t>
  </si>
  <si>
    <t>Thời gian vào: 2026-01-15 08:26:44</t>
  </si>
  <si>
    <t>Thời gian ra: 2026-01-15 18:04:44</t>
  </si>
  <si>
    <t>Thời gian vào: 2026-01-16 08:21:28</t>
  </si>
  <si>
    <t>Thời gian ra: 2026-01-16 18:34:41</t>
  </si>
  <si>
    <t>Thời gian vào: 2026-01-19 08:41:49</t>
  </si>
  <si>
    <t>Thời gian ra: 2026-01-19 18:14:22</t>
  </si>
  <si>
    <t>Thời gian vào: 2026-01-20 08:25:51</t>
  </si>
  <si>
    <t>Thời gian ra: 2026-01-20 18:07:54</t>
  </si>
  <si>
    <t>Thời gian vào: 2026-01-21 08:26:39</t>
  </si>
  <si>
    <t>Thời gian ra: 2026-01-21 18:07:43</t>
  </si>
  <si>
    <t>Thời gian vào: 2026-01-22 09:06:32</t>
  </si>
  <si>
    <t>Thời gian ra: 2026-01-22 18:13:17</t>
  </si>
  <si>
    <t>Thời gian vào: 2026-01-23 12:11:42</t>
  </si>
  <si>
    <t>Thời gian ra: 2026-01-23 18:13:47</t>
  </si>
  <si>
    <t>Thời gian vào: 2026-01-26 08:29:40</t>
  </si>
  <si>
    <t>Thời gian ra: 2026-01-26 18:11:55</t>
  </si>
  <si>
    <t>Thời gian vào: 2026-01-27 08:28:47</t>
  </si>
  <si>
    <t>Thời gian ra: 2026-01-27 18:14:50</t>
  </si>
  <si>
    <t>Thời gian vào: 2026-01-28 08:26:16</t>
  </si>
  <si>
    <t>Thời gian ra: 2026-01-28 18:10:06</t>
  </si>
  <si>
    <t>Thời gian vào: 2026-01-29 08:54:50</t>
  </si>
  <si>
    <t>Thời gian ra: 2026-01-29 18:04:09</t>
  </si>
  <si>
    <t>Thời gian vào: 2026-01-30 08:30:54</t>
  </si>
  <si>
    <t>Thời gian ra: 2026-01-30 18:06:39</t>
  </si>
  <si>
    <t>ko check in?</t>
  </si>
  <si>
    <t>Thời gian vào: 2026-01-02 13:32:00</t>
  </si>
  <si>
    <t>Thời gian ra: 2026-01-02 18:31:13</t>
  </si>
  <si>
    <t>Thời lượng theo dõi:299 phút</t>
  </si>
  <si>
    <t>Thời gian vào: 2026-01-05 08:46:18</t>
  </si>
  <si>
    <t xml:space="preserve">thang đông </t>
  </si>
  <si>
    <t>Thời gian vào: 2026-01-06 08:31:14</t>
  </si>
  <si>
    <t>Thời gian ra: 2026-01-06 18:14:26</t>
  </si>
  <si>
    <t>KO CHECK IN</t>
  </si>
  <si>
    <t>Thời gian vào: 2026-01-07 13:33:30</t>
  </si>
  <si>
    <t>Thời gian ra: 2026-01-07 18:56:05</t>
  </si>
  <si>
    <t>Thời gian vào: 2026-01-08 08:30:18</t>
  </si>
  <si>
    <t>Thời gian ra: 2026-01-08 18:43:09</t>
  </si>
  <si>
    <t>Thời gian vào: 2026-01-09 08:30:23</t>
  </si>
  <si>
    <t>Thời gian ra: 2026-01-09 18:26:59</t>
  </si>
  <si>
    <t>Thời gian vào: 2026-01-12 08:30:23</t>
  </si>
  <si>
    <t>Thời gian ra: 2026-01-12 18:13:19</t>
  </si>
  <si>
    <t>Thời gian vào: 2026-01-13 09:06:10</t>
  </si>
  <si>
    <t>Thời gian ra: 2026-01-13 16:31:18</t>
  </si>
  <si>
    <t>Thời lượng theo dõi:445 phút</t>
  </si>
  <si>
    <t>Thời gian vào: 2026-01-14 08:34:08</t>
  </si>
  <si>
    <t>Thời gian ra: 2026-01-14 18:22:17</t>
  </si>
  <si>
    <t>Thời gian vào: 2026-01-15 08:29:43</t>
  </si>
  <si>
    <t>Thời gian ra: 2026-01-15 20:12:54</t>
  </si>
  <si>
    <t>Thời lượng theo dõi:703 phút</t>
  </si>
  <si>
    <t>Thời gian vào: 2026-01-16 12:03:11</t>
  </si>
  <si>
    <t>Thời gian ra: 2026-01-16 22:09:07</t>
  </si>
  <si>
    <t>Thời gian vào: 2026-01-19 08:30:43</t>
  </si>
  <si>
    <t>Thời gian ra: 2026-01-19 18:17:33</t>
  </si>
  <si>
    <t>Thời gian vào: 2026-01-20 08:30:54</t>
  </si>
  <si>
    <t>Thời gian ra: 2026-01-20 18:44:41</t>
  </si>
  <si>
    <t>Thời gian vào: 2026-01-21 08:39:53</t>
  </si>
  <si>
    <t>Thời gian ra: 2026-01-21 19:30:02</t>
  </si>
  <si>
    <t>Thời gian vào: 2026-01-22 08:30:07</t>
  </si>
  <si>
    <t>Thời gian ra: 2026-01-22 18:28:57</t>
  </si>
  <si>
    <t>Thời gian vào: 2026-01-23 08:30:59</t>
  </si>
  <si>
    <t>Thời gian ra: 2026-01-23 18:41:05</t>
  </si>
  <si>
    <t>Thời gian vào: 2026-01-26 08:28:54</t>
  </si>
  <si>
    <t>Thời gian ra: 2026-01-26 18:15:40</t>
  </si>
  <si>
    <t>gặp btlsqs</t>
  </si>
  <si>
    <t>Thời gian vào: 2026-01-27 13:33:52</t>
  </si>
  <si>
    <t>Thời gian ra: 2026-01-27 18:42:18</t>
  </si>
  <si>
    <t>Thời lượng theo dõi:308 phút</t>
  </si>
  <si>
    <t>Thời gian vào: 2026-01-28 08:30:04</t>
  </si>
  <si>
    <t>Thời gian ra: 2026-01-28 18:09:12</t>
  </si>
  <si>
    <t>Thời gian vào: 2026-01-29 08:31:47</t>
  </si>
  <si>
    <t>Thời gian ra: 2026-01-29 18:22:44</t>
  </si>
  <si>
    <t>Thời gian vào: 2026-01-30 08:30:57</t>
  </si>
  <si>
    <t>Thời gian ra: 2026-01-30 18:33:26</t>
  </si>
  <si>
    <t>Thời gian vào: 2026-01-06 08:27:25</t>
  </si>
  <si>
    <t>Thời gian ra: 2026-01-06 18:19:02</t>
  </si>
  <si>
    <t>Thời gian vào: 2026-01-07 08:22:28</t>
  </si>
  <si>
    <t>Thời gian ra: 2026-01-07 18:18:23</t>
  </si>
  <si>
    <t>Thời gian vào: 2026-01-08 08:21:31</t>
  </si>
  <si>
    <t>Thời gian ra: 2026-01-08 18:13:52</t>
  </si>
  <si>
    <t>Thời gian vào: 2026-01-09 08:28:38</t>
  </si>
  <si>
    <t>Thời gian ra: 2026-01-09 18:21:13</t>
  </si>
  <si>
    <t>Thời gian vào: 2026-01-12 08:20:55</t>
  </si>
  <si>
    <t>Thời gian ra: 2026-01-12 18:19:36</t>
  </si>
  <si>
    <t>Thời gian vào: 2026-01-13 08:24:30</t>
  </si>
  <si>
    <t>Thời gian ra: 2026-01-13 08:24:39</t>
  </si>
  <si>
    <t>Thời gian vào: 2026-01-14 08:22:32</t>
  </si>
  <si>
    <t>Thời gian ra: 2026-01-14 18:27:27</t>
  </si>
  <si>
    <t>Thời gian vào: 2026-01-15 08:22:54</t>
  </si>
  <si>
    <t>Thời gian ra: 2026-01-15 18:15:45</t>
  </si>
  <si>
    <t>Thời gian vào: 2026-01-16 08:25:10</t>
  </si>
  <si>
    <t>Thời gian ra: 2026-01-16 18:18:13</t>
  </si>
  <si>
    <t>Thời gian vào: 2026-01-19 08:17:30</t>
  </si>
  <si>
    <t>Thời gian ra: 2026-01-19 18:28:04</t>
  </si>
  <si>
    <t>Thời gian vào: 2026-01-20 08:30:18</t>
  </si>
  <si>
    <t>Thời gian ra: 2026-01-20 18:15:39</t>
  </si>
  <si>
    <t>Thời gian vào: 2026-01-21 08:32:13</t>
  </si>
  <si>
    <t>Thời gian ra: 2026-01-21 18:16:40</t>
  </si>
  <si>
    <t>Thời gian vào: 2026-01-22 08:28:19</t>
  </si>
  <si>
    <t>Thời gian ra: 2026-01-22 18:23:25</t>
  </si>
  <si>
    <t>Thời gian vào: 2026-01-23 08:25:56</t>
  </si>
  <si>
    <t>Thời gian ra: 2026-01-23 18:27:30</t>
  </si>
  <si>
    <t>Thời gian vào: 2026-01-26 08:29:44</t>
  </si>
  <si>
    <t>Thời gian ra: 2026-01-26 18:25:05</t>
  </si>
  <si>
    <t>Thời gian vào: 2026-01-27 08:27:40</t>
  </si>
  <si>
    <t>Thời gian ra: 2026-01-27 18:42:48</t>
  </si>
  <si>
    <t>Thời gian vào: 2026-01-28 08:22:56</t>
  </si>
  <si>
    <t>Thời gian ra: 2026-01-28 18:21:03</t>
  </si>
  <si>
    <t>Thời gian vào: 2026-01-29 08:25:37</t>
  </si>
  <si>
    <t>Thời gian ra: 2026-01-29 18:45:25</t>
  </si>
  <si>
    <t>Thời gian vào: 2026-01-30 08:27:23</t>
  </si>
  <si>
    <t>Thời gian ra: 2026-01-30 18:15:28</t>
  </si>
  <si>
    <t>Chu Thị Tuyết Mai</t>
  </si>
  <si>
    <t>Thời gian vào: 2026-01-02 11:57:37</t>
  </si>
  <si>
    <t>Thời gian ra: 2026-01-02 18:06:30</t>
  </si>
  <si>
    <t>Thời lượng theo dõi:369 phút</t>
  </si>
  <si>
    <t>Quên check out?</t>
  </si>
  <si>
    <t>Thời gian vào: 2026-01-05 09:09:48</t>
  </si>
  <si>
    <t>Thời gian vào: 2026-01-06 13:31:06</t>
  </si>
  <si>
    <t>Thời gian ra: 2026-01-06 18:19:11</t>
  </si>
  <si>
    <t xml:space="preserve">ko nhận face </t>
  </si>
  <si>
    <t>Thời gian vào: 2026-01-07 18:57:47</t>
  </si>
  <si>
    <t>Thời gian vào: 2026-01-08 08:26:08</t>
  </si>
  <si>
    <t>Thời gian ra: 2026-01-08 18:24:47</t>
  </si>
  <si>
    <t>Thời gian vào: 2026-01-09 08:37:35</t>
  </si>
  <si>
    <t>Thời gian ra: 2026-01-09 18:27:02</t>
  </si>
  <si>
    <t>Thời gian vào: 2026-01-12 08:10:03</t>
  </si>
  <si>
    <t>Thời gian ra: 2026-01-12 08:49:12</t>
  </si>
  <si>
    <t>Thời lượng theo dõi:39 phút</t>
  </si>
  <si>
    <t>Thời gian vào: 2026-01-14 18:28:02</t>
  </si>
  <si>
    <t>Thời gian vào: 2026-01-15 08:25:22</t>
  </si>
  <si>
    <t>Thời gian ra: 2026-01-15 18:10:09</t>
  </si>
  <si>
    <t>Thời gian vào: 2026-01-16 08:35:21</t>
  </si>
  <si>
    <t>Thời gian ra: 2026-01-16 08:35:24</t>
  </si>
  <si>
    <t>Thời gian vào: 2026-01-19 08:47:57</t>
  </si>
  <si>
    <t>Thời gian ra: 2026-01-19 18:17:38</t>
  </si>
  <si>
    <t>Thời gian vào: 2026-01-20 08:22:04</t>
  </si>
  <si>
    <t>Thời gian ra: 2026-01-20 18:48:20</t>
  </si>
  <si>
    <t>Thời gian vào: 2026-01-21 08:24:42</t>
  </si>
  <si>
    <t>Thời gian ra: 2026-01-21 18:04:59</t>
  </si>
  <si>
    <t>Thời gian vào: 2026-01-22 08:25:34</t>
  </si>
  <si>
    <t>Thời gian ra: 2026-01-22 18:29:11</t>
  </si>
  <si>
    <t>Thời gian vào: 2026-01-26 08:47:36</t>
  </si>
  <si>
    <t>Thời gian ra: 2026-01-26 18:15:38</t>
  </si>
  <si>
    <t>Thời gian vào: 2026-01-27 08:23:58</t>
  </si>
  <si>
    <t>Thời gian ra: 2026-01-27 18:07:53</t>
  </si>
  <si>
    <t>Thời gian vào: 2026-01-28 08:14:06</t>
  </si>
  <si>
    <t>Thời gian ra: 2026-01-28 18:36:18</t>
  </si>
  <si>
    <t>Thời gian vào: 2026-01-29 08:24:16</t>
  </si>
  <si>
    <t>Thời gian ra: 2026-01-29 18:22:41</t>
  </si>
  <si>
    <t>Thời gian vào: 2026-01-30 08:26:38</t>
  </si>
  <si>
    <t>Thời gian ra: 2026-01-30 18:19:57</t>
  </si>
  <si>
    <t>Thời gian vào: 2026-01-02 13:33:10</t>
  </si>
  <si>
    <t>Thời gian ra: 2026-01-02 18:12:25</t>
  </si>
  <si>
    <t>Thời gian vào: 2026-01-05 08:29:10</t>
  </si>
  <si>
    <t>Thời gian ra: 2026-01-05 18:10:56</t>
  </si>
  <si>
    <t>Thời gian vào: 2026-01-06 13:38:45</t>
  </si>
  <si>
    <t>Thời gian ra: 2026-01-06 18:20:20</t>
  </si>
  <si>
    <t>Thời gian vào: 2026-01-07 09:34:57</t>
  </si>
  <si>
    <t>Thời gian ra: 2026-01-07 18:11:57</t>
  </si>
  <si>
    <t>Thời lượng theo dõi:517 phút</t>
  </si>
  <si>
    <t xml:space="preserve">rEMOTE </t>
  </si>
  <si>
    <t>Thời gian vào: 2026-01-12 12:26:02</t>
  </si>
  <si>
    <t>Thời gian ra: 2026-01-12 18:17:37</t>
  </si>
  <si>
    <t>Thời lượng theo dõi:352 phút</t>
  </si>
  <si>
    <t>quên chekc out?</t>
  </si>
  <si>
    <t>Thời gian vào: 2026-01-13 08:27:03</t>
  </si>
  <si>
    <t>Thời gian vào: 2026-01-14 08:21:31</t>
  </si>
  <si>
    <t>Thời gian ra: 2026-01-14 18:24:05</t>
  </si>
  <si>
    <t>Thời gian vào: 2026-01-15 10:01:17</t>
  </si>
  <si>
    <t>Thời gian ra: 2026-01-15 18:14:25</t>
  </si>
  <si>
    <t>Thời gian vào: 2026-01-16 08:32:06</t>
  </si>
  <si>
    <t>Thời gian ra: 2026-01-16 18:06:57</t>
  </si>
  <si>
    <t>Thời gian vào: 2026-01-19 13:31:36</t>
  </si>
  <si>
    <t>Thời gian ra: 2026-01-19 18:20:41</t>
  </si>
  <si>
    <t>Thời lượng theo dõi:289 phút</t>
  </si>
  <si>
    <t>Thời gian vào: 2026-01-20 08:42:12</t>
  </si>
  <si>
    <t>Thời gian ra: 2026-01-20 18:00:37</t>
  </si>
  <si>
    <t>Thời gian vào: 2026-01-21 08:29:01</t>
  </si>
  <si>
    <t>Thời gian ra: 2026-01-21 18:08:29</t>
  </si>
  <si>
    <t>Thời gian vào: 2026-01-22 13:28:09</t>
  </si>
  <si>
    <t>Thời gian ra: 2026-01-22 18:13:32</t>
  </si>
  <si>
    <t>Thời gian vào: 2026-01-23 09:54:14</t>
  </si>
  <si>
    <t>Thời gian ra: 2026-01-23 18:13:54</t>
  </si>
  <si>
    <t>Thời gian vào: 2026-01-26 09:25:35</t>
  </si>
  <si>
    <t>Thời gian ra: 2026-01-26 18:19:42</t>
  </si>
  <si>
    <t>Thời gian vào: 2026-01-27 13:31:35</t>
  </si>
  <si>
    <t>Thời gian ra: 2026-01-27 18:11:28</t>
  </si>
  <si>
    <t>Thời gian vào: 2026-01-28 18:10:09</t>
  </si>
  <si>
    <t>Thời gian vào: 2026-01-29 10:48:41</t>
  </si>
  <si>
    <t>Thời gian ra: 2026-01-29 18:14:48</t>
  </si>
  <si>
    <t>Thời lượng theo dõi:446 phút</t>
  </si>
  <si>
    <t>Thời gian vào: 2026-01-30 13:36:32</t>
  </si>
  <si>
    <t>Thời gian ra: 2026-01-30 18:24:36</t>
  </si>
  <si>
    <t>Thời gian vào: 2026-01-05 12:24:37</t>
  </si>
  <si>
    <t>Thời gian ra: 2026-01-05 18:12:48</t>
  </si>
  <si>
    <t>Thời lượng theo dõi:348 phút</t>
  </si>
  <si>
    <t>Thời gian vào: 2026-01-06 08:25:21</t>
  </si>
  <si>
    <t>Thời gian ra: 2026-01-06 18:15:40</t>
  </si>
  <si>
    <t>Thời gian vào: 2026-01-07 08:20:48</t>
  </si>
  <si>
    <t>Thời gian ra: 2026-01-07 18:18:26</t>
  </si>
  <si>
    <t>Thời gian vào: 2026-01-08 08:20:38</t>
  </si>
  <si>
    <t>Thời gian ra: 2026-01-08 18:13:54</t>
  </si>
  <si>
    <t>Thời gian vào: 2026-01-09 08:23:01</t>
  </si>
  <si>
    <t>Thời gian ra: 2026-01-09 18:21:15</t>
  </si>
  <si>
    <t>Thời gian vào: 2026-01-12 08:24:34</t>
  </si>
  <si>
    <t>Thời gian ra: 2026-01-12 18:19:44</t>
  </si>
  <si>
    <t>Thời gian vào: 2026-01-13 08:25:57</t>
  </si>
  <si>
    <t>Thời gian vào: 2026-01-14 08:20:38</t>
  </si>
  <si>
    <t>Thời gian ra: 2026-01-14 18:26:06</t>
  </si>
  <si>
    <t>Thời gian vào: 2026-01-15 08:20:52</t>
  </si>
  <si>
    <t>Thời gian ra: 2026-01-15 18:08:08</t>
  </si>
  <si>
    <t>Thời gian vào: 2026-01-16 08:25:57</t>
  </si>
  <si>
    <t>Thời gian ra: 2026-01-16 18:19:19</t>
  </si>
  <si>
    <t>Thời gian vào: 2026-01-19 08:24:14</t>
  </si>
  <si>
    <t>Thời gian ra: 2026-01-19 18:20:46</t>
  </si>
  <si>
    <t>Thời gian vào: 2026-01-20 08:23:55</t>
  </si>
  <si>
    <t>Thời gian vào: 2026-01-21 08:22:24</t>
  </si>
  <si>
    <t>Thời gian ra: 2026-01-21 18:18:46</t>
  </si>
  <si>
    <t>Thời gian vào: 2026-01-22 09:03:46</t>
  </si>
  <si>
    <t>Thời gian ra: 2026-01-22 18:18:10</t>
  </si>
  <si>
    <t>Thời gian vào: 2026-01-23 08:21:41</t>
  </si>
  <si>
    <t>Thời gian ra: 2026-01-23 18:13:56</t>
  </si>
  <si>
    <t>Thời gian vào: 2026-01-26 08:25:02</t>
  </si>
  <si>
    <t>Thời gian ra: 2026-01-26 18:06:35</t>
  </si>
  <si>
    <t>Thời gian vào: 2026-01-27 08:27:37</t>
  </si>
  <si>
    <t>Thời gian ra: 2026-01-27 18:17:56</t>
  </si>
  <si>
    <t>Thời gian vào: 2026-01-28 09:43:33</t>
  </si>
  <si>
    <t>Thời gian ra: 2026-01-28 18:07:08</t>
  </si>
  <si>
    <t>Thời gian vào: 2026-01-29 08:25:40</t>
  </si>
  <si>
    <t>Thời gian ra: 2026-01-29 18:20:09</t>
  </si>
  <si>
    <t>Thời gian vào: 2026-01-30 08:24:19</t>
  </si>
  <si>
    <t>Thời gian ra: 2026-01-30 12:10:27</t>
  </si>
  <si>
    <t>Thời lượng theo dõi:226 phút</t>
  </si>
  <si>
    <t>tet</t>
  </si>
  <si>
    <t>Thời gian vào: 2026-01-05 08:21:03</t>
  </si>
  <si>
    <t>Thời gian ra: 2026-01-05 18:20:48</t>
  </si>
  <si>
    <t>Thời gian vào: 2026-01-06 08:24:47</t>
  </si>
  <si>
    <t>Thời gian ra: 2026-01-06 18:24:08</t>
  </si>
  <si>
    <t>Thời gian vào: 2026-01-07 08:36:14</t>
  </si>
  <si>
    <t>Thời gian ra: 2026-01-07 18:23:42</t>
  </si>
  <si>
    <t>Thời gian vào: 2026-01-08 09:19:45</t>
  </si>
  <si>
    <t>Thời gian ra: 2026-01-08 18:30:56</t>
  </si>
  <si>
    <t>Thời gian vào: 2026-01-09 08:28:44</t>
  </si>
  <si>
    <t>Thời gian ra: 2026-01-09 18:03:10</t>
  </si>
  <si>
    <t>Thời gian vào: 2026-01-12 08:30:07</t>
  </si>
  <si>
    <t>Thời gian ra: 2026-01-12 18:22:58</t>
  </si>
  <si>
    <t>Thời gian vào: 2026-01-14 08:24:40</t>
  </si>
  <si>
    <t>Thời gian ra: 2026-01-14 18:12:29</t>
  </si>
  <si>
    <t>Thời gian vào: 2026-01-15 08:29:04</t>
  </si>
  <si>
    <t>Thời gian ra: 2026-01-15 18:21:01</t>
  </si>
  <si>
    <t>Thời gian vào: 2026-01-16 08:32:53</t>
  </si>
  <si>
    <t>Thời gian ra: 2026-01-16 18:35:02</t>
  </si>
  <si>
    <t>Thời gian vào: 2026-01-19 08:39:09</t>
  </si>
  <si>
    <t>Thời gian ra: 2026-01-19 18:25:56</t>
  </si>
  <si>
    <t>Thời gian vào: 2026-01-20 08:23:41</t>
  </si>
  <si>
    <t>Thời gian ra: 2026-01-20 18:12:42</t>
  </si>
  <si>
    <t>Thời gian vào: 2026-01-21 08:39:57</t>
  </si>
  <si>
    <t>Thời gian ra: 2026-01-21 18:09:43</t>
  </si>
  <si>
    <t>Thời gian vào: 2026-01-22 08:37:25</t>
  </si>
  <si>
    <t>Thời gian ra: 2026-01-22 18:19:51</t>
  </si>
  <si>
    <t>Thời gian vào: 2026-01-26 09:13:30</t>
  </si>
  <si>
    <t>Thời gian ra: 2026-01-26 18:07:18</t>
  </si>
  <si>
    <t>Thời gian vào: 2026-01-27 08:29:21</t>
  </si>
  <si>
    <t>Thời gian ra: 2026-01-27 18:19:00</t>
  </si>
  <si>
    <t>Thời gian vào: 2026-01-28 08:42:01</t>
  </si>
  <si>
    <t>Thời gian ra: 2026-01-28 18:13:28</t>
  </si>
  <si>
    <t>Thời gian vào: 2026-01-29 08:33:04</t>
  </si>
  <si>
    <t>Thời gian ra: 2026-01-29 18:19:28</t>
  </si>
  <si>
    <t>Thời gian vào: 2026-01-30 08:46:04</t>
  </si>
  <si>
    <t>Thời gian ra: 2026-01-30 18:06:41</t>
  </si>
  <si>
    <t>Thời gian vào: 2026-01-05 08:31:11</t>
  </si>
  <si>
    <t>Thời gian ra: 2026-01-05 18:02:45</t>
  </si>
  <si>
    <t>Thời gian vào: 2026-01-06 08:25:43</t>
  </si>
  <si>
    <t>Thời gian ra: 2026-01-06 18:03:03</t>
  </si>
  <si>
    <t>Thời gian vào: 2026-01-07 08:27:57</t>
  </si>
  <si>
    <t>Thời gian ra: 2026-01-07 18:02:23</t>
  </si>
  <si>
    <t>Thời gian vào: 2026-01-08 08:27:57</t>
  </si>
  <si>
    <t>Thời gian ra: 2026-01-08 18:09:03</t>
  </si>
  <si>
    <t>Thời gian vào: 2026-01-12 08:27:46</t>
  </si>
  <si>
    <t>Thời gian ra: 2026-01-12 18:04:16</t>
  </si>
  <si>
    <t>Thời gian vào: 2026-01-13 08:28:44</t>
  </si>
  <si>
    <t>Thời gian ra: 2026-01-13 18:03:58</t>
  </si>
  <si>
    <t>Thời gian vào: 2026-01-14 08:27:02</t>
  </si>
  <si>
    <t>Thời gian ra: 2026-01-14 18:04:21</t>
  </si>
  <si>
    <t>Thời gian vào: 2026-01-15 08:30:00</t>
  </si>
  <si>
    <t>Thời gian ra: 2026-01-15 18:03:16</t>
  </si>
  <si>
    <t>Thời gian vào: 2026-01-19 09:02:14</t>
  </si>
  <si>
    <t>Thời gian ra: 2026-01-19 18:07:24</t>
  </si>
  <si>
    <t>Thời gian vào: 2026-01-20 08:28:33</t>
  </si>
  <si>
    <t>Thời gian ra: 2026-01-20 18:03:22</t>
  </si>
  <si>
    <t>Thời gian vào: 2026-01-21 08:34:39</t>
  </si>
  <si>
    <t>Thời gian ra: 2026-01-21 18:02:54</t>
  </si>
  <si>
    <t>Thời gian vào: 2026-01-22 08:28:25</t>
  </si>
  <si>
    <t>Thời gian ra: 2026-01-22 18:02:43</t>
  </si>
  <si>
    <t>Thời gian vào: 2026-01-26 08:28:46</t>
  </si>
  <si>
    <t>Thời gian ra: 2026-01-26 18:04:09</t>
  </si>
  <si>
    <t>Thời gian vào: 2026-01-27 08:27:53</t>
  </si>
  <si>
    <t>Thời gian ra: 2026-01-27 18:05:55</t>
  </si>
  <si>
    <t>Thời gian vào: 2026-01-28 08:27:41</t>
  </si>
  <si>
    <t>Thời gian ra: 2026-01-28 18:05:26</t>
  </si>
  <si>
    <t>Thời gian vào: 2026-01-29 08:28:01</t>
  </si>
  <si>
    <t>Thời gian ra: 2026-01-29 18:11:08</t>
  </si>
  <si>
    <t>Thời gian vào: 2026-01-05 08:30:45</t>
  </si>
  <si>
    <t>Thời gian ra: 2026-01-05 18:09:38</t>
  </si>
  <si>
    <t>Thời gian vào: 2026-01-06 08:40:33</t>
  </si>
  <si>
    <t>Thời gian ra: 2026-01-06 18:16:16</t>
  </si>
  <si>
    <t>Thời gian vào: 2026-01-07 08:30:29</t>
  </si>
  <si>
    <t>Thời gian ra: 2026-01-07 18:07:42</t>
  </si>
  <si>
    <t>Thời gian vào: 2026-01-09 08:28:33</t>
  </si>
  <si>
    <t>Thời gian ra: 2026-01-09 18:14:06</t>
  </si>
  <si>
    <t>Thời gian vào: 2026-01-12 08:20:26</t>
  </si>
  <si>
    <t>Thời gian ra: 2026-01-12 18:06:22</t>
  </si>
  <si>
    <t>Early request</t>
  </si>
  <si>
    <t>Thời gian vào: 2026-01-13 08:30:31</t>
  </si>
  <si>
    <t>Thời gian ra: 2026-01-13 16:26:48</t>
  </si>
  <si>
    <t>Thời gian vào: 2026-01-14 08:31:29</t>
  </si>
  <si>
    <t>Thời gian ra: 2026-01-14 18:14:04</t>
  </si>
  <si>
    <t>Thời gian vào: 2026-01-16 08:20:31</t>
  </si>
  <si>
    <t>Thời gian ra: 2026-01-16 18:14:46</t>
  </si>
  <si>
    <t>Thời gian vào: 2026-01-19 08:37:44</t>
  </si>
  <si>
    <t>Thời gian ra: 2026-01-19 18:12:38</t>
  </si>
  <si>
    <t>Thời gian vào: 2026-01-20 08:27:18</t>
  </si>
  <si>
    <t>Thời gian ra: 2026-01-20 18:26:41</t>
  </si>
  <si>
    <t>Thời gian vào: 2026-01-21 08:28:10</t>
  </si>
  <si>
    <t>Thời gian ra: 2026-01-21 18:09:59</t>
  </si>
  <si>
    <t>Thời gian vào: 2026-01-22 08:30:38</t>
  </si>
  <si>
    <t>Thời gian ra: 2026-01-22 19:52:34</t>
  </si>
  <si>
    <t>Thời gian vào: 2026-01-23 08:30:57</t>
  </si>
  <si>
    <t>Thời gian ra: 2026-01-23 18:36:45</t>
  </si>
  <si>
    <t>Thời gian vào: 2026-01-26 08:31:25</t>
  </si>
  <si>
    <t>Thời gian ra: 2026-01-26 18:05:38</t>
  </si>
  <si>
    <t>Thời gian vào: 2026-01-27 08:22:26</t>
  </si>
  <si>
    <t>Thời gian ra: 2026-01-27 18:10:18</t>
  </si>
  <si>
    <t>Thời gian vào: 2026-01-28 08:33:27</t>
  </si>
  <si>
    <t>Thời gian ra: 2026-01-28 18:05:23</t>
  </si>
  <si>
    <t>Thời gian vào: 2026-01-29 08:31:50</t>
  </si>
  <si>
    <t>Thời gian ra: 2026-01-29 18:07:40</t>
  </si>
  <si>
    <t>Thời gian vào: 2026-01-30 08:32:27</t>
  </si>
  <si>
    <t>Thời gian ra: 2026-01-30 18:12:52</t>
  </si>
  <si>
    <t>Thời gian vào: 2026-01-07 19:36:52</t>
  </si>
  <si>
    <t>Thời gian ra: 2026-01-07 19:36:56</t>
  </si>
  <si>
    <t>Thời gian vào: 2026-01-02 08:02:15</t>
  </si>
  <si>
    <t>Thời gian ra: 2026-01-02 17:51:58</t>
  </si>
  <si>
    <t>Thời gian vào: 2026-01-05 08:03:36</t>
  </si>
  <si>
    <t>Thời gian ra: 2026-01-05 17:38:02</t>
  </si>
  <si>
    <t>Thời gian vào: 2026-01-06 08:06:26</t>
  </si>
  <si>
    <t>Thời gian ra: 2026-01-06 17:39:02</t>
  </si>
  <si>
    <t>Thời gian vào: 2026-01-07 07:57:47</t>
  </si>
  <si>
    <t>Thời gian ra: 2026-01-07 17:40:16</t>
  </si>
  <si>
    <t>Thời gian vào: 2026-01-08 07:51:58</t>
  </si>
  <si>
    <t>Thời gian ra: 2026-01-08 17:37:27</t>
  </si>
  <si>
    <t>Thời gian vào: 2026-01-09 07:53:52</t>
  </si>
  <si>
    <t>Thời gian ra: 2026-01-09 17:36:55</t>
  </si>
  <si>
    <t>Thời gian vào: 2026-01-12 07:49:11</t>
  </si>
  <si>
    <t>Thời gian ra: 2026-01-12 17:39:34</t>
  </si>
  <si>
    <t>Thời gian vào: 2026-01-13 08:10:41</t>
  </si>
  <si>
    <t>Thời gian ra: 2026-01-13 16:18:25</t>
  </si>
  <si>
    <t>Thời gian vào: 2026-01-14 07:55:16</t>
  </si>
  <si>
    <t>Thời gian ra: 2026-01-14 12:14:08</t>
  </si>
  <si>
    <t>Thời gian vào: 2026-01-15 08:02:22</t>
  </si>
  <si>
    <t>Thời gian ra: 2026-01-15 17:39:40</t>
  </si>
  <si>
    <t>Thời gian vào: 2026-01-16 07:58:55</t>
  </si>
  <si>
    <t>Thời gian ra: 2026-01-16 18:53:58</t>
  </si>
  <si>
    <t>Thời gian vào: 2026-01-19 07:58:11</t>
  </si>
  <si>
    <t>Thời gian ra: 2026-01-19 17:36:43</t>
  </si>
  <si>
    <t>Thời gian vào: 2026-01-20 07:55:59</t>
  </si>
  <si>
    <t>Thời gian ra: 2026-01-20 17:38:22</t>
  </si>
  <si>
    <t>Thời gian vào: 2026-01-21 07:54:34</t>
  </si>
  <si>
    <t>Thời gian ra: 2026-01-21 17:38:14</t>
  </si>
  <si>
    <t>Thời gian vào: 2026-01-22 07:54:08</t>
  </si>
  <si>
    <t>Thời gian ra: 2026-01-22 17:37:18</t>
  </si>
  <si>
    <t>Thời gian vào: 2026-01-23 07:59:36</t>
  </si>
  <si>
    <t>Thời gian ra: 2026-01-23 17:51:11</t>
  </si>
  <si>
    <t>Thời gian vào: 2026-01-26 07:59:13</t>
  </si>
  <si>
    <t>Thời gian ra: 2026-01-26 17:38:40</t>
  </si>
  <si>
    <t>Thời gian vào: 2026-01-27 07:56:27</t>
  </si>
  <si>
    <t>Thời gian ra: 2026-01-27 17:38:54</t>
  </si>
  <si>
    <t>Thời gian vào: 2026-01-28 08:11:04</t>
  </si>
  <si>
    <t>Thời gian ra: 2026-01-28 17:40:07</t>
  </si>
  <si>
    <t>Thời gian vào: 2026-01-29 07:55:59</t>
  </si>
  <si>
    <t>Thời gian ra: 2026-01-29 17:36:55</t>
  </si>
  <si>
    <t>Thời gian vào: 2026-01-13 14:46:07</t>
  </si>
  <si>
    <t>Thời gian ra: 2026-01-13 16:24:54</t>
  </si>
  <si>
    <t>Thời gian vào: 2026-01-06 08:25:40</t>
  </si>
  <si>
    <t>Thời gian ra: 2026-01-06 18:02:57</t>
  </si>
  <si>
    <t>Thời gian vào: 2026-01-07 08:28:00</t>
  </si>
  <si>
    <t>Thời gian ra: 2026-01-07 18:02:10</t>
  </si>
  <si>
    <t>Thời gian vào: 2026-01-08 08:27:54</t>
  </si>
  <si>
    <t>Thời gian ra: 2026-01-08 18:01:50</t>
  </si>
  <si>
    <t>Thời gian vào: 2026-01-12 08:27:44</t>
  </si>
  <si>
    <t>Thời gian ra: 2026-01-12 18:02:31</t>
  </si>
  <si>
    <t>Thời gian vào: 2026-01-13 08:28:50</t>
  </si>
  <si>
    <t>Thời gian ra: 2026-01-13 18:03:37</t>
  </si>
  <si>
    <t>Thời gian vào: 2026-01-14 08:27:10</t>
  </si>
  <si>
    <t>Thời gian ra: 2026-01-14 18:02:34</t>
  </si>
  <si>
    <t>Thời gian vào: 2026-01-15 08:30:14</t>
  </si>
  <si>
    <t>Thời gian ra: 2026-01-15 18:02:14</t>
  </si>
  <si>
    <t>Thời gian vào: 2026-01-19 09:02:02</t>
  </si>
  <si>
    <t>Thời gian ra: 2026-01-19 18:03:01</t>
  </si>
  <si>
    <t>Thời gian vào: 2026-01-20 08:28:36</t>
  </si>
  <si>
    <t>Thời gian ra: 2026-01-20 18:02:27</t>
  </si>
  <si>
    <t>Thời gian vào: 2026-01-21 08:34:36</t>
  </si>
  <si>
    <t>Thời gian ra: 2026-01-21 18:02:20</t>
  </si>
  <si>
    <t>Thời gian vào: 2026-01-22 08:28:14</t>
  </si>
  <si>
    <t>Thời gian ra: 2026-01-22 18:01:55</t>
  </si>
  <si>
    <t>Thời gian vào: 2026-01-26 08:27:18</t>
  </si>
  <si>
    <t>Thời gian ra: 2026-01-26 18:02:40</t>
  </si>
  <si>
    <t>Thời gian vào: 2026-01-27 08:27:51</t>
  </si>
  <si>
    <t>Thời gian ra: 2026-01-27 18:02:31</t>
  </si>
  <si>
    <t>Thời gian vào: 2026-01-28 08:27:34</t>
  </si>
  <si>
    <t>Thời gian ra: 2026-01-28 18:03:13</t>
  </si>
  <si>
    <t>Thời gian vào: 2026-01-29 08:28:45</t>
  </si>
  <si>
    <t>Thời gian ra: 2026-01-29 18:04:27</t>
  </si>
  <si>
    <t>Thời gian vào: 2026-01-11 11:58:55</t>
  </si>
  <si>
    <t>Thời gian ra: 2026-01-11 11:59:03</t>
  </si>
  <si>
    <t>Thời gian vào: 2026-01-12 22:54:19</t>
  </si>
  <si>
    <t>Thời gian vào: 2026-01-17 23:01:44</t>
  </si>
  <si>
    <t>Thời gian ra: 2026-01-17 23:01:53</t>
  </si>
  <si>
    <t>Thời gian vào: 2026-01-28 19:54:39</t>
  </si>
  <si>
    <t>Thời gian vào: 2026-01-30 11:05:35</t>
  </si>
  <si>
    <t>Thời gian ra: 2026-01-30 11:05:39</t>
  </si>
  <si>
    <t>Thời gian vào: 2026-01-12 10:20:39</t>
  </si>
  <si>
    <t>Thời gian ra: 2026-01-12 10:20:47</t>
  </si>
  <si>
    <t>Thời gian vào: 2026-01-13 10:18:46</t>
  </si>
  <si>
    <t>Thời gian ra: 2026-01-13 10:19:49</t>
  </si>
  <si>
    <t>Thời gian vào: 2026-01-15 16:20:12</t>
  </si>
  <si>
    <t>Thời gian ra: 2026-01-15 23:38:11</t>
  </si>
  <si>
    <t>Thời gian vào: 2026-01-16 03:07:31</t>
  </si>
  <si>
    <t>Thời gian vào: 2026-01-18 17:52:44</t>
  </si>
  <si>
    <t>Thời gian vào: 2026-01-19 10:18:12</t>
  </si>
  <si>
    <t>Thời gian vào: 2026-01-20 11:20:16</t>
  </si>
  <si>
    <t>Thời gian vào: 2026-01-27 07:57:00</t>
  </si>
  <si>
    <t>Thời gian ra: 2026-01-27 07:57:27</t>
  </si>
  <si>
    <t>Thời gian vào: 2026-02-01 20:53:24</t>
  </si>
  <si>
    <t>Nguyễn Văn Quân</t>
  </si>
  <si>
    <t>Đỗ Hoàng Nam</t>
  </si>
  <si>
    <t>Nguyễn Bá Kiện</t>
  </si>
  <si>
    <t>Thời gian vào: 2026-01-05 08:43:06</t>
  </si>
  <si>
    <t>Thời gian ra: 2026-01-05 18:17:07</t>
  </si>
  <si>
    <t>Thời gian vào: 2026-01-06 08:35:59</t>
  </si>
  <si>
    <t>Thời gian ra: 2026-01-06 18:13:02</t>
  </si>
  <si>
    <t>Thời gian vào: 2026-01-07 08:33:49</t>
  </si>
  <si>
    <t>Thời gian ra: 2026-01-07 18:09:31</t>
  </si>
  <si>
    <t>Thời gian vào: 2026-01-08 08:03:53</t>
  </si>
  <si>
    <t>Thời gian ra: 2026-01-08 18:17:50</t>
  </si>
  <si>
    <t>Thời gian vào: 2026-01-09 08:22:29</t>
  </si>
  <si>
    <t>Thời gian ra: 2026-01-09 18:48:54</t>
  </si>
  <si>
    <t>Thời gian vào: 2026-01-10 08:43:05</t>
  </si>
  <si>
    <t>Thời gian ra: 2026-01-10 18:02:34</t>
  </si>
  <si>
    <t>Thời gian vào: 2026-01-12 08:27:25</t>
  </si>
  <si>
    <t>Thời gian ra: 2026-01-12 19:58:21</t>
  </si>
  <si>
    <t>Thời gian vào: 2026-01-13 08:36:10</t>
  </si>
  <si>
    <t>Thời gian ra: 2026-01-13 18:08:43</t>
  </si>
  <si>
    <t>Thời gian vào: 2026-01-14 08:47:47</t>
  </si>
  <si>
    <t>Thời gian ra: 2026-01-14 18:07:18</t>
  </si>
  <si>
    <t>Thời gian vào: 2026-01-15 08:19:24</t>
  </si>
  <si>
    <t>Thời gian ra: 2026-01-15 18:04:20</t>
  </si>
  <si>
    <t>Thời gian vào: 2026-01-16 08:28:10</t>
  </si>
  <si>
    <t>Thời gian ra: 2026-01-16 18:24:08</t>
  </si>
  <si>
    <t>Thời gian vào: 2026-01-19 08:01:03</t>
  </si>
  <si>
    <t>Thời gian ra: 2026-01-19 18:20:38</t>
  </si>
  <si>
    <t>Thời gian vào: 2026-01-20 08:37:04</t>
  </si>
  <si>
    <t>Thời gian ra: 2026-01-20 18:04:39</t>
  </si>
  <si>
    <t>Thời gian vào: 2026-01-21 08:12:59</t>
  </si>
  <si>
    <t>Thời gian ra: 2026-01-21 18:03:29</t>
  </si>
  <si>
    <t>Thời gian vào: 2026-01-22 08:30:32</t>
  </si>
  <si>
    <t>Thời gian ra: 2026-01-22 18:06:07</t>
  </si>
  <si>
    <t>Thời gian vào: 2026-01-23 08:19:19</t>
  </si>
  <si>
    <t>Thời gian ra: 2026-01-23 18:10:28</t>
  </si>
  <si>
    <t>Thời gian vào: 2026-01-26 06:04:06</t>
  </si>
  <si>
    <t>Thời gian ra: 2026-01-26 19:56:19</t>
  </si>
  <si>
    <t>Thời lượng theo dõi:832 phút</t>
  </si>
  <si>
    <t>Thời gian vào: 2026-01-27 08:28:45</t>
  </si>
  <si>
    <t>Thời gian ra: 2026-01-27 16:03:42</t>
  </si>
  <si>
    <t>Thời gian vào: 2026-01-28 08:27:06</t>
  </si>
  <si>
    <t>Thời gian ra: 2026-01-28 18:17:09</t>
  </si>
  <si>
    <t>Thời gian vào: 2026-01-29 08:36:39</t>
  </si>
  <si>
    <t>Thời gian ra: 2026-01-29 18:50:53</t>
  </si>
  <si>
    <t>Thời gian vào: 2026-01-30 08:27:58</t>
  </si>
  <si>
    <t>Thời gian ra: 2026-01-30 18:03:01</t>
  </si>
  <si>
    <t>Thời gian vào: 2026-01-31 08:37:08</t>
  </si>
  <si>
    <t>Đinh Thị Tường Vi</t>
  </si>
  <si>
    <t>Thời gian vào: 2026-01-05 08:58:33</t>
  </si>
  <si>
    <t>Thời gian ra: 2026-01-05 18:29:19</t>
  </si>
  <si>
    <t>Thời gian vào: 2026-01-06 08:35:26</t>
  </si>
  <si>
    <t>Thời gian ra: 2026-01-06 18:38:30</t>
  </si>
  <si>
    <t>Thời gian vào: 2026-01-07 08:44:09</t>
  </si>
  <si>
    <t>Thời gian ra: 2026-01-07 18:20:56</t>
  </si>
  <si>
    <t>Thời gian vào: 2026-01-08 08:41:35</t>
  </si>
  <si>
    <t>Thời gian ra: 2026-01-08 18:52:49</t>
  </si>
  <si>
    <t>Thời gian vào: 2026-01-09 13:34:56</t>
  </si>
  <si>
    <t>Thời gian ra: 2026-01-09 18:29:29</t>
  </si>
  <si>
    <t>Thời lượng theo dõi:295 phút</t>
  </si>
  <si>
    <t>Thời gian vào: 2026-01-12 08:43:22</t>
  </si>
  <si>
    <t>Thời gian ra: 2026-01-12 18:43:33</t>
  </si>
  <si>
    <t>Thời gian vào: 2026-01-13 08:47:30</t>
  </si>
  <si>
    <t>Thời gian ra: 2026-01-13 18:14:57</t>
  </si>
  <si>
    <t>Thời gian vào: 2026-01-14 09:03:55</t>
  </si>
  <si>
    <t>Thời gian ra: 2026-01-14 18:49:51</t>
  </si>
  <si>
    <t>Thời gian vào: 2026-01-15 08:46:03</t>
  </si>
  <si>
    <t>Thời gian ra: 2026-01-15 18:09:13</t>
  </si>
  <si>
    <t>Thời gian vào: 2026-01-16 13:34:31</t>
  </si>
  <si>
    <t>Thời gian ra: 2026-01-16 18:14:53</t>
  </si>
  <si>
    <t>Thời gian vào: 2026-01-19 17:19:44</t>
  </si>
  <si>
    <t>Thời gian vào: 2026-01-20 08:47:33</t>
  </si>
  <si>
    <t>Thời gian ra: 2026-01-20 18:52:54</t>
  </si>
  <si>
    <t>Thời gian vào: 2026-01-21 08:45:17</t>
  </si>
  <si>
    <t>Thời gian ra: 2026-01-21 18:53:57</t>
  </si>
  <si>
    <t>Thời gian vào: 2026-01-22 08:58:33</t>
  </si>
  <si>
    <t>Thời gian ra: 2026-01-22 18:51:55</t>
  </si>
  <si>
    <t>Thời gian vào: 2026-01-23 09:17:44</t>
  </si>
  <si>
    <t>Thời gian ra: 2026-01-23 18:30:53</t>
  </si>
  <si>
    <t>Thời gian vào: 2026-01-26 09:02:07</t>
  </si>
  <si>
    <t>Thời gian ra: 2026-01-26 18:14:46</t>
  </si>
  <si>
    <t>Thời gian vào: 2026-01-27 08:52:28</t>
  </si>
  <si>
    <t>Thời gian ra: 2026-01-27 18:22:55</t>
  </si>
  <si>
    <t>Thời gian vào: 2026-01-28 08:58:48</t>
  </si>
  <si>
    <t>Thời gian ra: 2026-01-28 18:52:35</t>
  </si>
  <si>
    <t>Thời gian vào: 2026-01-29 18:54:12</t>
  </si>
  <si>
    <t>Thời gian vào: 2026-01-30 09:08:34</t>
  </si>
  <si>
    <t>Thời gian ra: 2026-01-30 18:53:14</t>
  </si>
  <si>
    <t>Thời gian vào: 2026-01-05 18:01:48</t>
  </si>
  <si>
    <t>Thời gian ra: 2026-01-05 18:01:59</t>
  </si>
  <si>
    <t>Thời gian vào: 2026-01-07 13:49:57</t>
  </si>
  <si>
    <t>Thời gian vào: 2026-01-08 16:18:27</t>
  </si>
  <si>
    <t>Thời gian ra: 2026-01-08 18:52:05</t>
  </si>
  <si>
    <t>Thời gian vào: 2026-01-09 17:43:51</t>
  </si>
  <si>
    <t>Thời gian ra: 2026-01-09 17:43:56</t>
  </si>
  <si>
    <t>Thời gian vào: 2026-01-10 14:13:22</t>
  </si>
  <si>
    <t>Thời gian ra: 2026-01-10 14:13:36</t>
  </si>
  <si>
    <t>Thời gian vào: 2026-01-13 08:21:52</t>
  </si>
  <si>
    <t>Thời gian ra: 2026-01-13 19:05:38</t>
  </si>
  <si>
    <t>Thời lượng theo dõi:644 phút</t>
  </si>
  <si>
    <t>Thời gian vào: 2026-01-14 08:44:11</t>
  </si>
  <si>
    <t>Thời gian ra: 2026-01-14 17:00:05</t>
  </si>
  <si>
    <t>Thời gian vào: 2026-01-15 07:39:58</t>
  </si>
  <si>
    <t>Thời gian ra: 2026-01-15 11:48:58</t>
  </si>
  <si>
    <t>Thời gian vào: 2026-01-16 11:30:32</t>
  </si>
  <si>
    <t>Thời gian ra: 2026-01-16 11:30:50</t>
  </si>
  <si>
    <t>Thời gian vào: 2026-01-19 13:25:37</t>
  </si>
  <si>
    <t>Thời gian ra: 2026-01-19 15:36:37</t>
  </si>
  <si>
    <t>Thời lượng theo dõi:131 phút</t>
  </si>
  <si>
    <t>Thời gian vào: 2026-01-20 12:28:05</t>
  </si>
  <si>
    <t>Thời gian vào: 2026-01-21 13:49:19</t>
  </si>
  <si>
    <t>Thời gian ra: 2026-01-21 13:51:54</t>
  </si>
  <si>
    <t>Thời lượng theo dõi:3 phút</t>
  </si>
  <si>
    <t>Thời gian vào: 2026-01-26 18:21:01</t>
  </si>
  <si>
    <t>Thời gian vào: 2026-01-29 17:59:29</t>
  </si>
  <si>
    <t>Thời gian ra: 2026-01-29 20:10:23</t>
  </si>
  <si>
    <t>Thời gian vào: 2026-01-05 08:29:40</t>
  </si>
  <si>
    <t>Thời gian ra: 2026-01-05 18:18:24</t>
  </si>
  <si>
    <t>Thời gian vào: 2026-01-06 09:50:14</t>
  </si>
  <si>
    <t>Thời gian ra: 2026-01-06 18:17:41</t>
  </si>
  <si>
    <t>Thời lượng theo dõi:507 phút</t>
  </si>
  <si>
    <t>Thời gian vào: 2026-01-07 08:40:16</t>
  </si>
  <si>
    <t>Thời gian ra: 2026-01-07 18:21:32</t>
  </si>
  <si>
    <t>Thời gian vào: 2026-01-08 08:41:08</t>
  </si>
  <si>
    <t>Thời gian ra: 2026-01-08 11:53:46</t>
  </si>
  <si>
    <t>Thời lượng theo dõi:193 phút</t>
  </si>
  <si>
    <t>Nguyễn Văn Sơn</t>
  </si>
  <si>
    <t>Thời gian vào: 2026-01-05 14:49:55</t>
  </si>
  <si>
    <t>Thời gian vào: 2026-01-05 11:50:40</t>
  </si>
  <si>
    <t>Thời gian ra: 2026-01-05 16:19:11</t>
  </si>
  <si>
    <t>Thời gian vào: 2026-01-12 17:04:45</t>
  </si>
  <si>
    <t>Thời gian vào: 2026-01-02 08:24:06</t>
  </si>
  <si>
    <t>Thời gian ra: 2026-01-02 18:09:35</t>
  </si>
  <si>
    <t>Thời gian vào: 2026-01-05 08:17:02</t>
  </si>
  <si>
    <t>Thời gian ra: 2026-01-05 18:20:24</t>
  </si>
  <si>
    <t>Thời gian vào: 2026-01-06 08:43:39</t>
  </si>
  <si>
    <t>Thời gian ra: 2026-01-06 18:23:50</t>
  </si>
  <si>
    <t>Thời gian vào: 2026-01-07 08:29:55</t>
  </si>
  <si>
    <t>Thời gian ra: 2026-01-07 18:25:38</t>
  </si>
  <si>
    <t>Thời gian vào: 2026-01-08 08:25:02</t>
  </si>
  <si>
    <t>Thời gian ra: 2026-01-08 18:13:37</t>
  </si>
  <si>
    <t>Thời gian vào: 2026-01-09 18:16:44</t>
  </si>
  <si>
    <t>Thời gian vào: 2026-01-12 08:31:24</t>
  </si>
  <si>
    <t>Thời gian ra: 2026-01-12 18:45:27</t>
  </si>
  <si>
    <t>Thời gian vào: 2026-01-13 08:22:19</t>
  </si>
  <si>
    <t>Thời gian ra: 2026-01-13 18:06:55</t>
  </si>
  <si>
    <t>Thời gian vào: 2026-01-14 08:21:59</t>
  </si>
  <si>
    <t>Thời gian ra: 2026-01-14 18:12:37</t>
  </si>
  <si>
    <t>Thời gian vào: 2026-01-15 08:24:39</t>
  </si>
  <si>
    <t>Thời gian ra: 2026-01-15 18:11:24</t>
  </si>
  <si>
    <t>Thời gian vào: 2026-01-16 09:36:37</t>
  </si>
  <si>
    <t>Thời gian ra: 2026-01-16 18:16:38</t>
  </si>
  <si>
    <t>Thời gian vào: 2026-01-19 08:23:24</t>
  </si>
  <si>
    <t>Thời gian ra: 2026-01-19 18:16:13</t>
  </si>
  <si>
    <t>Thời gian vào: 2026-01-20 08:23:48</t>
  </si>
  <si>
    <t>Thời gian ra: 2026-01-20 18:10:16</t>
  </si>
  <si>
    <t>Thời gian vào: 2026-01-21 09:43:07</t>
  </si>
  <si>
    <t>Thời gian ra: 2026-01-21 18:06:47</t>
  </si>
  <si>
    <t>Thời gian vào: 2026-01-22 08:26:15</t>
  </si>
  <si>
    <t>Thời gian ra: 2026-01-22 18:21:18</t>
  </si>
  <si>
    <t>Thời gian vào: 2026-01-23 08:23:54</t>
  </si>
  <si>
    <t>Thời gian ra: 2026-01-23 12:00:05</t>
  </si>
  <si>
    <t>Thời gian vào: 2026-01-26 08:27:49</t>
  </si>
  <si>
    <t>Thời gian ra: 2026-01-26 18:07:21</t>
  </si>
  <si>
    <t>Thời gian vào: 2026-01-27 08:22:19</t>
  </si>
  <si>
    <t>Thời gian ra: 2026-01-27 18:10:08</t>
  </si>
  <si>
    <t>Thời gian vào: 2026-01-28 08:21:48</t>
  </si>
  <si>
    <t>Thời gian ra: 2026-01-28 18:12:28</t>
  </si>
  <si>
    <t>Thời gian vào: 2026-01-29 08:26:07</t>
  </si>
  <si>
    <t>Thời gian ra: 2026-01-29 18:06:05</t>
  </si>
  <si>
    <t>Thời gian vào: 2026-01-30 12:43:25</t>
  </si>
  <si>
    <t>Thời gian ra: 2026-01-30 18:19:20</t>
  </si>
  <si>
    <t>Thời lượng theo dõi:336 phút</t>
  </si>
  <si>
    <t>Thời gian vào: 2026-01-05 08:46:21</t>
  </si>
  <si>
    <t>Thời gian ra: 2026-01-05 18:19:51</t>
  </si>
  <si>
    <t>Thời gian vào: 2026-01-06 09:14:52</t>
  </si>
  <si>
    <t>Thời gian ra: 2026-01-06 19:42:08</t>
  </si>
  <si>
    <t>Thời gian vào: 2026-01-07 08:57:38</t>
  </si>
  <si>
    <t>Thời gian ra: 2026-01-07 19:55:05</t>
  </si>
  <si>
    <t>Thời gian vào: 2026-01-08 09:14:07</t>
  </si>
  <si>
    <t>Thời gian ra: 2026-01-08 12:10:02</t>
  </si>
  <si>
    <t>Thời lượng theo dõi:176 phút</t>
  </si>
  <si>
    <t>Thời gian vào: 2026-01-09 09:16:08</t>
  </si>
  <si>
    <t>Thời gian ra: 2026-01-09 18:54:27</t>
  </si>
  <si>
    <t>Thời gian vào: 2026-01-10 09:24:19</t>
  </si>
  <si>
    <t>Thời gian ra: 2026-01-10 18:46:06</t>
  </si>
  <si>
    <t>Thời gian vào: 2026-01-12 08:55:58</t>
  </si>
  <si>
    <t>Thời gian ra: 2026-01-12 18:34:05</t>
  </si>
  <si>
    <t>Thời gian vào: 2026-01-13 09:07:46</t>
  </si>
  <si>
    <t>Thời gian ra: 2026-01-13 18:57:17</t>
  </si>
  <si>
    <t>Thời gian vào: 2026-01-14 08:51:06</t>
  </si>
  <si>
    <t>Thời gian ra: 2026-01-14 19:25:08</t>
  </si>
  <si>
    <t>Thời gian vào: 2026-01-15 09:17:17</t>
  </si>
  <si>
    <t>Thời gian ra: 2026-01-15 18:56:26</t>
  </si>
  <si>
    <t>Thời gian vào: 2026-01-16 09:21:03</t>
  </si>
  <si>
    <t>Thời gian ra: 2026-01-16 18:59:47</t>
  </si>
  <si>
    <t>Thời gian vào: 2026-01-19 09:41:42</t>
  </si>
  <si>
    <t>Thời gian ra: 2026-01-19 18:53:36</t>
  </si>
  <si>
    <t>Thời gian vào: 2026-01-20 09:02:59</t>
  </si>
  <si>
    <t>Thời gian ra: 2026-01-20 18:12:15</t>
  </si>
  <si>
    <t>Thời gian vào: 2026-01-21 08:52:01</t>
  </si>
  <si>
    <t>Thời gian ra: 2026-01-21 19:36:03</t>
  </si>
  <si>
    <t>Thời gian vào: 2026-01-22 08:53:25</t>
  </si>
  <si>
    <t>Thời gian ra: 2026-01-22 18:12:36</t>
  </si>
  <si>
    <t>Thời gian vào: 2026-01-23 09:53:24</t>
  </si>
  <si>
    <t>Thời gian ra: 2026-01-23 18:46:05</t>
  </si>
  <si>
    <t>Thời gian vào: 2026-01-26 08:41:53</t>
  </si>
  <si>
    <t>Thời gian ra: 2026-01-26 18:14:54</t>
  </si>
  <si>
    <t>Thời gian vào: 2026-01-27 09:07:07</t>
  </si>
  <si>
    <t>Thời gian ra: 2026-01-27 18:33:36</t>
  </si>
  <si>
    <t>Thời gian vào: 2026-01-28 09:00:27</t>
  </si>
  <si>
    <t>Thời gian ra: 2026-01-28 18:54:45</t>
  </si>
  <si>
    <t>Thời gian vào: 2026-01-06 08:49:21</t>
  </si>
  <si>
    <t>Thời gian ra: 2026-01-06 18:41:13</t>
  </si>
  <si>
    <t>Thời gian vào: 2026-01-07 08:56:36</t>
  </si>
  <si>
    <t>Thời gian ra: 2026-01-07 19:35:13</t>
  </si>
  <si>
    <t>Thời gian vào: 2026-01-08 09:18:46</t>
  </si>
  <si>
    <t>Thời gian ra: 2026-01-08 18:12:33</t>
  </si>
  <si>
    <t>Thời gian vào: 2026-01-09 08:35:06</t>
  </si>
  <si>
    <t>Thời gian ra: 2026-01-09 19:47:44</t>
  </si>
  <si>
    <t>Thời gian vào: 2026-01-13 08:59:54</t>
  </si>
  <si>
    <t>Thời gian ra: 2026-01-13 18:13:57</t>
  </si>
  <si>
    <t>Thời gian vào: 2026-01-14 08:56:48</t>
  </si>
  <si>
    <t>Thời gian ra: 2026-01-14 18:17:27</t>
  </si>
  <si>
    <t>Thời gian ra: 2026-01-15 18:18:08</t>
  </si>
  <si>
    <t>Thời gian vào: 2026-01-16 09:10:10</t>
  </si>
  <si>
    <t>Thời gian ra: 2026-01-16 18:18:32</t>
  </si>
  <si>
    <t>Thời gian vào: 2026-01-19 08:57:08</t>
  </si>
  <si>
    <t>Thời gian ra: 2026-01-19 18:31:35</t>
  </si>
  <si>
    <t>Thời gian vào: 2026-01-20 08:59:40</t>
  </si>
  <si>
    <t>Thời gian ra: 2026-01-20 18:11:01</t>
  </si>
  <si>
    <t>Thời gian vào: 2026-01-21 08:50:17</t>
  </si>
  <si>
    <t>Thời gian ra: 2026-01-21 18:06:55</t>
  </si>
  <si>
    <t>Thời gian vào: 2026-01-22 08:58:55</t>
  </si>
  <si>
    <t>Thời gian ra: 2026-01-22 18:08:54</t>
  </si>
  <si>
    <t>Thời gian vào: 2026-01-23 09:09:36</t>
  </si>
  <si>
    <t>Thời gian ra: 2026-01-23 18:06:57</t>
  </si>
  <si>
    <t>Thời gian vào: 2026-01-26 09:06:34</t>
  </si>
  <si>
    <t>Thời gian ra: 2026-01-26 18:19:36</t>
  </si>
  <si>
    <t>Thời gian vào: 2026-01-27 08:54:54</t>
  </si>
  <si>
    <t>Thời gian ra: 2026-01-27 18:14:25</t>
  </si>
  <si>
    <t>Thời gian vào: 2026-01-28 08:51:14</t>
  </si>
  <si>
    <t>Thời gian ra: 2026-01-28 18:03:56</t>
  </si>
  <si>
    <t>Thời gian vào: 2026-01-29 08:54:41</t>
  </si>
  <si>
    <t>Thời gian ra: 2026-01-29 18:13:44</t>
  </si>
  <si>
    <t>Thời gian vào: 2026-01-30 09:01:42</t>
  </si>
  <si>
    <t>Thời gian ra: 2026-01-30 18:12:01</t>
  </si>
  <si>
    <t>Thời gian vào: 2026-01-12 08:29:41</t>
  </si>
  <si>
    <t>Thời gian vào: 2026-01-19 08:25:32</t>
  </si>
  <si>
    <t>Thời gian ra: 2026-01-19 12:37:14</t>
  </si>
  <si>
    <t>Thời lượng theo dõi:252 phút</t>
  </si>
  <si>
    <t>Thời gian vào: 2026-01-26 08:29:31</t>
  </si>
  <si>
    <t>Thời gian vào: 2026-01-28 08:22:54</t>
  </si>
  <si>
    <t>Thời gian vào: 2026-01-05 08:29:29</t>
  </si>
  <si>
    <t>Thời gian ra: 2026-01-05 18:10:13</t>
  </si>
  <si>
    <t>Thời gian vào: 2026-01-06 08:23:41</t>
  </si>
  <si>
    <t>Thời gian ra: 2026-01-06 18:02:49</t>
  </si>
  <si>
    <t>Thời gian vào: 2026-01-07 08:28:35</t>
  </si>
  <si>
    <t>Thời gian ra: 2026-01-07 18:15:33</t>
  </si>
  <si>
    <t>Thời gian vào: 2026-01-08 08:29:21</t>
  </si>
  <si>
    <t>Thời gian ra: 2026-01-08 18:08:09</t>
  </si>
  <si>
    <t>Thời gian vào: 2026-01-12 08:29:14</t>
  </si>
  <si>
    <t>Thời gian ra: 2026-01-12 18:14:30</t>
  </si>
  <si>
    <t>Thời gian vào: 2026-01-13 08:29:03</t>
  </si>
  <si>
    <t>Thời gian ra: 2026-01-13 18:03:04</t>
  </si>
  <si>
    <t>Thời gian vào: 2026-01-14 08:29:29</t>
  </si>
  <si>
    <t>Thời gian ra: 2026-01-14 18:09:14</t>
  </si>
  <si>
    <t>Thời gian vào: 2026-01-15 08:29:32</t>
  </si>
  <si>
    <t>Thời gian ra: 2026-01-15 18:26:49</t>
  </si>
  <si>
    <t>Thời gian vào: 2026-01-19 08:16:35</t>
  </si>
  <si>
    <t>Thời gian ra: 2026-01-19 18:18:34</t>
  </si>
  <si>
    <t>Thời gian vào: 2026-01-20 08:16:44</t>
  </si>
  <si>
    <t>Thời gian ra: 2026-01-20 17:31:55</t>
  </si>
  <si>
    <t>Thời gian vào: 2026-01-21 08:17:58</t>
  </si>
  <si>
    <t>Thời gian ra: 2026-01-21 18:11:46</t>
  </si>
  <si>
    <t>Thời gian vào: 2026-01-22 08:15:28</t>
  </si>
  <si>
    <t>Thời gian ra: 2026-01-22 18:10:45</t>
  </si>
  <si>
    <t>Thời gian vào: 2026-01-26 08:15:35</t>
  </si>
  <si>
    <t>Thời gian ra: 2026-01-26 18:15:18</t>
  </si>
  <si>
    <t>Thời gian vào: 2026-01-27 08:30:03</t>
  </si>
  <si>
    <t>Thời gian ra: 2026-01-27 18:08:24</t>
  </si>
  <si>
    <t>Thời gian vào: 2026-01-28 08:22:28</t>
  </si>
  <si>
    <t>Thời gian ra: 2026-01-28 18:10:30</t>
  </si>
  <si>
    <t>Thời gian vào: 2026-01-29 08:30:35</t>
  </si>
  <si>
    <t>Thời gian ra: 2026-01-29 17:01:26</t>
  </si>
  <si>
    <t>Thời lượng theo dõi:511 phút</t>
  </si>
  <si>
    <t>Thời gian vào: 2026-01-05 08:35:47</t>
  </si>
  <si>
    <t>Thời gian ra: 2026-01-05 18:18:12</t>
  </si>
  <si>
    <t>Thời gian vào: 2026-01-06 08:30:54</t>
  </si>
  <si>
    <t>Thời gian ra: 2026-01-06 18:18:12</t>
  </si>
  <si>
    <t>Thời gian vào: 2026-01-07 08:33:17</t>
  </si>
  <si>
    <t>Thời gian ra: 2026-01-07 18:07:46</t>
  </si>
  <si>
    <t>Thời gian vào: 2026-01-08 08:25:00</t>
  </si>
  <si>
    <t>Thời gian ra: 2026-01-08 18:07:28</t>
  </si>
  <si>
    <t>Thời gian vào: 2026-01-09 08:36:02</t>
  </si>
  <si>
    <t>Thời gian ra: 2026-01-09 18:14:47</t>
  </si>
  <si>
    <t>Thời gian vào: 2026-01-12 08:35:53</t>
  </si>
  <si>
    <t>Thời gian ra: 2026-01-12 18:11:11</t>
  </si>
  <si>
    <t>Thời gian vào: 2026-01-13 08:39:58</t>
  </si>
  <si>
    <t>Thời gian ra: 2026-01-13 18:11:11</t>
  </si>
  <si>
    <t>Thời gian vào: 2026-01-14 08:42:27</t>
  </si>
  <si>
    <t>Thời gian ra: 2026-01-14 16:43:43</t>
  </si>
  <si>
    <t>Thời gian vào: 2026-01-16 08:45:51</t>
  </si>
  <si>
    <t>Thời gian ra: 2026-01-16 17:47:31</t>
  </si>
  <si>
    <t>Thời gian vào: 2026-01-20 08:43:47</t>
  </si>
  <si>
    <t>Thời gian vào: 2026-01-21 08:40:31</t>
  </si>
  <si>
    <t>Thời gian ra: 2026-01-21 17:39:55</t>
  </si>
  <si>
    <t>Thời gian vào: 2026-01-22 08:42:47</t>
  </si>
  <si>
    <t>Thời gian ra: 2026-01-22 18:15:31</t>
  </si>
  <si>
    <t>Thời gian vào: 2026-01-23 08:45:28</t>
  </si>
  <si>
    <t>Thời gian ra: 2026-01-23 17:36:17</t>
  </si>
  <si>
    <t>Thời gian vào: 2026-01-26 08:35:26</t>
  </si>
  <si>
    <t>Thời gian ra: 2026-01-26 18:11:11</t>
  </si>
  <si>
    <t>Thời gian vào: 2026-01-27 08:45:00</t>
  </si>
  <si>
    <t>Thời gian ra: 2026-01-27 17:40:57</t>
  </si>
  <si>
    <t>Thời gian vào: 2026-01-28 08:44:45</t>
  </si>
  <si>
    <t>Thời gian ra: 2026-01-28 17:34:13</t>
  </si>
  <si>
    <t>Thời gian vào: 2026-01-29 08:26:19</t>
  </si>
  <si>
    <t>Thời gian ra: 2026-01-29 17:56:17</t>
  </si>
  <si>
    <t>Thời gian vào: 2026-01-30 08:40:24</t>
  </si>
  <si>
    <t>Thời gian ra: 2026-01-30 08:46:07</t>
  </si>
  <si>
    <t>Thời lượng theo dõi:6 phút</t>
  </si>
  <si>
    <t>Thời gian vào: 2026-01-05 08:48:42</t>
  </si>
  <si>
    <t>Thời gian ra: 2026-01-05 19:06:14</t>
  </si>
  <si>
    <t>Thời gian vào: 2026-01-06 08:45:38</t>
  </si>
  <si>
    <t>Thời gian ra: 2026-01-06 18:33:36</t>
  </si>
  <si>
    <t>Thời gian vào: 2026-01-07 08:50:20</t>
  </si>
  <si>
    <t>Thời gian ra: 2026-01-07 18:20:17</t>
  </si>
  <si>
    <t>Thời gian vào: 2026-01-08 08:48:28</t>
  </si>
  <si>
    <t>Thời gian ra: 2026-01-08 18:33:34</t>
  </si>
  <si>
    <t>Thời gian vào: 2026-01-09 08:40:49</t>
  </si>
  <si>
    <t>Thời gian ra: 2026-01-09 18:19:25</t>
  </si>
  <si>
    <t>Thời gian vào: 2026-01-10 08:45:05</t>
  </si>
  <si>
    <t>Thời gian ra: 2026-01-10 18:39:19</t>
  </si>
  <si>
    <t>Thời gian vào: 2026-01-12 08:48:44</t>
  </si>
  <si>
    <t>Thời gian ra: 2026-01-12 18:17:49</t>
  </si>
  <si>
    <t>Thời gian vào: 2026-01-13 08:43:14</t>
  </si>
  <si>
    <t>Thời gian ra: 2026-01-13 18:24:51</t>
  </si>
  <si>
    <t>Thời gian vào: 2026-01-14 08:53:11</t>
  </si>
  <si>
    <t>Thời gian ra: 2026-01-14 18:17:36</t>
  </si>
  <si>
    <t>Thời gian vào: 2026-01-15 08:50:00</t>
  </si>
  <si>
    <t>Thời gian ra: 2026-01-15 18:33:03</t>
  </si>
  <si>
    <t>Thời gian vào: 2026-01-16 08:50:06</t>
  </si>
  <si>
    <t>Thời gian ra: 2026-01-16 18:41:52</t>
  </si>
  <si>
    <t>Thời gian vào: 2026-01-19 08:51:29</t>
  </si>
  <si>
    <t>Thời gian ra: 2026-01-19 18:15:59</t>
  </si>
  <si>
    <t>Thời gian vào: 2026-01-20 08:50:57</t>
  </si>
  <si>
    <t>Thời gian ra: 2026-01-20 18:10:05</t>
  </si>
  <si>
    <t>Thời gian vào: 2026-01-21 08:51:59</t>
  </si>
  <si>
    <t>Thời gian ra: 2026-01-21 18:11:38</t>
  </si>
  <si>
    <t>Thời gian vào: 2026-01-22 08:50:36</t>
  </si>
  <si>
    <t>Thời gian ra: 2026-01-22 18:13:10</t>
  </si>
  <si>
    <t>Thời gian vào: 2026-01-23 08:52:58</t>
  </si>
  <si>
    <t>Thời gian ra: 2026-01-23 18:45:51</t>
  </si>
  <si>
    <t>Thời gian vào: 2026-01-26 09:04:49</t>
  </si>
  <si>
    <t>Thời gian ra: 2026-01-26 18:14:49</t>
  </si>
  <si>
    <t>Thời gian vào: 2026-01-27 08:48:09</t>
  </si>
  <si>
    <t>Thời gian ra: 2026-01-27 18:14:21</t>
  </si>
  <si>
    <t>Thời gian vào: 2026-01-29 08:58:28</t>
  </si>
  <si>
    <t>Thời gian ra: 2026-01-29 18:11:45</t>
  </si>
  <si>
    <t>Thời gian vào: 2026-01-30 08:58:46</t>
  </si>
  <si>
    <t>Thời gian ra: 2026-01-30 18:52:38</t>
  </si>
  <si>
    <t>Thời gian vào: 2026-01-05 12:01:25</t>
  </si>
  <si>
    <t>Thời gian ra: 2026-01-05 14:01:46</t>
  </si>
  <si>
    <t>Thời lượng theo dõi:120 phút</t>
  </si>
  <si>
    <t>Thời gian vào: 2026-01-06 15:20:21</t>
  </si>
  <si>
    <t>Thời gian ra: 2026-01-06 15:20:23</t>
  </si>
  <si>
    <t>Thời gian vào: 2026-01-07 12:48:47</t>
  </si>
  <si>
    <t>Thời gian ra: 2026-01-07 19:33:17</t>
  </si>
  <si>
    <t>Thời gian vào: 2026-01-08 10:48:16</t>
  </si>
  <si>
    <t>Thời gian ra: 2026-01-08 12:05:45</t>
  </si>
  <si>
    <t>Thời lượng theo dõi:77 phút</t>
  </si>
  <si>
    <t>Thời gian vào: 2026-01-09 18:19:31</t>
  </si>
  <si>
    <t>Thời gian ra: 2026-01-09 18:20:53</t>
  </si>
  <si>
    <t>Thời gian vào: 2026-01-10 12:05:01</t>
  </si>
  <si>
    <t>Thời gian ra: 2026-01-10 15:14:37</t>
  </si>
  <si>
    <t>Thời lượng theo dõi:190 phút</t>
  </si>
  <si>
    <t>Thời gian vào: 2026-01-12 12:30:40</t>
  </si>
  <si>
    <t>Thời gian ra: 2026-01-12 16:26:44</t>
  </si>
  <si>
    <t>Thời gian vào: 2026-01-15 07:01:59</t>
  </si>
  <si>
    <t>Thời gian ra: 2026-01-15 14:10:13</t>
  </si>
  <si>
    <t>Thời lượng theo dõi:428 phút</t>
  </si>
  <si>
    <t>Thời gian vào: 2026-01-22 19:39:04</t>
  </si>
  <si>
    <t>Thời gian vào: 2026-01-24 20:36:11</t>
  </si>
  <si>
    <t>Thời gian ra: 2026-01-24 20:37:15</t>
  </si>
  <si>
    <t>Thời gian vào: 2026-01-26 18:34:30</t>
  </si>
  <si>
    <t>Thời gian vào: 2026-01-29 12:07:31</t>
  </si>
  <si>
    <t>Thời gian ra: 2026-01-29 13:51:15</t>
  </si>
  <si>
    <t>Thời gian vào: 2026-01-30 12:17:36</t>
  </si>
  <si>
    <t>Thời gian ra: 2026-01-30 16:45:10</t>
  </si>
  <si>
    <t>Thời lượng theo dõi:268 phút</t>
  </si>
  <si>
    <t>Trần Lưu Huyền</t>
  </si>
  <si>
    <t>Thời gian vào: 2026-01-05 08:27:27</t>
  </si>
  <si>
    <t>Thời gian ra: 2026-01-05 18:08:46</t>
  </si>
  <si>
    <t>Thời gian vào: 2026-01-06 08:23:22</t>
  </si>
  <si>
    <t>Thời gian ra: 2026-01-06 18:10:02</t>
  </si>
  <si>
    <t>Thời gian vào: 2026-01-07 08:47:07</t>
  </si>
  <si>
    <t>Thời gian ra: 2026-01-07 18:12:10</t>
  </si>
  <si>
    <t>Thời gian vào: 2026-01-08 08:38:25</t>
  </si>
  <si>
    <t>Thời gian ra: 2026-01-08 18:12:17</t>
  </si>
  <si>
    <t>Thời gian vào: 2026-01-12 08:27:48</t>
  </si>
  <si>
    <t>Thời gian ra: 2026-01-12 18:09:01</t>
  </si>
  <si>
    <t>Thời gian vào: 2026-01-13 08:24:52</t>
  </si>
  <si>
    <t>Thời gian ra: 2026-01-13 18:06:13</t>
  </si>
  <si>
    <t>Thời gian vào: 2026-01-14 08:42:30</t>
  </si>
  <si>
    <t>Thời gian ra: 2026-01-14 18:05:18</t>
  </si>
  <si>
    <t>Thời gian vào: 2026-01-15 08:27:00</t>
  </si>
  <si>
    <t>Thời gian ra: 2026-01-15 18:11:21</t>
  </si>
  <si>
    <t>Thời gian vào: 2026-01-19 08:30:09</t>
  </si>
  <si>
    <t>Thời gian ra: 2026-01-19 18:15:34</t>
  </si>
  <si>
    <t>Thời gian vào: 2026-01-20 13:05:42</t>
  </si>
  <si>
    <t>Thời gian ra: 2026-01-20 18:28:30</t>
  </si>
  <si>
    <t>Thời gian vào: 2026-01-21 08:46:45</t>
  </si>
  <si>
    <t>Thời gian ra: 2026-01-21 18:38:28</t>
  </si>
  <si>
    <t>Thời gian vào: 2026-01-22 08:34:52</t>
  </si>
  <si>
    <t>Thời gian ra: 2026-01-22 18:14:22</t>
  </si>
  <si>
    <t>Thời gian vào: 2026-01-26 08:33:47</t>
  </si>
  <si>
    <t>Thời gian ra: 2026-01-26 18:26:46</t>
  </si>
  <si>
    <t>Thời gian vào: 2026-01-27 08:27:49</t>
  </si>
  <si>
    <t>Thời gian ra: 2026-01-27 18:06:39</t>
  </si>
  <si>
    <t>Thời gian vào: 2026-01-28 08:27:25</t>
  </si>
  <si>
    <t>Thời gian ra: 2026-01-28 18:08:58</t>
  </si>
  <si>
    <t>Thời gian vào: 2026-01-29 08:32:06</t>
  </si>
  <si>
    <t>Thời gian ra: 2026-01-29 12:12:47</t>
  </si>
  <si>
    <t>Thời lượng theo dõi:221 phút</t>
  </si>
  <si>
    <t>Nguyễn Xuân Hiếu</t>
  </si>
  <si>
    <t>Thời gian vào: 2026-01-06 08:08:14</t>
  </si>
  <si>
    <t>Thời gian ra: 2026-01-06 18:02:10</t>
  </si>
  <si>
    <t>Thời gian vào: 2026-01-07 08:09:57</t>
  </si>
  <si>
    <t>Thời gian ra: 2026-01-07 18:01:46</t>
  </si>
  <si>
    <t>Thời gian vào: 2026-01-08 08:13:06</t>
  </si>
  <si>
    <t>Thời gian ra: 2026-01-08 18:01:34</t>
  </si>
  <si>
    <t>Thời gian vào: 2026-01-12 08:11:47</t>
  </si>
  <si>
    <t>Thời gian ra: 2026-01-12 18:01:40</t>
  </si>
  <si>
    <t>Thời gian vào: 2026-01-13 08:11:41</t>
  </si>
  <si>
    <t>Thời gian ra: 2026-01-13 18:02:58</t>
  </si>
  <si>
    <t>Thời gian vào: 2026-01-14 08:07:40</t>
  </si>
  <si>
    <t>Thời gian ra: 2026-01-14 18:01:32</t>
  </si>
  <si>
    <t>Thời gian vào: 2026-01-19 08:08:09</t>
  </si>
  <si>
    <t>Thời gian ra: 2026-01-19 18:01:28</t>
  </si>
  <si>
    <t>Thời gian vào: 2026-01-20 08:13:04</t>
  </si>
  <si>
    <t>Thời gian ra: 2026-01-20 18:02:25</t>
  </si>
  <si>
    <t>Thời gian vào: 2026-01-21 08:09:32</t>
  </si>
  <si>
    <t>Thời gian ra: 2026-01-21 18:01:12</t>
  </si>
  <si>
    <t>Thời gian vào: 2026-01-22 08:12:53</t>
  </si>
  <si>
    <t>Thời gian ra: 2026-01-22 18:01:51</t>
  </si>
  <si>
    <t>Thời gian vào: 2026-01-26 08:11:18</t>
  </si>
  <si>
    <t>Thời gian ra: 2026-01-26 18:01:50</t>
  </si>
  <si>
    <t>Thời gian vào: 2026-01-27 08:09:30</t>
  </si>
  <si>
    <t>Thời gian ra: 2026-01-27 18:01:57</t>
  </si>
  <si>
    <t>Thời gian vào: 2026-01-28 08:09:28</t>
  </si>
  <si>
    <t>Thời gian ra: 2026-01-28 18:01:02</t>
  </si>
  <si>
    <t>Thời gian vào: 2026-01-29 08:08:55</t>
  </si>
  <si>
    <t>Thời gian ra: 2026-01-29 18:01:57</t>
  </si>
  <si>
    <t xml:space="preserve">Nguyễn Văn Hậu </t>
  </si>
  <si>
    <t xml:space="preserve">Mẫn Thị Lan </t>
  </si>
  <si>
    <t xml:space="preserve">Lê Thị Hạnh </t>
  </si>
  <si>
    <t>Lê Hà Đức</t>
  </si>
  <si>
    <t>Cộng</t>
  </si>
  <si>
    <t xml:space="preserve">BA </t>
  </si>
  <si>
    <t>Merge BSM từ T1/2026</t>
  </si>
  <si>
    <t>Onboard 01.01.2026</t>
  </si>
  <si>
    <t>COO</t>
  </si>
  <si>
    <t>CL đi  muộn</t>
  </si>
  <si>
    <t>CL tiền gửi xe</t>
  </si>
  <si>
    <t>477429696</t>
  </si>
  <si>
    <t>081120026868</t>
  </si>
  <si>
    <t>477398871</t>
  </si>
  <si>
    <t>477370012</t>
  </si>
  <si>
    <t>8816306354</t>
  </si>
  <si>
    <t>477372708</t>
  </si>
  <si>
    <t>477397905</t>
  </si>
  <si>
    <t>VPBANK YEN PHONG</t>
  </si>
  <si>
    <t>Vietinbank</t>
  </si>
  <si>
    <t>TPBANK</t>
  </si>
  <si>
    <t>NGUYEN THI TRANG</t>
  </si>
  <si>
    <t>0977192559</t>
  </si>
  <si>
    <t>0943843055</t>
  </si>
  <si>
    <t>0491000026600</t>
  </si>
  <si>
    <t>0326130819</t>
  </si>
  <si>
    <t>109868242837</t>
  </si>
  <si>
    <t>BUI XUAN LUC</t>
  </si>
  <si>
    <t>NGUYEN VAN HAU</t>
  </si>
  <si>
    <t>MAN THI LAN</t>
  </si>
  <si>
    <t>LE THI HẠNH</t>
  </si>
  <si>
    <t>LE HA DUC</t>
  </si>
  <si>
    <t>29121978888</t>
  </si>
  <si>
    <t>Trương Thị Phương Trang</t>
  </si>
  <si>
    <t>02/03/2026</t>
  </si>
  <si>
    <t>Digital Experience Designer</t>
  </si>
  <si>
    <t>Tháng</t>
  </si>
  <si>
    <t>Nội dung biến động</t>
  </si>
  <si>
    <t>Điều chỉnh lương từ tháng 3/2026</t>
  </si>
  <si>
    <t>2026-03</t>
  </si>
  <si>
    <t>Excutive</t>
  </si>
  <si>
    <t>Hết Internship + chuyển sang chính thức</t>
  </si>
  <si>
    <t>20/08/2024</t>
  </si>
  <si>
    <t>Nhân sự mới onboard tháng 03/2026:</t>
  </si>
  <si>
    <t>Trương Ngọc Phương Trang</t>
  </si>
  <si>
    <t>1/3/2026</t>
  </si>
  <si>
    <t>Hợp đồng CTV</t>
  </si>
  <si>
    <t>Nhân sự nghỉ việc</t>
  </si>
  <si>
    <t xml:space="preserve">Phụ trách Marketing </t>
  </si>
  <si>
    <t>26/03/2026</t>
  </si>
  <si>
    <t>13/03/2026</t>
  </si>
  <si>
    <t>Giảm BH</t>
  </si>
  <si>
    <t>Tháng 4/2026</t>
  </si>
  <si>
    <t>Tháng giảm BHXH</t>
  </si>
  <si>
    <t>Tháng tăng</t>
  </si>
  <si>
    <t>BẢNG LƯƠNG THÁNG 03/2026</t>
  </si>
  <si>
    <t>T3/2026</t>
  </si>
  <si>
    <t>Nguyễn Hải Minh</t>
  </si>
  <si>
    <t>HĐ LĐ</t>
  </si>
  <si>
    <t>C12 T3/2026</t>
  </si>
  <si>
    <t>Cộng phải nộp T2+3/2026</t>
  </si>
  <si>
    <t xml:space="preserve">Số phải nộp cuối tháng 2/2026 </t>
  </si>
  <si>
    <t>C12 của T3 dự báo ( chưa chốt ký)</t>
  </si>
  <si>
    <t>CL ???</t>
  </si>
  <si>
    <t>DANH SÁCH TRÍCH NỘP BẢO HIỂM THÁNG 03/2026</t>
  </si>
  <si>
    <t>13 ngày của T3/2026 chưa có vé xe, cty hỗ trợ 5K/ngày</t>
  </si>
  <si>
    <t>31/3/2026</t>
  </si>
  <si>
    <t>Chị Tuyết tự check</t>
  </si>
  <si>
    <t>Ngày công thực tế</t>
  </si>
  <si>
    <t>Thưởng hiệu suất t3</t>
  </si>
  <si>
    <t>Tên trên bảng lương</t>
  </si>
  <si>
    <t>Không khớp tên</t>
  </si>
  <si>
    <t>Check tên</t>
  </si>
  <si>
    <t>TH chấm công Hào gửi</t>
  </si>
  <si>
    <t>Tháng 3 reote</t>
  </si>
  <si>
    <t>Tháng 3 chưa đăng ký đc tên chấm công</t>
  </si>
  <si>
    <t>Tăng lương</t>
  </si>
  <si>
    <t>Ký HĐLĐ chính thức</t>
  </si>
  <si>
    <t>T2 cũ thiếu công, đã BX T3</t>
  </si>
  <si>
    <t>T3 chỉ có 8 ngày công</t>
  </si>
  <si>
    <t>T2 thiếu 1 ngày công, đã BX</t>
  </si>
  <si>
    <t>CL đi muộn ,  ngày công thực tế</t>
  </si>
  <si>
    <t xml:space="preserve">CL đi muộn </t>
  </si>
  <si>
    <t>CL t2 thiếu công, đã bổ xung vào T3</t>
  </si>
  <si>
    <t>CL T3 thiếu ngày công</t>
  </si>
  <si>
    <t>Bù lương T2/2026 sau khi BX Request</t>
  </si>
  <si>
    <t>Thêm lương Thái, Danh</t>
  </si>
  <si>
    <t>3,5</t>
  </si>
  <si>
    <t>Bù công tháng 2/2026</t>
  </si>
  <si>
    <t>0,5</t>
  </si>
  <si>
    <t>Nghỉ phép T3</t>
  </si>
  <si>
    <t>Cập nhật 2h45 ngày 8/4/2026</t>
  </si>
  <si>
    <t xml:space="preserve">Theo dõi phép </t>
  </si>
  <si>
    <t>Phép 2025 đến hết T2/2026</t>
  </si>
  <si>
    <t>Phép 2026 hết Tháng 2/2026</t>
  </si>
  <si>
    <t>Phép 2025 đến hết T3/2026</t>
  </si>
  <si>
    <t>Phép 2026 hết Tháng 3/2026</t>
  </si>
  <si>
    <t>Cập nhật 3h15 ngày 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</si>
</sst>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yyyy/m/d"/>
    <numFmt numFmtId="166" formatCode="_-* #,##0\ _₫_-;\-* #,##0\ _₫_-;_-* &quot;-&quot;??\ _₫_-;_-@"/>
    <numFmt numFmtId="167" formatCode="_(* #,##0.0_);_(* \(#,##0.0\);_(* &quot;-&quot;?_);_(@_)"/>
    <numFmt numFmtId="168" formatCode="0.0%"/>
    <numFmt numFmtId="169" formatCode="_(* #,##0_);_(* \(#,##0\);_(* &quot;-&quot;?_);_(@_)"/>
    <numFmt numFmtId="170" formatCode="yyyy\-mm\-dd"/>
    <numFmt numFmtId="172" formatCode="dd/mm/yyyy"/>
    <numFmt numFmtId="175" formatCode="d/m/yyyy"/>
    <numFmt numFmtId="176" formatCode="d/m"/>
    <numFmt numFmtId="177" formatCode="dd/mm"/>
    <numFmt numFmtId="178" formatCode="hh:mm:ss"/>
  </numFmts>
  <fonts count="149">
    <font>
      <sz val="10"/>
      <color theme="1"/>
      <name val="Calibri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Times New Roman"/>
      <family val="1"/>
    </font>
    <font>
      <sz val="9"/>
      <color rgb="FFFF0000"/>
      <name val="Times New Roman"/>
      <family val="1"/>
    </font>
    <font>
      <sz val="9"/>
      <color rgb="FFFF0000"/>
      <name val="Calibri"/>
      <family val="2"/>
    </font>
    <font>
      <sz val="9"/>
      <color rgb="FFFF00FF"/>
      <name val="Times New Roman"/>
      <family val="1"/>
    </font>
    <font>
      <b/>
      <u/>
      <sz val="9"/>
      <color rgb="FF000000"/>
      <name val="Times New Roman"/>
      <family val="1"/>
    </font>
    <font>
      <sz val="9"/>
      <color rgb="FFF54A45"/>
      <name val="Times New Roman"/>
      <family val="1"/>
    </font>
    <font>
      <sz val="9"/>
      <color rgb="FF9C0006"/>
      <name val="Times New Roman"/>
      <family val="1"/>
    </font>
    <font>
      <b/>
      <u/>
      <sz val="9"/>
      <color rgb="FF000000"/>
      <name val="Times New Roman"/>
      <family val="1"/>
    </font>
    <font>
      <sz val="9"/>
      <color rgb="FF9C6500"/>
      <name val="Times New Roman"/>
      <family val="1"/>
    </font>
    <font>
      <u/>
      <sz val="9"/>
      <color rgb="FF0563C1"/>
      <name val="Times New Roman"/>
      <family val="1"/>
    </font>
    <font>
      <sz val="10"/>
      <color theme="1"/>
      <name val="Times New Roman"/>
      <family val="1"/>
    </font>
    <font>
      <b/>
      <sz val="9"/>
      <color rgb="FF000000"/>
      <name val="Google Sans"/>
    </font>
    <font>
      <sz val="9"/>
      <color rgb="FF000000"/>
      <name val="Google Sans"/>
    </font>
    <font>
      <i/>
      <sz val="9"/>
      <color rgb="FF000000"/>
      <name val="Google Sans"/>
    </font>
    <font>
      <sz val="9"/>
      <color theme="1"/>
      <name val="Google Sans"/>
    </font>
    <font>
      <sz val="9"/>
      <color rgb="FFFF0000"/>
      <name val="Google Sans"/>
    </font>
    <font>
      <b/>
      <sz val="9"/>
      <color rgb="FFFF0000"/>
      <name val="Google Sans"/>
    </font>
    <font>
      <b/>
      <sz val="9"/>
      <color theme="1"/>
      <name val="Google Sans"/>
    </font>
    <font>
      <sz val="9"/>
      <color rgb="FF0000FF"/>
      <name val="Google Sans"/>
    </font>
    <font>
      <sz val="9"/>
      <color rgb="FFFF00FF"/>
      <name val="Google Sans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i/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Google Sans"/>
    </font>
    <font>
      <sz val="10"/>
      <color theme="1"/>
      <name val="Google Sans"/>
    </font>
    <font>
      <b/>
      <sz val="11"/>
      <color theme="1"/>
      <name val="Arial"/>
      <family val="2"/>
    </font>
    <font>
      <b/>
      <sz val="10"/>
      <color rgb="FF000000"/>
      <name val="Google Sans"/>
    </font>
    <font>
      <b/>
      <sz val="13"/>
      <color rgb="FF000000"/>
      <name val="Google Sans"/>
    </font>
    <font>
      <b/>
      <sz val="13"/>
      <color theme="1"/>
      <name val="Google Sans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theme="1"/>
      <name val="Google Sans"/>
    </font>
    <font>
      <i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9"/>
      <color rgb="FFFF00FF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3"/>
      <color rgb="FF000000"/>
      <name val="Arial"/>
      <family val="2"/>
    </font>
    <font>
      <sz val="9"/>
      <color rgb="FF000000"/>
      <name val="Calibri"/>
      <family val="2"/>
    </font>
    <font>
      <b/>
      <sz val="13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rgb="FF222222"/>
      <name val="Google San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Google Sans"/>
    </font>
    <font>
      <b/>
      <sz val="9"/>
      <name val="Google Sans"/>
    </font>
    <font>
      <sz val="10"/>
      <name val="Calibri"/>
      <family val="2"/>
      <scheme val="minor"/>
    </font>
    <font>
      <b/>
      <sz val="10"/>
      <color rgb="FF000000"/>
      <name val="TimesNewRomanPS-BoldM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Montserrat"/>
    </font>
    <font>
      <sz val="10"/>
      <color theme="1"/>
      <name val="Montserrat"/>
    </font>
    <font>
      <b/>
      <sz val="10"/>
      <color rgb="FFFF0000"/>
      <name val="Montserrat"/>
    </font>
    <font>
      <b/>
      <sz val="10"/>
      <color theme="1"/>
      <name val="Montserrat"/>
    </font>
    <font>
      <b/>
      <sz val="11"/>
      <color theme="1"/>
      <name val="Montserrat"/>
    </font>
    <font>
      <sz val="9"/>
      <color rgb="FF1F1F1F"/>
      <name val="Montserrat"/>
    </font>
    <font>
      <sz val="9"/>
      <color theme="1"/>
      <name val="Montserrat"/>
    </font>
    <font>
      <b/>
      <sz val="10"/>
      <name val="Calibri"/>
      <family val="2"/>
    </font>
    <font>
      <b/>
      <sz val="9"/>
      <color theme="1"/>
      <name val="Montserrat"/>
    </font>
    <font>
      <sz val="9"/>
      <color rgb="FFFF0000"/>
      <name val="Montserrat"/>
    </font>
    <font>
      <sz val="10"/>
      <color rgb="FFFF0000"/>
      <name val="Montserrat"/>
    </font>
    <font>
      <sz val="11"/>
      <color rgb="FF1F2329"/>
      <name val="LarkHackSafariFont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81B3A"/>
      <name val="Arial"/>
      <family val="2"/>
    </font>
    <font>
      <sz val="9"/>
      <color rgb="FF081B3A"/>
      <name val="Segoe UI"/>
      <family val="2"/>
    </font>
    <font>
      <b/>
      <sz val="10"/>
      <color theme="1"/>
      <name val="Times New Roman"/>
      <family val="1"/>
    </font>
    <font>
      <sz val="9"/>
      <color rgb="FF000000"/>
      <name val="Montserrat"/>
    </font>
    <font>
      <sz val="10"/>
      <name val="Montserrat"/>
    </font>
    <font>
      <sz val="9"/>
      <name val="Arial"/>
      <family val="2"/>
    </font>
    <font>
      <b/>
      <sz val="8"/>
      <color rgb="FF111111"/>
      <name val="Arial"/>
      <family val="2"/>
    </font>
    <font>
      <sz val="10"/>
      <color rgb="FF000000"/>
      <name val="Montserrat"/>
    </font>
    <font>
      <sz val="10"/>
      <color theme="1"/>
      <name val="Arial"/>
      <family val="2"/>
    </font>
    <font>
      <b/>
      <sz val="13"/>
      <color rgb="FF081B3A"/>
      <name val="Montserrat"/>
    </font>
    <font>
      <sz val="9"/>
      <name val="Montserrat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FF0000"/>
      <name val="Google Sans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Montserrat"/>
    </font>
    <font>
      <sz val="10"/>
      <color theme="1"/>
      <name val="Times New Roman"/>
      <family val="1"/>
    </font>
    <font>
      <sz val="11"/>
      <color rgb="FF081B3A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9"/>
      <color rgb="FF0070C0"/>
      <name val="Google Sans"/>
    </font>
    <font>
      <sz val="9"/>
      <color rgb="FF0070C0"/>
      <name val="Montserrat"/>
    </font>
    <font>
      <b/>
      <sz val="9"/>
      <color rgb="FF7030A0"/>
      <name val="Montserrat"/>
    </font>
    <font>
      <b/>
      <sz val="8"/>
      <color rgb="FF111111"/>
      <name val="Noto_sans"/>
    </font>
    <font>
      <b/>
      <sz val="8"/>
      <color rgb="FF111111"/>
      <name val="Inherit"/>
    </font>
    <font>
      <sz val="11"/>
      <color rgb="FF081B3A"/>
      <name val="Montserrat"/>
    </font>
    <font>
      <sz val="9"/>
      <color rgb="FF0070C0"/>
      <name val="Arial"/>
      <family val="2"/>
    </font>
    <font>
      <b/>
      <sz val="9"/>
      <color rgb="FF0070C0"/>
      <name val="Google Sans"/>
    </font>
    <font>
      <sz val="10"/>
      <color rgb="FF0070C0"/>
      <name val="Google Sans"/>
    </font>
    <font>
      <sz val="10"/>
      <color rgb="FF0070C0"/>
      <name val="Calibri"/>
      <family val="2"/>
      <scheme val="minor"/>
    </font>
    <font>
      <b/>
      <sz val="11"/>
      <color rgb="FF000000"/>
      <name val="Google Sans"/>
    </font>
    <font>
      <b/>
      <sz val="14"/>
      <color rgb="FF000000"/>
      <name val="Google Sans"/>
    </font>
    <font>
      <sz val="14"/>
      <name val="Calibri"/>
      <family val="2"/>
    </font>
    <font>
      <b/>
      <sz val="14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Google Sans"/>
    </font>
    <font>
      <b/>
      <sz val="10"/>
      <color rgb="FFFF0000"/>
      <name val="Calibri"/>
      <family val="2"/>
      <scheme val="minor"/>
    </font>
    <font>
      <sz val="9"/>
      <color rgb="FF7030A0"/>
      <name val="Google Sans"/>
    </font>
    <font>
      <sz val="9"/>
      <color rgb="FF7030A0"/>
      <name val="Montserrat"/>
    </font>
    <font>
      <sz val="10"/>
      <color rgb="FF7030A0"/>
      <name val="Calibri"/>
      <family val="2"/>
      <scheme val="minor"/>
    </font>
    <font>
      <sz val="10"/>
      <color rgb="FF7030A0"/>
      <name val="Google Sans"/>
    </font>
    <font>
      <sz val="10"/>
      <color rgb="FF0070C0"/>
      <name val="Montserrat"/>
    </font>
    <font>
      <sz val="10"/>
      <color rgb="FF0070C0"/>
      <name val="Arial"/>
      <family val="2"/>
    </font>
    <font>
      <sz val="10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FF00FF"/>
        <bgColor rgb="FFFF00FF"/>
      </patternFill>
    </fill>
    <fill>
      <patternFill patternType="solid">
        <fgColor rgb="FFFFF258"/>
        <bgColor rgb="FFFFF25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F2CB"/>
        <bgColor rgb="FFFFF2CB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646A73"/>
        <bgColor rgb="FF646A73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8EAE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9CA2A9"/>
      </left>
      <right/>
      <top/>
      <bottom/>
      <diagonal/>
    </border>
    <border>
      <left style="thin">
        <color rgb="FF9CA2A9"/>
      </left>
      <right/>
      <top/>
      <bottom style="thin">
        <color rgb="FF9CA2A9"/>
      </bottom>
      <diagonal/>
    </border>
    <border>
      <left/>
      <right/>
      <top/>
      <bottom style="thin">
        <color rgb="FF9CA2A9"/>
      </bottom>
      <diagonal/>
    </border>
    <border>
      <left style="thin">
        <color rgb="FF9CA2A9"/>
      </left>
      <right/>
      <top/>
      <bottom style="thin">
        <color rgb="FF9CA2A9"/>
      </bottom>
      <diagonal/>
    </border>
    <border>
      <left/>
      <right style="thin">
        <color rgb="FF9CA2A9"/>
      </right>
      <top/>
      <bottom style="thin">
        <color rgb="FF9CA2A9"/>
      </bottom>
      <diagonal/>
    </border>
    <border>
      <left style="thin">
        <color rgb="FF9CA2A9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84E3F"/>
      </right>
      <top style="thin">
        <color rgb="FFFFFFFF"/>
      </top>
      <bottom/>
      <diagonal/>
    </border>
    <border>
      <left/>
      <right/>
      <top style="medium">
        <color rgb="FFC7C7C7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76" fillId="0" borderId="0" applyFont="0" applyFill="0" applyBorder="0" applyAlignment="0" applyProtection="0"/>
  </cellStyleXfs>
  <cellXfs count="1270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2" borderId="1" xfId="0" applyNumberFormat="1" applyFont="1" applyFill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41" fontId="2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2" fillId="0" borderId="0" xfId="0" applyNumberFormat="1" applyFont="1" applyAlignment="1"/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/>
    <xf numFmtId="2" fontId="2" fillId="0" borderId="0" xfId="0" applyNumberFormat="1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3" fontId="2" fillId="15" borderId="6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vertical="center"/>
    </xf>
    <xf numFmtId="43" fontId="2" fillId="0" borderId="6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 wrapText="1"/>
    </xf>
    <xf numFmtId="3" fontId="1" fillId="0" borderId="6" xfId="0" applyNumberFormat="1" applyFont="1" applyBorder="1" applyAlignment="1">
      <alignment vertical="center"/>
    </xf>
    <xf numFmtId="3" fontId="2" fillId="16" borderId="6" xfId="0" applyNumberFormat="1" applyFont="1" applyFill="1" applyBorder="1" applyAlignment="1">
      <alignment vertical="center"/>
    </xf>
    <xf numFmtId="3" fontId="2" fillId="0" borderId="6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7" fillId="0" borderId="6" xfId="0" applyFont="1" applyBorder="1" applyAlignment="1"/>
    <xf numFmtId="0" fontId="2" fillId="0" borderId="6" xfId="0" applyFont="1" applyBorder="1" applyAlignment="1">
      <alignment wrapText="1"/>
    </xf>
    <xf numFmtId="3" fontId="7" fillId="0" borderId="6" xfId="0" applyNumberFormat="1" applyFont="1" applyBorder="1" applyAlignment="1">
      <alignment vertical="center"/>
    </xf>
    <xf numFmtId="2" fontId="7" fillId="0" borderId="6" xfId="0" applyNumberFormat="1" applyFont="1" applyBorder="1" applyAlignment="1">
      <alignment vertical="center"/>
    </xf>
    <xf numFmtId="43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17" borderId="11" xfId="0" applyFont="1" applyFill="1" applyBorder="1" applyAlignment="1">
      <alignment horizontal="center" vertical="center"/>
    </xf>
    <xf numFmtId="0" fontId="7" fillId="0" borderId="9" xfId="0" applyFont="1" applyBorder="1" applyAlignment="1"/>
    <xf numFmtId="0" fontId="8" fillId="0" borderId="0" xfId="0" applyFont="1" applyAlignment="1">
      <alignment vertical="center"/>
    </xf>
    <xf numFmtId="9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2" fillId="18" borderId="11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3" fontId="11" fillId="0" borderId="6" xfId="0" applyNumberFormat="1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13" fillId="19" borderId="11" xfId="0" applyFont="1" applyFill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/>
    </xf>
    <xf numFmtId="0" fontId="14" fillId="21" borderId="6" xfId="0" applyFont="1" applyFill="1" applyBorder="1" applyAlignment="1">
      <alignment vertical="center"/>
    </xf>
    <xf numFmtId="0" fontId="15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3" fontId="7" fillId="0" borderId="6" xfId="0" applyNumberFormat="1" applyFont="1" applyBorder="1" applyAlignment="1"/>
    <xf numFmtId="3" fontId="1" fillId="0" borderId="6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vertical="center" wrapText="1"/>
    </xf>
    <xf numFmtId="164" fontId="2" fillId="0" borderId="0" xfId="0" applyNumberFormat="1" applyFont="1" applyAlignment="1"/>
    <xf numFmtId="164" fontId="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41" fontId="18" fillId="0" borderId="0" xfId="0" applyNumberFormat="1" applyFont="1" applyAlignment="1">
      <alignment vertical="center"/>
    </xf>
    <xf numFmtId="0" fontId="20" fillId="3" borderId="1" xfId="0" applyFont="1" applyFill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/>
    <xf numFmtId="0" fontId="23" fillId="0" borderId="0" xfId="0" applyFont="1" applyAlignment="1">
      <alignment vertical="center"/>
    </xf>
    <xf numFmtId="3" fontId="23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23" fillId="14" borderId="1" xfId="0" applyFont="1" applyFill="1" applyBorder="1" applyAlignment="1">
      <alignment vertical="center"/>
    </xf>
    <xf numFmtId="164" fontId="23" fillId="0" borderId="0" xfId="0" applyNumberFormat="1" applyFont="1" applyAlignment="1">
      <alignment vertical="center"/>
    </xf>
    <xf numFmtId="0" fontId="17" fillId="0" borderId="6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2" borderId="1" xfId="0" applyFont="1" applyFill="1" applyBorder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/>
    <xf numFmtId="0" fontId="19" fillId="0" borderId="6" xfId="0" applyFont="1" applyBorder="1" applyAlignment="1"/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vertical="center"/>
    </xf>
    <xf numFmtId="164" fontId="17" fillId="0" borderId="6" xfId="0" applyNumberFormat="1" applyFont="1" applyBorder="1" applyAlignment="1">
      <alignment vertical="center"/>
    </xf>
    <xf numFmtId="164" fontId="17" fillId="0" borderId="3" xfId="0" applyNumberFormat="1" applyFont="1" applyBorder="1" applyAlignment="1">
      <alignment vertical="center"/>
    </xf>
    <xf numFmtId="3" fontId="23" fillId="0" borderId="6" xfId="0" applyNumberFormat="1" applyFont="1" applyBorder="1" applyAlignment="1">
      <alignment vertical="center"/>
    </xf>
    <xf numFmtId="3" fontId="20" fillId="0" borderId="6" xfId="0" applyNumberFormat="1" applyFont="1" applyBorder="1" applyAlignment="1">
      <alignment vertical="center"/>
    </xf>
    <xf numFmtId="2" fontId="20" fillId="0" borderId="6" xfId="0" applyNumberFormat="1" applyFont="1" applyBorder="1" applyAlignment="1">
      <alignment vertical="center"/>
    </xf>
    <xf numFmtId="43" fontId="20" fillId="0" borderId="6" xfId="0" applyNumberFormat="1" applyFont="1" applyBorder="1" applyAlignment="1">
      <alignment horizontal="right" vertical="center"/>
    </xf>
    <xf numFmtId="164" fontId="20" fillId="0" borderId="6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4" fillId="0" borderId="0" xfId="0" quotePrefix="1" applyFont="1" applyAlignment="1"/>
    <xf numFmtId="0" fontId="18" fillId="0" borderId="0" xfId="0" quotePrefix="1" applyFont="1" applyAlignment="1">
      <alignment horizontal="center"/>
    </xf>
    <xf numFmtId="0" fontId="18" fillId="0" borderId="0" xfId="0" applyFont="1" applyAlignment="1"/>
    <xf numFmtId="43" fontId="20" fillId="0" borderId="6" xfId="0" applyNumberFormat="1" applyFont="1" applyBorder="1" applyAlignment="1">
      <alignment vertical="center"/>
    </xf>
    <xf numFmtId="164" fontId="18" fillId="0" borderId="6" xfId="0" applyNumberFormat="1" applyFont="1" applyBorder="1" applyAlignment="1">
      <alignment vertical="center"/>
    </xf>
    <xf numFmtId="3" fontId="17" fillId="0" borderId="6" xfId="0" applyNumberFormat="1" applyFont="1" applyBorder="1" applyAlignment="1">
      <alignment vertical="center"/>
    </xf>
    <xf numFmtId="3" fontId="18" fillId="0" borderId="6" xfId="0" applyNumberFormat="1" applyFont="1" applyBorder="1" applyAlignment="1">
      <alignment vertical="center"/>
    </xf>
    <xf numFmtId="2" fontId="18" fillId="0" borderId="6" xfId="0" applyNumberFormat="1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3" fontId="17" fillId="0" borderId="0" xfId="0" applyNumberFormat="1" applyFont="1" applyAlignment="1">
      <alignment vertical="center"/>
    </xf>
    <xf numFmtId="9" fontId="21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vertical="center" wrapText="1"/>
    </xf>
    <xf numFmtId="3" fontId="18" fillId="17" borderId="6" xfId="0" applyNumberFormat="1" applyFont="1" applyFill="1" applyBorder="1" applyAlignment="1">
      <alignment vertical="center"/>
    </xf>
    <xf numFmtId="0" fontId="18" fillId="17" borderId="6" xfId="0" applyFont="1" applyFill="1" applyBorder="1" applyAlignment="1"/>
    <xf numFmtId="0" fontId="18" fillId="17" borderId="17" xfId="0" applyFont="1" applyFill="1" applyBorder="1" applyAlignment="1"/>
    <xf numFmtId="0" fontId="20" fillId="17" borderId="6" xfId="0" applyFont="1" applyFill="1" applyBorder="1" applyAlignment="1">
      <alignment vertical="center" wrapText="1"/>
    </xf>
    <xf numFmtId="3" fontId="20" fillId="0" borderId="6" xfId="0" applyNumberFormat="1" applyFont="1" applyBorder="1" applyAlignment="1">
      <alignment horizontal="right" vertical="center"/>
    </xf>
    <xf numFmtId="164" fontId="21" fillId="0" borderId="6" xfId="0" applyNumberFormat="1" applyFont="1" applyBorder="1" applyAlignment="1">
      <alignment vertical="center"/>
    </xf>
    <xf numFmtId="3" fontId="24" fillId="0" borderId="0" xfId="0" applyNumberFormat="1" applyFont="1" applyAlignment="1">
      <alignment horizontal="left"/>
    </xf>
    <xf numFmtId="3" fontId="20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3" fontId="21" fillId="0" borderId="6" xfId="0" applyNumberFormat="1" applyFont="1" applyBorder="1" applyAlignment="1">
      <alignment vertical="center"/>
    </xf>
    <xf numFmtId="0" fontId="18" fillId="0" borderId="6" xfId="0" applyFont="1" applyBorder="1" applyAlignment="1">
      <alignment vertical="center" wrapText="1"/>
    </xf>
    <xf numFmtId="2" fontId="21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3" fontId="22" fillId="2" borderId="6" xfId="0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3" fontId="26" fillId="0" borderId="0" xfId="0" applyNumberFormat="1" applyFont="1" applyAlignment="1">
      <alignment vertical="center"/>
    </xf>
    <xf numFmtId="164" fontId="26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3" fontId="28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2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3" fontId="31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67" fontId="26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6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vertical="center"/>
    </xf>
    <xf numFmtId="164" fontId="35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0" fontId="26" fillId="17" borderId="1" xfId="0" applyFont="1" applyFill="1" applyBorder="1" applyAlignment="1">
      <alignment vertical="center"/>
    </xf>
    <xf numFmtId="41" fontId="18" fillId="0" borderId="0" xfId="0" applyNumberFormat="1" applyFont="1" applyAlignment="1">
      <alignment horizontal="center" vertical="center"/>
    </xf>
    <xf numFmtId="41" fontId="18" fillId="0" borderId="0" xfId="0" applyNumberFormat="1" applyFont="1" applyAlignment="1">
      <alignment horizontal="left" vertical="center"/>
    </xf>
    <xf numFmtId="41" fontId="18" fillId="0" borderId="0" xfId="0" applyNumberFormat="1" applyFont="1" applyAlignment="1">
      <alignment horizontal="right" vertical="center"/>
    </xf>
    <xf numFmtId="41" fontId="41" fillId="0" borderId="2" xfId="0" applyNumberFormat="1" applyFont="1" applyBorder="1" applyAlignment="1">
      <alignment vertical="center"/>
    </xf>
    <xf numFmtId="41" fontId="17" fillId="0" borderId="6" xfId="0" applyNumberFormat="1" applyFont="1" applyBorder="1" applyAlignment="1">
      <alignment horizontal="center" vertical="center"/>
    </xf>
    <xf numFmtId="41" fontId="23" fillId="0" borderId="18" xfId="0" applyNumberFormat="1" applyFont="1" applyBorder="1" applyAlignment="1">
      <alignment horizontal="center" vertical="center"/>
    </xf>
    <xf numFmtId="41" fontId="41" fillId="0" borderId="18" xfId="0" applyNumberFormat="1" applyFont="1" applyBorder="1" applyAlignment="1">
      <alignment vertical="center"/>
    </xf>
    <xf numFmtId="0" fontId="23" fillId="0" borderId="18" xfId="0" applyFont="1" applyBorder="1" applyAlignment="1">
      <alignment horizontal="center" vertical="center"/>
    </xf>
    <xf numFmtId="168" fontId="17" fillId="0" borderId="6" xfId="0" applyNumberFormat="1" applyFont="1" applyBorder="1" applyAlignment="1">
      <alignment horizontal="center" vertical="center"/>
    </xf>
    <xf numFmtId="9" fontId="17" fillId="0" borderId="6" xfId="0" applyNumberFormat="1" applyFont="1" applyBorder="1" applyAlignment="1">
      <alignment horizontal="center" vertical="center"/>
    </xf>
    <xf numFmtId="168" fontId="23" fillId="0" borderId="18" xfId="0" applyNumberFormat="1" applyFont="1" applyBorder="1" applyAlignment="1">
      <alignment horizontal="center" vertical="center"/>
    </xf>
    <xf numFmtId="9" fontId="23" fillId="0" borderId="18" xfId="0" applyNumberFormat="1" applyFont="1" applyBorder="1" applyAlignment="1">
      <alignment horizontal="center" vertical="center"/>
    </xf>
    <xf numFmtId="41" fontId="18" fillId="0" borderId="6" xfId="0" applyNumberFormat="1" applyFont="1" applyBorder="1" applyAlignment="1">
      <alignment horizontal="center" vertical="center"/>
    </xf>
    <xf numFmtId="41" fontId="18" fillId="0" borderId="6" xfId="0" applyNumberFormat="1" applyFont="1" applyBorder="1" applyAlignment="1">
      <alignment horizontal="left" vertical="center"/>
    </xf>
    <xf numFmtId="41" fontId="18" fillId="0" borderId="3" xfId="0" applyNumberFormat="1" applyFont="1" applyBorder="1" applyAlignment="1">
      <alignment horizontal="left" vertical="center"/>
    </xf>
    <xf numFmtId="41" fontId="18" fillId="0" borderId="6" xfId="0" applyNumberFormat="1" applyFont="1" applyBorder="1" applyAlignment="1">
      <alignment vertical="center"/>
    </xf>
    <xf numFmtId="41" fontId="20" fillId="0" borderId="9" xfId="0" applyNumberFormat="1" applyFont="1" applyBorder="1" applyAlignment="1">
      <alignment horizontal="center" vertical="center"/>
    </xf>
    <xf numFmtId="41" fontId="20" fillId="0" borderId="18" xfId="0" applyNumberFormat="1" applyFont="1" applyBorder="1" applyAlignment="1">
      <alignment vertical="center"/>
    </xf>
    <xf numFmtId="0" fontId="20" fillId="0" borderId="18" xfId="0" applyFont="1" applyBorder="1" applyAlignment="1">
      <alignment horizontal="center"/>
    </xf>
    <xf numFmtId="0" fontId="20" fillId="0" borderId="18" xfId="0" applyFont="1" applyBorder="1" applyAlignment="1"/>
    <xf numFmtId="41" fontId="20" fillId="0" borderId="18" xfId="0" applyNumberFormat="1" applyFont="1" applyBorder="1" applyAlignment="1">
      <alignment horizontal="right" vertical="center"/>
    </xf>
    <xf numFmtId="164" fontId="20" fillId="0" borderId="18" xfId="0" applyNumberFormat="1" applyFont="1" applyBorder="1" applyAlignment="1">
      <alignment horizontal="right" vertical="center"/>
    </xf>
    <xf numFmtId="0" fontId="41" fillId="0" borderId="22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41" fontId="18" fillId="17" borderId="6" xfId="0" applyNumberFormat="1" applyFont="1" applyFill="1" applyBorder="1" applyAlignment="1">
      <alignment horizontal="left" vertical="center" wrapText="1"/>
    </xf>
    <xf numFmtId="41" fontId="17" fillId="0" borderId="6" xfId="0" applyNumberFormat="1" applyFont="1" applyBorder="1" applyAlignment="1">
      <alignment horizontal="right" vertical="center"/>
    </xf>
    <xf numFmtId="0" fontId="41" fillId="0" borderId="18" xfId="0" applyFont="1" applyBorder="1" applyAlignment="1">
      <alignment vertical="center"/>
    </xf>
    <xf numFmtId="3" fontId="41" fillId="0" borderId="0" xfId="0" applyNumberFormat="1" applyFont="1" applyAlignment="1">
      <alignment vertical="center"/>
    </xf>
    <xf numFmtId="41" fontId="18" fillId="0" borderId="6" xfId="0" applyNumberFormat="1" applyFont="1" applyBorder="1" applyAlignment="1">
      <alignment horizontal="right" vertical="center"/>
    </xf>
    <xf numFmtId="41" fontId="17" fillId="0" borderId="6" xfId="0" applyNumberFormat="1" applyFont="1" applyBorder="1" applyAlignment="1">
      <alignment horizontal="center" vertical="center" wrapText="1"/>
    </xf>
    <xf numFmtId="41" fontId="17" fillId="0" borderId="0" xfId="0" applyNumberFormat="1" applyFont="1" applyAlignment="1">
      <alignment horizontal="center" vertical="center" wrapText="1"/>
    </xf>
    <xf numFmtId="41" fontId="17" fillId="0" borderId="0" xfId="0" applyNumberFormat="1" applyFont="1" applyAlignment="1">
      <alignment horizontal="right" vertical="center"/>
    </xf>
    <xf numFmtId="41" fontId="17" fillId="0" borderId="0" xfId="0" applyNumberFormat="1" applyFont="1" applyAlignment="1">
      <alignment vertical="center"/>
    </xf>
    <xf numFmtId="41" fontId="41" fillId="0" borderId="0" xfId="0" applyNumberFormat="1" applyFont="1" applyAlignment="1">
      <alignment vertical="center"/>
    </xf>
    <xf numFmtId="3" fontId="41" fillId="0" borderId="0" xfId="0" applyNumberFormat="1" applyFont="1" applyAlignment="1">
      <alignment horizontal="center" vertical="center"/>
    </xf>
    <xf numFmtId="41" fontId="46" fillId="0" borderId="0" xfId="0" applyNumberFormat="1" applyFont="1" applyAlignment="1">
      <alignment horizontal="center" vertical="center"/>
    </xf>
    <xf numFmtId="41" fontId="46" fillId="0" borderId="0" xfId="0" applyNumberFormat="1" applyFont="1" applyAlignment="1">
      <alignment horizontal="left" vertical="center"/>
    </xf>
    <xf numFmtId="41" fontId="46" fillId="0" borderId="0" xfId="0" applyNumberFormat="1" applyFont="1" applyAlignment="1">
      <alignment horizontal="right" vertical="center"/>
    </xf>
    <xf numFmtId="41" fontId="18" fillId="26" borderId="1" xfId="0" applyNumberFormat="1" applyFont="1" applyFill="1" applyBorder="1" applyAlignment="1">
      <alignment horizontal="right" vertical="center"/>
    </xf>
    <xf numFmtId="41" fontId="17" fillId="0" borderId="6" xfId="0" applyNumberFormat="1" applyFont="1" applyBorder="1" applyAlignment="1">
      <alignment horizontal="left" vertical="center"/>
    </xf>
    <xf numFmtId="41" fontId="17" fillId="0" borderId="7" xfId="0" applyNumberFormat="1" applyFont="1" applyBorder="1" applyAlignment="1">
      <alignment horizontal="left" vertical="center"/>
    </xf>
    <xf numFmtId="41" fontId="17" fillId="0" borderId="6" xfId="0" applyNumberFormat="1" applyFont="1" applyBorder="1" applyAlignment="1">
      <alignment horizontal="right" vertical="center" wrapText="1"/>
    </xf>
    <xf numFmtId="9" fontId="17" fillId="0" borderId="3" xfId="0" applyNumberFormat="1" applyFont="1" applyBorder="1" applyAlignment="1">
      <alignment horizontal="center" vertical="center"/>
    </xf>
    <xf numFmtId="41" fontId="18" fillId="0" borderId="6" xfId="0" applyNumberFormat="1" applyFont="1" applyBorder="1" applyAlignment="1">
      <alignment horizontal="center" vertical="center"/>
    </xf>
    <xf numFmtId="41" fontId="31" fillId="0" borderId="0" xfId="0" applyNumberFormat="1" applyFont="1" applyAlignment="1">
      <alignment horizontal="left" vertical="center"/>
    </xf>
    <xf numFmtId="41" fontId="31" fillId="0" borderId="0" xfId="0" applyNumberFormat="1" applyFont="1" applyAlignment="1">
      <alignment vertical="center"/>
    </xf>
    <xf numFmtId="41" fontId="47" fillId="0" borderId="0" xfId="0" applyNumberFormat="1" applyFont="1" applyAlignment="1">
      <alignment vertical="center"/>
    </xf>
    <xf numFmtId="41" fontId="46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48" fillId="0" borderId="0" xfId="0" applyFont="1" applyAlignment="1">
      <alignment vertical="center"/>
    </xf>
    <xf numFmtId="0" fontId="21" fillId="0" borderId="6" xfId="0" applyFont="1" applyBorder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164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165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 wrapText="1"/>
    </xf>
    <xf numFmtId="0" fontId="33" fillId="2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0" fontId="31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vertical="center"/>
    </xf>
    <xf numFmtId="164" fontId="31" fillId="0" borderId="0" xfId="0" applyNumberFormat="1" applyFont="1" applyAlignment="1">
      <alignment vertical="center"/>
    </xf>
    <xf numFmtId="166" fontId="46" fillId="0" borderId="0" xfId="0" applyNumberFormat="1" applyFont="1" applyAlignment="1">
      <alignment vertical="center"/>
    </xf>
    <xf numFmtId="0" fontId="32" fillId="3" borderId="1" xfId="0" applyFont="1" applyFill="1" applyBorder="1" applyAlignment="1">
      <alignment vertical="center"/>
    </xf>
    <xf numFmtId="3" fontId="32" fillId="0" borderId="0" xfId="0" applyNumberFormat="1" applyFont="1" applyAlignment="1">
      <alignment vertical="center"/>
    </xf>
    <xf numFmtId="3" fontId="28" fillId="0" borderId="0" xfId="0" applyNumberFormat="1" applyFont="1" applyAlignment="1"/>
    <xf numFmtId="0" fontId="51" fillId="0" borderId="0" xfId="0" applyFont="1" applyAlignment="1">
      <alignment vertical="center"/>
    </xf>
    <xf numFmtId="3" fontId="51" fillId="0" borderId="0" xfId="0" applyNumberFormat="1" applyFont="1" applyAlignment="1">
      <alignment vertical="center"/>
    </xf>
    <xf numFmtId="164" fontId="32" fillId="0" borderId="0" xfId="0" applyNumberFormat="1" applyFont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51" fillId="14" borderId="1" xfId="0" applyFont="1" applyFill="1" applyBorder="1" applyAlignment="1">
      <alignment vertical="center"/>
    </xf>
    <xf numFmtId="164" fontId="51" fillId="0" borderId="0" xfId="0" applyNumberFormat="1" applyFont="1" applyAlignment="1">
      <alignment vertical="center"/>
    </xf>
    <xf numFmtId="0" fontId="31" fillId="0" borderId="6" xfId="0" applyFont="1" applyBorder="1" applyAlignment="1">
      <alignment vertical="center" wrapText="1"/>
    </xf>
    <xf numFmtId="0" fontId="49" fillId="0" borderId="6" xfId="0" applyFont="1" applyBorder="1" applyAlignment="1">
      <alignment vertical="center" wrapText="1"/>
    </xf>
    <xf numFmtId="0" fontId="46" fillId="0" borderId="6" xfId="0" applyFont="1" applyBorder="1" applyAlignment="1">
      <alignment vertical="center" wrapText="1"/>
    </xf>
    <xf numFmtId="0" fontId="46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46" fillId="0" borderId="6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wrapText="1"/>
    </xf>
    <xf numFmtId="0" fontId="3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/>
    </xf>
    <xf numFmtId="0" fontId="46" fillId="0" borderId="6" xfId="0" applyFont="1" applyBorder="1" applyAlignment="1"/>
    <xf numFmtId="0" fontId="49" fillId="0" borderId="6" xfId="0" applyFont="1" applyBorder="1" applyAlignment="1"/>
    <xf numFmtId="0" fontId="4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2" fontId="28" fillId="0" borderId="0" xfId="0" applyNumberFormat="1" applyFont="1" applyAlignment="1">
      <alignment vertical="center"/>
    </xf>
    <xf numFmtId="0" fontId="32" fillId="22" borderId="6" xfId="0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164" fontId="31" fillId="0" borderId="6" xfId="0" applyNumberFormat="1" applyFont="1" applyBorder="1" applyAlignment="1">
      <alignment vertical="center"/>
    </xf>
    <xf numFmtId="164" fontId="31" fillId="0" borderId="3" xfId="0" applyNumberFormat="1" applyFont="1" applyBorder="1" applyAlignment="1">
      <alignment vertical="center"/>
    </xf>
    <xf numFmtId="3" fontId="51" fillId="0" borderId="6" xfId="0" applyNumberFormat="1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2" fontId="32" fillId="0" borderId="6" xfId="0" applyNumberFormat="1" applyFont="1" applyBorder="1" applyAlignment="1">
      <alignment vertical="center"/>
    </xf>
    <xf numFmtId="43" fontId="32" fillId="0" borderId="6" xfId="0" applyNumberFormat="1" applyFont="1" applyBorder="1" applyAlignment="1">
      <alignment horizontal="right" vertical="center"/>
    </xf>
    <xf numFmtId="0" fontId="32" fillId="0" borderId="7" xfId="0" applyFont="1" applyBorder="1" applyAlignment="1">
      <alignment vertical="center"/>
    </xf>
    <xf numFmtId="164" fontId="32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 wrapText="1"/>
    </xf>
    <xf numFmtId="2" fontId="32" fillId="0" borderId="0" xfId="0" applyNumberFormat="1" applyFont="1" applyAlignment="1">
      <alignment vertical="center" wrapText="1"/>
    </xf>
    <xf numFmtId="3" fontId="33" fillId="2" borderId="1" xfId="0" applyNumberFormat="1" applyFont="1" applyFill="1" applyBorder="1" applyAlignment="1">
      <alignment vertical="center"/>
    </xf>
    <xf numFmtId="3" fontId="51" fillId="0" borderId="0" xfId="0" applyNumberFormat="1" applyFont="1" applyAlignment="1">
      <alignment vertical="center" wrapText="1"/>
    </xf>
    <xf numFmtId="3" fontId="52" fillId="0" borderId="0" xfId="0" applyNumberFormat="1" applyFont="1" applyAlignment="1"/>
    <xf numFmtId="0" fontId="52" fillId="0" borderId="0" xfId="0" quotePrefix="1" applyFont="1" applyAlignment="1"/>
    <xf numFmtId="0" fontId="52" fillId="0" borderId="0" xfId="0" applyFont="1" applyAlignment="1"/>
    <xf numFmtId="0" fontId="32" fillId="0" borderId="6" xfId="0" applyFont="1" applyBorder="1" applyAlignment="1">
      <alignment vertical="center" wrapText="1"/>
    </xf>
    <xf numFmtId="3" fontId="53" fillId="0" borderId="0" xfId="0" applyNumberFormat="1" applyFont="1" applyAlignment="1"/>
    <xf numFmtId="0" fontId="53" fillId="0" borderId="0" xfId="0" quotePrefix="1" applyFont="1" applyAlignment="1">
      <alignment horizontal="center"/>
    </xf>
    <xf numFmtId="3" fontId="54" fillId="0" borderId="6" xfId="0" applyNumberFormat="1" applyFont="1" applyBorder="1" applyAlignment="1">
      <alignment vertical="center"/>
    </xf>
    <xf numFmtId="164" fontId="32" fillId="0" borderId="7" xfId="0" applyNumberFormat="1" applyFont="1" applyBorder="1" applyAlignment="1">
      <alignment vertical="center"/>
    </xf>
    <xf numFmtId="0" fontId="32" fillId="0" borderId="7" xfId="0" applyFont="1" applyBorder="1" applyAlignment="1">
      <alignment vertical="center" wrapText="1"/>
    </xf>
    <xf numFmtId="0" fontId="28" fillId="9" borderId="6" xfId="0" applyFont="1" applyFill="1" applyBorder="1" applyAlignment="1">
      <alignment vertical="center"/>
    </xf>
    <xf numFmtId="9" fontId="32" fillId="0" borderId="6" xfId="0" applyNumberFormat="1" applyFont="1" applyBorder="1" applyAlignment="1">
      <alignment horizontal="center" vertical="center"/>
    </xf>
    <xf numFmtId="0" fontId="55" fillId="0" borderId="6" xfId="0" applyFont="1" applyBorder="1" applyAlignment="1">
      <alignment vertical="center"/>
    </xf>
    <xf numFmtId="164" fontId="51" fillId="0" borderId="6" xfId="0" applyNumberFormat="1" applyFont="1" applyBorder="1" applyAlignment="1">
      <alignment vertical="center"/>
    </xf>
    <xf numFmtId="2" fontId="32" fillId="0" borderId="6" xfId="0" applyNumberFormat="1" applyFont="1" applyBorder="1" applyAlignment="1">
      <alignment horizontal="center" vertical="center"/>
    </xf>
    <xf numFmtId="3" fontId="51" fillId="17" borderId="6" xfId="0" applyNumberFormat="1" applyFont="1" applyFill="1" applyBorder="1" applyAlignment="1">
      <alignment vertical="center"/>
    </xf>
    <xf numFmtId="0" fontId="53" fillId="0" borderId="0" xfId="0" applyFont="1" applyAlignment="1"/>
    <xf numFmtId="0" fontId="52" fillId="0" borderId="0" xfId="0" applyFont="1" applyAlignment="1">
      <alignment vertical="center"/>
    </xf>
    <xf numFmtId="43" fontId="32" fillId="0" borderId="6" xfId="0" applyNumberFormat="1" applyFont="1" applyBorder="1" applyAlignment="1">
      <alignment vertical="center"/>
    </xf>
    <xf numFmtId="0" fontId="32" fillId="0" borderId="6" xfId="0" applyFont="1" applyBorder="1" applyAlignment="1"/>
    <xf numFmtId="0" fontId="46" fillId="0" borderId="6" xfId="0" applyFont="1" applyBorder="1" applyAlignment="1">
      <alignment wrapText="1"/>
    </xf>
    <xf numFmtId="9" fontId="46" fillId="0" borderId="6" xfId="0" applyNumberFormat="1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64" fontId="46" fillId="0" borderId="6" xfId="0" applyNumberFormat="1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3" fontId="46" fillId="0" borderId="6" xfId="0" applyNumberFormat="1" applyFont="1" applyBorder="1" applyAlignment="1">
      <alignment vertical="center"/>
    </xf>
    <xf numFmtId="2" fontId="46" fillId="0" borderId="6" xfId="0" applyNumberFormat="1" applyFont="1" applyBorder="1" applyAlignment="1">
      <alignment vertical="center"/>
    </xf>
    <xf numFmtId="43" fontId="46" fillId="0" borderId="6" xfId="0" applyNumberFormat="1" applyFont="1" applyBorder="1" applyAlignment="1">
      <alignment vertical="center"/>
    </xf>
    <xf numFmtId="0" fontId="46" fillId="0" borderId="6" xfId="0" applyFont="1" applyBorder="1" applyAlignment="1">
      <alignment vertical="center"/>
    </xf>
    <xf numFmtId="0" fontId="46" fillId="0" borderId="3" xfId="0" applyFont="1" applyBorder="1" applyAlignment="1">
      <alignment vertical="center" wrapText="1"/>
    </xf>
    <xf numFmtId="9" fontId="28" fillId="0" borderId="6" xfId="0" applyNumberFormat="1" applyFont="1" applyBorder="1" applyAlignment="1">
      <alignment horizontal="center" vertical="center"/>
    </xf>
    <xf numFmtId="0" fontId="56" fillId="0" borderId="6" xfId="0" applyFont="1" applyBorder="1" applyAlignment="1">
      <alignment vertical="center" wrapText="1"/>
    </xf>
    <xf numFmtId="0" fontId="46" fillId="17" borderId="16" xfId="0" applyFont="1" applyFill="1" applyBorder="1" applyAlignment="1">
      <alignment vertical="center" wrapText="1"/>
    </xf>
    <xf numFmtId="3" fontId="31" fillId="2" borderId="6" xfId="0" applyNumberFormat="1" applyFont="1" applyFill="1" applyBorder="1" applyAlignment="1">
      <alignment vertical="center"/>
    </xf>
    <xf numFmtId="0" fontId="46" fillId="17" borderId="6" xfId="0" applyFont="1" applyFill="1" applyBorder="1" applyAlignment="1"/>
    <xf numFmtId="0" fontId="32" fillId="17" borderId="6" xfId="0" applyFont="1" applyFill="1" applyBorder="1" applyAlignment="1">
      <alignment vertical="center"/>
    </xf>
    <xf numFmtId="9" fontId="28" fillId="17" borderId="6" xfId="0" applyNumberFormat="1" applyFont="1" applyFill="1" applyBorder="1" applyAlignment="1">
      <alignment horizontal="center" vertical="center"/>
    </xf>
    <xf numFmtId="0" fontId="32" fillId="17" borderId="6" xfId="0" applyFont="1" applyFill="1" applyBorder="1" applyAlignment="1">
      <alignment horizontal="center" vertical="center"/>
    </xf>
    <xf numFmtId="164" fontId="46" fillId="17" borderId="6" xfId="0" applyNumberFormat="1" applyFont="1" applyFill="1" applyBorder="1" applyAlignment="1">
      <alignment vertical="center"/>
    </xf>
    <xf numFmtId="164" fontId="28" fillId="17" borderId="6" xfId="0" applyNumberFormat="1" applyFont="1" applyFill="1" applyBorder="1" applyAlignment="1">
      <alignment vertical="center"/>
    </xf>
    <xf numFmtId="3" fontId="31" fillId="2" borderId="6" xfId="0" applyNumberFormat="1" applyFont="1" applyFill="1" applyBorder="1" applyAlignment="1">
      <alignment horizontal="right" vertical="center"/>
    </xf>
    <xf numFmtId="3" fontId="31" fillId="0" borderId="6" xfId="0" applyNumberFormat="1" applyFont="1" applyBorder="1" applyAlignment="1">
      <alignment horizontal="right" vertical="center"/>
    </xf>
    <xf numFmtId="3" fontId="46" fillId="17" borderId="6" xfId="0" applyNumberFormat="1" applyFont="1" applyFill="1" applyBorder="1" applyAlignment="1">
      <alignment vertical="center"/>
    </xf>
    <xf numFmtId="3" fontId="32" fillId="17" borderId="6" xfId="0" applyNumberFormat="1" applyFont="1" applyFill="1" applyBorder="1" applyAlignment="1">
      <alignment vertical="center"/>
    </xf>
    <xf numFmtId="2" fontId="32" fillId="17" borderId="6" xfId="0" applyNumberFormat="1" applyFont="1" applyFill="1" applyBorder="1" applyAlignment="1">
      <alignment vertical="center"/>
    </xf>
    <xf numFmtId="2" fontId="28" fillId="17" borderId="6" xfId="0" applyNumberFormat="1" applyFont="1" applyFill="1" applyBorder="1" applyAlignment="1">
      <alignment vertical="center"/>
    </xf>
    <xf numFmtId="43" fontId="28" fillId="17" borderId="6" xfId="0" applyNumberFormat="1" applyFont="1" applyFill="1" applyBorder="1" applyAlignment="1">
      <alignment vertical="center"/>
    </xf>
    <xf numFmtId="3" fontId="31" fillId="17" borderId="6" xfId="0" applyNumberFormat="1" applyFont="1" applyFill="1" applyBorder="1" applyAlignment="1">
      <alignment vertical="center"/>
    </xf>
    <xf numFmtId="3" fontId="28" fillId="17" borderId="6" xfId="0" applyNumberFormat="1" applyFont="1" applyFill="1" applyBorder="1" applyAlignment="1">
      <alignment vertical="center"/>
    </xf>
    <xf numFmtId="3" fontId="32" fillId="9" borderId="6" xfId="0" applyNumberFormat="1" applyFont="1" applyFill="1" applyBorder="1" applyAlignment="1">
      <alignment vertical="center"/>
    </xf>
    <xf numFmtId="0" fontId="28" fillId="17" borderId="6" xfId="0" applyFont="1" applyFill="1" applyBorder="1" applyAlignment="1">
      <alignment vertical="center"/>
    </xf>
    <xf numFmtId="164" fontId="32" fillId="17" borderId="6" xfId="0" applyNumberFormat="1" applyFont="1" applyFill="1" applyBorder="1" applyAlignment="1">
      <alignment vertical="center"/>
    </xf>
    <xf numFmtId="0" fontId="28" fillId="17" borderId="6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3" fontId="31" fillId="17" borderId="1" xfId="0" applyNumberFormat="1" applyFont="1" applyFill="1" applyBorder="1" applyAlignment="1">
      <alignment vertical="center"/>
    </xf>
    <xf numFmtId="3" fontId="52" fillId="17" borderId="1" xfId="0" applyNumberFormat="1" applyFont="1" applyFill="1" applyBorder="1" applyAlignment="1"/>
    <xf numFmtId="0" fontId="52" fillId="17" borderId="1" xfId="0" quotePrefix="1" applyFont="1" applyFill="1" applyBorder="1" applyAlignment="1"/>
    <xf numFmtId="0" fontId="52" fillId="17" borderId="1" xfId="0" applyFont="1" applyFill="1" applyBorder="1" applyAlignment="1"/>
    <xf numFmtId="0" fontId="32" fillId="17" borderId="1" xfId="0" applyFont="1" applyFill="1" applyBorder="1" applyAlignment="1">
      <alignment vertical="center"/>
    </xf>
    <xf numFmtId="0" fontId="46" fillId="17" borderId="17" xfId="0" applyFont="1" applyFill="1" applyBorder="1" applyAlignment="1"/>
    <xf numFmtId="0" fontId="46" fillId="17" borderId="1" xfId="0" applyFont="1" applyFill="1" applyBorder="1" applyAlignment="1">
      <alignment vertical="center"/>
    </xf>
    <xf numFmtId="0" fontId="46" fillId="17" borderId="6" xfId="0" applyFont="1" applyFill="1" applyBorder="1" applyAlignment="1">
      <alignment vertical="center"/>
    </xf>
    <xf numFmtId="2" fontId="46" fillId="17" borderId="6" xfId="0" applyNumberFormat="1" applyFont="1" applyFill="1" applyBorder="1" applyAlignment="1">
      <alignment vertical="center"/>
    </xf>
    <xf numFmtId="0" fontId="46" fillId="17" borderId="6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32" fillId="17" borderId="6" xfId="0" applyFont="1" applyFill="1" applyBorder="1" applyAlignment="1">
      <alignment vertical="center" wrapText="1"/>
    </xf>
    <xf numFmtId="3" fontId="26" fillId="17" borderId="6" xfId="0" applyNumberFormat="1" applyFont="1" applyFill="1" applyBorder="1" applyAlignment="1">
      <alignment vertical="center"/>
    </xf>
    <xf numFmtId="164" fontId="28" fillId="17" borderId="6" xfId="0" applyNumberFormat="1" applyFont="1" applyFill="1" applyBorder="1" applyAlignment="1">
      <alignment horizontal="right" vertical="center"/>
    </xf>
    <xf numFmtId="3" fontId="31" fillId="17" borderId="6" xfId="0" applyNumberFormat="1" applyFont="1" applyFill="1" applyBorder="1" applyAlignment="1">
      <alignment horizontal="right" vertical="center"/>
    </xf>
    <xf numFmtId="3" fontId="51" fillId="17" borderId="6" xfId="0" applyNumberFormat="1" applyFont="1" applyFill="1" applyBorder="1" applyAlignment="1">
      <alignment horizontal="right" vertical="center"/>
    </xf>
    <xf numFmtId="2" fontId="32" fillId="17" borderId="6" xfId="0" applyNumberFormat="1" applyFont="1" applyFill="1" applyBorder="1" applyAlignment="1">
      <alignment horizontal="right" vertical="center"/>
    </xf>
    <xf numFmtId="2" fontId="26" fillId="17" borderId="6" xfId="0" applyNumberFormat="1" applyFont="1" applyFill="1" applyBorder="1" applyAlignment="1">
      <alignment vertical="center"/>
    </xf>
    <xf numFmtId="43" fontId="28" fillId="17" borderId="6" xfId="0" applyNumberFormat="1" applyFont="1" applyFill="1" applyBorder="1" applyAlignment="1">
      <alignment horizontal="right" vertical="center"/>
    </xf>
    <xf numFmtId="3" fontId="46" fillId="17" borderId="6" xfId="0" applyNumberFormat="1" applyFont="1" applyFill="1" applyBorder="1" applyAlignment="1">
      <alignment horizontal="right" vertical="center"/>
    </xf>
    <xf numFmtId="3" fontId="32" fillId="17" borderId="6" xfId="0" applyNumberFormat="1" applyFont="1" applyFill="1" applyBorder="1" applyAlignment="1">
      <alignment horizontal="right" vertical="center"/>
    </xf>
    <xf numFmtId="0" fontId="26" fillId="17" borderId="6" xfId="0" applyFont="1" applyFill="1" applyBorder="1" applyAlignment="1">
      <alignment vertical="center"/>
    </xf>
    <xf numFmtId="164" fontId="26" fillId="17" borderId="6" xfId="0" applyNumberFormat="1" applyFont="1" applyFill="1" applyBorder="1" applyAlignment="1">
      <alignment vertical="center"/>
    </xf>
    <xf numFmtId="164" fontId="32" fillId="17" borderId="6" xfId="0" applyNumberFormat="1" applyFont="1" applyFill="1" applyBorder="1" applyAlignment="1">
      <alignment horizontal="right" vertical="center"/>
    </xf>
    <xf numFmtId="3" fontId="28" fillId="17" borderId="6" xfId="0" applyNumberFormat="1" applyFont="1" applyFill="1" applyBorder="1" applyAlignment="1">
      <alignment horizontal="right" vertical="center"/>
    </xf>
    <xf numFmtId="3" fontId="30" fillId="2" borderId="1" xfId="0" applyNumberFormat="1" applyFont="1" applyFill="1" applyBorder="1" applyAlignment="1">
      <alignment vertical="center"/>
    </xf>
    <xf numFmtId="3" fontId="26" fillId="17" borderId="1" xfId="0" applyNumberFormat="1" applyFont="1" applyFill="1" applyBorder="1" applyAlignment="1">
      <alignment vertical="center"/>
    </xf>
    <xf numFmtId="3" fontId="26" fillId="17" borderId="1" xfId="0" applyNumberFormat="1" applyFont="1" applyFill="1" applyBorder="1" applyAlignment="1"/>
    <xf numFmtId="0" fontId="26" fillId="17" borderId="1" xfId="0" applyFont="1" applyFill="1" applyBorder="1" applyAlignment="1">
      <alignment horizontal="center"/>
    </xf>
    <xf numFmtId="0" fontId="28" fillId="17" borderId="16" xfId="0" applyFont="1" applyFill="1" applyBorder="1" applyAlignment="1">
      <alignment vertical="center" wrapText="1"/>
    </xf>
    <xf numFmtId="43" fontId="32" fillId="17" borderId="6" xfId="0" applyNumberFormat="1" applyFont="1" applyFill="1" applyBorder="1" applyAlignment="1">
      <alignment vertical="center"/>
    </xf>
    <xf numFmtId="43" fontId="46" fillId="17" borderId="6" xfId="0" applyNumberFormat="1" applyFont="1" applyFill="1" applyBorder="1" applyAlignment="1">
      <alignment vertical="center"/>
    </xf>
    <xf numFmtId="3" fontId="33" fillId="17" borderId="6" xfId="0" applyNumberFormat="1" applyFont="1" applyFill="1" applyBorder="1" applyAlignment="1">
      <alignment vertical="center"/>
    </xf>
    <xf numFmtId="0" fontId="28" fillId="0" borderId="6" xfId="0" applyFont="1" applyBorder="1" applyAlignment="1">
      <alignment vertical="center" wrapText="1"/>
    </xf>
    <xf numFmtId="164" fontId="46" fillId="12" borderId="6" xfId="0" applyNumberFormat="1" applyFont="1" applyFill="1" applyBorder="1" applyAlignment="1">
      <alignment vertical="center"/>
    </xf>
    <xf numFmtId="3" fontId="31" fillId="12" borderId="6" xfId="0" applyNumberFormat="1" applyFont="1" applyFill="1" applyBorder="1" applyAlignment="1">
      <alignment vertical="center"/>
    </xf>
    <xf numFmtId="3" fontId="33" fillId="0" borderId="6" xfId="0" applyNumberFormat="1" applyFont="1" applyBorder="1" applyAlignment="1">
      <alignment vertical="center"/>
    </xf>
    <xf numFmtId="3" fontId="28" fillId="0" borderId="6" xfId="0" applyNumberFormat="1" applyFont="1" applyBorder="1" applyAlignment="1">
      <alignment vertical="center"/>
    </xf>
    <xf numFmtId="3" fontId="32" fillId="0" borderId="6" xfId="0" applyNumberFormat="1" applyFont="1" applyBorder="1" applyAlignment="1">
      <alignment horizontal="right" vertical="center"/>
    </xf>
    <xf numFmtId="164" fontId="28" fillId="0" borderId="6" xfId="0" applyNumberFormat="1" applyFont="1" applyBorder="1" applyAlignment="1">
      <alignment vertical="center"/>
    </xf>
    <xf numFmtId="0" fontId="28" fillId="4" borderId="1" xfId="0" applyFont="1" applyFill="1" applyBorder="1" applyAlignment="1">
      <alignment vertical="center"/>
    </xf>
    <xf numFmtId="0" fontId="28" fillId="4" borderId="6" xfId="0" applyFont="1" applyFill="1" applyBorder="1" applyAlignment="1">
      <alignment vertical="center" wrapText="1"/>
    </xf>
    <xf numFmtId="3" fontId="51" fillId="4" borderId="6" xfId="0" applyNumberFormat="1" applyFont="1" applyFill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46" fillId="0" borderId="2" xfId="0" applyFont="1" applyBorder="1" applyAlignment="1">
      <alignment vertical="center"/>
    </xf>
    <xf numFmtId="2" fontId="28" fillId="0" borderId="6" xfId="0" applyNumberFormat="1" applyFont="1" applyBorder="1" applyAlignment="1">
      <alignment vertical="center"/>
    </xf>
    <xf numFmtId="43" fontId="28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3" fontId="57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0" fontId="28" fillId="9" borderId="6" xfId="0" applyFont="1" applyFill="1" applyBorder="1" applyAlignment="1">
      <alignment vertical="center" wrapText="1"/>
    </xf>
    <xf numFmtId="0" fontId="28" fillId="4" borderId="6" xfId="0" applyFont="1" applyFill="1" applyBorder="1" applyAlignment="1">
      <alignment vertical="center"/>
    </xf>
    <xf numFmtId="0" fontId="46" fillId="0" borderId="9" xfId="0" applyFont="1" applyBorder="1" applyAlignment="1">
      <alignment vertical="center"/>
    </xf>
    <xf numFmtId="3" fontId="46" fillId="12" borderId="6" xfId="0" applyNumberFormat="1" applyFont="1" applyFill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31" fillId="0" borderId="9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3" fontId="33" fillId="2" borderId="6" xfId="0" applyNumberFormat="1" applyFont="1" applyFill="1" applyBorder="1" applyAlignment="1">
      <alignment vertical="center"/>
    </xf>
    <xf numFmtId="0" fontId="59" fillId="27" borderId="27" xfId="0" applyFont="1" applyFill="1" applyBorder="1" applyAlignment="1">
      <alignment horizontal="left" vertical="center"/>
    </xf>
    <xf numFmtId="0" fontId="59" fillId="27" borderId="28" xfId="0" applyFont="1" applyFill="1" applyBorder="1" applyAlignment="1">
      <alignment horizontal="left" vertical="center" wrapText="1"/>
    </xf>
    <xf numFmtId="170" fontId="59" fillId="28" borderId="28" xfId="0" applyNumberFormat="1" applyFont="1" applyFill="1" applyBorder="1" applyAlignment="1">
      <alignment horizontal="center" vertical="center" wrapText="1"/>
    </xf>
    <xf numFmtId="0" fontId="59" fillId="28" borderId="28" xfId="0" applyFont="1" applyFill="1" applyBorder="1" applyAlignment="1">
      <alignment horizontal="left" vertical="center" wrapText="1"/>
    </xf>
    <xf numFmtId="170" fontId="59" fillId="27" borderId="28" xfId="0" applyNumberFormat="1" applyFont="1" applyFill="1" applyBorder="1" applyAlignment="1">
      <alignment horizontal="left" vertical="center" wrapText="1"/>
    </xf>
    <xf numFmtId="170" fontId="59" fillId="28" borderId="28" xfId="0" applyNumberFormat="1" applyFont="1" applyFill="1" applyBorder="1" applyAlignment="1">
      <alignment horizontal="left" vertical="center" wrapText="1"/>
    </xf>
    <xf numFmtId="0" fontId="55" fillId="0" borderId="6" xfId="0" applyFont="1" applyBorder="1" applyAlignment="1">
      <alignment horizontal="center" vertical="center"/>
    </xf>
    <xf numFmtId="0" fontId="60" fillId="17" borderId="6" xfId="0" applyFont="1" applyFill="1" applyBorder="1" applyAlignment="1">
      <alignment vertical="center"/>
    </xf>
    <xf numFmtId="0" fontId="60" fillId="0" borderId="6" xfId="0" applyFont="1" applyBorder="1" applyAlignment="1">
      <alignment vertical="center"/>
    </xf>
    <xf numFmtId="0" fontId="61" fillId="29" borderId="6" xfId="0" applyFont="1" applyFill="1" applyBorder="1" applyAlignment="1">
      <alignment vertical="center"/>
    </xf>
    <xf numFmtId="0" fontId="59" fillId="29" borderId="6" xfId="0" applyFont="1" applyFill="1" applyBorder="1" applyAlignment="1">
      <alignment vertical="center"/>
    </xf>
    <xf numFmtId="0" fontId="60" fillId="16" borderId="6" xfId="0" applyFont="1" applyFill="1" applyBorder="1" applyAlignment="1">
      <alignment vertical="center"/>
    </xf>
    <xf numFmtId="0" fontId="59" fillId="17" borderId="6" xfId="0" applyFont="1" applyFill="1" applyBorder="1" applyAlignment="1">
      <alignment vertical="center"/>
    </xf>
    <xf numFmtId="0" fontId="53" fillId="17" borderId="1" xfId="0" applyFont="1" applyFill="1" applyBorder="1" applyAlignment="1">
      <alignment vertical="center"/>
    </xf>
    <xf numFmtId="0" fontId="62" fillId="17" borderId="1" xfId="0" applyFont="1" applyFill="1" applyBorder="1" applyAlignment="1">
      <alignment vertical="center"/>
    </xf>
    <xf numFmtId="0" fontId="63" fillId="2" borderId="6" xfId="0" applyFont="1" applyFill="1" applyBorder="1" applyAlignment="1">
      <alignment horizontal="center"/>
    </xf>
    <xf numFmtId="0" fontId="64" fillId="2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4" fontId="26" fillId="0" borderId="6" xfId="0" applyNumberFormat="1" applyFont="1" applyBorder="1" applyAlignment="1">
      <alignment vertical="center"/>
    </xf>
    <xf numFmtId="0" fontId="64" fillId="30" borderId="6" xfId="0" applyFont="1" applyFill="1" applyBorder="1" applyAlignment="1">
      <alignment vertical="center" wrapText="1"/>
    </xf>
    <xf numFmtId="0" fontId="64" fillId="17" borderId="1" xfId="0" applyFont="1" applyFill="1" applyBorder="1" applyAlignment="1">
      <alignment vertical="center"/>
    </xf>
    <xf numFmtId="0" fontId="64" fillId="17" borderId="1" xfId="0" applyFont="1" applyFill="1" applyBorder="1" applyAlignment="1">
      <alignment vertical="center" wrapText="1"/>
    </xf>
    <xf numFmtId="0" fontId="53" fillId="17" borderId="6" xfId="0" applyFont="1" applyFill="1" applyBorder="1" applyAlignment="1">
      <alignment vertical="center"/>
    </xf>
    <xf numFmtId="0" fontId="26" fillId="0" borderId="6" xfId="0" applyFont="1" applyBorder="1" applyAlignment="1">
      <alignment vertical="center" wrapText="1"/>
    </xf>
    <xf numFmtId="0" fontId="26" fillId="17" borderId="1" xfId="0" applyFont="1" applyFill="1" applyBorder="1" applyAlignment="1">
      <alignment vertical="center" wrapText="1"/>
    </xf>
    <xf numFmtId="0" fontId="53" fillId="17" borderId="6" xfId="0" applyFont="1" applyFill="1" applyBorder="1" applyAlignment="1">
      <alignment vertical="center" wrapText="1"/>
    </xf>
    <xf numFmtId="0" fontId="64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53" fillId="17" borderId="1" xfId="0" applyFont="1" applyFill="1" applyBorder="1" applyAlignment="1">
      <alignment vertical="center" wrapText="1"/>
    </xf>
    <xf numFmtId="0" fontId="46" fillId="17" borderId="6" xfId="0" applyFont="1" applyFill="1" applyBorder="1" applyAlignment="1">
      <alignment wrapText="1"/>
    </xf>
    <xf numFmtId="0" fontId="42" fillId="0" borderId="0" xfId="0" applyFont="1" applyAlignment="1">
      <alignment vertical="center"/>
    </xf>
    <xf numFmtId="0" fontId="50" fillId="17" borderId="6" xfId="0" applyFont="1" applyFill="1" applyBorder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64" fillId="0" borderId="6" xfId="0" applyFont="1" applyBorder="1" applyAlignment="1">
      <alignment vertical="center"/>
    </xf>
    <xf numFmtId="0" fontId="26" fillId="24" borderId="6" xfId="0" applyFont="1" applyFill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66" fillId="17" borderId="1" xfId="0" applyFont="1" applyFill="1" applyBorder="1" applyAlignment="1">
      <alignment vertical="center"/>
    </xf>
    <xf numFmtId="0" fontId="67" fillId="17" borderId="1" xfId="0" applyFont="1" applyFill="1" applyBorder="1" applyAlignment="1">
      <alignment vertical="center"/>
    </xf>
    <xf numFmtId="0" fontId="32" fillId="0" borderId="0" xfId="0" applyFont="1" applyAlignment="1"/>
    <xf numFmtId="0" fontId="46" fillId="17" borderId="1" xfId="0" applyFont="1" applyFill="1" applyBorder="1" applyAlignment="1">
      <alignment vertical="center" wrapText="1"/>
    </xf>
    <xf numFmtId="0" fontId="46" fillId="17" borderId="1" xfId="0" applyFont="1" applyFill="1" applyBorder="1" applyAlignment="1"/>
    <xf numFmtId="0" fontId="32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17" borderId="1" xfId="0" applyFont="1" applyFill="1" applyBorder="1" applyAlignment="1">
      <alignment vertical="center"/>
    </xf>
    <xf numFmtId="0" fontId="68" fillId="17" borderId="1" xfId="0" applyFont="1" applyFill="1" applyBorder="1" applyAlignment="1">
      <alignment vertical="center"/>
    </xf>
    <xf numFmtId="41" fontId="70" fillId="0" borderId="0" xfId="0" applyNumberFormat="1" applyFont="1" applyAlignment="1">
      <alignment horizontal="center" vertical="center"/>
    </xf>
    <xf numFmtId="41" fontId="70" fillId="0" borderId="0" xfId="0" applyNumberFormat="1" applyFont="1" applyAlignment="1">
      <alignment horizontal="left" vertical="center"/>
    </xf>
    <xf numFmtId="41" fontId="70" fillId="0" borderId="0" xfId="0" applyNumberFormat="1" applyFont="1" applyAlignment="1">
      <alignment vertical="center"/>
    </xf>
    <xf numFmtId="41" fontId="70" fillId="0" borderId="0" xfId="0" applyNumberFormat="1" applyFont="1" applyAlignment="1">
      <alignment horizontal="right" vertical="center"/>
    </xf>
    <xf numFmtId="41" fontId="66" fillId="0" borderId="2" xfId="0" applyNumberFormat="1" applyFont="1" applyBorder="1" applyAlignment="1">
      <alignment vertical="center"/>
    </xf>
    <xf numFmtId="41" fontId="1" fillId="0" borderId="6" xfId="0" applyNumberFormat="1" applyFont="1" applyBorder="1" applyAlignment="1">
      <alignment horizontal="center" vertical="center"/>
    </xf>
    <xf numFmtId="41" fontId="73" fillId="0" borderId="18" xfId="0" applyNumberFormat="1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41" fontId="66" fillId="0" borderId="18" xfId="0" applyNumberFormat="1" applyFont="1" applyBorder="1" applyAlignment="1">
      <alignment vertical="center"/>
    </xf>
    <xf numFmtId="0" fontId="73" fillId="0" borderId="18" xfId="0" applyFont="1" applyBorder="1" applyAlignment="1">
      <alignment horizontal="center" vertical="center"/>
    </xf>
    <xf numFmtId="168" fontId="1" fillId="0" borderId="6" xfId="0" applyNumberFormat="1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68" fontId="73" fillId="0" borderId="18" xfId="0" applyNumberFormat="1" applyFont="1" applyBorder="1" applyAlignment="1">
      <alignment horizontal="center" vertical="center"/>
    </xf>
    <xf numFmtId="9" fontId="73" fillId="0" borderId="18" xfId="0" applyNumberFormat="1" applyFont="1" applyBorder="1" applyAlignment="1">
      <alignment horizontal="center" vertical="center"/>
    </xf>
    <xf numFmtId="41" fontId="2" fillId="0" borderId="6" xfId="0" applyNumberFormat="1" applyFont="1" applyBorder="1" applyAlignment="1">
      <alignment horizontal="center" vertical="center"/>
    </xf>
    <xf numFmtId="41" fontId="2" fillId="0" borderId="6" xfId="0" applyNumberFormat="1" applyFont="1" applyBorder="1" applyAlignment="1">
      <alignment horizontal="left" vertical="center"/>
    </xf>
    <xf numFmtId="41" fontId="2" fillId="0" borderId="3" xfId="0" applyNumberFormat="1" applyFont="1" applyBorder="1" applyAlignment="1">
      <alignment horizontal="left" vertical="center"/>
    </xf>
    <xf numFmtId="0" fontId="2" fillId="14" borderId="6" xfId="0" applyFont="1" applyFill="1" applyBorder="1" applyAlignment="1"/>
    <xf numFmtId="41" fontId="2" fillId="0" borderId="6" xfId="0" applyNumberFormat="1" applyFont="1" applyBorder="1" applyAlignment="1">
      <alignment horizontal="right" vertical="center"/>
    </xf>
    <xf numFmtId="41" fontId="2" fillId="0" borderId="6" xfId="0" applyNumberFormat="1" applyFont="1" applyBorder="1" applyAlignment="1">
      <alignment vertical="center"/>
    </xf>
    <xf numFmtId="164" fontId="70" fillId="0" borderId="6" xfId="0" applyNumberFormat="1" applyFont="1" applyBorder="1" applyAlignment="1">
      <alignment vertical="center"/>
    </xf>
    <xf numFmtId="41" fontId="74" fillId="0" borderId="9" xfId="0" applyNumberFormat="1" applyFont="1" applyBorder="1" applyAlignment="1">
      <alignment horizontal="center" vertical="center"/>
    </xf>
    <xf numFmtId="41" fontId="74" fillId="0" borderId="18" xfId="0" applyNumberFormat="1" applyFont="1" applyBorder="1" applyAlignment="1">
      <alignment vertical="center"/>
    </xf>
    <xf numFmtId="0" fontId="74" fillId="0" borderId="18" xfId="0" applyFont="1" applyBorder="1" applyAlignment="1">
      <alignment horizontal="center"/>
    </xf>
    <xf numFmtId="0" fontId="74" fillId="0" borderId="18" xfId="0" applyFont="1" applyBorder="1" applyAlignment="1"/>
    <xf numFmtId="41" fontId="74" fillId="0" borderId="18" xfId="0" applyNumberFormat="1" applyFont="1" applyBorder="1" applyAlignment="1">
      <alignment horizontal="right" vertical="center"/>
    </xf>
    <xf numFmtId="164" fontId="74" fillId="0" borderId="18" xfId="0" applyNumberFormat="1" applyFont="1" applyBorder="1" applyAlignment="1">
      <alignment horizontal="right" vertical="center"/>
    </xf>
    <xf numFmtId="0" fontId="66" fillId="0" borderId="18" xfId="0" applyFont="1" applyBorder="1" applyAlignment="1">
      <alignment vertical="center"/>
    </xf>
    <xf numFmtId="164" fontId="70" fillId="14" borderId="6" xfId="0" applyNumberFormat="1" applyFont="1" applyFill="1" applyBorder="1" applyAlignment="1">
      <alignment vertical="center"/>
    </xf>
    <xf numFmtId="0" fontId="66" fillId="14" borderId="1" xfId="0" applyFont="1" applyFill="1" applyBorder="1" applyAlignment="1">
      <alignment vertical="center"/>
    </xf>
    <xf numFmtId="0" fontId="66" fillId="0" borderId="22" xfId="0" applyFont="1" applyBorder="1" applyAlignment="1">
      <alignment vertical="center"/>
    </xf>
    <xf numFmtId="0" fontId="74" fillId="0" borderId="18" xfId="0" applyFont="1" applyBorder="1" applyAlignment="1">
      <alignment horizontal="center" vertical="center"/>
    </xf>
    <xf numFmtId="41" fontId="2" fillId="0" borderId="0" xfId="0" applyNumberFormat="1" applyFont="1" applyAlignment="1">
      <alignment horizontal="left" vertical="center"/>
    </xf>
    <xf numFmtId="41" fontId="2" fillId="14" borderId="6" xfId="0" applyNumberFormat="1" applyFont="1" applyFill="1" applyBorder="1" applyAlignment="1">
      <alignment horizontal="left" vertical="center" wrapText="1"/>
    </xf>
    <xf numFmtId="41" fontId="72" fillId="0" borderId="6" xfId="0" applyNumberFormat="1" applyFont="1" applyBorder="1" applyAlignment="1">
      <alignment horizontal="right" vertical="center"/>
    </xf>
    <xf numFmtId="0" fontId="2" fillId="14" borderId="17" xfId="0" applyFont="1" applyFill="1" applyBorder="1" applyAlignment="1"/>
    <xf numFmtId="0" fontId="2" fillId="14" borderId="16" xfId="0" applyFont="1" applyFill="1" applyBorder="1" applyAlignment="1">
      <alignment vertical="center" wrapText="1"/>
    </xf>
    <xf numFmtId="0" fontId="3" fillId="14" borderId="6" xfId="0" applyFont="1" applyFill="1" applyBorder="1" applyAlignment="1">
      <alignment vertical="center" wrapText="1"/>
    </xf>
    <xf numFmtId="41" fontId="1" fillId="0" borderId="6" xfId="0" applyNumberFormat="1" applyFont="1" applyBorder="1" applyAlignment="1">
      <alignment horizontal="center" vertical="center" wrapText="1"/>
    </xf>
    <xf numFmtId="41" fontId="1" fillId="0" borderId="6" xfId="0" applyNumberFormat="1" applyFont="1" applyBorder="1" applyAlignment="1">
      <alignment horizontal="right" vertical="center"/>
    </xf>
    <xf numFmtId="41" fontId="1" fillId="2" borderId="6" xfId="0" applyNumberFormat="1" applyFont="1" applyFill="1" applyBorder="1" applyAlignment="1">
      <alignment horizontal="right" vertical="center"/>
    </xf>
    <xf numFmtId="3" fontId="66" fillId="0" borderId="0" xfId="0" applyNumberFormat="1" applyFont="1" applyAlignment="1">
      <alignment vertical="center"/>
    </xf>
    <xf numFmtId="41" fontId="72" fillId="0" borderId="0" xfId="0" applyNumberFormat="1" applyFont="1" applyAlignment="1">
      <alignment horizontal="center" vertical="center" wrapText="1"/>
    </xf>
    <xf numFmtId="41" fontId="72" fillId="0" borderId="0" xfId="0" applyNumberFormat="1" applyFont="1" applyAlignment="1">
      <alignment horizontal="right" vertical="center"/>
    </xf>
    <xf numFmtId="41" fontId="72" fillId="0" borderId="0" xfId="0" applyNumberFormat="1" applyFont="1" applyAlignment="1">
      <alignment vertical="center"/>
    </xf>
    <xf numFmtId="41" fontId="66" fillId="0" borderId="0" xfId="0" applyNumberFormat="1" applyFont="1" applyAlignment="1">
      <alignment vertical="center"/>
    </xf>
    <xf numFmtId="3" fontId="66" fillId="0" borderId="0" xfId="0" applyNumberFormat="1" applyFont="1" applyAlignment="1">
      <alignment horizontal="center" vertical="center"/>
    </xf>
    <xf numFmtId="41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horizontal="center" vertical="center"/>
    </xf>
    <xf numFmtId="41" fontId="46" fillId="26" borderId="1" xfId="0" applyNumberFormat="1" applyFont="1" applyFill="1" applyBorder="1" applyAlignment="1">
      <alignment horizontal="right" vertical="center"/>
    </xf>
    <xf numFmtId="41" fontId="31" fillId="0" borderId="6" xfId="0" applyNumberFormat="1" applyFont="1" applyBorder="1" applyAlignment="1">
      <alignment horizontal="center" vertical="center"/>
    </xf>
    <xf numFmtId="41" fontId="31" fillId="0" borderId="6" xfId="0" applyNumberFormat="1" applyFont="1" applyBorder="1" applyAlignment="1">
      <alignment horizontal="left" vertical="center"/>
    </xf>
    <xf numFmtId="41" fontId="31" fillId="0" borderId="7" xfId="0" applyNumberFormat="1" applyFont="1" applyBorder="1" applyAlignment="1">
      <alignment horizontal="left" vertical="center"/>
    </xf>
    <xf numFmtId="41" fontId="31" fillId="0" borderId="6" xfId="0" applyNumberFormat="1" applyFont="1" applyBorder="1" applyAlignment="1">
      <alignment horizontal="right" vertical="center" wrapText="1"/>
    </xf>
    <xf numFmtId="168" fontId="31" fillId="0" borderId="6" xfId="0" applyNumberFormat="1" applyFont="1" applyBorder="1" applyAlignment="1">
      <alignment horizontal="center" vertical="center"/>
    </xf>
    <xf numFmtId="9" fontId="31" fillId="0" borderId="6" xfId="0" applyNumberFormat="1" applyFont="1" applyBorder="1" applyAlignment="1">
      <alignment horizontal="center" vertical="center"/>
    </xf>
    <xf numFmtId="9" fontId="31" fillId="0" borderId="3" xfId="0" applyNumberFormat="1" applyFont="1" applyBorder="1" applyAlignment="1">
      <alignment horizontal="center" vertical="center"/>
    </xf>
    <xf numFmtId="41" fontId="46" fillId="0" borderId="6" xfId="0" applyNumberFormat="1" applyFont="1" applyBorder="1" applyAlignment="1">
      <alignment horizontal="center" vertical="center"/>
    </xf>
    <xf numFmtId="0" fontId="46" fillId="0" borderId="0" xfId="0" applyFont="1" applyAlignment="1"/>
    <xf numFmtId="41" fontId="46" fillId="0" borderId="3" xfId="0" applyNumberFormat="1" applyFont="1" applyBorder="1" applyAlignment="1">
      <alignment horizontal="left" vertical="center"/>
    </xf>
    <xf numFmtId="164" fontId="46" fillId="0" borderId="6" xfId="0" applyNumberFormat="1" applyFont="1" applyBorder="1" applyAlignment="1">
      <alignment horizontal="left" vertical="center"/>
    </xf>
    <xf numFmtId="169" fontId="46" fillId="0" borderId="6" xfId="0" applyNumberFormat="1" applyFont="1" applyBorder="1" applyAlignment="1">
      <alignment horizontal="center" vertical="center"/>
    </xf>
    <xf numFmtId="41" fontId="46" fillId="0" borderId="6" xfId="0" applyNumberFormat="1" applyFont="1" applyBorder="1" applyAlignment="1">
      <alignment vertical="center"/>
    </xf>
    <xf numFmtId="164" fontId="46" fillId="0" borderId="3" xfId="0" applyNumberFormat="1" applyFont="1" applyBorder="1" applyAlignment="1">
      <alignment vertical="center"/>
    </xf>
    <xf numFmtId="0" fontId="46" fillId="0" borderId="6" xfId="0" applyFont="1" applyBorder="1" applyAlignment="1">
      <alignment horizontal="left" vertical="center" wrapText="1"/>
    </xf>
    <xf numFmtId="41" fontId="46" fillId="0" borderId="6" xfId="0" applyNumberFormat="1" applyFont="1" applyBorder="1" applyAlignment="1">
      <alignment horizontal="left" vertical="center"/>
    </xf>
    <xf numFmtId="41" fontId="31" fillId="0" borderId="6" xfId="0" applyNumberFormat="1" applyFont="1" applyBorder="1" applyAlignment="1">
      <alignment horizontal="right" vertical="center"/>
    </xf>
    <xf numFmtId="41" fontId="72" fillId="0" borderId="0" xfId="0" applyNumberFormat="1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vertical="center"/>
    </xf>
    <xf numFmtId="0" fontId="72" fillId="0" borderId="0" xfId="0" applyFont="1" applyAlignment="1">
      <alignment horizontal="left" vertical="center"/>
    </xf>
    <xf numFmtId="0" fontId="72" fillId="0" borderId="0" xfId="0" applyFont="1" applyAlignment="1">
      <alignment horizontal="right" vertical="center"/>
    </xf>
    <xf numFmtId="2" fontId="79" fillId="0" borderId="6" xfId="0" applyNumberFormat="1" applyFont="1" applyBorder="1" applyAlignment="1">
      <alignment vertical="center"/>
    </xf>
    <xf numFmtId="0" fontId="0" fillId="31" borderId="0" xfId="0" applyFont="1" applyFill="1" applyAlignment="1">
      <alignment vertical="center"/>
    </xf>
    <xf numFmtId="0" fontId="78" fillId="31" borderId="0" xfId="0" applyFont="1" applyFill="1" applyAlignment="1">
      <alignment vertical="center"/>
    </xf>
    <xf numFmtId="0" fontId="77" fillId="31" borderId="0" xfId="0" applyFont="1" applyFill="1" applyAlignment="1">
      <alignment vertical="center"/>
    </xf>
    <xf numFmtId="164" fontId="79" fillId="0" borderId="6" xfId="0" applyNumberFormat="1" applyFont="1" applyBorder="1" applyAlignment="1">
      <alignment vertical="center"/>
    </xf>
    <xf numFmtId="164" fontId="79" fillId="17" borderId="6" xfId="0" applyNumberFormat="1" applyFont="1" applyFill="1" applyBorder="1" applyAlignment="1">
      <alignment vertical="center"/>
    </xf>
    <xf numFmtId="164" fontId="79" fillId="17" borderId="6" xfId="0" applyNumberFormat="1" applyFont="1" applyFill="1" applyBorder="1" applyAlignment="1">
      <alignment horizontal="right" vertical="center"/>
    </xf>
    <xf numFmtId="0" fontId="79" fillId="22" borderId="6" xfId="0" applyFont="1" applyFill="1" applyBorder="1" applyAlignment="1">
      <alignment horizontal="center" vertical="center"/>
    </xf>
    <xf numFmtId="0" fontId="79" fillId="0" borderId="6" xfId="0" applyFont="1" applyBorder="1" applyAlignment="1">
      <alignment vertical="center"/>
    </xf>
    <xf numFmtId="164" fontId="80" fillId="0" borderId="6" xfId="0" applyNumberFormat="1" applyFont="1" applyBorder="1" applyAlignment="1">
      <alignment vertical="center"/>
    </xf>
    <xf numFmtId="164" fontId="80" fillId="0" borderId="3" xfId="0" applyNumberFormat="1" applyFont="1" applyBorder="1" applyAlignment="1">
      <alignment vertical="center"/>
    </xf>
    <xf numFmtId="3" fontId="80" fillId="0" borderId="6" xfId="0" applyNumberFormat="1" applyFont="1" applyBorder="1" applyAlignment="1">
      <alignment vertical="center"/>
    </xf>
    <xf numFmtId="3" fontId="79" fillId="0" borderId="6" xfId="0" applyNumberFormat="1" applyFont="1" applyBorder="1" applyAlignment="1">
      <alignment vertical="center"/>
    </xf>
    <xf numFmtId="43" fontId="79" fillId="0" borderId="6" xfId="0" applyNumberFormat="1" applyFont="1" applyBorder="1" applyAlignment="1">
      <alignment horizontal="right" vertical="center"/>
    </xf>
    <xf numFmtId="0" fontId="79" fillId="0" borderId="7" xfId="0" applyFont="1" applyBorder="1" applyAlignment="1">
      <alignment vertical="center"/>
    </xf>
    <xf numFmtId="0" fontId="79" fillId="0" borderId="6" xfId="0" applyFont="1" applyBorder="1" applyAlignment="1">
      <alignment horizontal="center" vertical="center" wrapText="1"/>
    </xf>
    <xf numFmtId="2" fontId="79" fillId="0" borderId="0" xfId="0" applyNumberFormat="1" applyFont="1" applyAlignment="1">
      <alignment vertical="center" wrapText="1"/>
    </xf>
    <xf numFmtId="164" fontId="79" fillId="0" borderId="0" xfId="0" applyNumberFormat="1" applyFont="1" applyAlignment="1">
      <alignment vertical="center" wrapText="1"/>
    </xf>
    <xf numFmtId="3" fontId="79" fillId="0" borderId="0" xfId="0" applyNumberFormat="1" applyFont="1" applyAlignment="1">
      <alignment vertical="center"/>
    </xf>
    <xf numFmtId="3" fontId="80" fillId="0" borderId="0" xfId="0" applyNumberFormat="1" applyFont="1" applyAlignment="1">
      <alignment vertical="center" wrapText="1"/>
    </xf>
    <xf numFmtId="3" fontId="79" fillId="0" borderId="0" xfId="0" applyNumberFormat="1" applyFont="1" applyAlignment="1"/>
    <xf numFmtId="0" fontId="79" fillId="0" borderId="0" xfId="0" quotePrefix="1" applyFont="1" applyAlignment="1"/>
    <xf numFmtId="0" fontId="79" fillId="0" borderId="0" xfId="0" applyFont="1" applyAlignment="1"/>
    <xf numFmtId="164" fontId="80" fillId="0" borderId="0" xfId="0" applyNumberFormat="1" applyFont="1" applyAlignment="1">
      <alignment vertical="center"/>
    </xf>
    <xf numFmtId="0" fontId="81" fillId="31" borderId="0" xfId="0" applyFont="1" applyFill="1" applyAlignment="1">
      <alignment vertical="center"/>
    </xf>
    <xf numFmtId="0" fontId="81" fillId="0" borderId="0" xfId="0" applyFont="1" applyAlignment="1">
      <alignment vertical="center"/>
    </xf>
    <xf numFmtId="3" fontId="80" fillId="0" borderId="0" xfId="0" applyNumberFormat="1" applyFont="1" applyAlignment="1">
      <alignment vertical="center"/>
    </xf>
    <xf numFmtId="0" fontId="79" fillId="0" borderId="6" xfId="0" applyFont="1" applyBorder="1" applyAlignment="1">
      <alignment vertical="center" wrapText="1"/>
    </xf>
    <xf numFmtId="0" fontId="79" fillId="0" borderId="0" xfId="0" quotePrefix="1" applyFont="1" applyAlignment="1">
      <alignment horizontal="center"/>
    </xf>
    <xf numFmtId="9" fontId="79" fillId="0" borderId="6" xfId="0" applyNumberFormat="1" applyFont="1" applyBorder="1" applyAlignment="1">
      <alignment horizontal="center" vertical="center"/>
    </xf>
    <xf numFmtId="0" fontId="79" fillId="0" borderId="6" xfId="0" applyFont="1" applyBorder="1" applyAlignment="1"/>
    <xf numFmtId="0" fontId="79" fillId="0" borderId="6" xfId="0" applyFont="1" applyBorder="1" applyAlignment="1">
      <alignment wrapText="1"/>
    </xf>
    <xf numFmtId="0" fontId="79" fillId="0" borderId="6" xfId="0" applyFont="1" applyBorder="1" applyAlignment="1">
      <alignment horizontal="center" vertical="center"/>
    </xf>
    <xf numFmtId="0" fontId="79" fillId="17" borderId="6" xfId="0" applyFont="1" applyFill="1" applyBorder="1" applyAlignment="1">
      <alignment vertical="center" wrapText="1"/>
    </xf>
    <xf numFmtId="0" fontId="79" fillId="17" borderId="6" xfId="0" applyFont="1" applyFill="1" applyBorder="1" applyAlignment="1">
      <alignment vertical="center"/>
    </xf>
    <xf numFmtId="9" fontId="79" fillId="17" borderId="6" xfId="0" applyNumberFormat="1" applyFont="1" applyFill="1" applyBorder="1" applyAlignment="1">
      <alignment horizontal="center" vertical="center"/>
    </xf>
    <xf numFmtId="0" fontId="79" fillId="17" borderId="6" xfId="0" applyFont="1" applyFill="1" applyBorder="1" applyAlignment="1">
      <alignment horizontal="center" vertical="center"/>
    </xf>
    <xf numFmtId="3" fontId="79" fillId="17" borderId="6" xfId="0" applyNumberFormat="1" applyFont="1" applyFill="1" applyBorder="1" applyAlignment="1">
      <alignment vertical="center"/>
    </xf>
    <xf numFmtId="0" fontId="79" fillId="17" borderId="1" xfId="0" applyFont="1" applyFill="1" applyBorder="1" applyAlignment="1">
      <alignment vertical="center"/>
    </xf>
    <xf numFmtId="3" fontId="80" fillId="17" borderId="1" xfId="0" applyNumberFormat="1" applyFont="1" applyFill="1" applyBorder="1" applyAlignment="1">
      <alignment vertical="center"/>
    </xf>
    <xf numFmtId="3" fontId="79" fillId="17" borderId="1" xfId="0" applyNumberFormat="1" applyFont="1" applyFill="1" applyBorder="1" applyAlignment="1"/>
    <xf numFmtId="0" fontId="79" fillId="17" borderId="1" xfId="0" quotePrefix="1" applyFont="1" applyFill="1" applyBorder="1" applyAlignment="1"/>
    <xf numFmtId="0" fontId="79" fillId="17" borderId="1" xfId="0" applyFont="1" applyFill="1" applyBorder="1" applyAlignment="1"/>
    <xf numFmtId="0" fontId="79" fillId="17" borderId="17" xfId="0" applyFont="1" applyFill="1" applyBorder="1" applyAlignment="1"/>
    <xf numFmtId="3" fontId="79" fillId="17" borderId="6" xfId="0" applyNumberFormat="1" applyFont="1" applyFill="1" applyBorder="1" applyAlignment="1">
      <alignment horizontal="right" vertical="center"/>
    </xf>
    <xf numFmtId="3" fontId="79" fillId="17" borderId="1" xfId="0" applyNumberFormat="1" applyFont="1" applyFill="1" applyBorder="1" applyAlignment="1">
      <alignment vertical="center"/>
    </xf>
    <xf numFmtId="3" fontId="79" fillId="0" borderId="6" xfId="0" applyNumberFormat="1" applyFont="1" applyBorder="1" applyAlignment="1">
      <alignment horizontal="right" vertical="center"/>
    </xf>
    <xf numFmtId="3" fontId="79" fillId="0" borderId="0" xfId="0" applyNumberFormat="1" applyFont="1" applyAlignment="1">
      <alignment horizontal="left"/>
    </xf>
    <xf numFmtId="164" fontId="30" fillId="2" borderId="1" xfId="0" applyNumberFormat="1" applyFont="1" applyFill="1" applyBorder="1" applyAlignment="1">
      <alignment vertical="center"/>
    </xf>
    <xf numFmtId="164" fontId="16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3" fontId="82" fillId="0" borderId="29" xfId="0" applyNumberFormat="1" applyFont="1" applyBorder="1" applyAlignment="1">
      <alignment vertical="center" wrapText="1"/>
    </xf>
    <xf numFmtId="0" fontId="79" fillId="0" borderId="6" xfId="0" applyFont="1" applyFill="1" applyBorder="1" applyAlignment="1">
      <alignment vertical="center" wrapText="1"/>
    </xf>
    <xf numFmtId="3" fontId="17" fillId="0" borderId="6" xfId="0" applyNumberFormat="1" applyFont="1" applyFill="1" applyBorder="1" applyAlignment="1">
      <alignment vertical="center"/>
    </xf>
    <xf numFmtId="41" fontId="18" fillId="0" borderId="11" xfId="0" applyNumberFormat="1" applyFont="1" applyBorder="1" applyAlignment="1">
      <alignment horizontal="left" vertical="center"/>
    </xf>
    <xf numFmtId="0" fontId="20" fillId="33" borderId="6" xfId="0" applyFont="1" applyFill="1" applyBorder="1" applyAlignment="1">
      <alignment horizontal="center" vertical="center"/>
    </xf>
    <xf numFmtId="0" fontId="79" fillId="34" borderId="6" xfId="0" applyFont="1" applyFill="1" applyBorder="1" applyAlignment="1">
      <alignment horizontal="center" vertical="center"/>
    </xf>
    <xf numFmtId="0" fontId="79" fillId="33" borderId="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64" fontId="79" fillId="0" borderId="6" xfId="1" applyNumberFormat="1" applyFont="1" applyBorder="1" applyAlignment="1">
      <alignment vertical="center"/>
    </xf>
    <xf numFmtId="164" fontId="3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79" fillId="17" borderId="1" xfId="0" quotePrefix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3" fontId="80" fillId="0" borderId="6" xfId="0" applyNumberFormat="1" applyFont="1" applyFill="1" applyBorder="1" applyAlignment="1">
      <alignment vertical="center"/>
    </xf>
    <xf numFmtId="0" fontId="18" fillId="0" borderId="6" xfId="0" applyFont="1" applyFill="1" applyBorder="1" applyAlignment="1">
      <alignment vertical="center" wrapText="1"/>
    </xf>
    <xf numFmtId="0" fontId="86" fillId="0" borderId="6" xfId="0" applyFont="1" applyBorder="1" applyAlignment="1">
      <alignment vertical="center"/>
    </xf>
    <xf numFmtId="0" fontId="86" fillId="17" borderId="6" xfId="0" applyFont="1" applyFill="1" applyBorder="1" applyAlignment="1">
      <alignment vertical="center"/>
    </xf>
    <xf numFmtId="0" fontId="91" fillId="22" borderId="6" xfId="0" applyFont="1" applyFill="1" applyBorder="1" applyAlignment="1">
      <alignment horizontal="center" vertical="center"/>
    </xf>
    <xf numFmtId="2" fontId="20" fillId="35" borderId="6" xfId="0" applyNumberFormat="1" applyFont="1" applyFill="1" applyBorder="1" applyAlignment="1">
      <alignment vertical="center"/>
    </xf>
    <xf numFmtId="0" fontId="76" fillId="0" borderId="30" xfId="0" applyFont="1" applyBorder="1" applyAlignment="1">
      <alignment vertical="center" wrapText="1"/>
    </xf>
    <xf numFmtId="0" fontId="86" fillId="0" borderId="30" xfId="0" applyFont="1" applyBorder="1" applyAlignment="1">
      <alignment vertical="center" wrapText="1"/>
    </xf>
    <xf numFmtId="164" fontId="0" fillId="0" borderId="0" xfId="1" applyNumberFormat="1" applyFont="1" applyAlignment="1">
      <alignment vertical="center"/>
    </xf>
    <xf numFmtId="0" fontId="0" fillId="0" borderId="0" xfId="0" applyFont="1" applyAlignment="1">
      <alignment vertical="center"/>
    </xf>
    <xf numFmtId="164" fontId="16" fillId="0" borderId="0" xfId="1" applyNumberFormat="1" applyFont="1" applyAlignment="1">
      <alignment vertical="center"/>
    </xf>
    <xf numFmtId="0" fontId="79" fillId="0" borderId="6" xfId="0" applyFont="1" applyFill="1" applyBorder="1" applyAlignment="1">
      <alignment horizontal="center" vertical="center"/>
    </xf>
    <xf numFmtId="0" fontId="79" fillId="0" borderId="6" xfId="0" applyFont="1" applyFill="1" applyBorder="1" applyAlignment="1">
      <alignment vertical="center"/>
    </xf>
    <xf numFmtId="0" fontId="79" fillId="0" borderId="0" xfId="0" applyFont="1" applyFill="1" applyAlignment="1">
      <alignment vertical="center"/>
    </xf>
    <xf numFmtId="9" fontId="79" fillId="0" borderId="6" xfId="0" applyNumberFormat="1" applyFont="1" applyFill="1" applyBorder="1" applyAlignment="1">
      <alignment horizontal="center" vertical="center"/>
    </xf>
    <xf numFmtId="3" fontId="79" fillId="0" borderId="6" xfId="0" applyNumberFormat="1" applyFont="1" applyFill="1" applyBorder="1" applyAlignment="1">
      <alignment vertical="center"/>
    </xf>
    <xf numFmtId="164" fontId="79" fillId="0" borderId="6" xfId="0" applyNumberFormat="1" applyFont="1" applyFill="1" applyBorder="1" applyAlignment="1">
      <alignment vertical="center"/>
    </xf>
    <xf numFmtId="164" fontId="80" fillId="0" borderId="6" xfId="0" applyNumberFormat="1" applyFont="1" applyFill="1" applyBorder="1" applyAlignment="1">
      <alignment vertical="center"/>
    </xf>
    <xf numFmtId="164" fontId="80" fillId="0" borderId="3" xfId="0" applyNumberFormat="1" applyFont="1" applyFill="1" applyBorder="1" applyAlignment="1">
      <alignment vertical="center"/>
    </xf>
    <xf numFmtId="0" fontId="18" fillId="0" borderId="6" xfId="0" applyFont="1" applyFill="1" applyBorder="1" applyAlignment="1"/>
    <xf numFmtId="0" fontId="43" fillId="40" borderId="6" xfId="0" applyFont="1" applyFill="1" applyBorder="1" applyAlignment="1">
      <alignment horizontal="center"/>
    </xf>
    <xf numFmtId="0" fontId="40" fillId="40" borderId="6" xfId="0" applyFont="1" applyFill="1" applyBorder="1" applyAlignment="1">
      <alignment horizontal="center" vertical="center" wrapText="1"/>
    </xf>
    <xf numFmtId="0" fontId="96" fillId="37" borderId="30" xfId="0" applyFont="1" applyFill="1" applyBorder="1" applyAlignment="1">
      <alignment horizontal="right" vertical="center" wrapText="1"/>
    </xf>
    <xf numFmtId="0" fontId="96" fillId="37" borderId="30" xfId="0" applyFont="1" applyFill="1" applyBorder="1" applyAlignment="1">
      <alignment vertical="center" wrapText="1"/>
    </xf>
    <xf numFmtId="0" fontId="86" fillId="0" borderId="0" xfId="0" applyFont="1" applyAlignment="1">
      <alignment vertical="center" wrapText="1"/>
    </xf>
    <xf numFmtId="0" fontId="0" fillId="32" borderId="0" xfId="0" applyFont="1" applyFill="1" applyAlignment="1">
      <alignment vertical="center"/>
    </xf>
    <xf numFmtId="0" fontId="32" fillId="39" borderId="6" xfId="0" applyFont="1" applyFill="1" applyBorder="1" applyAlignment="1">
      <alignment horizontal="center" vertical="center"/>
    </xf>
    <xf numFmtId="0" fontId="40" fillId="38" borderId="31" xfId="0" applyFont="1" applyFill="1" applyBorder="1" applyAlignment="1">
      <alignment horizontal="center" vertical="center" wrapText="1"/>
    </xf>
    <xf numFmtId="164" fontId="48" fillId="0" borderId="0" xfId="1" applyNumberFormat="1" applyFont="1" applyAlignment="1">
      <alignment vertical="center"/>
    </xf>
    <xf numFmtId="164" fontId="40" fillId="40" borderId="6" xfId="1" applyNumberFormat="1" applyFont="1" applyFill="1" applyBorder="1" applyAlignment="1">
      <alignment horizontal="center" vertical="center" wrapText="1"/>
    </xf>
    <xf numFmtId="49" fontId="98" fillId="0" borderId="0" xfId="0" applyNumberFormat="1" applyFont="1" applyProtection="1">
      <protection locked="0"/>
    </xf>
    <xf numFmtId="0" fontId="98" fillId="0" borderId="0" xfId="0" applyFont="1" applyProtection="1">
      <protection locked="0"/>
    </xf>
    <xf numFmtId="0" fontId="0" fillId="0" borderId="0" xfId="0" applyFont="1" applyAlignment="1">
      <alignment vertical="center"/>
    </xf>
    <xf numFmtId="164" fontId="99" fillId="17" borderId="6" xfId="0" applyNumberFormat="1" applyFont="1" applyFill="1" applyBorder="1" applyAlignment="1">
      <alignment vertical="center"/>
    </xf>
    <xf numFmtId="164" fontId="100" fillId="17" borderId="6" xfId="0" applyNumberFormat="1" applyFont="1" applyFill="1" applyBorder="1" applyAlignment="1">
      <alignment vertical="center"/>
    </xf>
    <xf numFmtId="164" fontId="100" fillId="17" borderId="11" xfId="0" applyNumberFormat="1" applyFont="1" applyFill="1" applyBorder="1" applyAlignment="1">
      <alignment vertical="center"/>
    </xf>
    <xf numFmtId="0" fontId="20" fillId="0" borderId="6" xfId="0" applyFont="1" applyFill="1" applyBorder="1" applyAlignment="1">
      <alignment vertical="center"/>
    </xf>
    <xf numFmtId="3" fontId="18" fillId="0" borderId="6" xfId="0" applyNumberFormat="1" applyFont="1" applyFill="1" applyBorder="1" applyAlignment="1">
      <alignment vertical="center"/>
    </xf>
    <xf numFmtId="164" fontId="18" fillId="0" borderId="6" xfId="0" applyNumberFormat="1" applyFont="1" applyFill="1" applyBorder="1" applyAlignment="1">
      <alignment vertical="center"/>
    </xf>
    <xf numFmtId="164" fontId="17" fillId="0" borderId="6" xfId="0" applyNumberFormat="1" applyFont="1" applyFill="1" applyBorder="1" applyAlignment="1">
      <alignment vertical="center"/>
    </xf>
    <xf numFmtId="164" fontId="17" fillId="0" borderId="3" xfId="0" applyNumberFormat="1" applyFont="1" applyFill="1" applyBorder="1" applyAlignment="1">
      <alignment vertical="center"/>
    </xf>
    <xf numFmtId="3" fontId="23" fillId="0" borderId="6" xfId="0" applyNumberFormat="1" applyFont="1" applyFill="1" applyBorder="1" applyAlignment="1">
      <alignment vertical="center"/>
    </xf>
    <xf numFmtId="0" fontId="20" fillId="0" borderId="6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41" fillId="0" borderId="32" xfId="0" applyFont="1" applyFill="1" applyBorder="1" applyAlignment="1">
      <alignment vertical="center"/>
    </xf>
    <xf numFmtId="0" fontId="20" fillId="0" borderId="6" xfId="0" applyFont="1" applyFill="1" applyBorder="1" applyAlignment="1">
      <alignment vertical="center" wrapText="1"/>
    </xf>
    <xf numFmtId="0" fontId="20" fillId="0" borderId="6" xfId="0" applyFont="1" applyFill="1" applyBorder="1" applyAlignment="1"/>
    <xf numFmtId="0" fontId="20" fillId="0" borderId="19" xfId="0" applyFont="1" applyFill="1" applyBorder="1" applyAlignment="1">
      <alignment vertical="center" wrapText="1"/>
    </xf>
    <xf numFmtId="0" fontId="20" fillId="0" borderId="17" xfId="0" applyFont="1" applyFill="1" applyBorder="1" applyAlignment="1"/>
    <xf numFmtId="0" fontId="48" fillId="32" borderId="0" xfId="0" applyFont="1" applyFill="1" applyAlignment="1">
      <alignment vertical="center"/>
    </xf>
    <xf numFmtId="0" fontId="22" fillId="2" borderId="1" xfId="0" applyFont="1" applyFill="1" applyBorder="1" applyAlignment="1">
      <alignment horizontal="center" wrapText="1"/>
    </xf>
    <xf numFmtId="0" fontId="52" fillId="0" borderId="30" xfId="0" applyFont="1" applyBorder="1" applyAlignment="1">
      <alignment wrapText="1"/>
    </xf>
    <xf numFmtId="0" fontId="26" fillId="0" borderId="30" xfId="0" applyFont="1" applyBorder="1" applyAlignment="1">
      <alignment wrapText="1"/>
    </xf>
    <xf numFmtId="0" fontId="26" fillId="0" borderId="30" xfId="0" applyFont="1" applyBorder="1" applyAlignment="1">
      <alignment horizontal="center" wrapText="1"/>
    </xf>
    <xf numFmtId="0" fontId="76" fillId="0" borderId="30" xfId="0" applyFont="1" applyBorder="1" applyAlignment="1">
      <alignment wrapText="1"/>
    </xf>
    <xf numFmtId="0" fontId="26" fillId="0" borderId="30" xfId="0" applyFont="1" applyBorder="1" applyAlignment="1">
      <alignment horizontal="right" vertical="center" wrapText="1"/>
    </xf>
    <xf numFmtId="0" fontId="26" fillId="0" borderId="30" xfId="0" applyFont="1" applyBorder="1" applyAlignment="1">
      <alignment horizontal="right" wrapText="1"/>
    </xf>
    <xf numFmtId="0" fontId="26" fillId="0" borderId="30" xfId="0" applyFont="1" applyBorder="1" applyAlignment="1">
      <alignment vertical="center" wrapText="1"/>
    </xf>
    <xf numFmtId="0" fontId="101" fillId="37" borderId="30" xfId="0" applyFont="1" applyFill="1" applyBorder="1" applyAlignment="1">
      <alignment horizontal="right" vertical="center" wrapText="1"/>
    </xf>
    <xf numFmtId="0" fontId="29" fillId="0" borderId="30" xfId="0" applyFont="1" applyBorder="1" applyAlignment="1">
      <alignment wrapText="1"/>
    </xf>
    <xf numFmtId="0" fontId="76" fillId="0" borderId="30" xfId="0" applyFont="1" applyBorder="1" applyAlignment="1">
      <alignment horizontal="right" vertical="center" wrapText="1"/>
    </xf>
    <xf numFmtId="0" fontId="32" fillId="37" borderId="30" xfId="0" applyFont="1" applyFill="1" applyBorder="1" applyAlignment="1">
      <alignment vertical="center" wrapText="1"/>
    </xf>
    <xf numFmtId="0" fontId="102" fillId="0" borderId="0" xfId="0" quotePrefix="1" applyFont="1" applyAlignment="1">
      <alignment vertical="center"/>
    </xf>
    <xf numFmtId="164" fontId="103" fillId="0" borderId="0" xfId="0" applyNumberFormat="1" applyFont="1" applyAlignment="1">
      <alignment vertical="center"/>
    </xf>
    <xf numFmtId="0" fontId="52" fillId="0" borderId="0" xfId="0" quotePrefix="1" applyFont="1"/>
    <xf numFmtId="0" fontId="0" fillId="0" borderId="0" xfId="0" applyFont="1" applyAlignment="1">
      <alignment vertical="center"/>
    </xf>
    <xf numFmtId="164" fontId="26" fillId="0" borderId="0" xfId="1" applyNumberFormat="1" applyFont="1" applyAlignment="1">
      <alignment vertical="center"/>
    </xf>
    <xf numFmtId="3" fontId="21" fillId="0" borderId="6" xfId="0" applyNumberFormat="1" applyFont="1" applyFill="1" applyBorder="1" applyAlignment="1">
      <alignment vertical="center"/>
    </xf>
    <xf numFmtId="164" fontId="21" fillId="0" borderId="6" xfId="0" applyNumberFormat="1" applyFont="1" applyFill="1" applyBorder="1" applyAlignment="1">
      <alignment vertical="center"/>
    </xf>
    <xf numFmtId="41" fontId="17" fillId="32" borderId="6" xfId="0" applyNumberFormat="1" applyFont="1" applyFill="1" applyBorder="1" applyAlignment="1">
      <alignment horizontal="right" vertical="center"/>
    </xf>
    <xf numFmtId="0" fontId="21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164" fontId="17" fillId="0" borderId="11" xfId="0" applyNumberFormat="1" applyFont="1" applyBorder="1" applyAlignment="1">
      <alignment vertical="center"/>
    </xf>
    <xf numFmtId="0" fontId="21" fillId="2" borderId="21" xfId="0" applyFont="1" applyFill="1" applyBorder="1" applyAlignment="1">
      <alignment vertical="center"/>
    </xf>
    <xf numFmtId="0" fontId="90" fillId="17" borderId="6" xfId="0" applyFont="1" applyFill="1" applyBorder="1" applyAlignment="1">
      <alignment horizontal="left" vertical="center" wrapText="1"/>
    </xf>
    <xf numFmtId="9" fontId="104" fillId="17" borderId="6" xfId="0" applyNumberFormat="1" applyFont="1" applyFill="1" applyBorder="1" applyAlignment="1">
      <alignment horizontal="center" vertical="center"/>
    </xf>
    <xf numFmtId="0" fontId="104" fillId="17" borderId="6" xfId="0" applyFont="1" applyFill="1" applyBorder="1" applyAlignment="1">
      <alignment horizontal="center" vertical="center"/>
    </xf>
    <xf numFmtId="0" fontId="104" fillId="17" borderId="2" xfId="0" applyFont="1" applyFill="1" applyBorder="1" applyAlignment="1">
      <alignment vertical="center"/>
    </xf>
    <xf numFmtId="3" fontId="104" fillId="17" borderId="6" xfId="0" applyNumberFormat="1" applyFont="1" applyFill="1" applyBorder="1" applyAlignment="1">
      <alignment vertical="center"/>
    </xf>
    <xf numFmtId="164" fontId="104" fillId="17" borderId="6" xfId="0" applyNumberFormat="1" applyFont="1" applyFill="1" applyBorder="1" applyAlignment="1">
      <alignment vertical="center"/>
    </xf>
    <xf numFmtId="172" fontId="86" fillId="0" borderId="20" xfId="0" applyNumberFormat="1" applyFont="1" applyBorder="1" applyAlignment="1">
      <alignment horizontal="center" vertical="center"/>
    </xf>
    <xf numFmtId="2" fontId="79" fillId="0" borderId="6" xfId="0" applyNumberFormat="1" applyFont="1" applyFill="1" applyBorder="1" applyAlignment="1">
      <alignment vertical="center"/>
    </xf>
    <xf numFmtId="43" fontId="79" fillId="0" borderId="6" xfId="0" applyNumberFormat="1" applyFont="1" applyFill="1" applyBorder="1" applyAlignment="1">
      <alignment vertical="center"/>
    </xf>
    <xf numFmtId="2" fontId="79" fillId="0" borderId="6" xfId="0" applyNumberFormat="1" applyFont="1" applyFill="1" applyBorder="1" applyAlignment="1">
      <alignment horizontal="right" vertical="center"/>
    </xf>
    <xf numFmtId="43" fontId="79" fillId="0" borderId="6" xfId="0" applyNumberFormat="1" applyFont="1" applyFill="1" applyBorder="1" applyAlignment="1">
      <alignment horizontal="right" vertical="center"/>
    </xf>
    <xf numFmtId="2" fontId="20" fillId="0" borderId="6" xfId="0" applyNumberFormat="1" applyFont="1" applyFill="1" applyBorder="1" applyAlignment="1">
      <alignment vertical="center"/>
    </xf>
    <xf numFmtId="2" fontId="18" fillId="0" borderId="6" xfId="0" applyNumberFormat="1" applyFont="1" applyFill="1" applyBorder="1" applyAlignment="1">
      <alignment vertical="center"/>
    </xf>
    <xf numFmtId="43" fontId="20" fillId="0" borderId="6" xfId="0" applyNumberFormat="1" applyFont="1" applyFill="1" applyBorder="1" applyAlignment="1">
      <alignment horizontal="right" vertical="center"/>
    </xf>
    <xf numFmtId="0" fontId="104" fillId="17" borderId="6" xfId="0" applyFont="1" applyFill="1" applyBorder="1" applyAlignment="1"/>
    <xf numFmtId="0" fontId="104" fillId="17" borderId="17" xfId="0" applyFont="1" applyFill="1" applyBorder="1" applyAlignment="1">
      <alignment vertical="center"/>
    </xf>
    <xf numFmtId="164" fontId="40" fillId="0" borderId="17" xfId="1" applyNumberFormat="1" applyFont="1" applyFill="1" applyBorder="1" applyAlignment="1">
      <alignment vertical="center"/>
    </xf>
    <xf numFmtId="0" fontId="18" fillId="0" borderId="31" xfId="0" applyFont="1" applyFill="1" applyBorder="1" applyAlignment="1">
      <alignment vertical="center"/>
    </xf>
    <xf numFmtId="0" fontId="32" fillId="37" borderId="31" xfId="0" applyFont="1" applyFill="1" applyBorder="1" applyAlignment="1">
      <alignment vertical="center" wrapText="1"/>
    </xf>
    <xf numFmtId="0" fontId="40" fillId="0" borderId="17" xfId="0" applyFont="1" applyFill="1" applyBorder="1" applyAlignment="1">
      <alignment vertical="center"/>
    </xf>
    <xf numFmtId="0" fontId="41" fillId="32" borderId="32" xfId="0" applyFont="1" applyFill="1" applyBorder="1" applyAlignment="1">
      <alignment vertical="center"/>
    </xf>
    <xf numFmtId="164" fontId="18" fillId="0" borderId="0" xfId="1" applyNumberFormat="1" applyFont="1" applyAlignment="1">
      <alignment vertical="center"/>
    </xf>
    <xf numFmtId="164" fontId="18" fillId="0" borderId="6" xfId="1" applyNumberFormat="1" applyFont="1" applyBorder="1" applyAlignment="1">
      <alignment horizontal="center" vertical="center" wrapText="1"/>
    </xf>
    <xf numFmtId="164" fontId="18" fillId="0" borderId="6" xfId="1" applyNumberFormat="1" applyFont="1" applyBorder="1" applyAlignment="1"/>
    <xf numFmtId="164" fontId="79" fillId="17" borderId="6" xfId="1" applyNumberFormat="1" applyFont="1" applyFill="1" applyBorder="1" applyAlignment="1">
      <alignment vertical="center"/>
    </xf>
    <xf numFmtId="164" fontId="18" fillId="0" borderId="6" xfId="1" applyNumberFormat="1" applyFont="1" applyBorder="1" applyAlignment="1">
      <alignment vertical="center"/>
    </xf>
    <xf numFmtId="164" fontId="17" fillId="0" borderId="0" xfId="0" applyNumberFormat="1" applyFont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3" fillId="0" borderId="0" xfId="0" quotePrefix="1" applyFont="1" applyAlignment="1"/>
    <xf numFmtId="3" fontId="17" fillId="0" borderId="0" xfId="0" applyNumberFormat="1" applyFont="1" applyAlignment="1"/>
    <xf numFmtId="0" fontId="0" fillId="0" borderId="0" xfId="0" applyFont="1" applyAlignment="1">
      <alignment vertical="center"/>
    </xf>
    <xf numFmtId="0" fontId="104" fillId="17" borderId="7" xfId="0" applyFont="1" applyFill="1" applyBorder="1" applyAlignment="1"/>
    <xf numFmtId="9" fontId="21" fillId="0" borderId="6" xfId="0" applyNumberFormat="1" applyFont="1" applyFill="1" applyBorder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/>
    <xf numFmtId="0" fontId="97" fillId="0" borderId="0" xfId="0" applyFont="1" applyAlignment="1">
      <alignment vertical="center"/>
    </xf>
    <xf numFmtId="164" fontId="21" fillId="32" borderId="6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4" fillId="0" borderId="2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32" fillId="0" borderId="6" xfId="0" applyFont="1" applyFill="1" applyBorder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164" fontId="79" fillId="0" borderId="0" xfId="1" applyNumberFormat="1" applyFont="1" applyAlignment="1">
      <alignment vertical="center"/>
    </xf>
    <xf numFmtId="164" fontId="29" fillId="2" borderId="1" xfId="1" applyNumberFormat="1" applyFont="1" applyFill="1" applyBorder="1" applyAlignment="1">
      <alignment vertical="center"/>
    </xf>
    <xf numFmtId="164" fontId="17" fillId="0" borderId="0" xfId="1" applyNumberFormat="1" applyFont="1" applyAlignment="1">
      <alignment vertical="center"/>
    </xf>
    <xf numFmtId="164" fontId="0" fillId="31" borderId="0" xfId="1" applyNumberFormat="1" applyFont="1" applyFill="1" applyAlignment="1">
      <alignment vertical="center"/>
    </xf>
    <xf numFmtId="0" fontId="0" fillId="0" borderId="0" xfId="0" applyFont="1" applyAlignment="1">
      <alignment vertical="center"/>
    </xf>
    <xf numFmtId="0" fontId="88" fillId="41" borderId="6" xfId="0" applyFont="1" applyFill="1" applyBorder="1" applyAlignment="1">
      <alignment horizontal="center" wrapText="1"/>
    </xf>
    <xf numFmtId="0" fontId="86" fillId="17" borderId="6" xfId="0" applyFont="1" applyFill="1" applyBorder="1" applyAlignment="1">
      <alignment horizontal="right" vertical="center"/>
    </xf>
    <xf numFmtId="0" fontId="89" fillId="41" borderId="6" xfId="0" applyFont="1" applyFill="1" applyBorder="1" applyAlignment="1">
      <alignment horizontal="center" wrapText="1"/>
    </xf>
    <xf numFmtId="0" fontId="86" fillId="0" borderId="17" xfId="0" applyFont="1" applyBorder="1" applyAlignment="1">
      <alignment horizontal="center" vertical="center"/>
    </xf>
    <xf numFmtId="0" fontId="89" fillId="41" borderId="17" xfId="0" applyFont="1" applyFill="1" applyBorder="1" applyAlignment="1">
      <alignment horizontal="center" wrapText="1"/>
    </xf>
    <xf numFmtId="0" fontId="86" fillId="17" borderId="6" xfId="0" applyFont="1" applyFill="1" applyBorder="1" applyAlignment="1">
      <alignment horizontal="center" vertical="center"/>
    </xf>
    <xf numFmtId="172" fontId="86" fillId="0" borderId="6" xfId="0" applyNumberFormat="1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8" fillId="0" borderId="6" xfId="0" applyFont="1" applyFill="1" applyBorder="1" applyAlignment="1">
      <alignment vertical="center"/>
    </xf>
    <xf numFmtId="0" fontId="91" fillId="17" borderId="0" xfId="0" applyFont="1" applyFill="1" applyAlignment="1">
      <alignment vertical="center"/>
    </xf>
    <xf numFmtId="0" fontId="88" fillId="17" borderId="6" xfId="0" applyFont="1" applyFill="1" applyBorder="1" applyAlignment="1">
      <alignment vertical="center"/>
    </xf>
    <xf numFmtId="0" fontId="91" fillId="17" borderId="6" xfId="0" applyFont="1" applyFill="1" applyBorder="1" applyAlignment="1">
      <alignment vertical="center"/>
    </xf>
    <xf numFmtId="0" fontId="91" fillId="17" borderId="6" xfId="0" applyFont="1" applyFill="1" applyBorder="1" applyAlignment="1">
      <alignment vertical="center" wrapText="1"/>
    </xf>
    <xf numFmtId="0" fontId="86" fillId="17" borderId="6" xfId="0" applyFont="1" applyFill="1" applyBorder="1" applyAlignment="1">
      <alignment horizontal="right" vertical="center" wrapText="1"/>
    </xf>
    <xf numFmtId="0" fontId="91" fillId="17" borderId="6" xfId="0" applyFont="1" applyFill="1" applyBorder="1" applyAlignment="1"/>
    <xf numFmtId="0" fontId="91" fillId="17" borderId="19" xfId="0" applyFont="1" applyFill="1" applyBorder="1" applyAlignment="1">
      <alignment vertical="center" wrapText="1"/>
    </xf>
    <xf numFmtId="0" fontId="91" fillId="17" borderId="17" xfId="0" applyFont="1" applyFill="1" applyBorder="1" applyAlignment="1"/>
    <xf numFmtId="0" fontId="104" fillId="17" borderId="6" xfId="0" applyFont="1" applyFill="1" applyBorder="1" applyAlignment="1">
      <alignment vertical="center" wrapText="1"/>
    </xf>
    <xf numFmtId="0" fontId="104" fillId="17" borderId="6" xfId="0" applyFont="1" applyFill="1" applyBorder="1" applyAlignment="1">
      <alignment vertical="center"/>
    </xf>
    <xf numFmtId="0" fontId="93" fillId="23" borderId="6" xfId="0" applyFont="1" applyFill="1" applyBorder="1" applyAlignment="1">
      <alignment horizontal="center" vertical="center" wrapText="1"/>
    </xf>
    <xf numFmtId="0" fontId="110" fillId="17" borderId="0" xfId="0" applyFont="1" applyFill="1" applyAlignment="1">
      <alignment horizontal="center" wrapText="1"/>
    </xf>
    <xf numFmtId="3" fontId="93" fillId="0" borderId="6" xfId="0" applyNumberFormat="1" applyFont="1" applyBorder="1" applyAlignment="1">
      <alignment vertical="center"/>
    </xf>
    <xf numFmtId="0" fontId="86" fillId="17" borderId="0" xfId="0" applyFont="1" applyFill="1" applyAlignment="1"/>
    <xf numFmtId="0" fontId="88" fillId="17" borderId="0" xfId="0" applyFont="1" applyFill="1" applyAlignment="1">
      <alignment horizontal="center"/>
    </xf>
    <xf numFmtId="0" fontId="88" fillId="17" borderId="0" xfId="0" applyFont="1" applyFill="1" applyAlignment="1">
      <alignment horizontal="center" wrapText="1"/>
    </xf>
    <xf numFmtId="0" fontId="86" fillId="17" borderId="0" xfId="0" applyFont="1" applyFill="1" applyAlignment="1">
      <alignment horizontal="center"/>
    </xf>
    <xf numFmtId="176" fontId="86" fillId="17" borderId="0" xfId="0" applyNumberFormat="1" applyFont="1" applyFill="1" applyAlignment="1">
      <alignment horizontal="right"/>
    </xf>
    <xf numFmtId="0" fontId="109" fillId="0" borderId="0" xfId="0" applyFont="1" applyAlignment="1"/>
    <xf numFmtId="0" fontId="93" fillId="0" borderId="6" xfId="0" applyFont="1" applyBorder="1" applyAlignment="1">
      <alignment horizontal="left" vertical="center" wrapText="1"/>
    </xf>
    <xf numFmtId="3" fontId="93" fillId="3" borderId="6" xfId="0" applyNumberFormat="1" applyFont="1" applyFill="1" applyBorder="1" applyAlignment="1">
      <alignment vertical="center"/>
    </xf>
    <xf numFmtId="0" fontId="17" fillId="0" borderId="0" xfId="0" applyFont="1" applyAlignment="1">
      <alignment horizontal="center" wrapText="1"/>
    </xf>
    <xf numFmtId="0" fontId="26" fillId="0" borderId="0" xfId="0" quotePrefix="1" applyFont="1" applyAlignment="1">
      <alignment horizontal="right"/>
    </xf>
    <xf numFmtId="0" fontId="26" fillId="0" borderId="0" xfId="0" applyFont="1" applyAlignment="1"/>
    <xf numFmtId="0" fontId="0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110" fillId="17" borderId="0" xfId="0" applyFont="1" applyFill="1" applyAlignment="1">
      <alignment horizontal="center"/>
    </xf>
    <xf numFmtId="0" fontId="86" fillId="17" borderId="0" xfId="0" applyFont="1" applyFill="1" applyAlignment="1">
      <alignment vertical="center" wrapText="1"/>
    </xf>
    <xf numFmtId="0" fontId="86" fillId="17" borderId="0" xfId="0" applyFont="1" applyFill="1" applyAlignment="1">
      <alignment vertical="center"/>
    </xf>
    <xf numFmtId="0" fontId="86" fillId="17" borderId="6" xfId="0" applyFont="1" applyFill="1" applyBorder="1" applyAlignment="1">
      <alignment horizontal="center" wrapText="1"/>
    </xf>
    <xf numFmtId="0" fontId="88" fillId="17" borderId="6" xfId="0" applyFont="1" applyFill="1" applyBorder="1" applyAlignment="1">
      <alignment horizontal="center" vertical="center"/>
    </xf>
    <xf numFmtId="9" fontId="20" fillId="0" borderId="6" xfId="0" applyNumberFormat="1" applyFont="1" applyFill="1" applyBorder="1" applyAlignment="1">
      <alignment horizontal="center" vertical="center"/>
    </xf>
    <xf numFmtId="3" fontId="86" fillId="0" borderId="6" xfId="0" applyNumberFormat="1" applyFont="1" applyFill="1" applyBorder="1" applyAlignment="1">
      <alignment vertical="center"/>
    </xf>
    <xf numFmtId="0" fontId="104" fillId="0" borderId="6" xfId="0" applyFont="1" applyFill="1" applyBorder="1" applyAlignment="1"/>
    <xf numFmtId="172" fontId="86" fillId="0" borderId="20" xfId="0" applyNumberFormat="1" applyFont="1" applyFill="1" applyBorder="1" applyAlignment="1">
      <alignment horizontal="center" vertical="center"/>
    </xf>
    <xf numFmtId="0" fontId="104" fillId="0" borderId="2" xfId="0" applyFont="1" applyFill="1" applyBorder="1" applyAlignment="1">
      <alignment vertical="center"/>
    </xf>
    <xf numFmtId="3" fontId="104" fillId="0" borderId="6" xfId="0" applyNumberFormat="1" applyFont="1" applyFill="1" applyBorder="1" applyAlignment="1">
      <alignment vertical="center"/>
    </xf>
    <xf numFmtId="164" fontId="104" fillId="0" borderId="6" xfId="0" applyNumberFormat="1" applyFont="1" applyFill="1" applyBorder="1" applyAlignment="1">
      <alignment vertical="center"/>
    </xf>
    <xf numFmtId="0" fontId="86" fillId="17" borderId="0" xfId="0" applyFont="1" applyFill="1" applyAlignment="1">
      <alignment wrapText="1"/>
    </xf>
    <xf numFmtId="0" fontId="113" fillId="17" borderId="0" xfId="0" applyFont="1" applyFill="1" applyAlignment="1">
      <alignment horizontal="center"/>
    </xf>
    <xf numFmtId="0" fontId="113" fillId="17" borderId="0" xfId="0" applyFont="1" applyFill="1" applyAlignment="1">
      <alignment horizontal="center" wrapText="1"/>
    </xf>
    <xf numFmtId="177" fontId="86" fillId="17" borderId="0" xfId="0" applyNumberFormat="1" applyFont="1" applyFill="1" applyAlignment="1">
      <alignment horizontal="center"/>
    </xf>
    <xf numFmtId="172" fontId="86" fillId="17" borderId="0" xfId="0" applyNumberFormat="1" applyFont="1" applyFill="1" applyAlignment="1">
      <alignment horizontal="center"/>
    </xf>
    <xf numFmtId="172" fontId="86" fillId="17" borderId="0" xfId="0" applyNumberFormat="1" applyFont="1" applyFill="1" applyAlignment="1">
      <alignment vertical="center"/>
    </xf>
    <xf numFmtId="0" fontId="114" fillId="17" borderId="0" xfId="0" applyFont="1" applyFill="1" applyAlignment="1">
      <alignment horizontal="left" vertical="center"/>
    </xf>
    <xf numFmtId="3" fontId="91" fillId="0" borderId="6" xfId="0" applyNumberFormat="1" applyFont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86" fillId="0" borderId="31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103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86" fillId="17" borderId="0" xfId="0" applyFont="1" applyFill="1" applyAlignment="1">
      <alignment vertical="center"/>
    </xf>
    <xf numFmtId="0" fontId="36" fillId="2" borderId="21" xfId="0" applyFont="1" applyFill="1" applyBorder="1" applyAlignment="1">
      <alignment vertical="center"/>
    </xf>
    <xf numFmtId="0" fontId="115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21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vertical="center" wrapText="1"/>
    </xf>
    <xf numFmtId="0" fontId="117" fillId="23" borderId="6" xfId="0" applyFont="1" applyFill="1" applyBorder="1" applyAlignment="1">
      <alignment vertical="center"/>
    </xf>
    <xf numFmtId="0" fontId="117" fillId="17" borderId="6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 wrapText="1"/>
    </xf>
    <xf numFmtId="41" fontId="18" fillId="0" borderId="3" xfId="0" applyNumberFormat="1" applyFont="1" applyFill="1" applyBorder="1" applyAlignment="1">
      <alignment horizontal="left" vertical="center"/>
    </xf>
    <xf numFmtId="41" fontId="18" fillId="0" borderId="6" xfId="0" applyNumberFormat="1" applyFont="1" applyFill="1" applyBorder="1" applyAlignment="1">
      <alignment vertical="center"/>
    </xf>
    <xf numFmtId="0" fontId="41" fillId="0" borderId="0" xfId="0" applyFont="1" applyFill="1" applyAlignment="1">
      <alignment vertical="center"/>
    </xf>
    <xf numFmtId="41" fontId="20" fillId="0" borderId="9" xfId="0" applyNumberFormat="1" applyFont="1" applyFill="1" applyBorder="1" applyAlignment="1">
      <alignment horizontal="center" vertical="center"/>
    </xf>
    <xf numFmtId="0" fontId="41" fillId="0" borderId="22" xfId="0" applyFont="1" applyFill="1" applyBorder="1" applyAlignment="1">
      <alignment vertical="center"/>
    </xf>
    <xf numFmtId="41" fontId="41" fillId="0" borderId="18" xfId="0" applyNumberFormat="1" applyFont="1" applyFill="1" applyBorder="1" applyAlignment="1">
      <alignment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8" xfId="0" applyFont="1" applyFill="1" applyBorder="1" applyAlignment="1"/>
    <xf numFmtId="41" fontId="20" fillId="0" borderId="18" xfId="0" applyNumberFormat="1" applyFont="1" applyFill="1" applyBorder="1" applyAlignment="1">
      <alignment horizontal="right" vertical="center"/>
    </xf>
    <xf numFmtId="164" fontId="20" fillId="0" borderId="18" xfId="0" applyNumberFormat="1" applyFont="1" applyFill="1" applyBorder="1" applyAlignment="1">
      <alignment horizontal="right" vertical="center"/>
    </xf>
    <xf numFmtId="0" fontId="0" fillId="0" borderId="0" xfId="0" applyFont="1" applyFill="1" applyAlignment="1">
      <alignment vertical="center"/>
    </xf>
    <xf numFmtId="3" fontId="93" fillId="0" borderId="6" xfId="0" applyNumberFormat="1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86" fillId="17" borderId="0" xfId="0" applyFont="1" applyFill="1" applyAlignment="1">
      <alignment vertical="center"/>
    </xf>
    <xf numFmtId="0" fontId="21" fillId="22" borderId="6" xfId="0" applyFont="1" applyFill="1" applyBorder="1" applyAlignment="1">
      <alignment horizontal="center" vertical="center"/>
    </xf>
    <xf numFmtId="3" fontId="22" fillId="0" borderId="6" xfId="0" applyNumberFormat="1" applyFont="1" applyBorder="1" applyAlignment="1">
      <alignment vertical="center"/>
    </xf>
    <xf numFmtId="164" fontId="21" fillId="0" borderId="6" xfId="1" applyNumberFormat="1" applyFont="1" applyBorder="1" applyAlignment="1">
      <alignment vertical="center"/>
    </xf>
    <xf numFmtId="2" fontId="21" fillId="0" borderId="0" xfId="0" applyNumberFormat="1" applyFont="1" applyAlignment="1">
      <alignment vertical="center" wrapText="1"/>
    </xf>
    <xf numFmtId="164" fontId="21" fillId="0" borderId="0" xfId="0" applyNumberFormat="1" applyFont="1" applyAlignment="1">
      <alignment vertical="center" wrapText="1"/>
    </xf>
    <xf numFmtId="3" fontId="21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97" fillId="31" borderId="0" xfId="0" applyFont="1" applyFill="1" applyAlignment="1">
      <alignment vertical="center"/>
    </xf>
    <xf numFmtId="43" fontId="21" fillId="0" borderId="6" xfId="0" applyNumberFormat="1" applyFont="1" applyBorder="1" applyAlignment="1">
      <alignment horizontal="right" vertical="center"/>
    </xf>
    <xf numFmtId="0" fontId="119" fillId="17" borderId="6" xfId="0" applyFont="1" applyFill="1" applyBorder="1" applyAlignment="1">
      <alignment horizontal="center" wrapText="1"/>
    </xf>
    <xf numFmtId="41" fontId="104" fillId="0" borderId="6" xfId="0" applyNumberFormat="1" applyFont="1" applyBorder="1" applyAlignment="1">
      <alignment horizontal="left" vertical="center" wrapText="1"/>
    </xf>
    <xf numFmtId="0" fontId="108" fillId="0" borderId="17" xfId="0" applyFont="1" applyBorder="1" applyAlignment="1">
      <alignment horizontal="center" vertical="center"/>
    </xf>
    <xf numFmtId="0" fontId="118" fillId="17" borderId="6" xfId="0" applyFont="1" applyFill="1" applyBorder="1" applyAlignment="1">
      <alignment horizontal="right" vertical="center" wrapText="1"/>
    </xf>
    <xf numFmtId="0" fontId="118" fillId="17" borderId="0" xfId="0" applyFont="1" applyFill="1" applyAlignment="1">
      <alignment vertical="center"/>
    </xf>
    <xf numFmtId="0" fontId="108" fillId="17" borderId="6" xfId="0" applyFont="1" applyFill="1" applyBorder="1" applyAlignment="1">
      <alignment horizontal="right" vertical="center" wrapText="1"/>
    </xf>
    <xf numFmtId="0" fontId="120" fillId="17" borderId="0" xfId="0" applyFont="1" applyFill="1" applyAlignment="1">
      <alignment horizontal="right" vertical="center"/>
    </xf>
    <xf numFmtId="0" fontId="121" fillId="17" borderId="6" xfId="0" applyFont="1" applyFill="1" applyBorder="1" applyAlignment="1">
      <alignment horizontal="right" vertical="center"/>
    </xf>
    <xf numFmtId="49" fontId="123" fillId="42" borderId="6" xfId="0" applyNumberFormat="1" applyFont="1" applyFill="1" applyBorder="1" applyAlignment="1">
      <alignment horizontal="center" vertical="center" wrapText="1"/>
    </xf>
    <xf numFmtId="49" fontId="123" fillId="42" borderId="6" xfId="0" applyNumberFormat="1" applyFont="1" applyFill="1" applyBorder="1" applyAlignment="1">
      <alignment horizontal="center" vertical="center"/>
    </xf>
    <xf numFmtId="0" fontId="106" fillId="17" borderId="6" xfId="0" applyFont="1" applyFill="1" applyBorder="1" applyAlignment="1">
      <alignment horizontal="center" vertical="center"/>
    </xf>
    <xf numFmtId="41" fontId="21" fillId="0" borderId="6" xfId="0" applyNumberFormat="1" applyFont="1" applyBorder="1" applyAlignment="1">
      <alignment horizontal="center" vertical="center"/>
    </xf>
    <xf numFmtId="41" fontId="21" fillId="0" borderId="6" xfId="0" applyNumberFormat="1" applyFont="1" applyBorder="1" applyAlignment="1">
      <alignment horizontal="right" vertical="center"/>
    </xf>
    <xf numFmtId="41" fontId="21" fillId="0" borderId="6" xfId="0" applyNumberFormat="1" applyFont="1" applyBorder="1" applyAlignment="1">
      <alignment vertical="center"/>
    </xf>
    <xf numFmtId="41" fontId="21" fillId="0" borderId="0" xfId="0" applyNumberFormat="1" applyFont="1" applyAlignment="1">
      <alignment horizontal="left" vertical="center"/>
    </xf>
    <xf numFmtId="41" fontId="22" fillId="0" borderId="6" xfId="0" applyNumberFormat="1" applyFont="1" applyBorder="1" applyAlignment="1">
      <alignment horizontal="right" vertical="center"/>
    </xf>
    <xf numFmtId="41" fontId="21" fillId="0" borderId="11" xfId="0" applyNumberFormat="1" applyFont="1" applyBorder="1" applyAlignment="1">
      <alignment horizontal="left" vertical="center"/>
    </xf>
    <xf numFmtId="0" fontId="79" fillId="32" borderId="6" xfId="0" applyFont="1" applyFill="1" applyBorder="1" applyAlignment="1">
      <alignment horizontal="center" vertical="center"/>
    </xf>
    <xf numFmtId="2" fontId="21" fillId="0" borderId="6" xfId="0" applyNumberFormat="1" applyFont="1" applyFill="1" applyBorder="1" applyAlignment="1">
      <alignment vertical="center"/>
    </xf>
    <xf numFmtId="164" fontId="126" fillId="17" borderId="6" xfId="0" applyNumberFormat="1" applyFont="1" applyFill="1" applyBorder="1" applyAlignment="1">
      <alignment vertical="center"/>
    </xf>
    <xf numFmtId="164" fontId="29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04" fillId="35" borderId="6" xfId="0" applyFont="1" applyFill="1" applyBorder="1" applyAlignment="1"/>
    <xf numFmtId="0" fontId="0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21" xfId="0" applyFont="1" applyFill="1" applyBorder="1" applyAlignment="1"/>
    <xf numFmtId="0" fontId="0" fillId="0" borderId="21" xfId="0" applyFont="1" applyBorder="1" applyAlignment="1">
      <alignment horizontal="left" vertical="center"/>
    </xf>
    <xf numFmtId="3" fontId="97" fillId="0" borderId="0" xfId="0" applyNumberFormat="1" applyFont="1" applyAlignment="1">
      <alignment vertical="center"/>
    </xf>
    <xf numFmtId="0" fontId="77" fillId="0" borderId="0" xfId="0" applyFont="1" applyAlignment="1">
      <alignment horizontal="center" vertical="center"/>
    </xf>
    <xf numFmtId="3" fontId="0" fillId="0" borderId="0" xfId="0" applyNumberFormat="1" applyFont="1" applyAlignment="1">
      <alignment vertical="center"/>
    </xf>
    <xf numFmtId="3" fontId="81" fillId="0" borderId="0" xfId="0" applyNumberFormat="1" applyFont="1" applyAlignment="1">
      <alignment vertical="center"/>
    </xf>
    <xf numFmtId="0" fontId="17" fillId="0" borderId="6" xfId="0" applyFont="1" applyBorder="1" applyAlignment="1"/>
    <xf numFmtId="3" fontId="23" fillId="0" borderId="6" xfId="0" applyNumberFormat="1" applyFont="1" applyBorder="1" applyAlignment="1">
      <alignment horizontal="right" vertical="center"/>
    </xf>
    <xf numFmtId="164" fontId="30" fillId="0" borderId="0" xfId="0" applyNumberFormat="1" applyFont="1" applyAlignment="1">
      <alignment vertical="center"/>
    </xf>
    <xf numFmtId="164" fontId="80" fillId="32" borderId="0" xfId="0" applyNumberFormat="1" applyFont="1" applyFill="1" applyAlignment="1">
      <alignment vertical="center"/>
    </xf>
    <xf numFmtId="0" fontId="78" fillId="32" borderId="0" xfId="0" applyFont="1" applyFill="1" applyAlignment="1">
      <alignment vertical="center"/>
    </xf>
    <xf numFmtId="49" fontId="98" fillId="0" borderId="0" xfId="0" quotePrefix="1" applyNumberFormat="1" applyFont="1" applyProtection="1">
      <protection locked="0"/>
    </xf>
    <xf numFmtId="0" fontId="23" fillId="14" borderId="21" xfId="0" applyFont="1" applyFill="1" applyBorder="1" applyAlignment="1">
      <alignment vertical="center"/>
    </xf>
    <xf numFmtId="3" fontId="79" fillId="31" borderId="0" xfId="0" applyNumberFormat="1" applyFont="1" applyFill="1" applyAlignment="1"/>
    <xf numFmtId="0" fontId="0" fillId="0" borderId="0" xfId="0" applyFont="1" applyAlignment="1">
      <alignment vertical="center"/>
    </xf>
    <xf numFmtId="0" fontId="127" fillId="0" borderId="0" xfId="0" applyFont="1" applyAlignment="1">
      <alignment vertical="center"/>
    </xf>
    <xf numFmtId="0" fontId="128" fillId="43" borderId="33" xfId="0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170" fontId="76" fillId="0" borderId="0" xfId="0" applyNumberFormat="1" applyFont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17" borderId="0" xfId="0" applyFont="1" applyFill="1" applyAlignment="1">
      <alignment horizontal="center" vertical="center"/>
    </xf>
    <xf numFmtId="170" fontId="76" fillId="17" borderId="0" xfId="0" applyNumberFormat="1" applyFont="1" applyFill="1" applyAlignment="1">
      <alignment horizontal="center" vertical="center"/>
    </xf>
    <xf numFmtId="178" fontId="76" fillId="17" borderId="0" xfId="0" applyNumberFormat="1" applyFont="1" applyFill="1" applyAlignment="1">
      <alignment horizontal="center" vertical="center"/>
    </xf>
    <xf numFmtId="0" fontId="76" fillId="17" borderId="0" xfId="0" applyFont="1" applyFill="1" applyAlignment="1">
      <alignment vertical="center"/>
    </xf>
    <xf numFmtId="0" fontId="76" fillId="0" borderId="0" xfId="0" applyFont="1" applyAlignment="1">
      <alignment vertical="center" wrapText="1"/>
    </xf>
    <xf numFmtId="0" fontId="76" fillId="2" borderId="0" xfId="0" applyFont="1" applyFill="1" applyAlignment="1">
      <alignment horizontal="center" vertical="center"/>
    </xf>
    <xf numFmtId="170" fontId="76" fillId="2" borderId="0" xfId="0" applyNumberFormat="1" applyFont="1" applyFill="1" applyAlignment="1">
      <alignment horizontal="center" vertical="center"/>
    </xf>
    <xf numFmtId="0" fontId="76" fillId="2" borderId="0" xfId="0" applyFont="1" applyFill="1" applyAlignment="1">
      <alignment vertical="center"/>
    </xf>
    <xf numFmtId="178" fontId="76" fillId="2" borderId="0" xfId="0" applyNumberFormat="1" applyFont="1" applyFill="1" applyAlignment="1">
      <alignment horizontal="center" vertical="center"/>
    </xf>
    <xf numFmtId="0" fontId="26" fillId="17" borderId="0" xfId="0" applyFont="1" applyFill="1" applyAlignment="1">
      <alignment vertical="center"/>
    </xf>
    <xf numFmtId="0" fontId="32" fillId="17" borderId="21" xfId="0" applyFont="1" applyFill="1" applyBorder="1" applyAlignment="1">
      <alignment horizontal="center" vertical="center"/>
    </xf>
    <xf numFmtId="0" fontId="32" fillId="17" borderId="11" xfId="0" applyFont="1" applyFill="1" applyBorder="1" applyAlignment="1">
      <alignment horizontal="center" vertical="center"/>
    </xf>
    <xf numFmtId="0" fontId="32" fillId="0" borderId="19" xfId="0" applyFont="1" applyFill="1" applyBorder="1" applyAlignment="1">
      <alignment horizontal="center" vertical="center"/>
    </xf>
    <xf numFmtId="0" fontId="32" fillId="17" borderId="17" xfId="0" applyFont="1" applyFill="1" applyBorder="1" applyAlignment="1">
      <alignment horizontal="center" vertical="center"/>
    </xf>
    <xf numFmtId="0" fontId="32" fillId="17" borderId="19" xfId="0" applyFont="1" applyFill="1" applyBorder="1" applyAlignment="1">
      <alignment horizontal="center" vertical="center"/>
    </xf>
    <xf numFmtId="0" fontId="32" fillId="17" borderId="7" xfId="0" applyFont="1" applyFill="1" applyBorder="1" applyAlignment="1">
      <alignment horizontal="center" vertical="center"/>
    </xf>
    <xf numFmtId="164" fontId="17" fillId="0" borderId="11" xfId="0" applyNumberFormat="1" applyFont="1" applyFill="1" applyBorder="1" applyAlignment="1">
      <alignment vertical="center"/>
    </xf>
    <xf numFmtId="0" fontId="104" fillId="17" borderId="20" xfId="0" applyFont="1" applyFill="1" applyBorder="1" applyAlignment="1">
      <alignment vertical="center"/>
    </xf>
    <xf numFmtId="41" fontId="91" fillId="0" borderId="6" xfId="0" applyNumberFormat="1" applyFont="1" applyBorder="1" applyAlignment="1"/>
    <xf numFmtId="41" fontId="104" fillId="0" borderId="6" xfId="0" applyNumberFormat="1" applyFont="1" applyBorder="1" applyAlignment="1">
      <alignment horizontal="center" vertical="center"/>
    </xf>
    <xf numFmtId="0" fontId="21" fillId="0" borderId="16" xfId="0" applyFont="1" applyFill="1" applyBorder="1" applyAlignment="1">
      <alignment vertical="center" wrapText="1"/>
    </xf>
    <xf numFmtId="0" fontId="104" fillId="0" borderId="17" xfId="0" applyFont="1" applyFill="1" applyBorder="1" applyAlignment="1">
      <alignment vertical="center"/>
    </xf>
    <xf numFmtId="0" fontId="111" fillId="0" borderId="6" xfId="0" applyFont="1" applyFill="1" applyBorder="1" applyAlignment="1"/>
    <xf numFmtId="0" fontId="129" fillId="17" borderId="0" xfId="0" applyFont="1" applyFill="1" applyAlignment="1">
      <alignment vertical="center" wrapText="1"/>
    </xf>
    <xf numFmtId="0" fontId="91" fillId="0" borderId="30" xfId="0" applyFont="1" applyBorder="1" applyAlignment="1">
      <alignment wrapText="1"/>
    </xf>
    <xf numFmtId="0" fontId="26" fillId="0" borderId="30" xfId="0" quotePrefix="1" applyFont="1" applyBorder="1" applyAlignment="1">
      <alignment horizontal="left" wrapText="1"/>
    </xf>
    <xf numFmtId="164" fontId="17" fillId="32" borderId="6" xfId="0" applyNumberFormat="1" applyFont="1" applyFill="1" applyBorder="1" applyAlignment="1">
      <alignment vertical="center"/>
    </xf>
    <xf numFmtId="164" fontId="20" fillId="32" borderId="0" xfId="1" applyNumberFormat="1" applyFont="1" applyFill="1" applyAlignment="1">
      <alignment vertical="center"/>
    </xf>
    <xf numFmtId="3" fontId="79" fillId="0" borderId="21" xfId="0" applyNumberFormat="1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21" fillId="0" borderId="21" xfId="0" applyFont="1" applyFill="1" applyBorder="1" applyAlignment="1">
      <alignment vertical="center"/>
    </xf>
    <xf numFmtId="164" fontId="130" fillId="0" borderId="0" xfId="1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0" fontId="21" fillId="0" borderId="0" xfId="0" quotePrefix="1" applyFont="1" applyAlignment="1"/>
    <xf numFmtId="0" fontId="21" fillId="0" borderId="7" xfId="0" applyFont="1" applyBorder="1" applyAlignment="1">
      <alignment vertical="center" wrapText="1"/>
    </xf>
    <xf numFmtId="41" fontId="124" fillId="0" borderId="6" xfId="0" applyNumberFormat="1" applyFont="1" applyBorder="1" applyAlignment="1">
      <alignment horizontal="center" vertical="center"/>
    </xf>
    <xf numFmtId="41" fontId="124" fillId="0" borderId="0" xfId="0" applyNumberFormat="1" applyFont="1" applyAlignment="1">
      <alignment horizontal="left" vertical="center"/>
    </xf>
    <xf numFmtId="41" fontId="124" fillId="0" borderId="6" xfId="0" applyNumberFormat="1" applyFont="1" applyBorder="1" applyAlignment="1">
      <alignment horizontal="right" vertical="center"/>
    </xf>
    <xf numFmtId="164" fontId="124" fillId="0" borderId="6" xfId="0" applyNumberFormat="1" applyFont="1" applyBorder="1" applyAlignment="1">
      <alignment vertical="center"/>
    </xf>
    <xf numFmtId="41" fontId="124" fillId="0" borderId="6" xfId="0" applyNumberFormat="1" applyFont="1" applyBorder="1" applyAlignment="1">
      <alignment vertical="center"/>
    </xf>
    <xf numFmtId="41" fontId="131" fillId="0" borderId="6" xfId="0" applyNumberFormat="1" applyFont="1" applyBorder="1" applyAlignment="1">
      <alignment horizontal="right" vertical="center"/>
    </xf>
    <xf numFmtId="0" fontId="132" fillId="0" borderId="0" xfId="0" applyFont="1" applyAlignment="1">
      <alignment vertical="center"/>
    </xf>
    <xf numFmtId="41" fontId="124" fillId="0" borderId="11" xfId="0" applyNumberFormat="1" applyFont="1" applyBorder="1" applyAlignment="1">
      <alignment horizontal="left" vertical="center"/>
    </xf>
    <xf numFmtId="0" fontId="133" fillId="0" borderId="0" xfId="0" applyFont="1" applyAlignment="1">
      <alignment vertical="center"/>
    </xf>
    <xf numFmtId="41" fontId="79" fillId="0" borderId="11" xfId="0" applyNumberFormat="1" applyFont="1" applyBorder="1" applyAlignment="1">
      <alignment horizontal="left" vertical="center"/>
    </xf>
    <xf numFmtId="0" fontId="21" fillId="0" borderId="0" xfId="0" applyFont="1" applyAlignment="1"/>
    <xf numFmtId="0" fontId="21" fillId="32" borderId="6" xfId="0" applyFont="1" applyFill="1" applyBorder="1" applyAlignment="1">
      <alignment horizontal="center" vertical="center"/>
    </xf>
    <xf numFmtId="164" fontId="22" fillId="0" borderId="6" xfId="0" applyNumberFormat="1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2" fontId="21" fillId="0" borderId="6" xfId="0" applyNumberFormat="1" applyFont="1" applyBorder="1" applyAlignment="1">
      <alignment horizontal="center" vertical="center"/>
    </xf>
    <xf numFmtId="0" fontId="134" fillId="0" borderId="0" xfId="0" applyFont="1" applyAlignment="1">
      <alignment horizontal="left" vertical="center"/>
    </xf>
    <xf numFmtId="172" fontId="105" fillId="0" borderId="20" xfId="0" applyNumberFormat="1" applyFont="1" applyBorder="1" applyAlignment="1">
      <alignment horizontal="left" vertical="center"/>
    </xf>
    <xf numFmtId="0" fontId="79" fillId="0" borderId="6" xfId="0" applyFont="1" applyBorder="1" applyAlignment="1">
      <alignment horizontal="center"/>
    </xf>
    <xf numFmtId="0" fontId="79" fillId="0" borderId="6" xfId="0" applyFont="1" applyBorder="1" applyAlignment="1">
      <alignment horizontal="center" wrapText="1"/>
    </xf>
    <xf numFmtId="0" fontId="111" fillId="35" borderId="6" xfId="0" applyFont="1" applyFill="1" applyBorder="1" applyAlignment="1"/>
    <xf numFmtId="172" fontId="105" fillId="35" borderId="20" xfId="0" quotePrefix="1" applyNumberFormat="1" applyFont="1" applyFill="1" applyBorder="1" applyAlignment="1">
      <alignment horizontal="center" vertical="center"/>
    </xf>
    <xf numFmtId="172" fontId="105" fillId="35" borderId="2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1" fillId="33" borderId="6" xfId="0" applyFont="1" applyFill="1" applyBorder="1" applyAlignment="1">
      <alignment horizontal="center" vertical="center"/>
    </xf>
    <xf numFmtId="0" fontId="21" fillId="0" borderId="6" xfId="0" applyFont="1" applyFill="1" applyBorder="1" applyAlignment="1"/>
    <xf numFmtId="0" fontId="21" fillId="17" borderId="6" xfId="0" applyFont="1" applyFill="1" applyBorder="1" applyAlignment="1"/>
    <xf numFmtId="0" fontId="21" fillId="17" borderId="6" xfId="0" applyFont="1" applyFill="1" applyBorder="1" applyAlignment="1">
      <alignment vertical="center"/>
    </xf>
    <xf numFmtId="9" fontId="21" fillId="17" borderId="6" xfId="0" applyNumberFormat="1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center" vertical="center"/>
    </xf>
    <xf numFmtId="164" fontId="21" fillId="17" borderId="6" xfId="0" applyNumberFormat="1" applyFont="1" applyFill="1" applyBorder="1" applyAlignment="1">
      <alignment vertical="center"/>
    </xf>
    <xf numFmtId="164" fontId="22" fillId="17" borderId="6" xfId="0" applyNumberFormat="1" applyFont="1" applyFill="1" applyBorder="1" applyAlignment="1">
      <alignment vertical="center"/>
    </xf>
    <xf numFmtId="164" fontId="22" fillId="17" borderId="11" xfId="0" applyNumberFormat="1" applyFont="1" applyFill="1" applyBorder="1" applyAlignment="1">
      <alignment vertical="center"/>
    </xf>
    <xf numFmtId="3" fontId="21" fillId="17" borderId="6" xfId="0" applyNumberFormat="1" applyFont="1" applyFill="1" applyBorder="1" applyAlignment="1">
      <alignment vertical="center"/>
    </xf>
    <xf numFmtId="43" fontId="21" fillId="0" borderId="6" xfId="0" applyNumberFormat="1" applyFont="1" applyFill="1" applyBorder="1" applyAlignment="1">
      <alignment vertical="center"/>
    </xf>
    <xf numFmtId="3" fontId="22" fillId="17" borderId="6" xfId="0" applyNumberFormat="1" applyFont="1" applyFill="1" applyBorder="1" applyAlignment="1">
      <alignment vertical="center"/>
    </xf>
    <xf numFmtId="0" fontId="21" fillId="17" borderId="6" xfId="0" applyFont="1" applyFill="1" applyBorder="1" applyAlignment="1">
      <alignment vertical="center" wrapText="1"/>
    </xf>
    <xf numFmtId="3" fontId="22" fillId="17" borderId="1" xfId="0" applyNumberFormat="1" applyFont="1" applyFill="1" applyBorder="1" applyAlignment="1">
      <alignment vertical="center"/>
    </xf>
    <xf numFmtId="3" fontId="21" fillId="17" borderId="1" xfId="0" applyNumberFormat="1" applyFont="1" applyFill="1" applyBorder="1" applyAlignment="1"/>
    <xf numFmtId="0" fontId="21" fillId="17" borderId="1" xfId="0" quotePrefix="1" applyFont="1" applyFill="1" applyBorder="1" applyAlignment="1"/>
    <xf numFmtId="0" fontId="21" fillId="17" borderId="1" xfId="0" applyFont="1" applyFill="1" applyBorder="1" applyAlignment="1"/>
    <xf numFmtId="3" fontId="138" fillId="0" borderId="0" xfId="0" applyNumberFormat="1" applyFont="1" applyAlignment="1">
      <alignment vertical="center"/>
    </xf>
    <xf numFmtId="0" fontId="87" fillId="2" borderId="34" xfId="0" applyFont="1" applyFill="1" applyBorder="1" applyAlignment="1">
      <alignment vertical="center" wrapText="1"/>
    </xf>
    <xf numFmtId="41" fontId="86" fillId="0" borderId="6" xfId="0" applyNumberFormat="1" applyFont="1" applyBorder="1" applyAlignment="1"/>
    <xf numFmtId="0" fontId="21" fillId="0" borderId="6" xfId="0" applyFont="1" applyFill="1" applyBorder="1" applyAlignment="1">
      <alignment horizontal="center" vertical="center"/>
    </xf>
    <xf numFmtId="164" fontId="22" fillId="0" borderId="6" xfId="0" applyNumberFormat="1" applyFont="1" applyFill="1" applyBorder="1" applyAlignment="1">
      <alignment vertical="center"/>
    </xf>
    <xf numFmtId="164" fontId="22" fillId="0" borderId="3" xfId="0" applyNumberFormat="1" applyFont="1" applyFill="1" applyBorder="1" applyAlignment="1">
      <alignment vertical="center"/>
    </xf>
    <xf numFmtId="43" fontId="21" fillId="0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horizontal="left"/>
    </xf>
    <xf numFmtId="49" fontId="29" fillId="0" borderId="0" xfId="0" applyNumberFormat="1" applyFont="1" applyProtection="1">
      <protection locked="0"/>
    </xf>
    <xf numFmtId="0" fontId="29" fillId="0" borderId="0" xfId="0" applyFont="1" applyProtection="1">
      <protection locked="0"/>
    </xf>
    <xf numFmtId="0" fontId="94" fillId="0" borderId="6" xfId="0" applyFont="1" applyFill="1" applyBorder="1" applyAlignment="1"/>
    <xf numFmtId="172" fontId="95" fillId="0" borderId="20" xfId="0" applyNumberFormat="1" applyFont="1" applyBorder="1" applyAlignment="1">
      <alignment horizontal="center" vertical="center"/>
    </xf>
    <xf numFmtId="0" fontId="94" fillId="17" borderId="20" xfId="0" applyFont="1" applyFill="1" applyBorder="1" applyAlignment="1">
      <alignment vertical="center"/>
    </xf>
    <xf numFmtId="3" fontId="94" fillId="17" borderId="6" xfId="0" applyNumberFormat="1" applyFont="1" applyFill="1" applyBorder="1" applyAlignment="1">
      <alignment vertical="center"/>
    </xf>
    <xf numFmtId="164" fontId="94" fillId="17" borderId="6" xfId="0" applyNumberFormat="1" applyFont="1" applyFill="1" applyBorder="1" applyAlignment="1">
      <alignment vertical="center"/>
    </xf>
    <xf numFmtId="164" fontId="22" fillId="0" borderId="11" xfId="0" applyNumberFormat="1" applyFont="1" applyBorder="1" applyAlignment="1">
      <alignment vertical="center"/>
    </xf>
    <xf numFmtId="3" fontId="94" fillId="0" borderId="6" xfId="0" applyNumberFormat="1" applyFont="1" applyBorder="1" applyAlignment="1">
      <alignment horizontal="right" vertical="center"/>
    </xf>
    <xf numFmtId="0" fontId="29" fillId="0" borderId="30" xfId="0" applyFont="1" applyBorder="1" applyAlignment="1">
      <alignment vertical="center" wrapText="1"/>
    </xf>
    <xf numFmtId="0" fontId="29" fillId="0" borderId="30" xfId="0" quotePrefix="1" applyFont="1" applyBorder="1" applyAlignment="1">
      <alignment horizontal="left" wrapText="1"/>
    </xf>
    <xf numFmtId="164" fontId="22" fillId="32" borderId="0" xfId="0" applyNumberFormat="1" applyFont="1" applyFill="1" applyAlignment="1">
      <alignment vertical="center"/>
    </xf>
    <xf numFmtId="0" fontId="97" fillId="32" borderId="0" xfId="0" applyFont="1" applyFill="1" applyAlignment="1">
      <alignment vertical="center"/>
    </xf>
    <xf numFmtId="0" fontId="86" fillId="0" borderId="7" xfId="0" applyFont="1" applyBorder="1" applyAlignment="1">
      <alignment horizontal="center" vertical="center"/>
    </xf>
    <xf numFmtId="0" fontId="86" fillId="0" borderId="7" xfId="0" applyFont="1" applyBorder="1" applyAlignment="1">
      <alignment vertical="center"/>
    </xf>
    <xf numFmtId="172" fontId="86" fillId="0" borderId="7" xfId="0" quotePrefix="1" applyNumberFormat="1" applyFont="1" applyBorder="1" applyAlignment="1">
      <alignment horizontal="center" vertical="center"/>
    </xf>
    <xf numFmtId="0" fontId="86" fillId="0" borderId="31" xfId="0" applyFont="1" applyBorder="1" applyAlignment="1">
      <alignment horizontal="center" vertical="center"/>
    </xf>
    <xf numFmtId="175" fontId="86" fillId="0" borderId="3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1" fontId="21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115" fillId="0" borderId="22" xfId="0" applyFont="1" applyBorder="1" applyAlignment="1">
      <alignment vertical="center"/>
    </xf>
    <xf numFmtId="41" fontId="115" fillId="0" borderId="18" xfId="0" applyNumberFormat="1" applyFont="1" applyBorder="1" applyAlignment="1">
      <alignment vertical="center"/>
    </xf>
    <xf numFmtId="0" fontId="21" fillId="0" borderId="18" xfId="0" applyFont="1" applyBorder="1" applyAlignment="1">
      <alignment horizontal="center"/>
    </xf>
    <xf numFmtId="0" fontId="21" fillId="0" borderId="18" xfId="0" applyFont="1" applyBorder="1" applyAlignment="1"/>
    <xf numFmtId="41" fontId="21" fillId="0" borderId="18" xfId="0" applyNumberFormat="1" applyFont="1" applyBorder="1" applyAlignment="1">
      <alignment horizontal="right" vertical="center"/>
    </xf>
    <xf numFmtId="164" fontId="21" fillId="0" borderId="18" xfId="0" applyNumberFormat="1" applyFont="1" applyBorder="1" applyAlignment="1">
      <alignment horizontal="right" vertical="center"/>
    </xf>
    <xf numFmtId="41" fontId="18" fillId="39" borderId="6" xfId="0" applyNumberFormat="1" applyFont="1" applyFill="1" applyBorder="1" applyAlignment="1">
      <alignment horizontal="left" vertical="center" wrapText="1"/>
    </xf>
    <xf numFmtId="0" fontId="18" fillId="39" borderId="6" xfId="0" applyFont="1" applyFill="1" applyBorder="1" applyAlignment="1"/>
    <xf numFmtId="0" fontId="95" fillId="0" borderId="6" xfId="0" applyFont="1" applyFill="1" applyBorder="1" applyAlignment="1">
      <alignment vertical="center"/>
    </xf>
    <xf numFmtId="0" fontId="21" fillId="17" borderId="16" xfId="0" applyFont="1" applyFill="1" applyBorder="1" applyAlignment="1">
      <alignment vertical="center" wrapText="1"/>
    </xf>
    <xf numFmtId="3" fontId="115" fillId="0" borderId="0" xfId="0" applyNumberFormat="1" applyFont="1" applyAlignment="1">
      <alignment vertical="center"/>
    </xf>
    <xf numFmtId="0" fontId="18" fillId="31" borderId="6" xfId="0" applyFont="1" applyFill="1" applyBorder="1" applyAlignment="1">
      <alignment vertical="center" wrapText="1"/>
    </xf>
    <xf numFmtId="0" fontId="111" fillId="39" borderId="6" xfId="0" applyFont="1" applyFill="1" applyBorder="1" applyAlignment="1"/>
    <xf numFmtId="0" fontId="125" fillId="0" borderId="6" xfId="0" applyFont="1" applyFill="1" applyBorder="1" applyAlignment="1"/>
    <xf numFmtId="172" fontId="86" fillId="0" borderId="20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86" fillId="17" borderId="0" xfId="0" applyFont="1" applyFill="1" applyAlignment="1">
      <alignment vertical="center"/>
    </xf>
    <xf numFmtId="0" fontId="18" fillId="32" borderId="6" xfId="0" applyFont="1" applyFill="1" applyBorder="1" applyAlignment="1">
      <alignment vertical="center" wrapText="1"/>
    </xf>
    <xf numFmtId="41" fontId="91" fillId="0" borderId="6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86" fillId="17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3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64" fontId="77" fillId="32" borderId="0" xfId="1" applyNumberFormat="1" applyFont="1" applyFill="1" applyAlignment="1">
      <alignment vertical="center"/>
    </xf>
    <xf numFmtId="41" fontId="139" fillId="0" borderId="0" xfId="0" applyNumberFormat="1" applyFont="1" applyAlignment="1">
      <alignment vertical="center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0" fontId="111" fillId="35" borderId="31" xfId="0" applyFont="1" applyFill="1" applyBorder="1" applyAlignment="1"/>
    <xf numFmtId="172" fontId="105" fillId="35" borderId="31" xfId="0" quotePrefix="1" applyNumberFormat="1" applyFont="1" applyFill="1" applyBorder="1" applyAlignment="1">
      <alignment horizontal="center" vertical="center"/>
    </xf>
    <xf numFmtId="172" fontId="105" fillId="35" borderId="31" xfId="0" applyNumberFormat="1" applyFont="1" applyFill="1" applyBorder="1" applyAlignment="1">
      <alignment horizontal="left" vertical="center"/>
    </xf>
    <xf numFmtId="0" fontId="41" fillId="31" borderId="6" xfId="0" applyFont="1" applyFill="1" applyBorder="1" applyAlignment="1">
      <alignment vertical="center"/>
    </xf>
    <xf numFmtId="41" fontId="111" fillId="0" borderId="6" xfId="0" applyNumberFormat="1" applyFont="1" applyFill="1" applyBorder="1" applyAlignment="1">
      <alignment horizontal="left" vertical="center" wrapText="1"/>
    </xf>
    <xf numFmtId="0" fontId="20" fillId="0" borderId="7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vertical="center"/>
    </xf>
    <xf numFmtId="0" fontId="23" fillId="0" borderId="17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141" fillId="0" borderId="31" xfId="0" applyFont="1" applyFill="1" applyBorder="1" applyAlignment="1">
      <alignment horizontal="center" vertical="center"/>
    </xf>
    <xf numFmtId="0" fontId="142" fillId="0" borderId="31" xfId="0" applyFont="1" applyFill="1" applyBorder="1" applyAlignment="1">
      <alignment vertical="center"/>
    </xf>
    <xf numFmtId="0" fontId="142" fillId="0" borderId="31" xfId="0" applyFont="1" applyFill="1" applyBorder="1" applyAlignment="1"/>
    <xf numFmtId="164" fontId="143" fillId="0" borderId="31" xfId="1" applyNumberFormat="1" applyFont="1" applyBorder="1" applyAlignment="1">
      <alignment vertical="center"/>
    </xf>
    <xf numFmtId="0" fontId="144" fillId="0" borderId="32" xfId="0" applyFont="1" applyFill="1" applyBorder="1" applyAlignment="1">
      <alignment vertical="center"/>
    </xf>
    <xf numFmtId="0" fontId="144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0" fontId="144" fillId="0" borderId="31" xfId="0" applyFont="1" applyFill="1" applyBorder="1" applyAlignment="1">
      <alignment vertical="center"/>
    </xf>
    <xf numFmtId="0" fontId="144" fillId="31" borderId="31" xfId="0" applyFont="1" applyFill="1" applyBorder="1" applyAlignment="1">
      <alignment vertical="center"/>
    </xf>
    <xf numFmtId="0" fontId="144" fillId="31" borderId="32" xfId="0" applyFont="1" applyFill="1" applyBorder="1" applyAlignment="1">
      <alignment vertical="center"/>
    </xf>
    <xf numFmtId="41" fontId="111" fillId="32" borderId="6" xfId="0" applyNumberFormat="1" applyFont="1" applyFill="1" applyBorder="1" applyAlignment="1">
      <alignment horizontal="left" vertical="center" wrapText="1"/>
    </xf>
    <xf numFmtId="0" fontId="20" fillId="32" borderId="6" xfId="0" applyFont="1" applyFill="1" applyBorder="1" applyAlignment="1">
      <alignment vertical="center" wrapText="1"/>
    </xf>
    <xf numFmtId="0" fontId="104" fillId="44" borderId="6" xfId="0" applyFont="1" applyFill="1" applyBorder="1" applyAlignment="1"/>
    <xf numFmtId="0" fontId="104" fillId="44" borderId="7" xfId="0" applyFont="1" applyFill="1" applyBorder="1" applyAlignment="1"/>
    <xf numFmtId="0" fontId="20" fillId="32" borderId="19" xfId="0" applyFont="1" applyFill="1" applyBorder="1" applyAlignment="1">
      <alignment vertical="center" wrapText="1"/>
    </xf>
    <xf numFmtId="0" fontId="111" fillId="32" borderId="6" xfId="0" applyFont="1" applyFill="1" applyBorder="1" applyAlignment="1"/>
    <xf numFmtId="0" fontId="142" fillId="32" borderId="31" xfId="0" applyFont="1" applyFill="1" applyBorder="1" applyAlignment="1">
      <alignment vertical="center"/>
    </xf>
    <xf numFmtId="0" fontId="142" fillId="32" borderId="31" xfId="0" applyFont="1" applyFill="1" applyBorder="1" applyAlignment="1"/>
    <xf numFmtId="0" fontId="41" fillId="0" borderId="31" xfId="0" applyFont="1" applyBorder="1" applyAlignment="1">
      <alignment vertical="center"/>
    </xf>
    <xf numFmtId="0" fontId="32" fillId="0" borderId="17" xfId="0" applyFont="1" applyFill="1" applyBorder="1" applyAlignment="1">
      <alignment horizontal="center" vertical="center"/>
    </xf>
    <xf numFmtId="0" fontId="88" fillId="0" borderId="6" xfId="0" applyFont="1" applyFill="1" applyBorder="1" applyAlignment="1">
      <alignment vertical="center"/>
    </xf>
    <xf numFmtId="0" fontId="122" fillId="0" borderId="6" xfId="0" applyFont="1" applyFill="1" applyBorder="1" applyAlignment="1">
      <alignment vertical="center"/>
    </xf>
    <xf numFmtId="0" fontId="120" fillId="0" borderId="6" xfId="0" applyFont="1" applyFill="1" applyBorder="1" applyAlignment="1">
      <alignment horizontal="right" vertical="center" wrapText="1"/>
    </xf>
    <xf numFmtId="0" fontId="48" fillId="0" borderId="0" xfId="0" applyFont="1" applyFill="1" applyAlignment="1">
      <alignment vertical="center"/>
    </xf>
    <xf numFmtId="0" fontId="32" fillId="32" borderId="6" xfId="0" applyFont="1" applyFill="1" applyBorder="1" applyAlignment="1">
      <alignment horizontal="center" vertical="center"/>
    </xf>
    <xf numFmtId="0" fontId="32" fillId="44" borderId="6" xfId="0" applyFont="1" applyFill="1" applyBorder="1" applyAlignment="1">
      <alignment horizontal="left" vertical="center"/>
    </xf>
    <xf numFmtId="3" fontId="131" fillId="2" borderId="1" xfId="0" applyNumberFormat="1" applyFont="1" applyFill="1" applyBorder="1" applyAlignment="1">
      <alignment vertical="center"/>
    </xf>
    <xf numFmtId="0" fontId="124" fillId="2" borderId="1" xfId="0" applyFont="1" applyFill="1" applyBorder="1" applyAlignment="1">
      <alignment vertical="center"/>
    </xf>
    <xf numFmtId="0" fontId="124" fillId="2" borderId="21" xfId="0" applyFont="1" applyFill="1" applyBorder="1" applyAlignment="1">
      <alignment vertical="center"/>
    </xf>
    <xf numFmtId="0" fontId="124" fillId="2" borderId="1" xfId="0" applyFont="1" applyFill="1" applyBorder="1" applyAlignment="1">
      <alignment vertical="center" wrapText="1"/>
    </xf>
    <xf numFmtId="164" fontId="79" fillId="0" borderId="6" xfId="1" applyNumberFormat="1" applyFont="1" applyFill="1" applyBorder="1" applyAlignment="1">
      <alignment vertical="center"/>
    </xf>
    <xf numFmtId="164" fontId="21" fillId="0" borderId="6" xfId="1" applyNumberFormat="1" applyFont="1" applyFill="1" applyBorder="1" applyAlignment="1">
      <alignment vertical="center"/>
    </xf>
    <xf numFmtId="164" fontId="77" fillId="32" borderId="0" xfId="0" applyNumberFormat="1" applyFont="1" applyFill="1" applyAlignment="1">
      <alignment vertical="center"/>
    </xf>
    <xf numFmtId="164" fontId="126" fillId="17" borderId="6" xfId="0" applyNumberFormat="1" applyFont="1" applyFill="1" applyBorder="1" applyAlignment="1">
      <alignment vertical="center" wrapText="1"/>
    </xf>
    <xf numFmtId="0" fontId="20" fillId="45" borderId="6" xfId="0" applyFont="1" applyFill="1" applyBorder="1" applyAlignment="1">
      <alignment horizontal="center" vertical="center"/>
    </xf>
    <xf numFmtId="0" fontId="20" fillId="45" borderId="6" xfId="0" applyFont="1" applyFill="1" applyBorder="1" applyAlignment="1">
      <alignment vertical="center"/>
    </xf>
    <xf numFmtId="41" fontId="111" fillId="45" borderId="6" xfId="0" applyNumberFormat="1" applyFont="1" applyFill="1" applyBorder="1" applyAlignment="1">
      <alignment horizontal="left" vertical="center" wrapText="1"/>
    </xf>
    <xf numFmtId="0" fontId="20" fillId="45" borderId="6" xfId="0" applyFont="1" applyFill="1" applyBorder="1" applyAlignment="1"/>
    <xf numFmtId="0" fontId="55" fillId="0" borderId="0" xfId="0" applyFont="1" applyAlignment="1">
      <alignment vertical="center"/>
    </xf>
    <xf numFmtId="0" fontId="26" fillId="0" borderId="36" xfId="0" applyFont="1" applyBorder="1" applyAlignment="1">
      <alignment horizontal="right" wrapText="1"/>
    </xf>
    <xf numFmtId="0" fontId="26" fillId="36" borderId="36" xfId="0" applyFont="1" applyFill="1" applyBorder="1" applyAlignment="1">
      <alignment horizontal="right" wrapText="1"/>
    </xf>
    <xf numFmtId="0" fontId="26" fillId="36" borderId="30" xfId="0" applyFont="1" applyFill="1" applyBorder="1" applyAlignment="1">
      <alignment vertical="center"/>
    </xf>
    <xf numFmtId="0" fontId="26" fillId="0" borderId="36" xfId="0" applyFont="1" applyBorder="1" applyAlignment="1">
      <alignment wrapText="1"/>
    </xf>
    <xf numFmtId="0" fontId="0" fillId="0" borderId="0" xfId="0" applyFont="1" applyAlignment="1">
      <alignment vertical="center"/>
    </xf>
    <xf numFmtId="0" fontId="124" fillId="33" borderId="6" xfId="0" applyFont="1" applyFill="1" applyBorder="1" applyAlignment="1">
      <alignment horizontal="center" vertical="center"/>
    </xf>
    <xf numFmtId="0" fontId="124" fillId="0" borderId="6" xfId="0" applyFont="1" applyFill="1" applyBorder="1" applyAlignment="1">
      <alignment vertical="center"/>
    </xf>
    <xf numFmtId="0" fontId="124" fillId="0" borderId="9" xfId="0" applyFont="1" applyBorder="1" applyAlignment="1">
      <alignment vertical="center"/>
    </xf>
    <xf numFmtId="0" fontId="124" fillId="0" borderId="2" xfId="0" applyFont="1" applyBorder="1" applyAlignment="1">
      <alignment vertical="center"/>
    </xf>
    <xf numFmtId="9" fontId="124" fillId="0" borderId="6" xfId="0" applyNumberFormat="1" applyFont="1" applyFill="1" applyBorder="1" applyAlignment="1">
      <alignment horizontal="center" vertical="center"/>
    </xf>
    <xf numFmtId="0" fontId="124" fillId="0" borderId="6" xfId="0" applyFont="1" applyFill="1" applyBorder="1" applyAlignment="1">
      <alignment horizontal="center" vertical="center"/>
    </xf>
    <xf numFmtId="3" fontId="145" fillId="0" borderId="6" xfId="0" applyNumberFormat="1" applyFont="1" applyBorder="1" applyAlignment="1">
      <alignment vertical="center"/>
    </xf>
    <xf numFmtId="164" fontId="131" fillId="0" borderId="6" xfId="0" applyNumberFormat="1" applyFont="1" applyBorder="1" applyAlignment="1">
      <alignment vertical="center"/>
    </xf>
    <xf numFmtId="164" fontId="131" fillId="0" borderId="3" xfId="0" applyNumberFormat="1" applyFont="1" applyBorder="1" applyAlignment="1">
      <alignment vertical="center"/>
    </xf>
    <xf numFmtId="3" fontId="124" fillId="0" borderId="6" xfId="0" applyNumberFormat="1" applyFont="1" applyBorder="1" applyAlignment="1">
      <alignment vertical="center"/>
    </xf>
    <xf numFmtId="3" fontId="124" fillId="17" borderId="6" xfId="0" applyNumberFormat="1" applyFont="1" applyFill="1" applyBorder="1" applyAlignment="1">
      <alignment vertical="center"/>
    </xf>
    <xf numFmtId="2" fontId="124" fillId="0" borderId="6" xfId="0" applyNumberFormat="1" applyFont="1" applyBorder="1" applyAlignment="1">
      <alignment vertical="center"/>
    </xf>
    <xf numFmtId="43" fontId="124" fillId="0" borderId="6" xfId="0" applyNumberFormat="1" applyFont="1" applyFill="1" applyBorder="1" applyAlignment="1">
      <alignment horizontal="right" vertical="center"/>
    </xf>
    <xf numFmtId="43" fontId="124" fillId="0" borderId="6" xfId="0" applyNumberFormat="1" applyFont="1" applyBorder="1" applyAlignment="1">
      <alignment horizontal="right" vertical="center"/>
    </xf>
    <xf numFmtId="3" fontId="131" fillId="0" borderId="6" xfId="0" applyNumberFormat="1" applyFont="1" applyBorder="1" applyAlignment="1">
      <alignment vertical="center"/>
    </xf>
    <xf numFmtId="3" fontId="124" fillId="0" borderId="6" xfId="0" applyNumberFormat="1" applyFont="1" applyBorder="1" applyAlignment="1">
      <alignment horizontal="right" vertical="center"/>
    </xf>
    <xf numFmtId="164" fontId="124" fillId="0" borderId="6" xfId="1" applyNumberFormat="1" applyFont="1" applyBorder="1" applyAlignment="1">
      <alignment vertical="center"/>
    </xf>
    <xf numFmtId="164" fontId="124" fillId="0" borderId="6" xfId="1" applyNumberFormat="1" applyFont="1" applyFill="1" applyBorder="1" applyAlignment="1">
      <alignment vertical="center"/>
    </xf>
    <xf numFmtId="0" fontId="124" fillId="17" borderId="6" xfId="0" applyFont="1" applyFill="1" applyBorder="1" applyAlignment="1">
      <alignment vertical="center" wrapText="1"/>
    </xf>
    <xf numFmtId="2" fontId="124" fillId="0" borderId="0" xfId="0" applyNumberFormat="1" applyFont="1" applyAlignment="1">
      <alignment vertical="center" wrapText="1"/>
    </xf>
    <xf numFmtId="164" fontId="124" fillId="0" borderId="0" xfId="0" applyNumberFormat="1" applyFont="1" applyAlignment="1">
      <alignment vertical="center" wrapText="1"/>
    </xf>
    <xf numFmtId="3" fontId="124" fillId="0" borderId="0" xfId="0" applyNumberFormat="1" applyFont="1" applyAlignment="1">
      <alignment vertical="center"/>
    </xf>
    <xf numFmtId="0" fontId="146" fillId="0" borderId="30" xfId="0" applyFont="1" applyBorder="1" applyAlignment="1">
      <alignment vertical="center" wrapText="1"/>
    </xf>
    <xf numFmtId="0" fontId="146" fillId="0" borderId="30" xfId="0" quotePrefix="1" applyFont="1" applyBorder="1" applyAlignment="1">
      <alignment horizontal="left" wrapText="1"/>
    </xf>
    <xf numFmtId="0" fontId="146" fillId="0" borderId="30" xfId="0" applyFont="1" applyBorder="1" applyAlignment="1">
      <alignment wrapText="1"/>
    </xf>
    <xf numFmtId="164" fontId="131" fillId="0" borderId="0" xfId="0" applyNumberFormat="1" applyFont="1" applyAlignment="1">
      <alignment vertical="center"/>
    </xf>
    <xf numFmtId="0" fontId="133" fillId="31" borderId="0" xfId="0" applyFont="1" applyFill="1" applyAlignment="1">
      <alignment vertical="center"/>
    </xf>
    <xf numFmtId="0" fontId="147" fillId="0" borderId="0" xfId="0" applyFont="1" applyAlignment="1">
      <alignment vertical="center"/>
    </xf>
    <xf numFmtId="3" fontId="133" fillId="0" borderId="0" xfId="0" applyNumberFormat="1" applyFont="1" applyAlignment="1">
      <alignment vertical="center"/>
    </xf>
    <xf numFmtId="0" fontId="124" fillId="0" borderId="6" xfId="0" applyFont="1" applyFill="1" applyBorder="1" applyAlignment="1">
      <alignment vertical="center" wrapText="1"/>
    </xf>
    <xf numFmtId="172" fontId="145" fillId="0" borderId="20" xfId="0" applyNumberFormat="1" applyFont="1" applyBorder="1" applyAlignment="1">
      <alignment horizontal="center" vertical="center"/>
    </xf>
    <xf numFmtId="9" fontId="125" fillId="17" borderId="6" xfId="0" applyNumberFormat="1" applyFont="1" applyFill="1" applyBorder="1" applyAlignment="1">
      <alignment horizontal="center" vertical="center"/>
    </xf>
    <xf numFmtId="0" fontId="125" fillId="17" borderId="6" xfId="0" applyFont="1" applyFill="1" applyBorder="1" applyAlignment="1">
      <alignment horizontal="center" vertical="center" wrapText="1"/>
    </xf>
    <xf numFmtId="3" fontId="145" fillId="0" borderId="6" xfId="0" applyNumberFormat="1" applyFont="1" applyFill="1" applyBorder="1" applyAlignment="1">
      <alignment vertical="center"/>
    </xf>
    <xf numFmtId="3" fontId="124" fillId="0" borderId="6" xfId="0" applyNumberFormat="1" applyFont="1" applyFill="1" applyBorder="1" applyAlignment="1">
      <alignment vertical="center"/>
    </xf>
    <xf numFmtId="164" fontId="124" fillId="0" borderId="6" xfId="0" applyNumberFormat="1" applyFont="1" applyFill="1" applyBorder="1" applyAlignment="1">
      <alignment vertical="center"/>
    </xf>
    <xf numFmtId="164" fontId="131" fillId="0" borderId="6" xfId="0" applyNumberFormat="1" applyFont="1" applyFill="1" applyBorder="1" applyAlignment="1">
      <alignment vertical="center"/>
    </xf>
    <xf numFmtId="164" fontId="131" fillId="0" borderId="3" xfId="0" applyNumberFormat="1" applyFont="1" applyFill="1" applyBorder="1" applyAlignment="1">
      <alignment vertical="center"/>
    </xf>
    <xf numFmtId="3" fontId="131" fillId="0" borderId="6" xfId="0" applyNumberFormat="1" applyFont="1" applyBorder="1" applyAlignment="1">
      <alignment horizontal="right" vertical="center"/>
    </xf>
    <xf numFmtId="0" fontId="124" fillId="0" borderId="6" xfId="0" applyFont="1" applyBorder="1" applyAlignment="1">
      <alignment vertical="center"/>
    </xf>
    <xf numFmtId="3" fontId="147" fillId="0" borderId="0" xfId="0" applyNumberFormat="1" applyFont="1" applyAlignment="1">
      <alignment vertical="center"/>
    </xf>
    <xf numFmtId="0" fontId="124" fillId="0" borderId="20" xfId="0" applyFont="1" applyFill="1" applyBorder="1" applyAlignment="1">
      <alignment vertical="center"/>
    </xf>
    <xf numFmtId="164" fontId="131" fillId="0" borderId="11" xfId="0" applyNumberFormat="1" applyFont="1" applyFill="1" applyBorder="1" applyAlignment="1">
      <alignment vertical="center"/>
    </xf>
    <xf numFmtId="0" fontId="148" fillId="0" borderId="0" xfId="0" applyFont="1" applyAlignment="1"/>
    <xf numFmtId="0" fontId="91" fillId="44" borderId="0" xfId="0" applyFont="1" applyFill="1" applyAlignment="1">
      <alignment vertical="center"/>
    </xf>
    <xf numFmtId="0" fontId="40" fillId="32" borderId="0" xfId="0" applyFont="1" applyFill="1" applyAlignment="1">
      <alignment horizontal="center" vertical="center"/>
    </xf>
    <xf numFmtId="0" fontId="88" fillId="44" borderId="6" xfId="0" applyFont="1" applyFill="1" applyBorder="1" applyAlignment="1">
      <alignment vertical="center"/>
    </xf>
    <xf numFmtId="0" fontId="26" fillId="32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91" fillId="0" borderId="6" xfId="0" applyFont="1" applyFill="1" applyBorder="1" applyAlignment="1">
      <alignment vertical="center"/>
    </xf>
    <xf numFmtId="0" fontId="108" fillId="0" borderId="6" xfId="0" applyFont="1" applyFill="1" applyBorder="1" applyAlignment="1">
      <alignment horizontal="right" vertical="center" wrapText="1"/>
    </xf>
    <xf numFmtId="0" fontId="26" fillId="0" borderId="36" xfId="0" applyFont="1" applyFill="1" applyBorder="1" applyAlignment="1">
      <alignment wrapText="1"/>
    </xf>
    <xf numFmtId="0" fontId="26" fillId="0" borderId="30" xfId="0" applyFont="1" applyFill="1" applyBorder="1" applyAlignment="1">
      <alignment wrapText="1"/>
    </xf>
    <xf numFmtId="0" fontId="26" fillId="32" borderId="36" xfId="0" applyFont="1" applyFill="1" applyBorder="1" applyAlignment="1">
      <alignment wrapText="1"/>
    </xf>
    <xf numFmtId="0" fontId="48" fillId="31" borderId="0" xfId="0" applyFont="1" applyFill="1" applyAlignment="1">
      <alignment vertical="center"/>
    </xf>
    <xf numFmtId="0" fontId="55" fillId="32" borderId="29" xfId="0" applyFont="1" applyFill="1" applyBorder="1" applyAlignment="1">
      <alignment horizontal="right" wrapText="1"/>
    </xf>
    <xf numFmtId="0" fontId="55" fillId="32" borderId="37" xfId="0" applyFont="1" applyFill="1" applyBorder="1" applyAlignment="1">
      <alignment horizontal="right" wrapText="1"/>
    </xf>
    <xf numFmtId="172" fontId="95" fillId="0" borderId="6" xfId="0" applyNumberFormat="1" applyFont="1" applyBorder="1" applyAlignment="1">
      <alignment horizontal="center" vertical="center"/>
    </xf>
    <xf numFmtId="0" fontId="94" fillId="17" borderId="6" xfId="0" applyFont="1" applyFill="1" applyBorder="1" applyAlignment="1">
      <alignment vertical="center"/>
    </xf>
    <xf numFmtId="3" fontId="21" fillId="0" borderId="6" xfId="0" applyNumberFormat="1" applyFont="1" applyBorder="1" applyAlignment="1">
      <alignment horizontal="right" vertical="center"/>
    </xf>
    <xf numFmtId="0" fontId="94" fillId="35" borderId="6" xfId="0" applyFont="1" applyFill="1" applyBorder="1" applyAlignment="1"/>
    <xf numFmtId="0" fontId="2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vertical="center" wrapText="1"/>
    </xf>
    <xf numFmtId="0" fontId="1" fillId="11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1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165" fontId="1" fillId="13" borderId="7" xfId="0" applyNumberFormat="1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35" fillId="0" borderId="2" xfId="0" applyFont="1" applyBorder="1" applyAlignment="1">
      <alignment horizontal="left" vertical="center"/>
    </xf>
    <xf numFmtId="0" fontId="136" fillId="0" borderId="2" xfId="0" applyFont="1" applyBorder="1" applyAlignment="1">
      <alignment horizontal="left" vertical="center"/>
    </xf>
    <xf numFmtId="0" fontId="137" fillId="0" borderId="2" xfId="0" applyFont="1" applyBorder="1" applyAlignment="1">
      <alignment horizontal="left" vertical="center"/>
    </xf>
    <xf numFmtId="0" fontId="17" fillId="4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/>
    </xf>
    <xf numFmtId="164" fontId="23" fillId="0" borderId="7" xfId="1" applyNumberFormat="1" applyFont="1" applyBorder="1" applyAlignment="1">
      <alignment horizontal="center" vertical="center" wrapText="1"/>
    </xf>
    <xf numFmtId="164" fontId="4" fillId="0" borderId="17" xfId="1" applyNumberFormat="1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165" fontId="17" fillId="13" borderId="7" xfId="0" applyNumberFormat="1" applyFont="1" applyFill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0" fontId="21" fillId="0" borderId="7" xfId="0" applyFont="1" applyBorder="1" applyAlignment="1">
      <alignment vertical="center" wrapText="1"/>
    </xf>
    <xf numFmtId="0" fontId="38" fillId="0" borderId="9" xfId="0" applyFont="1" applyBorder="1" applyAlignment="1">
      <alignment vertical="center"/>
    </xf>
    <xf numFmtId="0" fontId="92" fillId="0" borderId="9" xfId="0" applyFont="1" applyBorder="1" applyAlignment="1">
      <alignment horizontal="center" vertical="center"/>
    </xf>
    <xf numFmtId="0" fontId="85" fillId="0" borderId="0" xfId="0" applyFont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112" fillId="0" borderId="4" xfId="0" applyFont="1" applyBorder="1" applyAlignment="1">
      <alignment vertical="center"/>
    </xf>
    <xf numFmtId="0" fontId="112" fillId="0" borderId="5" xfId="0" applyFont="1" applyBorder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50" fillId="0" borderId="2" xfId="0" applyFont="1" applyBorder="1" applyAlignment="1">
      <alignment horizontal="center" vertical="center"/>
    </xf>
    <xf numFmtId="0" fontId="31" fillId="4" borderId="3" xfId="0" applyFont="1" applyFill="1" applyBorder="1" applyAlignment="1">
      <alignment horizontal="left" vertical="center"/>
    </xf>
    <xf numFmtId="0" fontId="31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/>
    </xf>
    <xf numFmtId="0" fontId="51" fillId="0" borderId="7" xfId="0" applyFont="1" applyBorder="1" applyAlignment="1">
      <alignment vertical="center" wrapText="1"/>
    </xf>
    <xf numFmtId="0" fontId="31" fillId="10" borderId="3" xfId="0" applyFont="1" applyFill="1" applyBorder="1" applyAlignment="1">
      <alignment horizontal="center" vertical="center"/>
    </xf>
    <xf numFmtId="0" fontId="31" fillId="11" borderId="3" xfId="0" applyFont="1" applyFill="1" applyBorder="1" applyAlignment="1">
      <alignment horizontal="center" vertical="center"/>
    </xf>
    <xf numFmtId="165" fontId="31" fillId="13" borderId="7" xfId="0" applyNumberFormat="1" applyFont="1" applyFill="1" applyBorder="1" applyAlignment="1">
      <alignment vertical="center" wrapText="1"/>
    </xf>
    <xf numFmtId="0" fontId="31" fillId="0" borderId="7" xfId="0" applyFont="1" applyBorder="1" applyAlignment="1">
      <alignment horizontal="center" vertical="center" wrapText="1"/>
    </xf>
    <xf numFmtId="0" fontId="46" fillId="0" borderId="7" xfId="0" applyFont="1" applyBorder="1" applyAlignment="1">
      <alignment vertical="center" wrapText="1"/>
    </xf>
    <xf numFmtId="0" fontId="31" fillId="0" borderId="7" xfId="0" applyFont="1" applyBorder="1" applyAlignment="1">
      <alignment vertical="center" wrapText="1"/>
    </xf>
    <xf numFmtId="0" fontId="31" fillId="0" borderId="3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9" borderId="7" xfId="0" applyFont="1" applyFill="1" applyBorder="1" applyAlignment="1">
      <alignment horizontal="center" vertical="center" wrapText="1"/>
    </xf>
    <xf numFmtId="164" fontId="46" fillId="0" borderId="7" xfId="0" applyNumberFormat="1" applyFont="1" applyBorder="1" applyAlignment="1">
      <alignment vertical="center" wrapText="1"/>
    </xf>
    <xf numFmtId="0" fontId="64" fillId="0" borderId="7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0" fontId="64" fillId="0" borderId="7" xfId="0" applyFont="1" applyBorder="1" applyAlignment="1">
      <alignment vertical="center" wrapText="1"/>
    </xf>
    <xf numFmtId="0" fontId="65" fillId="0" borderId="7" xfId="0" applyFont="1" applyBorder="1" applyAlignment="1">
      <alignment vertical="center"/>
    </xf>
    <xf numFmtId="0" fontId="59" fillId="27" borderId="23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59" fillId="27" borderId="23" xfId="0" applyFont="1" applyFill="1" applyBorder="1" applyAlignment="1">
      <alignment horizontal="left" vertical="center"/>
    </xf>
    <xf numFmtId="0" fontId="59" fillId="27" borderId="24" xfId="0" applyFont="1" applyFill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2" fillId="17" borderId="7" xfId="0" applyFont="1" applyFill="1" applyBorder="1" applyAlignment="1">
      <alignment vertical="center"/>
    </xf>
    <xf numFmtId="0" fontId="50" fillId="0" borderId="0" xfId="0" applyFont="1" applyAlignment="1">
      <alignment horizontal="left" vertical="center"/>
    </xf>
    <xf numFmtId="41" fontId="69" fillId="0" borderId="0" xfId="0" applyNumberFormat="1" applyFont="1" applyAlignment="1">
      <alignment horizontal="center" vertical="center"/>
    </xf>
    <xf numFmtId="41" fontId="71" fillId="0" borderId="2" xfId="0" applyNumberFormat="1" applyFont="1" applyBorder="1" applyAlignment="1">
      <alignment horizontal="center" vertical="center"/>
    </xf>
    <xf numFmtId="41" fontId="1" fillId="0" borderId="7" xfId="0" applyNumberFormat="1" applyFont="1" applyBorder="1" applyAlignment="1">
      <alignment horizontal="center" vertical="center"/>
    </xf>
    <xf numFmtId="41" fontId="73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73" fillId="0" borderId="2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22" xfId="0" applyFont="1" applyBorder="1" applyAlignment="1">
      <alignment horizontal="center" vertical="center"/>
    </xf>
    <xf numFmtId="0" fontId="72" fillId="0" borderId="7" xfId="0" applyFont="1" applyBorder="1" applyAlignment="1">
      <alignment horizontal="center" vertical="center"/>
    </xf>
    <xf numFmtId="41" fontId="73" fillId="0" borderId="8" xfId="0" applyNumberFormat="1" applyFont="1" applyBorder="1" applyAlignment="1">
      <alignment horizontal="center" vertical="center"/>
    </xf>
    <xf numFmtId="41" fontId="73" fillId="0" borderId="22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41" fontId="31" fillId="0" borderId="0" xfId="0" applyNumberFormat="1" applyFont="1" applyAlignment="1">
      <alignment horizontal="left" vertical="center"/>
    </xf>
    <xf numFmtId="41" fontId="72" fillId="0" borderId="0" xfId="0" applyNumberFormat="1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41" fontId="72" fillId="25" borderId="14" xfId="0" applyNumberFormat="1" applyFont="1" applyFill="1" applyBorder="1" applyAlignment="1">
      <alignment horizontal="center" vertical="center"/>
    </xf>
    <xf numFmtId="41" fontId="31" fillId="25" borderId="14" xfId="0" applyNumberFormat="1" applyFont="1" applyFill="1" applyBorder="1" applyAlignment="1">
      <alignment horizontal="center" vertical="center"/>
    </xf>
    <xf numFmtId="41" fontId="31" fillId="0" borderId="0" xfId="0" applyNumberFormat="1" applyFont="1" applyAlignment="1">
      <alignment horizontal="center" vertical="center"/>
    </xf>
    <xf numFmtId="41" fontId="1" fillId="0" borderId="7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left" vertical="center"/>
    </xf>
    <xf numFmtId="41" fontId="44" fillId="0" borderId="0" xfId="0" applyNumberFormat="1" applyFont="1" applyAlignment="1">
      <alignment horizontal="center" vertical="center"/>
    </xf>
    <xf numFmtId="41" fontId="45" fillId="0" borderId="2" xfId="0" applyNumberFormat="1" applyFont="1" applyBorder="1" applyAlignment="1">
      <alignment horizontal="center" vertical="center"/>
    </xf>
    <xf numFmtId="41" fontId="17" fillId="0" borderId="7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41" fontId="23" fillId="0" borderId="8" xfId="0" applyNumberFormat="1" applyFont="1" applyBorder="1" applyAlignment="1">
      <alignment horizontal="center" vertical="center"/>
    </xf>
    <xf numFmtId="41" fontId="23" fillId="0" borderId="22" xfId="0" applyNumberFormat="1" applyFont="1" applyBorder="1" applyAlignment="1">
      <alignment horizontal="center" vertical="center"/>
    </xf>
    <xf numFmtId="41" fontId="23" fillId="0" borderId="22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41" fontId="17" fillId="0" borderId="7" xfId="0" applyNumberFormat="1" applyFont="1" applyBorder="1" applyAlignment="1">
      <alignment horizontal="center" vertical="center" wrapText="1"/>
    </xf>
    <xf numFmtId="41" fontId="17" fillId="25" borderId="14" xfId="0" applyNumberFormat="1" applyFont="1" applyFill="1" applyBorder="1" applyAlignment="1">
      <alignment horizontal="center" vertical="center"/>
    </xf>
    <xf numFmtId="41" fontId="17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Lương nhân sự_onsetVM-style" pivot="0" count="3">
      <tableStyleElement type="headerRow" dxfId="6"/>
      <tableStyleElement type="firstRowStripe" dxfId="5"/>
      <tableStyleElement type="secondRowStripe" dxfId="4"/>
    </tableStyle>
    <tableStyle name="Thưởng hiệu suất_11.24-style" pivot="0" count="2">
      <tableStyleElement type="firstRowStripe" dxfId="3"/>
      <tableStyleElement type="secondRowStripe" dxfId="2"/>
    </tableStyle>
    <tableStyle name="Thưởng hiệu suất_12. 24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2025/2025_TH%20l&#432;&#417;ng+Ph&#233;p/TH%20ph&#233;p%20c&#242;n%20d&#432;%20&#273;&#7871;n%20h&#7871;t%20T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1"/>
      <sheetName val="Sheet2"/>
      <sheetName val="Sheet3"/>
    </sheetNames>
    <sheetDataSet>
      <sheetData sheetId="0">
        <row r="3">
          <cell r="G3" t="str">
            <v>Sum of Còn đc nghỉ (+)/nghỉ ko lương(-)</v>
          </cell>
          <cell r="H3" t="str">
            <v>Column Labels</v>
          </cell>
        </row>
        <row r="4">
          <cell r="G4" t="str">
            <v>Row Labels</v>
          </cell>
          <cell r="H4" t="str">
            <v>dư phép 2025 đến  hết T2/2026</v>
          </cell>
          <cell r="I4" t="str">
            <v>dư phép 2026 đến  hết T2/2026</v>
          </cell>
        </row>
        <row r="5">
          <cell r="G5" t="str">
            <v>Bùi Xuân Lực</v>
          </cell>
          <cell r="H5">
            <v>0</v>
          </cell>
          <cell r="I5">
            <v>-0.5</v>
          </cell>
        </row>
        <row r="6">
          <cell r="G6" t="str">
            <v>Cao Nguyễn Nguyệt Linh</v>
          </cell>
          <cell r="H6">
            <v>3</v>
          </cell>
          <cell r="I6">
            <v>2</v>
          </cell>
        </row>
        <row r="7">
          <cell r="G7" t="str">
            <v>Đỗ Văn Quân</v>
          </cell>
          <cell r="H7">
            <v>0</v>
          </cell>
          <cell r="I7">
            <v>0</v>
          </cell>
        </row>
        <row r="8">
          <cell r="G8" t="str">
            <v>Dương Việt Dũng</v>
          </cell>
          <cell r="H8">
            <v>0</v>
          </cell>
          <cell r="I8">
            <v>1.5</v>
          </cell>
        </row>
        <row r="9">
          <cell r="G9" t="str">
            <v>Hoàng Văn Lâm</v>
          </cell>
          <cell r="H9">
            <v>0</v>
          </cell>
          <cell r="I9">
            <v>-1</v>
          </cell>
        </row>
        <row r="10">
          <cell r="G10" t="str">
            <v>Lê Hải Linh</v>
          </cell>
          <cell r="H10">
            <v>0</v>
          </cell>
          <cell r="I10">
            <v>-1.5</v>
          </cell>
        </row>
        <row r="11">
          <cell r="G11" t="str">
            <v>Lê Thị Bích Liên</v>
          </cell>
          <cell r="H11">
            <v>0</v>
          </cell>
          <cell r="I11">
            <v>1</v>
          </cell>
        </row>
        <row r="12">
          <cell r="G12" t="str">
            <v>Lê Thị Hạnh</v>
          </cell>
          <cell r="H12">
            <v>0</v>
          </cell>
          <cell r="I12">
            <v>0</v>
          </cell>
        </row>
        <row r="13">
          <cell r="G13" t="str">
            <v>Lý Ngọc Chi</v>
          </cell>
          <cell r="H13">
            <v>4.5</v>
          </cell>
          <cell r="I13">
            <v>2</v>
          </cell>
        </row>
        <row r="14">
          <cell r="G14" t="str">
            <v>Mẫn Thị Lan</v>
          </cell>
          <cell r="H14">
            <v>0</v>
          </cell>
          <cell r="I14">
            <v>1</v>
          </cell>
        </row>
        <row r="15">
          <cell r="G15" t="str">
            <v>Ngô Xuân Bách</v>
          </cell>
          <cell r="H15">
            <v>3</v>
          </cell>
          <cell r="I15">
            <v>2</v>
          </cell>
        </row>
        <row r="16">
          <cell r="G16" t="str">
            <v>Nguyễn Duy Quyết</v>
          </cell>
          <cell r="H16">
            <v>0</v>
          </cell>
          <cell r="I16">
            <v>0</v>
          </cell>
        </row>
        <row r="17">
          <cell r="G17" t="str">
            <v>Nguyễn Hữu Tuấn Minh</v>
          </cell>
          <cell r="H17">
            <v>0</v>
          </cell>
          <cell r="I17">
            <v>0</v>
          </cell>
        </row>
        <row r="18">
          <cell r="G18" t="str">
            <v>Nguyễn Mạnh Tuấn</v>
          </cell>
          <cell r="H18">
            <v>0</v>
          </cell>
          <cell r="I18">
            <v>0.5</v>
          </cell>
        </row>
        <row r="19">
          <cell r="G19" t="str">
            <v>Nguyễn Ngọc Anh</v>
          </cell>
          <cell r="H19">
            <v>0</v>
          </cell>
          <cell r="I19">
            <v>2</v>
          </cell>
        </row>
        <row r="20">
          <cell r="G20" t="str">
            <v>Nguyễn Thị Đào</v>
          </cell>
          <cell r="H20">
            <v>0.5</v>
          </cell>
          <cell r="I20">
            <v>2</v>
          </cell>
        </row>
        <row r="21">
          <cell r="G21" t="str">
            <v xml:space="preserve">Nguyễn Thị Hồng </v>
          </cell>
          <cell r="H21">
            <v>2</v>
          </cell>
          <cell r="I21">
            <v>2</v>
          </cell>
        </row>
        <row r="22">
          <cell r="G22" t="str">
            <v>Nguyễn Thị Kim Phượng</v>
          </cell>
          <cell r="H22">
            <v>3</v>
          </cell>
          <cell r="I22">
            <v>2</v>
          </cell>
        </row>
        <row r="23">
          <cell r="G23" t="str">
            <v>Nguyễn Thị Trang</v>
          </cell>
          <cell r="H23">
            <v>0</v>
          </cell>
          <cell r="I23">
            <v>1</v>
          </cell>
        </row>
        <row r="24">
          <cell r="G24" t="str">
            <v>Nguyễn Tử Trường Lâm</v>
          </cell>
          <cell r="H24">
            <v>8</v>
          </cell>
          <cell r="I24">
            <v>2</v>
          </cell>
        </row>
        <row r="25">
          <cell r="G25" t="str">
            <v>Nguyễn Văn Hậu</v>
          </cell>
          <cell r="H25">
            <v>3.5</v>
          </cell>
          <cell r="I25">
            <v>2</v>
          </cell>
        </row>
        <row r="26">
          <cell r="G26" t="str">
            <v>Nguyễn Xuân Phong</v>
          </cell>
          <cell r="H26">
            <v>0</v>
          </cell>
          <cell r="I26">
            <v>0</v>
          </cell>
        </row>
        <row r="27">
          <cell r="G27" t="str">
            <v>Phạm Đăng Bình</v>
          </cell>
          <cell r="H27">
            <v>1.5</v>
          </cell>
          <cell r="I27">
            <v>2</v>
          </cell>
        </row>
        <row r="28">
          <cell r="G28" t="str">
            <v>Trần Minh Tuyết</v>
          </cell>
          <cell r="H28">
            <v>4.5</v>
          </cell>
          <cell r="I28">
            <v>2</v>
          </cell>
        </row>
        <row r="29">
          <cell r="G29" t="str">
            <v>Grand</v>
          </cell>
          <cell r="H29">
            <v>33.5</v>
          </cell>
          <cell r="I29">
            <v>24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N1000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4.44140625" defaultRowHeight="15" customHeight="1"/>
  <cols>
    <col min="1" max="1" width="8" customWidth="1"/>
    <col min="2" max="2" width="12" customWidth="1"/>
    <col min="3" max="3" width="25" customWidth="1"/>
    <col min="4" max="4" width="28.88671875" customWidth="1"/>
    <col min="5" max="5" width="17" customWidth="1"/>
    <col min="6" max="6" width="7" customWidth="1"/>
    <col min="7" max="7" width="8" customWidth="1"/>
    <col min="8" max="9" width="16" customWidth="1"/>
    <col min="10" max="10" width="14" customWidth="1"/>
    <col min="11" max="13" width="15" customWidth="1"/>
    <col min="14" max="14" width="16" customWidth="1"/>
    <col min="15" max="15" width="15" customWidth="1"/>
    <col min="16" max="16" width="17" customWidth="1"/>
    <col min="17" max="18" width="15.33203125" customWidth="1"/>
    <col min="19" max="20" width="13" customWidth="1"/>
    <col min="21" max="23" width="10" customWidth="1"/>
    <col min="24" max="24" width="11" customWidth="1"/>
    <col min="25" max="25" width="10" customWidth="1"/>
    <col min="26" max="26" width="12" customWidth="1"/>
    <col min="27" max="27" width="17.44140625" customWidth="1"/>
    <col min="28" max="28" width="15" customWidth="1"/>
    <col min="29" max="29" width="13" customWidth="1"/>
    <col min="30" max="32" width="16" customWidth="1"/>
    <col min="33" max="33" width="14" customWidth="1"/>
    <col min="34" max="34" width="13" customWidth="1"/>
    <col min="35" max="35" width="12" customWidth="1"/>
    <col min="36" max="36" width="15" customWidth="1"/>
    <col min="37" max="37" width="12" customWidth="1"/>
    <col min="38" max="38" width="14" customWidth="1"/>
    <col min="39" max="39" width="18" customWidth="1"/>
    <col min="40" max="40" width="15" customWidth="1"/>
    <col min="41" max="42" width="14" customWidth="1"/>
    <col min="43" max="43" width="10" customWidth="1"/>
    <col min="44" max="44" width="14" customWidth="1"/>
    <col min="45" max="46" width="17" customWidth="1"/>
    <col min="47" max="47" width="12.44140625" customWidth="1"/>
    <col min="48" max="48" width="14" customWidth="1"/>
    <col min="49" max="49" width="15" customWidth="1"/>
    <col min="50" max="50" width="17.33203125" customWidth="1"/>
    <col min="51" max="52" width="16" customWidth="1"/>
    <col min="53" max="53" width="21" customWidth="1"/>
    <col min="54" max="54" width="32.33203125" customWidth="1"/>
    <col min="55" max="55" width="18" hidden="1" customWidth="1"/>
    <col min="56" max="59" width="16" hidden="1" customWidth="1"/>
    <col min="60" max="60" width="19" hidden="1" customWidth="1"/>
    <col min="61" max="62" width="21.88671875" customWidth="1"/>
    <col min="63" max="65" width="19.33203125" customWidth="1"/>
    <col min="66" max="66" width="14" customWidth="1"/>
  </cols>
  <sheetData>
    <row r="1" spans="1:66" ht="13.5" customHeight="1">
      <c r="A1" s="1"/>
      <c r="B1" s="2"/>
      <c r="C1" s="2"/>
      <c r="D1" s="2"/>
      <c r="E1" s="3"/>
      <c r="F1" s="2"/>
      <c r="G1" s="2"/>
      <c r="H1" s="4"/>
      <c r="I1" s="2"/>
      <c r="J1" s="4"/>
      <c r="K1" s="2"/>
      <c r="L1" s="4"/>
      <c r="M1" s="4"/>
      <c r="N1" s="5"/>
      <c r="O1" s="2"/>
      <c r="P1" s="4"/>
      <c r="Q1" s="5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6"/>
      <c r="AM1" s="4"/>
      <c r="AN1" s="4"/>
      <c r="AO1" s="7">
        <v>0.105</v>
      </c>
      <c r="AP1" s="8">
        <v>0.215</v>
      </c>
      <c r="AQ1" s="4"/>
      <c r="AR1" s="6">
        <v>4400000</v>
      </c>
      <c r="AS1" s="4"/>
      <c r="AT1" s="4"/>
      <c r="AU1" s="4"/>
      <c r="AV1" s="4"/>
      <c r="AW1" s="4"/>
      <c r="AX1" s="4"/>
      <c r="AY1" s="6"/>
      <c r="AZ1" s="4"/>
      <c r="BA1" s="9"/>
      <c r="BB1" s="10"/>
      <c r="BC1" s="10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</row>
    <row r="2" spans="1:66" ht="13.5" customHeight="1">
      <c r="A2" s="4"/>
      <c r="B2" s="12"/>
      <c r="C2" s="12"/>
      <c r="D2" s="12"/>
      <c r="E2" s="13"/>
      <c r="F2" s="12"/>
      <c r="G2" s="2"/>
      <c r="H2" s="14"/>
      <c r="I2" s="14"/>
      <c r="J2" s="5"/>
      <c r="K2" s="2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15"/>
      <c r="Y2" s="5"/>
      <c r="Z2" s="5"/>
      <c r="AA2" s="16"/>
      <c r="AB2" s="5"/>
      <c r="AC2" s="5"/>
      <c r="AD2" s="5"/>
      <c r="AE2" s="5"/>
      <c r="AF2" s="4"/>
      <c r="AG2" s="4"/>
      <c r="AH2" s="14"/>
      <c r="AI2" s="14"/>
      <c r="AJ2" s="4"/>
      <c r="AK2" s="4"/>
      <c r="AL2" s="6"/>
      <c r="AM2" s="17"/>
      <c r="AN2" s="17"/>
      <c r="AO2" s="4"/>
      <c r="AP2" s="4"/>
      <c r="AQ2" s="17"/>
      <c r="AR2" s="6">
        <v>11000000</v>
      </c>
      <c r="AS2" s="17"/>
      <c r="AT2" s="14"/>
      <c r="AU2" s="14"/>
      <c r="AV2" s="4"/>
      <c r="AW2" s="4"/>
      <c r="AX2" s="4"/>
      <c r="AY2" s="14"/>
      <c r="AZ2" s="18"/>
      <c r="BA2" s="6" t="e">
        <f>BA9+BA18+BA21+BA31+BA33</f>
        <v>#VALUE!</v>
      </c>
      <c r="BB2" s="10">
        <v>47000</v>
      </c>
      <c r="BC2" s="10"/>
      <c r="BD2" s="11"/>
      <c r="BE2" s="11"/>
      <c r="BF2" s="11"/>
      <c r="BG2" s="11"/>
      <c r="BH2" s="11"/>
      <c r="BI2" s="19"/>
      <c r="BJ2" s="1155" t="s">
        <v>0</v>
      </c>
      <c r="BK2" s="1156"/>
      <c r="BL2" s="11"/>
      <c r="BM2" s="20">
        <v>13358652</v>
      </c>
      <c r="BN2" s="11"/>
    </row>
    <row r="3" spans="1:66" ht="13.5" customHeight="1">
      <c r="A3" s="1157" t="s">
        <v>1</v>
      </c>
      <c r="B3" s="1158"/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58"/>
      <c r="S3" s="1158"/>
      <c r="T3" s="1158"/>
      <c r="U3" s="1158"/>
      <c r="V3" s="1158"/>
      <c r="W3" s="1158"/>
      <c r="X3" s="1158"/>
      <c r="Y3" s="1158"/>
      <c r="Z3" s="1158"/>
      <c r="AA3" s="1158"/>
      <c r="AB3" s="1158"/>
      <c r="AC3" s="1158"/>
      <c r="AD3" s="1158"/>
      <c r="AE3" s="1158"/>
      <c r="AF3" s="1158"/>
      <c r="AG3" s="1158"/>
      <c r="AH3" s="1158"/>
      <c r="AI3" s="1158"/>
      <c r="AJ3" s="1158"/>
      <c r="AK3" s="1158"/>
      <c r="AL3" s="1158"/>
      <c r="AM3" s="1158"/>
      <c r="AN3" s="1158"/>
      <c r="AO3" s="1158"/>
      <c r="AP3" s="1158"/>
      <c r="AQ3" s="1158"/>
      <c r="AR3" s="1158"/>
      <c r="AS3" s="1158"/>
      <c r="AT3" s="1158"/>
      <c r="AU3" s="1158"/>
      <c r="AV3" s="1158"/>
      <c r="AW3" s="1158"/>
      <c r="AX3" s="1158"/>
      <c r="AY3" s="1158"/>
      <c r="AZ3" s="1158"/>
      <c r="BA3" s="1158"/>
      <c r="BB3" s="11"/>
      <c r="BC3" s="11"/>
      <c r="BD3" s="11"/>
      <c r="BE3" s="11"/>
      <c r="BF3" s="21"/>
      <c r="BG3" s="11"/>
      <c r="BH3" s="11"/>
      <c r="BI3" s="22"/>
      <c r="BJ3" s="22" t="s">
        <v>2</v>
      </c>
      <c r="BK3" s="23" t="e">
        <f>SUM(AZ9:AZ33)</f>
        <v>#VALUE!</v>
      </c>
      <c r="BL3" s="11"/>
      <c r="BM3" s="20">
        <v>472375765</v>
      </c>
      <c r="BN3" s="11"/>
    </row>
    <row r="4" spans="1:66" ht="13.5" customHeight="1">
      <c r="A4" s="1159" t="s">
        <v>3</v>
      </c>
      <c r="B4" s="1145"/>
      <c r="C4" s="1146"/>
      <c r="D4" s="24"/>
      <c r="E4" s="24"/>
      <c r="F4" s="24"/>
      <c r="G4" s="24"/>
      <c r="H4" s="1152" t="s">
        <v>4</v>
      </c>
      <c r="I4" s="1145"/>
      <c r="J4" s="1145"/>
      <c r="K4" s="1145"/>
      <c r="L4" s="1145"/>
      <c r="M4" s="1145"/>
      <c r="N4" s="1145"/>
      <c r="O4" s="1145"/>
      <c r="P4" s="1145"/>
      <c r="Q4" s="1145"/>
      <c r="R4" s="1145"/>
      <c r="S4" s="1145"/>
      <c r="T4" s="1146"/>
      <c r="U4" s="1160" t="s">
        <v>5</v>
      </c>
      <c r="V4" s="1145"/>
      <c r="W4" s="1145"/>
      <c r="X4" s="1145"/>
      <c r="Y4" s="1146"/>
      <c r="Z4" s="24"/>
      <c r="AA4" s="1161" t="s">
        <v>6</v>
      </c>
      <c r="AB4" s="1145"/>
      <c r="AC4" s="1145"/>
      <c r="AD4" s="1146"/>
      <c r="AE4" s="25"/>
      <c r="AF4" s="1163" t="s">
        <v>7</v>
      </c>
      <c r="AG4" s="1145"/>
      <c r="AH4" s="1145"/>
      <c r="AI4" s="1145"/>
      <c r="AJ4" s="1145"/>
      <c r="AK4" s="1145"/>
      <c r="AL4" s="1146"/>
      <c r="AM4" s="1162" t="s">
        <v>8</v>
      </c>
      <c r="AN4" s="1164" t="s">
        <v>9</v>
      </c>
      <c r="AO4" s="1145"/>
      <c r="AP4" s="1146"/>
      <c r="AQ4" s="1144" t="s">
        <v>10</v>
      </c>
      <c r="AR4" s="1145"/>
      <c r="AS4" s="1145"/>
      <c r="AT4" s="1145"/>
      <c r="AU4" s="1145"/>
      <c r="AV4" s="1146"/>
      <c r="AW4" s="1147" t="s">
        <v>11</v>
      </c>
      <c r="AX4" s="1145"/>
      <c r="AY4" s="1145"/>
      <c r="AZ4" s="1146"/>
      <c r="BA4" s="1149" t="s">
        <v>12</v>
      </c>
      <c r="BB4" s="1151" t="s">
        <v>13</v>
      </c>
      <c r="BC4" s="13"/>
      <c r="BD4" s="11"/>
      <c r="BE4" s="11"/>
      <c r="BF4" s="11"/>
      <c r="BG4" s="11"/>
      <c r="BH4" s="11"/>
      <c r="BI4" s="26"/>
      <c r="BJ4" s="26" t="s">
        <v>14</v>
      </c>
      <c r="BK4" s="27" t="e">
        <f>SUM(BA9:BA33)</f>
        <v>#VALUE!</v>
      </c>
      <c r="BL4" s="11"/>
      <c r="BM4" s="11"/>
      <c r="BN4" s="11"/>
    </row>
    <row r="5" spans="1:66" ht="13.5" customHeight="1">
      <c r="A5" s="1151" t="s">
        <v>15</v>
      </c>
      <c r="B5" s="1151" t="s">
        <v>16</v>
      </c>
      <c r="C5" s="1151" t="s">
        <v>17</v>
      </c>
      <c r="D5" s="1151" t="s">
        <v>18</v>
      </c>
      <c r="E5" s="1151" t="s">
        <v>19</v>
      </c>
      <c r="F5" s="1151" t="s">
        <v>20</v>
      </c>
      <c r="G5" s="1151" t="s">
        <v>21</v>
      </c>
      <c r="H5" s="1152" t="s">
        <v>22</v>
      </c>
      <c r="I5" s="1146"/>
      <c r="J5" s="1152" t="s">
        <v>23</v>
      </c>
      <c r="K5" s="1145"/>
      <c r="L5" s="1146"/>
      <c r="M5" s="1151" t="s">
        <v>24</v>
      </c>
      <c r="N5" s="1152" t="s">
        <v>25</v>
      </c>
      <c r="O5" s="1145"/>
      <c r="P5" s="1145"/>
      <c r="Q5" s="1145"/>
      <c r="R5" s="1145"/>
      <c r="S5" s="1145"/>
      <c r="T5" s="1146"/>
      <c r="U5" s="1148" t="s">
        <v>26</v>
      </c>
      <c r="V5" s="1148" t="s">
        <v>27</v>
      </c>
      <c r="W5" s="1148" t="s">
        <v>28</v>
      </c>
      <c r="X5" s="1148" t="s">
        <v>29</v>
      </c>
      <c r="Y5" s="1148" t="s">
        <v>30</v>
      </c>
      <c r="Z5" s="1151" t="s">
        <v>31</v>
      </c>
      <c r="AA5" s="1148" t="s">
        <v>32</v>
      </c>
      <c r="AB5" s="1140" t="s">
        <v>33</v>
      </c>
      <c r="AC5" s="1140" t="s">
        <v>34</v>
      </c>
      <c r="AD5" s="1140" t="s">
        <v>35</v>
      </c>
      <c r="AE5" s="1140" t="s">
        <v>36</v>
      </c>
      <c r="AF5" s="1148" t="s">
        <v>37</v>
      </c>
      <c r="AG5" s="1140" t="s">
        <v>38</v>
      </c>
      <c r="AH5" s="1140" t="s">
        <v>39</v>
      </c>
      <c r="AI5" s="1140" t="s">
        <v>40</v>
      </c>
      <c r="AJ5" s="1140" t="s">
        <v>41</v>
      </c>
      <c r="AK5" s="1142" t="s">
        <v>42</v>
      </c>
      <c r="AL5" s="1143" t="s">
        <v>43</v>
      </c>
      <c r="AM5" s="1150"/>
      <c r="AN5" s="1140" t="s">
        <v>44</v>
      </c>
      <c r="AO5" s="1140" t="s">
        <v>45</v>
      </c>
      <c r="AP5" s="1140" t="s">
        <v>46</v>
      </c>
      <c r="AQ5" s="1148" t="s">
        <v>47</v>
      </c>
      <c r="AR5" s="1148" t="s">
        <v>48</v>
      </c>
      <c r="AS5" s="1148" t="s">
        <v>49</v>
      </c>
      <c r="AT5" s="1148" t="s">
        <v>50</v>
      </c>
      <c r="AU5" s="1153" t="s">
        <v>51</v>
      </c>
      <c r="AV5" s="1146"/>
      <c r="AW5" s="1148" t="s">
        <v>52</v>
      </c>
      <c r="AX5" s="1154" t="s">
        <v>53</v>
      </c>
      <c r="AY5" s="1154" t="s">
        <v>54</v>
      </c>
      <c r="AZ5" s="1148" t="s">
        <v>55</v>
      </c>
      <c r="BA5" s="1150"/>
      <c r="BB5" s="1150"/>
      <c r="BC5" s="13"/>
      <c r="BD5" s="11"/>
      <c r="BE5" s="11"/>
      <c r="BF5" s="11"/>
      <c r="BG5" s="11"/>
      <c r="BH5" s="11"/>
      <c r="BI5" s="11" t="s">
        <v>56</v>
      </c>
      <c r="BJ5" s="11"/>
      <c r="BK5" s="11"/>
      <c r="BL5" s="11"/>
      <c r="BM5" s="11"/>
      <c r="BN5" s="11"/>
    </row>
    <row r="6" spans="1:66" ht="37.5" customHeight="1">
      <c r="A6" s="1141"/>
      <c r="B6" s="1141"/>
      <c r="C6" s="1141"/>
      <c r="D6" s="1141"/>
      <c r="E6" s="1141"/>
      <c r="F6" s="1141"/>
      <c r="G6" s="1141"/>
      <c r="H6" s="25" t="s">
        <v>57</v>
      </c>
      <c r="I6" s="25" t="s">
        <v>58</v>
      </c>
      <c r="J6" s="29" t="s">
        <v>59</v>
      </c>
      <c r="K6" s="30" t="s">
        <v>60</v>
      </c>
      <c r="L6" s="30" t="s">
        <v>61</v>
      </c>
      <c r="M6" s="1141"/>
      <c r="N6" s="25" t="s">
        <v>62</v>
      </c>
      <c r="O6" s="30" t="s">
        <v>63</v>
      </c>
      <c r="P6" s="30" t="s">
        <v>64</v>
      </c>
      <c r="Q6" s="30" t="s">
        <v>65</v>
      </c>
      <c r="R6" s="30" t="s">
        <v>66</v>
      </c>
      <c r="S6" s="30" t="s">
        <v>67</v>
      </c>
      <c r="T6" s="30" t="s">
        <v>61</v>
      </c>
      <c r="U6" s="1141"/>
      <c r="V6" s="1141"/>
      <c r="W6" s="1141"/>
      <c r="X6" s="1141"/>
      <c r="Y6" s="1141"/>
      <c r="Z6" s="1141"/>
      <c r="AA6" s="1141"/>
      <c r="AB6" s="1141"/>
      <c r="AC6" s="1141"/>
      <c r="AD6" s="1141"/>
      <c r="AE6" s="1141"/>
      <c r="AF6" s="1141"/>
      <c r="AG6" s="1141"/>
      <c r="AH6" s="1141"/>
      <c r="AI6" s="1141"/>
      <c r="AJ6" s="1141"/>
      <c r="AK6" s="1141"/>
      <c r="AL6" s="1141"/>
      <c r="AM6" s="1141"/>
      <c r="AN6" s="1141"/>
      <c r="AO6" s="1141"/>
      <c r="AP6" s="1141"/>
      <c r="AQ6" s="1141"/>
      <c r="AR6" s="1141"/>
      <c r="AS6" s="1141"/>
      <c r="AT6" s="1141"/>
      <c r="AU6" s="29" t="s">
        <v>68</v>
      </c>
      <c r="AV6" s="29" t="s">
        <v>69</v>
      </c>
      <c r="AW6" s="1141"/>
      <c r="AX6" s="1141"/>
      <c r="AY6" s="1141"/>
      <c r="AZ6" s="1141"/>
      <c r="BA6" s="1141"/>
      <c r="BB6" s="1141"/>
      <c r="BC6" s="13"/>
      <c r="BD6" s="31" t="s">
        <v>70</v>
      </c>
      <c r="BE6" s="31" t="s">
        <v>71</v>
      </c>
      <c r="BF6" s="31" t="s">
        <v>72</v>
      </c>
      <c r="BG6" s="32" t="s">
        <v>73</v>
      </c>
      <c r="BH6" s="32" t="s">
        <v>74</v>
      </c>
      <c r="BI6" s="11"/>
      <c r="BJ6" s="11" t="s">
        <v>75</v>
      </c>
      <c r="BK6" s="11" t="s">
        <v>76</v>
      </c>
      <c r="BL6" s="11"/>
      <c r="BM6" s="11"/>
      <c r="BN6" s="11"/>
    </row>
    <row r="7" spans="1:66" ht="13.5" customHeight="1">
      <c r="A7" s="33"/>
      <c r="B7" s="33"/>
      <c r="C7" s="33"/>
      <c r="D7" s="33"/>
      <c r="E7" s="33"/>
      <c r="F7" s="33"/>
      <c r="G7" s="33"/>
      <c r="H7" s="33" t="s">
        <v>77</v>
      </c>
      <c r="I7" s="33"/>
      <c r="J7" s="33" t="s">
        <v>77</v>
      </c>
      <c r="K7" s="33" t="s">
        <v>77</v>
      </c>
      <c r="L7" s="33" t="s">
        <v>77</v>
      </c>
      <c r="M7" s="33" t="s">
        <v>77</v>
      </c>
      <c r="N7" s="33" t="s">
        <v>77</v>
      </c>
      <c r="O7" s="33" t="s">
        <v>77</v>
      </c>
      <c r="P7" s="33" t="s">
        <v>77</v>
      </c>
      <c r="Q7" s="33"/>
      <c r="R7" s="33" t="s">
        <v>77</v>
      </c>
      <c r="S7" s="33" t="s">
        <v>77</v>
      </c>
      <c r="T7" s="33" t="s">
        <v>77</v>
      </c>
      <c r="U7" s="33" t="s">
        <v>78</v>
      </c>
      <c r="V7" s="33"/>
      <c r="W7" s="33" t="s">
        <v>78</v>
      </c>
      <c r="X7" s="33" t="s">
        <v>78</v>
      </c>
      <c r="Y7" s="33" t="s">
        <v>78</v>
      </c>
      <c r="Z7" s="33"/>
      <c r="AA7" s="33" t="s">
        <v>77</v>
      </c>
      <c r="AB7" s="33" t="s">
        <v>77</v>
      </c>
      <c r="AC7" s="33" t="s">
        <v>77</v>
      </c>
      <c r="AD7" s="33" t="s">
        <v>77</v>
      </c>
      <c r="AE7" s="33"/>
      <c r="AF7" s="33" t="s">
        <v>77</v>
      </c>
      <c r="AG7" s="33" t="s">
        <v>77</v>
      </c>
      <c r="AH7" s="33" t="s">
        <v>77</v>
      </c>
      <c r="AI7" s="33" t="s">
        <v>77</v>
      </c>
      <c r="AJ7" s="33" t="s">
        <v>77</v>
      </c>
      <c r="AK7" s="33"/>
      <c r="AL7" s="33" t="s">
        <v>77</v>
      </c>
      <c r="AM7" s="33" t="s">
        <v>77</v>
      </c>
      <c r="AN7" s="33" t="s">
        <v>77</v>
      </c>
      <c r="AO7" s="33" t="s">
        <v>77</v>
      </c>
      <c r="AP7" s="33" t="s">
        <v>77</v>
      </c>
      <c r="AQ7" s="33" t="s">
        <v>79</v>
      </c>
      <c r="AR7" s="33" t="s">
        <v>80</v>
      </c>
      <c r="AS7" s="33" t="s">
        <v>80</v>
      </c>
      <c r="AT7" s="33" t="s">
        <v>80</v>
      </c>
      <c r="AU7" s="33"/>
      <c r="AV7" s="33" t="s">
        <v>80</v>
      </c>
      <c r="AW7" s="33" t="s">
        <v>80</v>
      </c>
      <c r="AX7" s="33" t="s">
        <v>80</v>
      </c>
      <c r="AY7" s="33" t="s">
        <v>80</v>
      </c>
      <c r="AZ7" s="33" t="s">
        <v>80</v>
      </c>
      <c r="BA7" s="33" t="s">
        <v>80</v>
      </c>
      <c r="BB7" s="34"/>
      <c r="BC7" s="31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</row>
    <row r="8" spans="1:66" ht="13.5" customHeight="1">
      <c r="A8" s="36"/>
      <c r="B8" s="36"/>
      <c r="C8" s="36"/>
      <c r="D8" s="36"/>
      <c r="E8" s="34"/>
      <c r="F8" s="36"/>
      <c r="G8" s="36"/>
      <c r="H8" s="37">
        <v>1</v>
      </c>
      <c r="I8" s="37"/>
      <c r="J8" s="37">
        <v>2</v>
      </c>
      <c r="K8" s="37">
        <v>3</v>
      </c>
      <c r="L8" s="37">
        <v>4</v>
      </c>
      <c r="M8" s="37">
        <v>5</v>
      </c>
      <c r="N8" s="37">
        <v>5</v>
      </c>
      <c r="O8" s="37">
        <v>6</v>
      </c>
      <c r="P8" s="37">
        <v>7</v>
      </c>
      <c r="Q8" s="37"/>
      <c r="R8" s="37">
        <v>8</v>
      </c>
      <c r="S8" s="37">
        <v>9</v>
      </c>
      <c r="T8" s="37">
        <v>10</v>
      </c>
      <c r="U8" s="37">
        <v>11</v>
      </c>
      <c r="V8" s="37">
        <v>12</v>
      </c>
      <c r="W8" s="37">
        <v>13</v>
      </c>
      <c r="X8" s="37">
        <v>14</v>
      </c>
      <c r="Y8" s="37">
        <v>15</v>
      </c>
      <c r="Z8" s="37"/>
      <c r="AA8" s="37">
        <v>16</v>
      </c>
      <c r="AB8" s="37">
        <v>17</v>
      </c>
      <c r="AC8" s="37">
        <v>18</v>
      </c>
      <c r="AD8" s="37">
        <v>19</v>
      </c>
      <c r="AE8" s="37"/>
      <c r="AF8" s="37">
        <v>23</v>
      </c>
      <c r="AG8" s="37">
        <v>24</v>
      </c>
      <c r="AH8" s="37">
        <v>26</v>
      </c>
      <c r="AI8" s="37">
        <v>27</v>
      </c>
      <c r="AJ8" s="37">
        <v>28</v>
      </c>
      <c r="AK8" s="37">
        <v>29</v>
      </c>
      <c r="AL8" s="37">
        <v>30</v>
      </c>
      <c r="AM8" s="37">
        <v>31</v>
      </c>
      <c r="AN8" s="37">
        <v>32</v>
      </c>
      <c r="AO8" s="37">
        <v>33</v>
      </c>
      <c r="AP8" s="37">
        <v>34</v>
      </c>
      <c r="AQ8" s="37">
        <v>35</v>
      </c>
      <c r="AR8" s="37">
        <v>36</v>
      </c>
      <c r="AS8" s="37">
        <v>37</v>
      </c>
      <c r="AT8" s="37">
        <v>38</v>
      </c>
      <c r="AU8" s="37">
        <v>39</v>
      </c>
      <c r="AV8" s="37">
        <v>40</v>
      </c>
      <c r="AW8" s="37">
        <v>41</v>
      </c>
      <c r="AX8" s="37">
        <v>42</v>
      </c>
      <c r="AY8" s="37">
        <v>43</v>
      </c>
      <c r="AZ8" s="37">
        <v>44</v>
      </c>
      <c r="BA8" s="37">
        <v>47</v>
      </c>
      <c r="BB8" s="37"/>
      <c r="BC8" s="31"/>
      <c r="BD8" s="32"/>
      <c r="BE8" s="32"/>
      <c r="BF8" s="32"/>
      <c r="BG8" s="38"/>
      <c r="BH8" s="11"/>
      <c r="BI8" s="11"/>
      <c r="BJ8" s="11"/>
      <c r="BK8" s="11"/>
      <c r="BL8" s="11"/>
      <c r="BM8" s="11"/>
      <c r="BN8" s="11"/>
    </row>
    <row r="9" spans="1:66" ht="24.75" customHeight="1">
      <c r="A9" s="39">
        <v>1</v>
      </c>
      <c r="B9" s="40" t="s">
        <v>81</v>
      </c>
      <c r="C9" s="41" t="s">
        <v>82</v>
      </c>
      <c r="D9" s="41" t="s">
        <v>83</v>
      </c>
      <c r="E9" s="41" t="s">
        <v>84</v>
      </c>
      <c r="F9" s="39"/>
      <c r="G9" s="39" t="s">
        <v>85</v>
      </c>
      <c r="H9" s="42"/>
      <c r="I9" s="42"/>
      <c r="J9" s="42"/>
      <c r="K9" s="42"/>
      <c r="L9" s="42"/>
      <c r="M9" s="43">
        <f>26950794+H37</f>
        <v>27950794</v>
      </c>
      <c r="N9" s="44">
        <f t="shared" ref="N9:N25" si="0">M9</f>
        <v>27950794</v>
      </c>
      <c r="O9" s="42">
        <v>5100000</v>
      </c>
      <c r="P9" s="42">
        <f t="shared" ref="P9:P20" si="1">N9-(O9+Q9+R9+S9+T9)</f>
        <v>20970794</v>
      </c>
      <c r="Q9" s="42">
        <v>250000</v>
      </c>
      <c r="R9" s="42">
        <v>400000</v>
      </c>
      <c r="S9" s="42">
        <v>500000</v>
      </c>
      <c r="T9" s="42">
        <v>730000</v>
      </c>
      <c r="U9" s="45">
        <f t="shared" ref="U9:U33" si="2">SUM(W9:Y9)</f>
        <v>10</v>
      </c>
      <c r="V9" s="45">
        <v>20</v>
      </c>
      <c r="W9" s="41"/>
      <c r="X9" s="46"/>
      <c r="Y9" s="46">
        <v>10</v>
      </c>
      <c r="Z9" s="46"/>
      <c r="AA9" s="42">
        <f t="shared" ref="AA9:AA26" si="3">SUM(AB9:AD9)</f>
        <v>13975397</v>
      </c>
      <c r="AB9" s="42">
        <f t="shared" ref="AB9:AB33" si="4">ROUND($H9/V9*W9,0)</f>
        <v>0</v>
      </c>
      <c r="AC9" s="42">
        <f t="shared" ref="AC9:AC33" si="5">ROUND(J9/V9*X9,0)</f>
        <v>0</v>
      </c>
      <c r="AD9" s="42">
        <f t="shared" ref="AD9:AD33" si="6">ROUND($N9/V9*Y9,0)</f>
        <v>13975397</v>
      </c>
      <c r="AE9" s="42"/>
      <c r="AF9" s="42">
        <f t="shared" ref="AF9:AF19" si="7">SUM(AG9:AL9)</f>
        <v>0</v>
      </c>
      <c r="AG9" s="42"/>
      <c r="AH9" s="42"/>
      <c r="AI9" s="42"/>
      <c r="AJ9" s="42"/>
      <c r="AK9" s="47"/>
      <c r="AL9" s="48"/>
      <c r="AM9" s="42">
        <f t="shared" ref="AM9:AM33" si="8">AA9+AF9</f>
        <v>13975397</v>
      </c>
      <c r="AN9" s="42">
        <v>5100000</v>
      </c>
      <c r="AO9" s="42">
        <f t="shared" ref="AO9:AO25" si="9">$AN9*$AO$1</f>
        <v>535500</v>
      </c>
      <c r="AP9" s="42">
        <f t="shared" ref="AP9:AP25" si="10">$AN9*$AP$1</f>
        <v>1096500</v>
      </c>
      <c r="AQ9" s="41"/>
      <c r="AR9" s="47">
        <f t="shared" ref="AR9:AR25" si="11">IF($F9=10%,0,(AQ9*$AR$1+$AR$2))</f>
        <v>11000000</v>
      </c>
      <c r="AS9" s="47">
        <f>AM9-(R9+S9+T9)/V9*U9</f>
        <v>13160397</v>
      </c>
      <c r="AT9" s="42">
        <f t="shared" ref="AT9:AT33" si="12">ROUND(IF((AS9-AR9-AO9)&lt;0,0,(AS9-AR9-AO9)),0)</f>
        <v>1624897</v>
      </c>
      <c r="AU9" s="47">
        <f t="shared" ref="AU9:AU33" si="13">ROUND(IF($F9=10%,ROUND(AS9*10%,0),0),0)</f>
        <v>0</v>
      </c>
      <c r="AV9" s="47">
        <f t="shared" ref="AV9:AV25" si="14">ROUND(IF(AU9&gt;0,0,IF(AT9&lt;5000000,AT9*5%,IF(AT9&lt;10000000,250000+(AT9-5000000)*10%,IF(AT9&lt;18000000,750000+(AT9-10000000)*15%,IF(AT9&lt;32000000,1950000+(AT9-18000000)*20%,IF(AT9&lt;52000000,4750000+(AT9-32000000)*25%,IF(AT9&lt;80000000,9750000+(AT9-52000000)*30%,IF(AT9&lt;400000000,18150000+(AT9-80000000)*35%,0)))))))),0)</f>
        <v>81245</v>
      </c>
      <c r="AW9" s="49">
        <f t="shared" ref="AW9:AW34" si="15">AM9-AO9-AV9-AU9</f>
        <v>13358652</v>
      </c>
      <c r="AX9" s="42"/>
      <c r="AY9" s="42"/>
      <c r="AZ9" s="50">
        <f t="shared" ref="AZ9:AZ33" si="16">ROUND(AW9-AX9+AY9,0)</f>
        <v>13358652</v>
      </c>
      <c r="BA9" s="47">
        <f t="shared" ref="BA9:BA33" si="17">AM9+AP9</f>
        <v>15071897</v>
      </c>
      <c r="BB9" s="51" t="s">
        <v>86</v>
      </c>
      <c r="BC9" s="52" t="s">
        <v>87</v>
      </c>
      <c r="BD9" s="14" t="str">
        <f>IF(AND(AN9&gt;0,AU9&gt;0),"check","")</f>
        <v/>
      </c>
      <c r="BE9" s="14" t="str">
        <f>IF(AND($F9&lt;&gt;10%,$AN9=0),"check","")</f>
        <v/>
      </c>
      <c r="BF9" s="14" t="e">
        <f>IF(AND(#REF!="CT",F9=10%,AN9&lt;&gt;0),"check","")</f>
        <v>#REF!</v>
      </c>
      <c r="BG9" s="38" t="str">
        <f>IF(AND(F9=10%,Y9&gt;12),"check","")</f>
        <v/>
      </c>
      <c r="BH9" s="11" t="e">
        <f>IF(AND(F9=10%,#REF!="CT"),"check","")</f>
        <v>#REF!</v>
      </c>
      <c r="BI9" s="53"/>
      <c r="BJ9" s="53" t="e">
        <f t="shared" ref="BJ9:BJ18" si="18">BA9-#REF!</f>
        <v>#REF!</v>
      </c>
      <c r="BK9" s="53" t="e">
        <f t="shared" ref="BK9:BK18" si="19">AZ9-#REF!</f>
        <v>#REF!</v>
      </c>
      <c r="BL9" s="53" t="e">
        <f t="shared" ref="BL9:BL18" si="20">C9=#REF!</f>
        <v>#REF!</v>
      </c>
      <c r="BM9" s="53" t="s">
        <v>88</v>
      </c>
      <c r="BN9" s="23" t="e">
        <f>SUM(AZ9:AZ33)</f>
        <v>#VALUE!</v>
      </c>
    </row>
    <row r="10" spans="1:66" ht="37.5" customHeight="1">
      <c r="A10" s="39">
        <v>2</v>
      </c>
      <c r="B10" s="40" t="s">
        <v>89</v>
      </c>
      <c r="C10" s="41" t="s">
        <v>90</v>
      </c>
      <c r="D10" s="41" t="s">
        <v>91</v>
      </c>
      <c r="E10" s="41" t="s">
        <v>92</v>
      </c>
      <c r="F10" s="39"/>
      <c r="G10" s="39" t="s">
        <v>85</v>
      </c>
      <c r="H10" s="41"/>
      <c r="I10" s="41"/>
      <c r="J10" s="41"/>
      <c r="K10" s="41"/>
      <c r="L10" s="41"/>
      <c r="M10" s="43">
        <f>26298235+H36+2000000</f>
        <v>51798235</v>
      </c>
      <c r="N10" s="44">
        <f t="shared" si="0"/>
        <v>51798235</v>
      </c>
      <c r="O10" s="42">
        <v>9000000</v>
      </c>
      <c r="P10" s="42">
        <f t="shared" si="1"/>
        <v>40168235</v>
      </c>
      <c r="Q10" s="42">
        <v>500000</v>
      </c>
      <c r="R10" s="42">
        <v>400000</v>
      </c>
      <c r="S10" s="42">
        <v>1000000</v>
      </c>
      <c r="T10" s="42">
        <v>730000</v>
      </c>
      <c r="U10" s="45">
        <f t="shared" si="2"/>
        <v>20</v>
      </c>
      <c r="V10" s="45">
        <v>20</v>
      </c>
      <c r="W10" s="41"/>
      <c r="X10" s="45"/>
      <c r="Y10" s="46">
        <v>20</v>
      </c>
      <c r="Z10" s="46"/>
      <c r="AA10" s="42">
        <f t="shared" si="3"/>
        <v>51798235</v>
      </c>
      <c r="AB10" s="42">
        <f t="shared" si="4"/>
        <v>0</v>
      </c>
      <c r="AC10" s="42">
        <f t="shared" si="5"/>
        <v>0</v>
      </c>
      <c r="AD10" s="42">
        <f t="shared" si="6"/>
        <v>51798235</v>
      </c>
      <c r="AE10" s="42"/>
      <c r="AF10" s="42">
        <f t="shared" si="7"/>
        <v>0</v>
      </c>
      <c r="AG10" s="45"/>
      <c r="AH10" s="45"/>
      <c r="AI10" s="45"/>
      <c r="AJ10" s="45"/>
      <c r="AK10" s="45"/>
      <c r="AL10" s="45"/>
      <c r="AM10" s="42">
        <f t="shared" si="8"/>
        <v>51798235</v>
      </c>
      <c r="AN10" s="42">
        <v>6000000</v>
      </c>
      <c r="AO10" s="42">
        <f t="shared" si="9"/>
        <v>630000</v>
      </c>
      <c r="AP10" s="42">
        <f t="shared" si="10"/>
        <v>1290000</v>
      </c>
      <c r="AQ10" s="54">
        <v>3</v>
      </c>
      <c r="AR10" s="47">
        <f t="shared" si="11"/>
        <v>24200000</v>
      </c>
      <c r="AS10" s="47">
        <f t="shared" ref="AS10:AS33" si="21">AM10-R10-S10-T10</f>
        <v>49668235</v>
      </c>
      <c r="AT10" s="42">
        <f t="shared" si="12"/>
        <v>24838235</v>
      </c>
      <c r="AU10" s="47">
        <f t="shared" si="13"/>
        <v>0</v>
      </c>
      <c r="AV10" s="47">
        <f t="shared" si="14"/>
        <v>3317647</v>
      </c>
      <c r="AW10" s="42">
        <f t="shared" si="15"/>
        <v>47850588</v>
      </c>
      <c r="AX10" s="45"/>
      <c r="AY10" s="45"/>
      <c r="AZ10" s="50">
        <f t="shared" si="16"/>
        <v>47850588</v>
      </c>
      <c r="BA10" s="47">
        <f t="shared" si="17"/>
        <v>53088235</v>
      </c>
      <c r="BB10" s="33" t="s">
        <v>93</v>
      </c>
      <c r="BC10" s="10"/>
      <c r="BD10" s="11"/>
      <c r="BE10" s="11"/>
      <c r="BF10" s="11"/>
      <c r="BG10" s="11"/>
      <c r="BH10" s="11"/>
      <c r="BI10" s="53" t="s">
        <v>94</v>
      </c>
      <c r="BJ10" s="53" t="e">
        <f t="shared" si="18"/>
        <v>#REF!</v>
      </c>
      <c r="BK10" s="53" t="e">
        <f t="shared" si="19"/>
        <v>#REF!</v>
      </c>
      <c r="BL10" s="53" t="e">
        <f t="shared" si="20"/>
        <v>#REF!</v>
      </c>
      <c r="BM10" s="5" t="s">
        <v>95</v>
      </c>
      <c r="BN10" s="27" t="e">
        <f>SUM(BA9:BA33)</f>
        <v>#VALUE!</v>
      </c>
    </row>
    <row r="11" spans="1:66" ht="22.5" customHeight="1">
      <c r="A11" s="39">
        <v>3</v>
      </c>
      <c r="B11" s="40" t="s">
        <v>96</v>
      </c>
      <c r="C11" s="41" t="s">
        <v>97</v>
      </c>
      <c r="D11" s="41" t="s">
        <v>98</v>
      </c>
      <c r="E11" s="41" t="s">
        <v>92</v>
      </c>
      <c r="F11" s="39"/>
      <c r="G11" s="39" t="s">
        <v>85</v>
      </c>
      <c r="H11" s="41"/>
      <c r="I11" s="41"/>
      <c r="J11" s="41"/>
      <c r="K11" s="41"/>
      <c r="L11" s="41"/>
      <c r="M11" s="43">
        <f>36728000+H38</f>
        <v>40728000</v>
      </c>
      <c r="N11" s="44">
        <f t="shared" si="0"/>
        <v>40728000</v>
      </c>
      <c r="O11" s="42">
        <v>5100000</v>
      </c>
      <c r="P11" s="42">
        <f t="shared" si="1"/>
        <v>33248000</v>
      </c>
      <c r="Q11" s="42">
        <v>250000</v>
      </c>
      <c r="R11" s="42">
        <v>400000</v>
      </c>
      <c r="S11" s="42">
        <v>1000000</v>
      </c>
      <c r="T11" s="42">
        <v>730000</v>
      </c>
      <c r="U11" s="45">
        <f t="shared" si="2"/>
        <v>20</v>
      </c>
      <c r="V11" s="45">
        <v>20</v>
      </c>
      <c r="W11" s="41"/>
      <c r="X11" s="41"/>
      <c r="Y11" s="46">
        <v>20</v>
      </c>
      <c r="Z11" s="46"/>
      <c r="AA11" s="42">
        <f t="shared" si="3"/>
        <v>40728000</v>
      </c>
      <c r="AB11" s="42">
        <f t="shared" si="4"/>
        <v>0</v>
      </c>
      <c r="AC11" s="42">
        <f t="shared" si="5"/>
        <v>0</v>
      </c>
      <c r="AD11" s="42">
        <f t="shared" si="6"/>
        <v>40728000</v>
      </c>
      <c r="AE11" s="42"/>
      <c r="AF11" s="42">
        <f t="shared" si="7"/>
        <v>0</v>
      </c>
      <c r="AG11" s="41"/>
      <c r="AH11" s="41"/>
      <c r="AI11" s="41"/>
      <c r="AJ11" s="41"/>
      <c r="AK11" s="41"/>
      <c r="AL11" s="47"/>
      <c r="AM11" s="42">
        <f t="shared" si="8"/>
        <v>40728000</v>
      </c>
      <c r="AN11" s="42">
        <v>5100000</v>
      </c>
      <c r="AO11" s="42">
        <f t="shared" si="9"/>
        <v>535500</v>
      </c>
      <c r="AP11" s="42">
        <f t="shared" si="10"/>
        <v>1096500</v>
      </c>
      <c r="AQ11" s="41"/>
      <c r="AR11" s="47">
        <f t="shared" si="11"/>
        <v>11000000</v>
      </c>
      <c r="AS11" s="47">
        <f t="shared" si="21"/>
        <v>38598000</v>
      </c>
      <c r="AT11" s="42">
        <f t="shared" si="12"/>
        <v>27062500</v>
      </c>
      <c r="AU11" s="47">
        <f t="shared" si="13"/>
        <v>0</v>
      </c>
      <c r="AV11" s="47">
        <f t="shared" si="14"/>
        <v>3762500</v>
      </c>
      <c r="AW11" s="42">
        <f t="shared" si="15"/>
        <v>36430000</v>
      </c>
      <c r="AX11" s="41"/>
      <c r="AY11" s="41"/>
      <c r="AZ11" s="50">
        <f t="shared" si="16"/>
        <v>36430000</v>
      </c>
      <c r="BA11" s="47">
        <f t="shared" si="17"/>
        <v>41824500</v>
      </c>
      <c r="BB11" s="33" t="s">
        <v>93</v>
      </c>
      <c r="BC11" s="10"/>
      <c r="BD11" s="11"/>
      <c r="BE11" s="11"/>
      <c r="BF11" s="11"/>
      <c r="BG11" s="11"/>
      <c r="BH11" s="11"/>
      <c r="BI11" s="53"/>
      <c r="BJ11" s="53" t="e">
        <f t="shared" si="18"/>
        <v>#REF!</v>
      </c>
      <c r="BK11" s="53" t="e">
        <f t="shared" si="19"/>
        <v>#REF!</v>
      </c>
      <c r="BL11" s="53" t="e">
        <f t="shared" si="20"/>
        <v>#REF!</v>
      </c>
      <c r="BM11" s="5" t="s">
        <v>99</v>
      </c>
      <c r="BN11" s="53" t="e">
        <f>SUM(BN9:BN10)</f>
        <v>#VALUE!</v>
      </c>
    </row>
    <row r="12" spans="1:66" ht="18" customHeight="1">
      <c r="A12" s="39">
        <v>4</v>
      </c>
      <c r="B12" s="40" t="s">
        <v>100</v>
      </c>
      <c r="C12" s="41" t="s">
        <v>101</v>
      </c>
      <c r="D12" s="41" t="s">
        <v>102</v>
      </c>
      <c r="E12" s="41" t="s">
        <v>92</v>
      </c>
      <c r="F12" s="39"/>
      <c r="G12" s="39" t="s">
        <v>85</v>
      </c>
      <c r="H12" s="41"/>
      <c r="I12" s="41"/>
      <c r="J12" s="41"/>
      <c r="K12" s="41"/>
      <c r="L12" s="41"/>
      <c r="M12" s="43">
        <f>31000000+H39</f>
        <v>32000000</v>
      </c>
      <c r="N12" s="44">
        <f t="shared" si="0"/>
        <v>32000000</v>
      </c>
      <c r="O12" s="42">
        <v>5100000</v>
      </c>
      <c r="P12" s="42">
        <f t="shared" si="1"/>
        <v>25020000</v>
      </c>
      <c r="Q12" s="42">
        <v>250000</v>
      </c>
      <c r="R12" s="42">
        <v>400000</v>
      </c>
      <c r="S12" s="42">
        <v>500000</v>
      </c>
      <c r="T12" s="42">
        <v>730000</v>
      </c>
      <c r="U12" s="45">
        <f t="shared" si="2"/>
        <v>20</v>
      </c>
      <c r="V12" s="45">
        <v>20</v>
      </c>
      <c r="W12" s="41"/>
      <c r="X12" s="41"/>
      <c r="Y12" s="46">
        <v>20</v>
      </c>
      <c r="Z12" s="46"/>
      <c r="AA12" s="42">
        <f t="shared" si="3"/>
        <v>32000000</v>
      </c>
      <c r="AB12" s="42">
        <f t="shared" si="4"/>
        <v>0</v>
      </c>
      <c r="AC12" s="42">
        <f t="shared" si="5"/>
        <v>0</v>
      </c>
      <c r="AD12" s="42">
        <f t="shared" si="6"/>
        <v>32000000</v>
      </c>
      <c r="AE12" s="42"/>
      <c r="AF12" s="42">
        <f t="shared" si="7"/>
        <v>0</v>
      </c>
      <c r="AG12" s="41"/>
      <c r="AH12" s="41"/>
      <c r="AI12" s="41"/>
      <c r="AJ12" s="41"/>
      <c r="AK12" s="41"/>
      <c r="AL12" s="47"/>
      <c r="AM12" s="42">
        <f t="shared" si="8"/>
        <v>32000000</v>
      </c>
      <c r="AN12" s="42">
        <v>5100000</v>
      </c>
      <c r="AO12" s="42">
        <f t="shared" si="9"/>
        <v>535500</v>
      </c>
      <c r="AP12" s="42">
        <f t="shared" si="10"/>
        <v>1096500</v>
      </c>
      <c r="AQ12" s="41"/>
      <c r="AR12" s="47">
        <f t="shared" si="11"/>
        <v>11000000</v>
      </c>
      <c r="AS12" s="47">
        <f t="shared" si="21"/>
        <v>30370000</v>
      </c>
      <c r="AT12" s="42">
        <f t="shared" si="12"/>
        <v>18834500</v>
      </c>
      <c r="AU12" s="47">
        <f t="shared" si="13"/>
        <v>0</v>
      </c>
      <c r="AV12" s="47">
        <f t="shared" si="14"/>
        <v>2116900</v>
      </c>
      <c r="AW12" s="42">
        <f t="shared" si="15"/>
        <v>29347600</v>
      </c>
      <c r="AX12" s="41"/>
      <c r="AY12" s="41"/>
      <c r="AZ12" s="50">
        <f t="shared" si="16"/>
        <v>29347600</v>
      </c>
      <c r="BA12" s="47">
        <f t="shared" si="17"/>
        <v>33096500</v>
      </c>
      <c r="BB12" s="30"/>
      <c r="BC12" s="10"/>
      <c r="BD12" s="11"/>
      <c r="BE12" s="11"/>
      <c r="BF12" s="11"/>
      <c r="BG12" s="11"/>
      <c r="BH12" s="11"/>
      <c r="BI12" s="53"/>
      <c r="BJ12" s="53" t="e">
        <f t="shared" si="18"/>
        <v>#REF!</v>
      </c>
      <c r="BK12" s="53" t="e">
        <f t="shared" si="19"/>
        <v>#REF!</v>
      </c>
      <c r="BL12" s="53" t="e">
        <f t="shared" si="20"/>
        <v>#REF!</v>
      </c>
      <c r="BM12" s="11"/>
      <c r="BN12" s="11"/>
    </row>
    <row r="13" spans="1:66" ht="18" customHeight="1">
      <c r="A13" s="39">
        <v>5</v>
      </c>
      <c r="B13" s="40" t="s">
        <v>103</v>
      </c>
      <c r="C13" s="41" t="s">
        <v>104</v>
      </c>
      <c r="D13" s="41" t="s">
        <v>105</v>
      </c>
      <c r="E13" s="41" t="s">
        <v>106</v>
      </c>
      <c r="F13" s="39"/>
      <c r="G13" s="39" t="s">
        <v>85</v>
      </c>
      <c r="H13" s="41"/>
      <c r="I13" s="41"/>
      <c r="J13" s="41"/>
      <c r="K13" s="41"/>
      <c r="L13" s="41"/>
      <c r="M13" s="43">
        <f>18000000+H40</f>
        <v>19000000</v>
      </c>
      <c r="N13" s="44">
        <f t="shared" si="0"/>
        <v>19000000</v>
      </c>
      <c r="O13" s="42">
        <v>5100000</v>
      </c>
      <c r="P13" s="42">
        <f t="shared" si="1"/>
        <v>12020000</v>
      </c>
      <c r="Q13" s="42">
        <v>250000</v>
      </c>
      <c r="R13" s="42">
        <v>400000</v>
      </c>
      <c r="S13" s="42">
        <v>500000</v>
      </c>
      <c r="T13" s="42">
        <v>730000</v>
      </c>
      <c r="U13" s="45">
        <f t="shared" si="2"/>
        <v>20</v>
      </c>
      <c r="V13" s="45">
        <v>20</v>
      </c>
      <c r="W13" s="41"/>
      <c r="X13" s="41"/>
      <c r="Y13" s="46">
        <v>20</v>
      </c>
      <c r="Z13" s="46"/>
      <c r="AA13" s="42">
        <f t="shared" si="3"/>
        <v>19000000</v>
      </c>
      <c r="AB13" s="42">
        <f t="shared" si="4"/>
        <v>0</v>
      </c>
      <c r="AC13" s="42">
        <f t="shared" si="5"/>
        <v>0</v>
      </c>
      <c r="AD13" s="42">
        <f t="shared" si="6"/>
        <v>19000000</v>
      </c>
      <c r="AE13" s="42"/>
      <c r="AF13" s="42">
        <f t="shared" si="7"/>
        <v>0</v>
      </c>
      <c r="AG13" s="41"/>
      <c r="AH13" s="41"/>
      <c r="AI13" s="41"/>
      <c r="AJ13" s="41"/>
      <c r="AK13" s="41"/>
      <c r="AL13" s="47"/>
      <c r="AM13" s="42">
        <f t="shared" si="8"/>
        <v>19000000</v>
      </c>
      <c r="AN13" s="42">
        <v>5100000</v>
      </c>
      <c r="AO13" s="42">
        <f t="shared" si="9"/>
        <v>535500</v>
      </c>
      <c r="AP13" s="42">
        <f t="shared" si="10"/>
        <v>1096500</v>
      </c>
      <c r="AQ13" s="41"/>
      <c r="AR13" s="47">
        <f t="shared" si="11"/>
        <v>11000000</v>
      </c>
      <c r="AS13" s="47">
        <f t="shared" si="21"/>
        <v>17370000</v>
      </c>
      <c r="AT13" s="42">
        <f t="shared" si="12"/>
        <v>5834500</v>
      </c>
      <c r="AU13" s="47">
        <f t="shared" si="13"/>
        <v>0</v>
      </c>
      <c r="AV13" s="47">
        <f t="shared" si="14"/>
        <v>333450</v>
      </c>
      <c r="AW13" s="42">
        <f t="shared" si="15"/>
        <v>18131050</v>
      </c>
      <c r="AX13" s="41"/>
      <c r="AY13" s="41"/>
      <c r="AZ13" s="50">
        <f t="shared" si="16"/>
        <v>18131050</v>
      </c>
      <c r="BA13" s="47">
        <f t="shared" si="17"/>
        <v>20096500</v>
      </c>
      <c r="BB13" s="30"/>
      <c r="BC13" s="10"/>
      <c r="BD13" s="11"/>
      <c r="BE13" s="11"/>
      <c r="BF13" s="11"/>
      <c r="BG13" s="11"/>
      <c r="BH13" s="11"/>
      <c r="BI13" s="53"/>
      <c r="BJ13" s="53" t="e">
        <f t="shared" si="18"/>
        <v>#REF!</v>
      </c>
      <c r="BK13" s="53" t="e">
        <f t="shared" si="19"/>
        <v>#REF!</v>
      </c>
      <c r="BL13" s="53" t="e">
        <f t="shared" si="20"/>
        <v>#REF!</v>
      </c>
      <c r="BM13" s="11"/>
      <c r="BN13" s="11"/>
    </row>
    <row r="14" spans="1:66" ht="18" customHeight="1">
      <c r="A14" s="39">
        <v>6</v>
      </c>
      <c r="B14" s="55" t="s">
        <v>107</v>
      </c>
      <c r="C14" s="41" t="s">
        <v>108</v>
      </c>
      <c r="D14" s="41" t="s">
        <v>109</v>
      </c>
      <c r="E14" s="41" t="s">
        <v>92</v>
      </c>
      <c r="F14" s="39"/>
      <c r="G14" s="39" t="s">
        <v>85</v>
      </c>
      <c r="H14" s="54"/>
      <c r="I14" s="54"/>
      <c r="J14" s="54"/>
      <c r="K14" s="54"/>
      <c r="L14" s="54"/>
      <c r="M14" s="43">
        <f>26215500+H41</f>
        <v>29715500</v>
      </c>
      <c r="N14" s="56">
        <f t="shared" si="0"/>
        <v>29715500</v>
      </c>
      <c r="O14" s="42">
        <v>5100000</v>
      </c>
      <c r="P14" s="42">
        <f t="shared" si="1"/>
        <v>22735500</v>
      </c>
      <c r="Q14" s="42">
        <v>250000</v>
      </c>
      <c r="R14" s="42">
        <v>400000</v>
      </c>
      <c r="S14" s="42">
        <v>500000</v>
      </c>
      <c r="T14" s="42">
        <v>730000</v>
      </c>
      <c r="U14" s="45">
        <f t="shared" si="2"/>
        <v>20</v>
      </c>
      <c r="V14" s="45">
        <v>20</v>
      </c>
      <c r="W14" s="54"/>
      <c r="X14" s="54"/>
      <c r="Y14" s="46">
        <v>20</v>
      </c>
      <c r="Z14" s="46"/>
      <c r="AA14" s="42">
        <f t="shared" si="3"/>
        <v>29715500</v>
      </c>
      <c r="AB14" s="42">
        <f t="shared" si="4"/>
        <v>0</v>
      </c>
      <c r="AC14" s="42">
        <f t="shared" si="5"/>
        <v>0</v>
      </c>
      <c r="AD14" s="42">
        <f t="shared" si="6"/>
        <v>29715500</v>
      </c>
      <c r="AE14" s="42"/>
      <c r="AF14" s="42">
        <f t="shared" si="7"/>
        <v>0</v>
      </c>
      <c r="AG14" s="54"/>
      <c r="AH14" s="54"/>
      <c r="AI14" s="54"/>
      <c r="AJ14" s="54"/>
      <c r="AK14" s="54"/>
      <c r="AL14" s="57"/>
      <c r="AM14" s="42">
        <f t="shared" si="8"/>
        <v>29715500</v>
      </c>
      <c r="AN14" s="42">
        <v>5100000</v>
      </c>
      <c r="AO14" s="42">
        <f t="shared" si="9"/>
        <v>535500</v>
      </c>
      <c r="AP14" s="42">
        <f t="shared" si="10"/>
        <v>1096500</v>
      </c>
      <c r="AQ14" s="54">
        <v>1</v>
      </c>
      <c r="AR14" s="47">
        <f t="shared" si="11"/>
        <v>15400000</v>
      </c>
      <c r="AS14" s="47">
        <f t="shared" si="21"/>
        <v>28085500</v>
      </c>
      <c r="AT14" s="42">
        <f t="shared" si="12"/>
        <v>12150000</v>
      </c>
      <c r="AU14" s="47">
        <f t="shared" si="13"/>
        <v>0</v>
      </c>
      <c r="AV14" s="47">
        <f t="shared" si="14"/>
        <v>1072500</v>
      </c>
      <c r="AW14" s="42">
        <f t="shared" si="15"/>
        <v>28107500</v>
      </c>
      <c r="AX14" s="54"/>
      <c r="AY14" s="54"/>
      <c r="AZ14" s="50">
        <f t="shared" si="16"/>
        <v>28107500</v>
      </c>
      <c r="BA14" s="47">
        <f t="shared" si="17"/>
        <v>30812000</v>
      </c>
      <c r="BB14" s="28"/>
      <c r="BC14" s="10"/>
      <c r="BD14" s="11"/>
      <c r="BE14" s="11"/>
      <c r="BF14" s="11"/>
      <c r="BG14" s="11"/>
      <c r="BH14" s="11"/>
      <c r="BI14" s="53"/>
      <c r="BJ14" s="53" t="e">
        <f t="shared" si="18"/>
        <v>#REF!</v>
      </c>
      <c r="BK14" s="53" t="e">
        <f t="shared" si="19"/>
        <v>#REF!</v>
      </c>
      <c r="BL14" s="53" t="e">
        <f t="shared" si="20"/>
        <v>#REF!</v>
      </c>
      <c r="BM14" s="11"/>
      <c r="BN14" s="11"/>
    </row>
    <row r="15" spans="1:66" ht="18" customHeight="1">
      <c r="A15" s="39">
        <v>7</v>
      </c>
      <c r="B15" s="40" t="s">
        <v>110</v>
      </c>
      <c r="C15" s="41" t="s">
        <v>111</v>
      </c>
      <c r="D15" s="41" t="s">
        <v>112</v>
      </c>
      <c r="E15" s="41" t="s">
        <v>113</v>
      </c>
      <c r="F15" s="58"/>
      <c r="G15" s="39" t="s">
        <v>85</v>
      </c>
      <c r="H15" s="41"/>
      <c r="I15" s="41"/>
      <c r="J15" s="47"/>
      <c r="K15" s="41"/>
      <c r="L15" s="41"/>
      <c r="M15" s="43">
        <f>18000000+H42</f>
        <v>21000000</v>
      </c>
      <c r="N15" s="44">
        <f t="shared" si="0"/>
        <v>21000000</v>
      </c>
      <c r="O15" s="42">
        <v>5100000</v>
      </c>
      <c r="P15" s="42">
        <f t="shared" si="1"/>
        <v>14020000</v>
      </c>
      <c r="Q15" s="42">
        <v>250000</v>
      </c>
      <c r="R15" s="42">
        <v>400000</v>
      </c>
      <c r="S15" s="42">
        <v>500000</v>
      </c>
      <c r="T15" s="42">
        <v>730000</v>
      </c>
      <c r="U15" s="45">
        <f t="shared" si="2"/>
        <v>20</v>
      </c>
      <c r="V15" s="45">
        <v>20</v>
      </c>
      <c r="W15" s="41"/>
      <c r="X15" s="45"/>
      <c r="Y15" s="46">
        <v>20</v>
      </c>
      <c r="Z15" s="46"/>
      <c r="AA15" s="42">
        <f t="shared" si="3"/>
        <v>21000000</v>
      </c>
      <c r="AB15" s="42">
        <f t="shared" si="4"/>
        <v>0</v>
      </c>
      <c r="AC15" s="42">
        <f t="shared" si="5"/>
        <v>0</v>
      </c>
      <c r="AD15" s="42">
        <f t="shared" si="6"/>
        <v>21000000</v>
      </c>
      <c r="AE15" s="42"/>
      <c r="AF15" s="42">
        <f t="shared" si="7"/>
        <v>0</v>
      </c>
      <c r="AG15" s="41"/>
      <c r="AH15" s="41"/>
      <c r="AI15" s="41"/>
      <c r="AJ15" s="41"/>
      <c r="AK15" s="41"/>
      <c r="AL15" s="47"/>
      <c r="AM15" s="42">
        <f t="shared" si="8"/>
        <v>21000000</v>
      </c>
      <c r="AN15" s="42">
        <v>5100000</v>
      </c>
      <c r="AO15" s="42">
        <f t="shared" si="9"/>
        <v>535500</v>
      </c>
      <c r="AP15" s="42">
        <f t="shared" si="10"/>
        <v>1096500</v>
      </c>
      <c r="AQ15" s="41"/>
      <c r="AR15" s="47">
        <f t="shared" si="11"/>
        <v>11000000</v>
      </c>
      <c r="AS15" s="47">
        <f t="shared" si="21"/>
        <v>19370000</v>
      </c>
      <c r="AT15" s="42">
        <f t="shared" si="12"/>
        <v>7834500</v>
      </c>
      <c r="AU15" s="47">
        <f t="shared" si="13"/>
        <v>0</v>
      </c>
      <c r="AV15" s="47">
        <f t="shared" si="14"/>
        <v>533450</v>
      </c>
      <c r="AW15" s="42">
        <f t="shared" si="15"/>
        <v>19931050</v>
      </c>
      <c r="AX15" s="41"/>
      <c r="AY15" s="41"/>
      <c r="AZ15" s="50">
        <f t="shared" si="16"/>
        <v>19931050</v>
      </c>
      <c r="BA15" s="47">
        <f t="shared" si="17"/>
        <v>22096500</v>
      </c>
      <c r="BB15" s="30"/>
      <c r="BC15" s="10"/>
      <c r="BD15" s="11"/>
      <c r="BE15" s="11"/>
      <c r="BF15" s="11"/>
      <c r="BG15" s="11"/>
      <c r="BH15" s="11"/>
      <c r="BI15" s="53"/>
      <c r="BJ15" s="53" t="e">
        <f t="shared" si="18"/>
        <v>#REF!</v>
      </c>
      <c r="BK15" s="53" t="e">
        <f t="shared" si="19"/>
        <v>#REF!</v>
      </c>
      <c r="BL15" s="53" t="e">
        <f t="shared" si="20"/>
        <v>#REF!</v>
      </c>
      <c r="BM15" s="11"/>
      <c r="BN15" s="11"/>
    </row>
    <row r="16" spans="1:66" ht="18" customHeight="1">
      <c r="A16" s="39">
        <v>8</v>
      </c>
      <c r="B16" s="40" t="s">
        <v>114</v>
      </c>
      <c r="C16" s="41" t="s">
        <v>115</v>
      </c>
      <c r="D16" s="41" t="s">
        <v>116</v>
      </c>
      <c r="E16" s="41" t="s">
        <v>117</v>
      </c>
      <c r="F16" s="58"/>
      <c r="G16" s="39" t="s">
        <v>85</v>
      </c>
      <c r="H16" s="47"/>
      <c r="I16" s="47"/>
      <c r="J16" s="59"/>
      <c r="K16" s="41"/>
      <c r="L16" s="41"/>
      <c r="M16" s="43">
        <f>23000000+H43</f>
        <v>24000000</v>
      </c>
      <c r="N16" s="44">
        <f t="shared" si="0"/>
        <v>24000000</v>
      </c>
      <c r="O16" s="42">
        <v>5100000</v>
      </c>
      <c r="P16" s="42">
        <f t="shared" si="1"/>
        <v>17020000</v>
      </c>
      <c r="Q16" s="42">
        <v>250000</v>
      </c>
      <c r="R16" s="42">
        <v>400000</v>
      </c>
      <c r="S16" s="42">
        <v>500000</v>
      </c>
      <c r="T16" s="42">
        <v>730000</v>
      </c>
      <c r="U16" s="45">
        <f t="shared" si="2"/>
        <v>20</v>
      </c>
      <c r="V16" s="45">
        <v>20</v>
      </c>
      <c r="W16" s="45"/>
      <c r="X16" s="60"/>
      <c r="Y16" s="46">
        <v>20</v>
      </c>
      <c r="Z16" s="46"/>
      <c r="AA16" s="42">
        <f t="shared" si="3"/>
        <v>24000000</v>
      </c>
      <c r="AB16" s="42">
        <f t="shared" si="4"/>
        <v>0</v>
      </c>
      <c r="AC16" s="42">
        <f t="shared" si="5"/>
        <v>0</v>
      </c>
      <c r="AD16" s="42">
        <f t="shared" si="6"/>
        <v>24000000</v>
      </c>
      <c r="AE16" s="42"/>
      <c r="AF16" s="42">
        <f t="shared" si="7"/>
        <v>0</v>
      </c>
      <c r="AG16" s="41"/>
      <c r="AH16" s="41"/>
      <c r="AI16" s="41"/>
      <c r="AJ16" s="41"/>
      <c r="AK16" s="41"/>
      <c r="AL16" s="47"/>
      <c r="AM16" s="42">
        <f t="shared" si="8"/>
        <v>24000000</v>
      </c>
      <c r="AN16" s="42">
        <v>5100000</v>
      </c>
      <c r="AO16" s="42">
        <f t="shared" si="9"/>
        <v>535500</v>
      </c>
      <c r="AP16" s="42">
        <f t="shared" si="10"/>
        <v>1096500</v>
      </c>
      <c r="AQ16" s="41"/>
      <c r="AR16" s="47">
        <f t="shared" si="11"/>
        <v>11000000</v>
      </c>
      <c r="AS16" s="47">
        <f t="shared" si="21"/>
        <v>22370000</v>
      </c>
      <c r="AT16" s="42">
        <f t="shared" si="12"/>
        <v>10834500</v>
      </c>
      <c r="AU16" s="47">
        <f t="shared" si="13"/>
        <v>0</v>
      </c>
      <c r="AV16" s="47">
        <f t="shared" si="14"/>
        <v>875175</v>
      </c>
      <c r="AW16" s="42">
        <f t="shared" si="15"/>
        <v>22589325</v>
      </c>
      <c r="AX16" s="41"/>
      <c r="AY16" s="41"/>
      <c r="AZ16" s="50">
        <f t="shared" si="16"/>
        <v>22589325</v>
      </c>
      <c r="BA16" s="47">
        <f t="shared" si="17"/>
        <v>25096500</v>
      </c>
      <c r="BB16" s="30"/>
      <c r="BC16" s="10"/>
      <c r="BD16" s="11"/>
      <c r="BE16" s="11"/>
      <c r="BF16" s="11"/>
      <c r="BG16" s="11"/>
      <c r="BH16" s="11"/>
      <c r="BI16" s="53"/>
      <c r="BJ16" s="53" t="e">
        <f t="shared" si="18"/>
        <v>#REF!</v>
      </c>
      <c r="BK16" s="53" t="e">
        <f t="shared" si="19"/>
        <v>#REF!</v>
      </c>
      <c r="BL16" s="53" t="e">
        <f t="shared" si="20"/>
        <v>#REF!</v>
      </c>
      <c r="BM16" s="11"/>
      <c r="BN16" s="11"/>
    </row>
    <row r="17" spans="1:66" ht="18" customHeight="1">
      <c r="A17" s="39">
        <v>9</v>
      </c>
      <c r="B17" s="40" t="s">
        <v>118</v>
      </c>
      <c r="C17" s="30" t="s">
        <v>119</v>
      </c>
      <c r="D17" s="30" t="s">
        <v>120</v>
      </c>
      <c r="E17" s="41" t="s">
        <v>117</v>
      </c>
      <c r="F17" s="58"/>
      <c r="G17" s="39" t="s">
        <v>85</v>
      </c>
      <c r="H17" s="42"/>
      <c r="I17" s="42"/>
      <c r="J17" s="59"/>
      <c r="K17" s="41"/>
      <c r="L17" s="41"/>
      <c r="M17" s="44">
        <v>8535500</v>
      </c>
      <c r="N17" s="44">
        <f t="shared" si="0"/>
        <v>8535500</v>
      </c>
      <c r="O17" s="42">
        <v>5100000</v>
      </c>
      <c r="P17" s="42">
        <f t="shared" si="1"/>
        <v>1555500</v>
      </c>
      <c r="Q17" s="42">
        <v>250000</v>
      </c>
      <c r="R17" s="42">
        <v>400000</v>
      </c>
      <c r="S17" s="42">
        <v>500000</v>
      </c>
      <c r="T17" s="42">
        <v>730000</v>
      </c>
      <c r="U17" s="45">
        <f t="shared" si="2"/>
        <v>20</v>
      </c>
      <c r="V17" s="45">
        <v>20</v>
      </c>
      <c r="W17" s="45"/>
      <c r="X17" s="45"/>
      <c r="Y17" s="46">
        <v>20</v>
      </c>
      <c r="Z17" s="46"/>
      <c r="AA17" s="42">
        <f t="shared" si="3"/>
        <v>8535500</v>
      </c>
      <c r="AB17" s="42">
        <f t="shared" si="4"/>
        <v>0</v>
      </c>
      <c r="AC17" s="42">
        <f t="shared" si="5"/>
        <v>0</v>
      </c>
      <c r="AD17" s="42">
        <f t="shared" si="6"/>
        <v>8535500</v>
      </c>
      <c r="AE17" s="42"/>
      <c r="AF17" s="42">
        <f t="shared" si="7"/>
        <v>0</v>
      </c>
      <c r="AG17" s="47"/>
      <c r="AH17" s="41"/>
      <c r="AI17" s="41"/>
      <c r="AJ17" s="41"/>
      <c r="AK17" s="41"/>
      <c r="AL17" s="47"/>
      <c r="AM17" s="42">
        <f t="shared" si="8"/>
        <v>8535500</v>
      </c>
      <c r="AN17" s="42">
        <v>5100000</v>
      </c>
      <c r="AO17" s="42">
        <f t="shared" si="9"/>
        <v>535500</v>
      </c>
      <c r="AP17" s="42">
        <f t="shared" si="10"/>
        <v>1096500</v>
      </c>
      <c r="AQ17" s="41"/>
      <c r="AR17" s="47">
        <f t="shared" si="11"/>
        <v>11000000</v>
      </c>
      <c r="AS17" s="47">
        <f t="shared" si="21"/>
        <v>6905500</v>
      </c>
      <c r="AT17" s="42">
        <f t="shared" si="12"/>
        <v>0</v>
      </c>
      <c r="AU17" s="47">
        <f t="shared" si="13"/>
        <v>0</v>
      </c>
      <c r="AV17" s="47">
        <f t="shared" si="14"/>
        <v>0</v>
      </c>
      <c r="AW17" s="42">
        <f t="shared" si="15"/>
        <v>8000000</v>
      </c>
      <c r="AX17" s="47"/>
      <c r="AY17" s="47"/>
      <c r="AZ17" s="50">
        <f t="shared" si="16"/>
        <v>8000000</v>
      </c>
      <c r="BA17" s="47">
        <f t="shared" si="17"/>
        <v>9632000</v>
      </c>
      <c r="BB17" s="30"/>
      <c r="BC17" s="10"/>
      <c r="BD17" s="11"/>
      <c r="BE17" s="11"/>
      <c r="BF17" s="11"/>
      <c r="BG17" s="11"/>
      <c r="BH17" s="11"/>
      <c r="BI17" s="53"/>
      <c r="BJ17" s="53" t="e">
        <f t="shared" si="18"/>
        <v>#REF!</v>
      </c>
      <c r="BK17" s="53" t="e">
        <f t="shared" si="19"/>
        <v>#REF!</v>
      </c>
      <c r="BL17" s="53" t="e">
        <f t="shared" si="20"/>
        <v>#REF!</v>
      </c>
      <c r="BM17" s="11"/>
      <c r="BN17" s="11"/>
    </row>
    <row r="18" spans="1:66" ht="18" customHeight="1">
      <c r="A18" s="39">
        <v>10</v>
      </c>
      <c r="B18" s="40" t="s">
        <v>121</v>
      </c>
      <c r="C18" s="41" t="s">
        <v>122</v>
      </c>
      <c r="D18" s="41" t="s">
        <v>123</v>
      </c>
      <c r="E18" s="61" t="s">
        <v>92</v>
      </c>
      <c r="F18" s="58"/>
      <c r="G18" s="39" t="s">
        <v>85</v>
      </c>
      <c r="H18" s="47"/>
      <c r="I18" s="47"/>
      <c r="J18" s="59"/>
      <c r="K18" s="41"/>
      <c r="L18" s="41"/>
      <c r="M18" s="43">
        <f>61423333+H44+150000</f>
        <v>63573333</v>
      </c>
      <c r="N18" s="44">
        <f t="shared" si="0"/>
        <v>63573333</v>
      </c>
      <c r="O18" s="42">
        <v>20000000</v>
      </c>
      <c r="P18" s="42">
        <f t="shared" si="1"/>
        <v>41443333</v>
      </c>
      <c r="Q18" s="42">
        <v>500000</v>
      </c>
      <c r="R18" s="42">
        <v>400000</v>
      </c>
      <c r="S18" s="42">
        <v>500000</v>
      </c>
      <c r="T18" s="42">
        <v>730000</v>
      </c>
      <c r="U18" s="45">
        <f t="shared" si="2"/>
        <v>20</v>
      </c>
      <c r="V18" s="45">
        <v>20</v>
      </c>
      <c r="W18" s="45"/>
      <c r="X18" s="46"/>
      <c r="Y18" s="46">
        <v>20</v>
      </c>
      <c r="Z18" s="46"/>
      <c r="AA18" s="42">
        <f t="shared" si="3"/>
        <v>63573333</v>
      </c>
      <c r="AB18" s="42">
        <f t="shared" si="4"/>
        <v>0</v>
      </c>
      <c r="AC18" s="42">
        <f t="shared" si="5"/>
        <v>0</v>
      </c>
      <c r="AD18" s="42">
        <f t="shared" si="6"/>
        <v>63573333</v>
      </c>
      <c r="AE18" s="42"/>
      <c r="AF18" s="42">
        <f t="shared" si="7"/>
        <v>0</v>
      </c>
      <c r="AG18" s="41"/>
      <c r="AH18" s="41"/>
      <c r="AI18" s="41"/>
      <c r="AJ18" s="41"/>
      <c r="AK18" s="41"/>
      <c r="AL18" s="47"/>
      <c r="AM18" s="42">
        <f t="shared" si="8"/>
        <v>63573333</v>
      </c>
      <c r="AN18" s="42">
        <v>20000000</v>
      </c>
      <c r="AO18" s="42">
        <f t="shared" si="9"/>
        <v>2100000</v>
      </c>
      <c r="AP18" s="42">
        <f t="shared" si="10"/>
        <v>4300000</v>
      </c>
      <c r="AQ18" s="41">
        <v>2</v>
      </c>
      <c r="AR18" s="47">
        <f t="shared" si="11"/>
        <v>19800000</v>
      </c>
      <c r="AS18" s="47">
        <f t="shared" si="21"/>
        <v>61943333</v>
      </c>
      <c r="AT18" s="42">
        <f t="shared" si="12"/>
        <v>40043333</v>
      </c>
      <c r="AU18" s="47">
        <f t="shared" si="13"/>
        <v>0</v>
      </c>
      <c r="AV18" s="47">
        <f t="shared" si="14"/>
        <v>6760833</v>
      </c>
      <c r="AW18" s="42">
        <f t="shared" si="15"/>
        <v>54712500</v>
      </c>
      <c r="AX18" s="41"/>
      <c r="AY18" s="41"/>
      <c r="AZ18" s="50">
        <f t="shared" si="16"/>
        <v>54712500</v>
      </c>
      <c r="BA18" s="47">
        <f t="shared" si="17"/>
        <v>67873333</v>
      </c>
      <c r="BB18" s="30"/>
      <c r="BC18" s="10"/>
      <c r="BD18" s="11"/>
      <c r="BE18" s="11"/>
      <c r="BF18" s="11"/>
      <c r="BG18" s="11"/>
      <c r="BH18" s="11"/>
      <c r="BI18" s="53" t="s">
        <v>124</v>
      </c>
      <c r="BJ18" s="53" t="e">
        <f t="shared" si="18"/>
        <v>#REF!</v>
      </c>
      <c r="BK18" s="53" t="e">
        <f t="shared" si="19"/>
        <v>#REF!</v>
      </c>
      <c r="BL18" s="53" t="e">
        <f t="shared" si="20"/>
        <v>#REF!</v>
      </c>
      <c r="BM18" s="11"/>
      <c r="BN18" s="11"/>
    </row>
    <row r="19" spans="1:66" ht="18" customHeight="1">
      <c r="A19" s="39">
        <v>11</v>
      </c>
      <c r="B19" s="62"/>
      <c r="C19" s="41" t="s">
        <v>125</v>
      </c>
      <c r="D19" s="41" t="s">
        <v>126</v>
      </c>
      <c r="E19" s="41" t="s">
        <v>127</v>
      </c>
      <c r="F19" s="58"/>
      <c r="G19" s="39" t="s">
        <v>85</v>
      </c>
      <c r="H19" s="47"/>
      <c r="I19" s="47"/>
      <c r="J19" s="47"/>
      <c r="K19" s="41"/>
      <c r="L19" s="41"/>
      <c r="M19" s="44">
        <v>98630000</v>
      </c>
      <c r="N19" s="44">
        <f t="shared" si="0"/>
        <v>98630000</v>
      </c>
      <c r="O19" s="42">
        <v>20000000</v>
      </c>
      <c r="P19" s="42">
        <f t="shared" si="1"/>
        <v>76250000</v>
      </c>
      <c r="Q19" s="42">
        <v>250000</v>
      </c>
      <c r="R19" s="42">
        <v>400000</v>
      </c>
      <c r="S19" s="42">
        <v>1000000</v>
      </c>
      <c r="T19" s="42">
        <v>730000</v>
      </c>
      <c r="U19" s="45">
        <f t="shared" si="2"/>
        <v>20</v>
      </c>
      <c r="V19" s="45">
        <v>20</v>
      </c>
      <c r="W19" s="45"/>
      <c r="X19" s="46"/>
      <c r="Y19" s="46">
        <v>20</v>
      </c>
      <c r="Z19" s="46"/>
      <c r="AA19" s="42">
        <f t="shared" si="3"/>
        <v>98630000</v>
      </c>
      <c r="AB19" s="42">
        <f t="shared" si="4"/>
        <v>0</v>
      </c>
      <c r="AC19" s="42">
        <f t="shared" si="5"/>
        <v>0</v>
      </c>
      <c r="AD19" s="42">
        <f t="shared" si="6"/>
        <v>98630000</v>
      </c>
      <c r="AE19" s="42"/>
      <c r="AF19" s="42">
        <f t="shared" si="7"/>
        <v>0</v>
      </c>
      <c r="AG19" s="41"/>
      <c r="AH19" s="41"/>
      <c r="AI19" s="41"/>
      <c r="AJ19" s="41"/>
      <c r="AK19" s="41"/>
      <c r="AL19" s="47"/>
      <c r="AM19" s="42">
        <f t="shared" si="8"/>
        <v>98630000</v>
      </c>
      <c r="AN19" s="42">
        <v>20000000</v>
      </c>
      <c r="AO19" s="42">
        <f t="shared" si="9"/>
        <v>2100000</v>
      </c>
      <c r="AP19" s="42">
        <f t="shared" si="10"/>
        <v>4300000</v>
      </c>
      <c r="AQ19" s="41">
        <v>2</v>
      </c>
      <c r="AR19" s="47">
        <f t="shared" si="11"/>
        <v>19800000</v>
      </c>
      <c r="AS19" s="47">
        <f t="shared" si="21"/>
        <v>96500000</v>
      </c>
      <c r="AT19" s="42">
        <f t="shared" si="12"/>
        <v>74600000</v>
      </c>
      <c r="AU19" s="47">
        <f t="shared" si="13"/>
        <v>0</v>
      </c>
      <c r="AV19" s="47">
        <f t="shared" si="14"/>
        <v>16530000</v>
      </c>
      <c r="AW19" s="42">
        <f t="shared" si="15"/>
        <v>80000000</v>
      </c>
      <c r="AX19" s="41"/>
      <c r="AY19" s="41"/>
      <c r="AZ19" s="42">
        <f t="shared" si="16"/>
        <v>80000000</v>
      </c>
      <c r="BA19" s="47">
        <f t="shared" si="17"/>
        <v>102930000</v>
      </c>
      <c r="BB19" s="30"/>
      <c r="BC19" s="10"/>
      <c r="BD19" s="4"/>
      <c r="BE19" s="4"/>
      <c r="BF19" s="4"/>
      <c r="BG19" s="4"/>
      <c r="BH19" s="4"/>
      <c r="BI19" s="53"/>
      <c r="BJ19" s="53"/>
      <c r="BK19" s="53"/>
      <c r="BL19" s="53"/>
      <c r="BM19" s="4"/>
      <c r="BN19" s="4"/>
    </row>
    <row r="20" spans="1:66" ht="18" customHeight="1">
      <c r="A20" s="39">
        <v>12</v>
      </c>
      <c r="B20" s="62"/>
      <c r="C20" s="63" t="s">
        <v>128</v>
      </c>
      <c r="D20" s="37" t="s">
        <v>129</v>
      </c>
      <c r="E20" s="64" t="s">
        <v>130</v>
      </c>
      <c r="F20" s="58"/>
      <c r="G20" s="39" t="s">
        <v>85</v>
      </c>
      <c r="H20" s="47"/>
      <c r="I20" s="47"/>
      <c r="J20" s="47"/>
      <c r="K20" s="41"/>
      <c r="L20" s="41"/>
      <c r="M20" s="44">
        <v>14000000</v>
      </c>
      <c r="N20" s="44">
        <f t="shared" si="0"/>
        <v>14000000</v>
      </c>
      <c r="O20" s="42">
        <v>9000000</v>
      </c>
      <c r="P20" s="42">
        <f t="shared" si="1"/>
        <v>3120000</v>
      </c>
      <c r="Q20" s="42">
        <v>250000</v>
      </c>
      <c r="R20" s="42">
        <v>400000</v>
      </c>
      <c r="S20" s="42">
        <v>500000</v>
      </c>
      <c r="T20" s="42">
        <v>730000</v>
      </c>
      <c r="U20" s="45">
        <f t="shared" si="2"/>
        <v>13</v>
      </c>
      <c r="V20" s="45">
        <v>20</v>
      </c>
      <c r="W20" s="45"/>
      <c r="X20" s="46"/>
      <c r="Y20" s="46">
        <v>13</v>
      </c>
      <c r="Z20" s="46"/>
      <c r="AA20" s="42">
        <f t="shared" si="3"/>
        <v>9100000</v>
      </c>
      <c r="AB20" s="42">
        <f t="shared" si="4"/>
        <v>0</v>
      </c>
      <c r="AC20" s="42">
        <f t="shared" si="5"/>
        <v>0</v>
      </c>
      <c r="AD20" s="42">
        <f t="shared" si="6"/>
        <v>9100000</v>
      </c>
      <c r="AE20" s="42"/>
      <c r="AF20" s="42"/>
      <c r="AG20" s="41"/>
      <c r="AH20" s="41"/>
      <c r="AI20" s="41"/>
      <c r="AJ20" s="41"/>
      <c r="AK20" s="41"/>
      <c r="AL20" s="47"/>
      <c r="AM20" s="42">
        <f t="shared" si="8"/>
        <v>9100000</v>
      </c>
      <c r="AN20" s="42">
        <v>9000000</v>
      </c>
      <c r="AO20" s="42">
        <f t="shared" si="9"/>
        <v>945000</v>
      </c>
      <c r="AP20" s="42">
        <f t="shared" si="10"/>
        <v>1935000</v>
      </c>
      <c r="AQ20" s="41">
        <v>1</v>
      </c>
      <c r="AR20" s="47">
        <f t="shared" si="11"/>
        <v>15400000</v>
      </c>
      <c r="AS20" s="47">
        <f t="shared" si="21"/>
        <v>7470000</v>
      </c>
      <c r="AT20" s="42">
        <f t="shared" si="12"/>
        <v>0</v>
      </c>
      <c r="AU20" s="47">
        <f t="shared" si="13"/>
        <v>0</v>
      </c>
      <c r="AV20" s="47">
        <f t="shared" si="14"/>
        <v>0</v>
      </c>
      <c r="AW20" s="42">
        <f t="shared" si="15"/>
        <v>8155000</v>
      </c>
      <c r="AX20" s="41"/>
      <c r="AY20" s="41"/>
      <c r="AZ20" s="50">
        <f t="shared" si="16"/>
        <v>8155000</v>
      </c>
      <c r="BA20" s="47">
        <f t="shared" si="17"/>
        <v>11035000</v>
      </c>
      <c r="BB20" s="30"/>
      <c r="BC20" s="10"/>
      <c r="BD20" s="4"/>
      <c r="BE20" s="4"/>
      <c r="BF20" s="4"/>
      <c r="BG20" s="4"/>
      <c r="BH20" s="4"/>
      <c r="BI20" s="53"/>
      <c r="BJ20" s="53" t="e">
        <f t="shared" ref="BJ20:BJ33" si="22">BA20-#REF!</f>
        <v>#REF!</v>
      </c>
      <c r="BK20" s="53" t="e">
        <f t="shared" ref="BK20:BK33" si="23">AZ20-#REF!</f>
        <v>#REF!</v>
      </c>
      <c r="BL20" s="53" t="e">
        <f t="shared" ref="BL20:BL33" si="24">C20=#REF!</f>
        <v>#REF!</v>
      </c>
      <c r="BM20" s="4"/>
      <c r="BN20" s="4"/>
    </row>
    <row r="21" spans="1:66" ht="18" customHeight="1">
      <c r="A21" s="39">
        <v>13</v>
      </c>
      <c r="B21" s="36" t="s">
        <v>131</v>
      </c>
      <c r="C21" s="37" t="s">
        <v>132</v>
      </c>
      <c r="D21" s="37" t="s">
        <v>133</v>
      </c>
      <c r="E21" s="64" t="s">
        <v>134</v>
      </c>
      <c r="F21" s="58">
        <v>0.1</v>
      </c>
      <c r="G21" s="39" t="s">
        <v>135</v>
      </c>
      <c r="H21" s="47"/>
      <c r="I21" s="47"/>
      <c r="J21" s="47">
        <f>M21*85%</f>
        <v>23611111.111111108</v>
      </c>
      <c r="K21" s="41"/>
      <c r="L21" s="41"/>
      <c r="M21" s="44">
        <f t="shared" ref="M21:M22" si="25">25000000/0.9</f>
        <v>27777777.777777776</v>
      </c>
      <c r="N21" s="44">
        <f t="shared" si="0"/>
        <v>27777777.777777776</v>
      </c>
      <c r="O21" s="65"/>
      <c r="P21" s="65"/>
      <c r="Q21" s="65"/>
      <c r="R21" s="65"/>
      <c r="S21" s="65"/>
      <c r="T21" s="65"/>
      <c r="U21" s="45">
        <f t="shared" si="2"/>
        <v>20</v>
      </c>
      <c r="V21" s="45">
        <v>20</v>
      </c>
      <c r="W21" s="66"/>
      <c r="X21" s="67">
        <v>20</v>
      </c>
      <c r="Y21" s="67" t="s">
        <v>136</v>
      </c>
      <c r="Z21" s="67"/>
      <c r="AA21" s="65" t="e">
        <f t="shared" si="3"/>
        <v>#VALUE!</v>
      </c>
      <c r="AB21" s="65">
        <f t="shared" si="4"/>
        <v>0</v>
      </c>
      <c r="AC21" s="65">
        <f t="shared" si="5"/>
        <v>23611111</v>
      </c>
      <c r="AD21" s="65" t="e">
        <f t="shared" si="6"/>
        <v>#VALUE!</v>
      </c>
      <c r="AE21" s="65"/>
      <c r="AF21" s="65">
        <f t="shared" ref="AF21:AF22" si="26">SUM(AG21:AL21)</f>
        <v>0</v>
      </c>
      <c r="AG21" s="68"/>
      <c r="AH21" s="68"/>
      <c r="AI21" s="68"/>
      <c r="AJ21" s="68"/>
      <c r="AK21" s="68"/>
      <c r="AL21" s="69"/>
      <c r="AM21" s="65" t="e">
        <f t="shared" si="8"/>
        <v>#VALUE!</v>
      </c>
      <c r="AN21" s="65">
        <v>0</v>
      </c>
      <c r="AO21" s="42">
        <f t="shared" si="9"/>
        <v>0</v>
      </c>
      <c r="AP21" s="42">
        <f t="shared" si="10"/>
        <v>0</v>
      </c>
      <c r="AQ21" s="68"/>
      <c r="AR21" s="69">
        <f t="shared" si="11"/>
        <v>0</v>
      </c>
      <c r="AS21" s="47" t="e">
        <f t="shared" si="21"/>
        <v>#VALUE!</v>
      </c>
      <c r="AT21" s="42" t="e">
        <f t="shared" si="12"/>
        <v>#VALUE!</v>
      </c>
      <c r="AU21" s="69" t="e">
        <f t="shared" si="13"/>
        <v>#VALUE!</v>
      </c>
      <c r="AV21" s="69" t="e">
        <f t="shared" si="14"/>
        <v>#VALUE!</v>
      </c>
      <c r="AW21" s="65" t="e">
        <f t="shared" si="15"/>
        <v>#VALUE!</v>
      </c>
      <c r="AX21" s="68"/>
      <c r="AY21" s="68"/>
      <c r="AZ21" s="65" t="e">
        <f t="shared" si="16"/>
        <v>#VALUE!</v>
      </c>
      <c r="BA21" s="69" t="e">
        <f t="shared" si="17"/>
        <v>#VALUE!</v>
      </c>
      <c r="BB21" s="70" t="s">
        <v>137</v>
      </c>
      <c r="BC21" s="71"/>
      <c r="BD21" s="11"/>
      <c r="BE21" s="11"/>
      <c r="BF21" s="11"/>
      <c r="BG21" s="11"/>
      <c r="BH21" s="11"/>
      <c r="BI21" s="53"/>
      <c r="BJ21" s="53" t="e">
        <f t="shared" si="22"/>
        <v>#VALUE!</v>
      </c>
      <c r="BK21" s="53" t="e">
        <f t="shared" si="23"/>
        <v>#VALUE!</v>
      </c>
      <c r="BL21" s="53" t="e">
        <f t="shared" si="24"/>
        <v>#REF!</v>
      </c>
      <c r="BM21" s="11"/>
      <c r="BN21" s="11"/>
    </row>
    <row r="22" spans="1:66" ht="18" customHeight="1">
      <c r="A22" s="39">
        <v>14</v>
      </c>
      <c r="B22" s="36" t="s">
        <v>138</v>
      </c>
      <c r="C22" s="37" t="s">
        <v>139</v>
      </c>
      <c r="D22" s="37" t="s">
        <v>140</v>
      </c>
      <c r="E22" s="64" t="s">
        <v>141</v>
      </c>
      <c r="F22" s="58">
        <v>0.1</v>
      </c>
      <c r="G22" s="39" t="s">
        <v>135</v>
      </c>
      <c r="H22" s="47"/>
      <c r="I22" s="47"/>
      <c r="J22" s="47">
        <f>M22*100%</f>
        <v>27777777.777777776</v>
      </c>
      <c r="K22" s="41"/>
      <c r="L22" s="41"/>
      <c r="M22" s="44">
        <f t="shared" si="25"/>
        <v>27777777.777777776</v>
      </c>
      <c r="N22" s="44">
        <f t="shared" si="0"/>
        <v>27777777.777777776</v>
      </c>
      <c r="O22" s="65"/>
      <c r="P22" s="65"/>
      <c r="Q22" s="65"/>
      <c r="R22" s="65"/>
      <c r="S22" s="65"/>
      <c r="T22" s="65"/>
      <c r="U22" s="45">
        <f t="shared" si="2"/>
        <v>18</v>
      </c>
      <c r="V22" s="45">
        <v>20</v>
      </c>
      <c r="W22" s="66"/>
      <c r="X22" s="67">
        <v>18</v>
      </c>
      <c r="Y22" s="67" t="s">
        <v>136</v>
      </c>
      <c r="Z22" s="67"/>
      <c r="AA22" s="65" t="e">
        <f t="shared" si="3"/>
        <v>#VALUE!</v>
      </c>
      <c r="AB22" s="65">
        <f t="shared" si="4"/>
        <v>0</v>
      </c>
      <c r="AC22" s="65">
        <f t="shared" si="5"/>
        <v>25000000</v>
      </c>
      <c r="AD22" s="65" t="e">
        <f t="shared" si="6"/>
        <v>#VALUE!</v>
      </c>
      <c r="AE22" s="65"/>
      <c r="AF22" s="65">
        <f t="shared" si="26"/>
        <v>0</v>
      </c>
      <c r="AG22" s="68"/>
      <c r="AH22" s="68"/>
      <c r="AI22" s="68"/>
      <c r="AJ22" s="68"/>
      <c r="AK22" s="68"/>
      <c r="AL22" s="69"/>
      <c r="AM22" s="65" t="e">
        <f t="shared" si="8"/>
        <v>#VALUE!</v>
      </c>
      <c r="AN22" s="65"/>
      <c r="AO22" s="65">
        <f t="shared" si="9"/>
        <v>0</v>
      </c>
      <c r="AP22" s="65">
        <f t="shared" si="10"/>
        <v>0</v>
      </c>
      <c r="AQ22" s="68"/>
      <c r="AR22" s="69">
        <f t="shared" si="11"/>
        <v>0</v>
      </c>
      <c r="AS22" s="47" t="e">
        <f t="shared" si="21"/>
        <v>#VALUE!</v>
      </c>
      <c r="AT22" s="42" t="e">
        <f t="shared" si="12"/>
        <v>#VALUE!</v>
      </c>
      <c r="AU22" s="69" t="e">
        <f t="shared" si="13"/>
        <v>#VALUE!</v>
      </c>
      <c r="AV22" s="69" t="e">
        <f t="shared" si="14"/>
        <v>#VALUE!</v>
      </c>
      <c r="AW22" s="65" t="e">
        <f t="shared" si="15"/>
        <v>#VALUE!</v>
      </c>
      <c r="AX22" s="68"/>
      <c r="AY22" s="68"/>
      <c r="AZ22" s="65" t="e">
        <f t="shared" si="16"/>
        <v>#VALUE!</v>
      </c>
      <c r="BA22" s="69" t="e">
        <f t="shared" si="17"/>
        <v>#VALUE!</v>
      </c>
      <c r="BB22" s="70" t="s">
        <v>137</v>
      </c>
      <c r="BC22" s="71"/>
      <c r="BD22" s="11"/>
      <c r="BE22" s="11"/>
      <c r="BF22" s="11"/>
      <c r="BG22" s="11"/>
      <c r="BH22" s="11"/>
      <c r="BI22" s="53"/>
      <c r="BJ22" s="53" t="e">
        <f t="shared" si="22"/>
        <v>#VALUE!</v>
      </c>
      <c r="BK22" s="53" t="e">
        <f t="shared" si="23"/>
        <v>#VALUE!</v>
      </c>
      <c r="BL22" s="53" t="e">
        <f t="shared" si="24"/>
        <v>#REF!</v>
      </c>
      <c r="BM22" s="11"/>
      <c r="BN22" s="11"/>
    </row>
    <row r="23" spans="1:66" ht="18" customHeight="1">
      <c r="A23" s="39">
        <v>15</v>
      </c>
      <c r="B23" s="72"/>
      <c r="C23" s="73" t="s">
        <v>142</v>
      </c>
      <c r="D23" s="74" t="s">
        <v>143</v>
      </c>
      <c r="E23" s="41" t="s">
        <v>144</v>
      </c>
      <c r="F23" s="75">
        <v>0.1</v>
      </c>
      <c r="G23" s="76" t="s">
        <v>135</v>
      </c>
      <c r="H23" s="42"/>
      <c r="I23" s="42"/>
      <c r="J23" s="69">
        <f>M23*85%</f>
        <v>11333333.333333332</v>
      </c>
      <c r="K23" s="41"/>
      <c r="L23" s="41"/>
      <c r="M23" s="77">
        <f>12000000/0.9</f>
        <v>13333333.333333332</v>
      </c>
      <c r="N23" s="44">
        <f t="shared" si="0"/>
        <v>13333333.333333332</v>
      </c>
      <c r="O23" s="42"/>
      <c r="P23" s="42"/>
      <c r="Q23" s="42"/>
      <c r="R23" s="42"/>
      <c r="S23" s="42"/>
      <c r="T23" s="42"/>
      <c r="U23" s="45">
        <f t="shared" si="2"/>
        <v>20</v>
      </c>
      <c r="V23" s="45">
        <v>20</v>
      </c>
      <c r="W23" s="45"/>
      <c r="X23" s="67">
        <v>20</v>
      </c>
      <c r="Y23" s="67">
        <v>0</v>
      </c>
      <c r="Z23" s="46"/>
      <c r="AA23" s="65">
        <f t="shared" si="3"/>
        <v>11333333</v>
      </c>
      <c r="AB23" s="65">
        <f t="shared" si="4"/>
        <v>0</v>
      </c>
      <c r="AC23" s="65">
        <f t="shared" si="5"/>
        <v>11333333</v>
      </c>
      <c r="AD23" s="65">
        <f t="shared" si="6"/>
        <v>0</v>
      </c>
      <c r="AE23" s="42"/>
      <c r="AF23" s="42"/>
      <c r="AG23" s="41"/>
      <c r="AH23" s="41"/>
      <c r="AI23" s="41"/>
      <c r="AJ23" s="41"/>
      <c r="AK23" s="41"/>
      <c r="AL23" s="47"/>
      <c r="AM23" s="65">
        <f t="shared" si="8"/>
        <v>11333333</v>
      </c>
      <c r="AN23" s="65"/>
      <c r="AO23" s="65">
        <f t="shared" si="9"/>
        <v>0</v>
      </c>
      <c r="AP23" s="65">
        <f t="shared" si="10"/>
        <v>0</v>
      </c>
      <c r="AQ23" s="68"/>
      <c r="AR23" s="69">
        <f t="shared" si="11"/>
        <v>0</v>
      </c>
      <c r="AS23" s="47">
        <f t="shared" si="21"/>
        <v>11333333</v>
      </c>
      <c r="AT23" s="42">
        <f t="shared" si="12"/>
        <v>11333333</v>
      </c>
      <c r="AU23" s="69">
        <f t="shared" si="13"/>
        <v>1133333</v>
      </c>
      <c r="AV23" s="69">
        <f t="shared" si="14"/>
        <v>0</v>
      </c>
      <c r="AW23" s="65">
        <f t="shared" si="15"/>
        <v>10200000</v>
      </c>
      <c r="AX23" s="47"/>
      <c r="AY23" s="41"/>
      <c r="AZ23" s="65">
        <f t="shared" si="16"/>
        <v>10200000</v>
      </c>
      <c r="BA23" s="69">
        <f t="shared" si="17"/>
        <v>11333333</v>
      </c>
      <c r="BB23" s="70" t="s">
        <v>137</v>
      </c>
      <c r="BC23" s="10"/>
      <c r="BD23" s="11"/>
      <c r="BE23" s="11"/>
      <c r="BF23" s="11"/>
      <c r="BG23" s="11"/>
      <c r="BH23" s="11"/>
      <c r="BI23" s="53"/>
      <c r="BJ23" s="53" t="e">
        <f t="shared" si="22"/>
        <v>#REF!</v>
      </c>
      <c r="BK23" s="53" t="e">
        <f t="shared" si="23"/>
        <v>#REF!</v>
      </c>
      <c r="BL23" s="53" t="e">
        <f t="shared" si="24"/>
        <v>#REF!</v>
      </c>
      <c r="BM23" s="11"/>
      <c r="BN23" s="11"/>
    </row>
    <row r="24" spans="1:66" ht="18" customHeight="1">
      <c r="A24" s="39">
        <v>16</v>
      </c>
      <c r="B24" s="72"/>
      <c r="C24" s="78" t="s">
        <v>145</v>
      </c>
      <c r="D24" s="70" t="s">
        <v>146</v>
      </c>
      <c r="E24" s="41" t="s">
        <v>147</v>
      </c>
      <c r="F24" s="75">
        <v>0.1</v>
      </c>
      <c r="G24" s="76" t="s">
        <v>135</v>
      </c>
      <c r="H24" s="42"/>
      <c r="I24" s="42"/>
      <c r="J24" s="69">
        <f t="shared" ref="J24:J25" si="27">M24*100%</f>
        <v>10000000</v>
      </c>
      <c r="K24" s="41"/>
      <c r="L24" s="41"/>
      <c r="M24" s="77">
        <v>10000000</v>
      </c>
      <c r="N24" s="44">
        <f t="shared" si="0"/>
        <v>10000000</v>
      </c>
      <c r="O24" s="42"/>
      <c r="P24" s="42"/>
      <c r="Q24" s="42"/>
      <c r="R24" s="42"/>
      <c r="S24" s="42"/>
      <c r="T24" s="42"/>
      <c r="U24" s="45">
        <f t="shared" si="2"/>
        <v>20</v>
      </c>
      <c r="V24" s="45">
        <v>20</v>
      </c>
      <c r="W24" s="45"/>
      <c r="X24" s="67">
        <v>20</v>
      </c>
      <c r="Y24" s="67">
        <v>0</v>
      </c>
      <c r="Z24" s="46"/>
      <c r="AA24" s="65">
        <f t="shared" si="3"/>
        <v>10000000</v>
      </c>
      <c r="AB24" s="65">
        <f t="shared" si="4"/>
        <v>0</v>
      </c>
      <c r="AC24" s="65">
        <f t="shared" si="5"/>
        <v>10000000</v>
      </c>
      <c r="AD24" s="65">
        <f t="shared" si="6"/>
        <v>0</v>
      </c>
      <c r="AE24" s="42"/>
      <c r="AF24" s="42"/>
      <c r="AG24" s="41"/>
      <c r="AH24" s="41"/>
      <c r="AI24" s="41"/>
      <c r="AJ24" s="41"/>
      <c r="AK24" s="41"/>
      <c r="AL24" s="47"/>
      <c r="AM24" s="65">
        <f t="shared" si="8"/>
        <v>10000000</v>
      </c>
      <c r="AN24" s="65"/>
      <c r="AO24" s="65">
        <f t="shared" si="9"/>
        <v>0</v>
      </c>
      <c r="AP24" s="65">
        <f t="shared" si="10"/>
        <v>0</v>
      </c>
      <c r="AQ24" s="68"/>
      <c r="AR24" s="69">
        <f t="shared" si="11"/>
        <v>0</v>
      </c>
      <c r="AS24" s="47">
        <f t="shared" si="21"/>
        <v>10000000</v>
      </c>
      <c r="AT24" s="42">
        <f t="shared" si="12"/>
        <v>10000000</v>
      </c>
      <c r="AU24" s="69">
        <f t="shared" si="13"/>
        <v>1000000</v>
      </c>
      <c r="AV24" s="69">
        <f t="shared" si="14"/>
        <v>0</v>
      </c>
      <c r="AW24" s="65">
        <f t="shared" si="15"/>
        <v>9000000</v>
      </c>
      <c r="AX24" s="47"/>
      <c r="AY24" s="41"/>
      <c r="AZ24" s="65">
        <f t="shared" si="16"/>
        <v>9000000</v>
      </c>
      <c r="BA24" s="69">
        <f t="shared" si="17"/>
        <v>10000000</v>
      </c>
      <c r="BB24" s="70" t="s">
        <v>137</v>
      </c>
      <c r="BC24" s="10"/>
      <c r="BD24" s="11"/>
      <c r="BE24" s="11"/>
      <c r="BF24" s="11"/>
      <c r="BG24" s="11"/>
      <c r="BH24" s="11"/>
      <c r="BI24" s="53"/>
      <c r="BJ24" s="53" t="e">
        <f t="shared" si="22"/>
        <v>#REF!</v>
      </c>
      <c r="BK24" s="53" t="e">
        <f t="shared" si="23"/>
        <v>#REF!</v>
      </c>
      <c r="BL24" s="53" t="e">
        <f t="shared" si="24"/>
        <v>#REF!</v>
      </c>
      <c r="BM24" s="4"/>
      <c r="BN24" s="11"/>
    </row>
    <row r="25" spans="1:66" ht="18" customHeight="1">
      <c r="A25" s="39">
        <v>17</v>
      </c>
      <c r="B25" s="72"/>
      <c r="C25" s="78" t="s">
        <v>148</v>
      </c>
      <c r="D25" s="70" t="s">
        <v>149</v>
      </c>
      <c r="E25" s="41" t="s">
        <v>150</v>
      </c>
      <c r="F25" s="75">
        <v>0.1</v>
      </c>
      <c r="G25" s="76" t="s">
        <v>135</v>
      </c>
      <c r="H25" s="42"/>
      <c r="I25" s="42"/>
      <c r="J25" s="69">
        <f t="shared" si="27"/>
        <v>20000000</v>
      </c>
      <c r="K25" s="41"/>
      <c r="L25" s="41"/>
      <c r="M25" s="77">
        <f>18000000/0.9</f>
        <v>20000000</v>
      </c>
      <c r="N25" s="44">
        <f t="shared" si="0"/>
        <v>20000000</v>
      </c>
      <c r="O25" s="42"/>
      <c r="P25" s="42"/>
      <c r="Q25" s="42"/>
      <c r="R25" s="42"/>
      <c r="S25" s="42"/>
      <c r="T25" s="42"/>
      <c r="U25" s="45">
        <f t="shared" si="2"/>
        <v>9</v>
      </c>
      <c r="V25" s="45">
        <v>20</v>
      </c>
      <c r="W25" s="45"/>
      <c r="X25" s="67">
        <v>9</v>
      </c>
      <c r="Y25" s="67">
        <v>0</v>
      </c>
      <c r="Z25" s="46"/>
      <c r="AA25" s="65">
        <f t="shared" si="3"/>
        <v>9000000</v>
      </c>
      <c r="AB25" s="65">
        <f t="shared" si="4"/>
        <v>0</v>
      </c>
      <c r="AC25" s="65">
        <f t="shared" si="5"/>
        <v>9000000</v>
      </c>
      <c r="AD25" s="65">
        <f t="shared" si="6"/>
        <v>0</v>
      </c>
      <c r="AE25" s="42"/>
      <c r="AF25" s="42"/>
      <c r="AG25" s="41"/>
      <c r="AH25" s="41"/>
      <c r="AI25" s="41"/>
      <c r="AJ25" s="41"/>
      <c r="AK25" s="41"/>
      <c r="AL25" s="47"/>
      <c r="AM25" s="65">
        <f t="shared" si="8"/>
        <v>9000000</v>
      </c>
      <c r="AN25" s="65"/>
      <c r="AO25" s="65">
        <f t="shared" si="9"/>
        <v>0</v>
      </c>
      <c r="AP25" s="65">
        <f t="shared" si="10"/>
        <v>0</v>
      </c>
      <c r="AQ25" s="68"/>
      <c r="AR25" s="69">
        <f t="shared" si="11"/>
        <v>0</v>
      </c>
      <c r="AS25" s="47">
        <f t="shared" si="21"/>
        <v>9000000</v>
      </c>
      <c r="AT25" s="42">
        <f t="shared" si="12"/>
        <v>9000000</v>
      </c>
      <c r="AU25" s="69">
        <f t="shared" si="13"/>
        <v>900000</v>
      </c>
      <c r="AV25" s="69">
        <f t="shared" si="14"/>
        <v>0</v>
      </c>
      <c r="AW25" s="65">
        <f t="shared" si="15"/>
        <v>8100000</v>
      </c>
      <c r="AX25" s="47"/>
      <c r="AY25" s="41"/>
      <c r="AZ25" s="65">
        <f t="shared" si="16"/>
        <v>8100000</v>
      </c>
      <c r="BA25" s="69">
        <f t="shared" si="17"/>
        <v>9000000</v>
      </c>
      <c r="BB25" s="70" t="s">
        <v>137</v>
      </c>
      <c r="BC25" s="10"/>
      <c r="BD25" s="11"/>
      <c r="BE25" s="11"/>
      <c r="BF25" s="11"/>
      <c r="BG25" s="11"/>
      <c r="BH25" s="11"/>
      <c r="BI25" s="53"/>
      <c r="BJ25" s="53" t="e">
        <f t="shared" si="22"/>
        <v>#REF!</v>
      </c>
      <c r="BK25" s="53" t="e">
        <f t="shared" si="23"/>
        <v>#REF!</v>
      </c>
      <c r="BL25" s="53" t="e">
        <f t="shared" si="24"/>
        <v>#REF!</v>
      </c>
      <c r="BM25" s="11"/>
      <c r="BN25" s="11"/>
    </row>
    <row r="26" spans="1:66" ht="18" customHeight="1">
      <c r="A26" s="39">
        <v>18</v>
      </c>
      <c r="B26" s="72" t="s">
        <v>151</v>
      </c>
      <c r="C26" s="79" t="s">
        <v>152</v>
      </c>
      <c r="D26" s="30" t="s">
        <v>153</v>
      </c>
      <c r="E26" s="41" t="s">
        <v>154</v>
      </c>
      <c r="F26" s="75">
        <v>0.1</v>
      </c>
      <c r="G26" s="39" t="s">
        <v>85</v>
      </c>
      <c r="H26" s="42">
        <v>11000000</v>
      </c>
      <c r="I26" s="42"/>
      <c r="J26" s="47"/>
      <c r="K26" s="41"/>
      <c r="L26" s="41"/>
      <c r="M26" s="44">
        <f t="shared" ref="M26:M33" si="28">H26</f>
        <v>11000000</v>
      </c>
      <c r="N26" s="44"/>
      <c r="O26" s="42"/>
      <c r="P26" s="42"/>
      <c r="Q26" s="42"/>
      <c r="R26" s="42"/>
      <c r="S26" s="42"/>
      <c r="T26" s="42"/>
      <c r="U26" s="45">
        <f t="shared" si="2"/>
        <v>20</v>
      </c>
      <c r="V26" s="45">
        <v>20</v>
      </c>
      <c r="W26" s="45">
        <v>20</v>
      </c>
      <c r="X26" s="45"/>
      <c r="Y26" s="46"/>
      <c r="Z26" s="46"/>
      <c r="AA26" s="42">
        <f t="shared" si="3"/>
        <v>11000000</v>
      </c>
      <c r="AB26" s="42">
        <f t="shared" si="4"/>
        <v>11000000</v>
      </c>
      <c r="AC26" s="42">
        <f t="shared" si="5"/>
        <v>0</v>
      </c>
      <c r="AD26" s="42">
        <f t="shared" si="6"/>
        <v>0</v>
      </c>
      <c r="AE26" s="42"/>
      <c r="AF26" s="42">
        <f t="shared" ref="AF26:AF33" si="29">SUM(AG26:AL26)</f>
        <v>0</v>
      </c>
      <c r="AG26" s="41"/>
      <c r="AH26" s="41"/>
      <c r="AI26" s="41"/>
      <c r="AJ26" s="41"/>
      <c r="AK26" s="41"/>
      <c r="AL26" s="47"/>
      <c r="AM26" s="42">
        <f t="shared" si="8"/>
        <v>11000000</v>
      </c>
      <c r="AN26" s="41"/>
      <c r="AO26" s="42"/>
      <c r="AP26" s="42"/>
      <c r="AQ26" s="41"/>
      <c r="AR26" s="47"/>
      <c r="AS26" s="47">
        <f t="shared" si="21"/>
        <v>11000000</v>
      </c>
      <c r="AT26" s="42">
        <f t="shared" si="12"/>
        <v>11000000</v>
      </c>
      <c r="AU26" s="69">
        <f t="shared" si="13"/>
        <v>1100000</v>
      </c>
      <c r="AV26" s="47"/>
      <c r="AW26" s="42">
        <f t="shared" si="15"/>
        <v>9900000</v>
      </c>
      <c r="AX26" s="47">
        <v>0</v>
      </c>
      <c r="AY26" s="41"/>
      <c r="AZ26" s="42">
        <f t="shared" si="16"/>
        <v>9900000</v>
      </c>
      <c r="BA26" s="47">
        <f t="shared" si="17"/>
        <v>11000000</v>
      </c>
      <c r="BB26" s="80" t="s">
        <v>155</v>
      </c>
      <c r="BC26" s="10"/>
      <c r="BD26" s="11"/>
      <c r="BE26" s="11"/>
      <c r="BF26" s="11"/>
      <c r="BG26" s="11"/>
      <c r="BH26" s="11"/>
      <c r="BI26" s="53"/>
      <c r="BJ26" s="53" t="e">
        <f t="shared" si="22"/>
        <v>#REF!</v>
      </c>
      <c r="BK26" s="53" t="e">
        <f t="shared" si="23"/>
        <v>#REF!</v>
      </c>
      <c r="BL26" s="53" t="e">
        <f t="shared" si="24"/>
        <v>#REF!</v>
      </c>
      <c r="BM26" s="11"/>
      <c r="BN26" s="11"/>
    </row>
    <row r="27" spans="1:66" ht="18" customHeight="1">
      <c r="A27" s="39">
        <v>19</v>
      </c>
      <c r="B27" s="72" t="s">
        <v>156</v>
      </c>
      <c r="C27" s="81" t="s">
        <v>157</v>
      </c>
      <c r="D27" s="30" t="s">
        <v>158</v>
      </c>
      <c r="E27" s="41" t="s">
        <v>154</v>
      </c>
      <c r="F27" s="75">
        <v>0.1</v>
      </c>
      <c r="G27" s="39" t="s">
        <v>85</v>
      </c>
      <c r="H27" s="42">
        <f>5000000/0.9</f>
        <v>5555555.555555555</v>
      </c>
      <c r="I27" s="42"/>
      <c r="J27" s="47"/>
      <c r="K27" s="41"/>
      <c r="L27" s="41"/>
      <c r="M27" s="44">
        <f t="shared" si="28"/>
        <v>5555555.555555555</v>
      </c>
      <c r="N27" s="44"/>
      <c r="O27" s="42"/>
      <c r="P27" s="42"/>
      <c r="Q27" s="42"/>
      <c r="R27" s="42"/>
      <c r="S27" s="42"/>
      <c r="T27" s="42"/>
      <c r="U27" s="45">
        <f t="shared" si="2"/>
        <v>20</v>
      </c>
      <c r="V27" s="45">
        <v>20</v>
      </c>
      <c r="W27" s="45">
        <v>20</v>
      </c>
      <c r="X27" s="45"/>
      <c r="Y27" s="46"/>
      <c r="Z27" s="46"/>
      <c r="AA27" s="42">
        <f t="shared" ref="AA27:AA33" si="30">SUM(AB27:AE27)</f>
        <v>5555556</v>
      </c>
      <c r="AB27" s="42">
        <f t="shared" si="4"/>
        <v>5555556</v>
      </c>
      <c r="AC27" s="42">
        <f t="shared" si="5"/>
        <v>0</v>
      </c>
      <c r="AD27" s="42">
        <f t="shared" si="6"/>
        <v>0</v>
      </c>
      <c r="AE27" s="42"/>
      <c r="AF27" s="42">
        <f t="shared" si="29"/>
        <v>0</v>
      </c>
      <c r="AG27" s="41"/>
      <c r="AH27" s="41"/>
      <c r="AI27" s="41"/>
      <c r="AJ27" s="41"/>
      <c r="AK27" s="41"/>
      <c r="AL27" s="47"/>
      <c r="AM27" s="42">
        <f t="shared" si="8"/>
        <v>5555556</v>
      </c>
      <c r="AN27" s="41"/>
      <c r="AO27" s="42"/>
      <c r="AP27" s="42"/>
      <c r="AQ27" s="41"/>
      <c r="AR27" s="47"/>
      <c r="AS27" s="47">
        <f t="shared" si="21"/>
        <v>5555556</v>
      </c>
      <c r="AT27" s="42">
        <f t="shared" si="12"/>
        <v>5555556</v>
      </c>
      <c r="AU27" s="69">
        <f t="shared" si="13"/>
        <v>555556</v>
      </c>
      <c r="AV27" s="47"/>
      <c r="AW27" s="42">
        <f t="shared" si="15"/>
        <v>5000000</v>
      </c>
      <c r="AX27" s="47">
        <v>0</v>
      </c>
      <c r="AY27" s="41"/>
      <c r="AZ27" s="42">
        <f t="shared" si="16"/>
        <v>5000000</v>
      </c>
      <c r="BA27" s="47">
        <f t="shared" si="17"/>
        <v>5555556</v>
      </c>
      <c r="BB27" s="80" t="s">
        <v>155</v>
      </c>
      <c r="BC27" s="10"/>
      <c r="BD27" s="11"/>
      <c r="BE27" s="11"/>
      <c r="BF27" s="11"/>
      <c r="BG27" s="11"/>
      <c r="BH27" s="11"/>
      <c r="BI27" s="53" t="s">
        <v>159</v>
      </c>
      <c r="BJ27" s="53" t="e">
        <f t="shared" si="22"/>
        <v>#REF!</v>
      </c>
      <c r="BK27" s="53" t="e">
        <f t="shared" si="23"/>
        <v>#REF!</v>
      </c>
      <c r="BL27" s="53" t="e">
        <f t="shared" si="24"/>
        <v>#REF!</v>
      </c>
      <c r="BM27" s="11"/>
      <c r="BN27" s="11"/>
    </row>
    <row r="28" spans="1:66" ht="18" customHeight="1">
      <c r="A28" s="39">
        <v>20</v>
      </c>
      <c r="B28" s="72" t="s">
        <v>160</v>
      </c>
      <c r="C28" s="81" t="s">
        <v>161</v>
      </c>
      <c r="D28" s="37" t="s">
        <v>162</v>
      </c>
      <c r="E28" s="41" t="s">
        <v>154</v>
      </c>
      <c r="F28" s="75">
        <v>0.1</v>
      </c>
      <c r="G28" s="39" t="s">
        <v>85</v>
      </c>
      <c r="H28" s="42">
        <f>6000000/0.9</f>
        <v>6666666.666666666</v>
      </c>
      <c r="I28" s="42"/>
      <c r="J28" s="47"/>
      <c r="K28" s="41"/>
      <c r="L28" s="41"/>
      <c r="M28" s="44">
        <f t="shared" si="28"/>
        <v>6666666.666666666</v>
      </c>
      <c r="N28" s="44"/>
      <c r="O28" s="42"/>
      <c r="P28" s="42"/>
      <c r="Q28" s="42"/>
      <c r="R28" s="42"/>
      <c r="S28" s="42"/>
      <c r="T28" s="42"/>
      <c r="U28" s="45">
        <f t="shared" si="2"/>
        <v>20</v>
      </c>
      <c r="V28" s="45">
        <v>20</v>
      </c>
      <c r="W28" s="45">
        <v>20</v>
      </c>
      <c r="X28" s="45"/>
      <c r="Y28" s="46"/>
      <c r="Z28" s="46"/>
      <c r="AA28" s="42">
        <f t="shared" si="30"/>
        <v>6666667</v>
      </c>
      <c r="AB28" s="42">
        <f t="shared" si="4"/>
        <v>6666667</v>
      </c>
      <c r="AC28" s="42">
        <f t="shared" si="5"/>
        <v>0</v>
      </c>
      <c r="AD28" s="42">
        <f t="shared" si="6"/>
        <v>0</v>
      </c>
      <c r="AE28" s="42"/>
      <c r="AF28" s="42">
        <f t="shared" si="29"/>
        <v>0</v>
      </c>
      <c r="AG28" s="41"/>
      <c r="AH28" s="41"/>
      <c r="AI28" s="41"/>
      <c r="AJ28" s="41"/>
      <c r="AK28" s="41"/>
      <c r="AL28" s="47"/>
      <c r="AM28" s="42">
        <f t="shared" si="8"/>
        <v>6666667</v>
      </c>
      <c r="AN28" s="41"/>
      <c r="AO28" s="42"/>
      <c r="AP28" s="42"/>
      <c r="AQ28" s="41"/>
      <c r="AR28" s="47"/>
      <c r="AS28" s="47">
        <f t="shared" si="21"/>
        <v>6666667</v>
      </c>
      <c r="AT28" s="42">
        <f t="shared" si="12"/>
        <v>6666667</v>
      </c>
      <c r="AU28" s="69">
        <f t="shared" si="13"/>
        <v>666667</v>
      </c>
      <c r="AV28" s="47"/>
      <c r="AW28" s="42">
        <f t="shared" si="15"/>
        <v>6000000</v>
      </c>
      <c r="AX28" s="47">
        <v>0</v>
      </c>
      <c r="AY28" s="41"/>
      <c r="AZ28" s="42">
        <f t="shared" si="16"/>
        <v>6000000</v>
      </c>
      <c r="BA28" s="47">
        <f t="shared" si="17"/>
        <v>6666667</v>
      </c>
      <c r="BB28" s="80" t="s">
        <v>155</v>
      </c>
      <c r="BC28" s="10"/>
      <c r="BD28" s="11"/>
      <c r="BE28" s="11"/>
      <c r="BF28" s="11"/>
      <c r="BG28" s="11"/>
      <c r="BH28" s="11"/>
      <c r="BI28" s="53" t="s">
        <v>159</v>
      </c>
      <c r="BJ28" s="53" t="e">
        <f t="shared" si="22"/>
        <v>#REF!</v>
      </c>
      <c r="BK28" s="53" t="e">
        <f t="shared" si="23"/>
        <v>#REF!</v>
      </c>
      <c r="BL28" s="53" t="e">
        <f t="shared" si="24"/>
        <v>#REF!</v>
      </c>
      <c r="BM28" s="11"/>
      <c r="BN28" s="11"/>
    </row>
    <row r="29" spans="1:66" ht="18" customHeight="1">
      <c r="A29" s="39">
        <v>21</v>
      </c>
      <c r="B29" s="36" t="s">
        <v>163</v>
      </c>
      <c r="C29" s="37" t="s">
        <v>164</v>
      </c>
      <c r="D29" s="37" t="s">
        <v>165</v>
      </c>
      <c r="E29" s="68" t="s">
        <v>154</v>
      </c>
      <c r="F29" s="75">
        <v>0.1</v>
      </c>
      <c r="G29" s="76" t="s">
        <v>135</v>
      </c>
      <c r="H29" s="65">
        <f>4000000/0.9</f>
        <v>4444444.444444444</v>
      </c>
      <c r="I29" s="65"/>
      <c r="J29" s="69"/>
      <c r="K29" s="68"/>
      <c r="L29" s="68"/>
      <c r="M29" s="44">
        <f t="shared" si="28"/>
        <v>4444444.444444444</v>
      </c>
      <c r="N29" s="77"/>
      <c r="O29" s="65"/>
      <c r="P29" s="65"/>
      <c r="Q29" s="65"/>
      <c r="R29" s="65"/>
      <c r="S29" s="65"/>
      <c r="T29" s="65"/>
      <c r="U29" s="66">
        <f t="shared" si="2"/>
        <v>19</v>
      </c>
      <c r="V29" s="45">
        <v>20</v>
      </c>
      <c r="W29" s="45">
        <v>19</v>
      </c>
      <c r="X29" s="66"/>
      <c r="Y29" s="67"/>
      <c r="Z29" s="67"/>
      <c r="AA29" s="65">
        <f t="shared" si="30"/>
        <v>4222222</v>
      </c>
      <c r="AB29" s="65">
        <f t="shared" si="4"/>
        <v>4222222</v>
      </c>
      <c r="AC29" s="65">
        <f t="shared" si="5"/>
        <v>0</v>
      </c>
      <c r="AD29" s="65">
        <f t="shared" si="6"/>
        <v>0</v>
      </c>
      <c r="AE29" s="65"/>
      <c r="AF29" s="65">
        <f t="shared" si="29"/>
        <v>0</v>
      </c>
      <c r="AG29" s="68"/>
      <c r="AH29" s="68"/>
      <c r="AI29" s="68"/>
      <c r="AJ29" s="68"/>
      <c r="AK29" s="68"/>
      <c r="AL29" s="69"/>
      <c r="AM29" s="42">
        <f t="shared" si="8"/>
        <v>4222222</v>
      </c>
      <c r="AN29" s="68"/>
      <c r="AO29" s="65"/>
      <c r="AP29" s="65"/>
      <c r="AQ29" s="68"/>
      <c r="AR29" s="69"/>
      <c r="AS29" s="47">
        <f t="shared" si="21"/>
        <v>4222222</v>
      </c>
      <c r="AT29" s="42">
        <f t="shared" si="12"/>
        <v>4222222</v>
      </c>
      <c r="AU29" s="69">
        <f t="shared" si="13"/>
        <v>422222</v>
      </c>
      <c r="AV29" s="69"/>
      <c r="AW29" s="65">
        <f t="shared" si="15"/>
        <v>3800000</v>
      </c>
      <c r="AX29" s="47">
        <v>0</v>
      </c>
      <c r="AY29" s="68"/>
      <c r="AZ29" s="42">
        <f t="shared" si="16"/>
        <v>3800000</v>
      </c>
      <c r="BA29" s="69">
        <f t="shared" si="17"/>
        <v>4222222</v>
      </c>
      <c r="BB29" s="80" t="s">
        <v>155</v>
      </c>
      <c r="BC29" s="71"/>
      <c r="BD29" s="11"/>
      <c r="BE29" s="11"/>
      <c r="BF29" s="11"/>
      <c r="BG29" s="11"/>
      <c r="BH29" s="11"/>
      <c r="BI29" s="53" t="s">
        <v>159</v>
      </c>
      <c r="BJ29" s="53" t="e">
        <f t="shared" si="22"/>
        <v>#REF!</v>
      </c>
      <c r="BK29" s="53" t="e">
        <f t="shared" si="23"/>
        <v>#REF!</v>
      </c>
      <c r="BL29" s="53" t="e">
        <f t="shared" si="24"/>
        <v>#REF!</v>
      </c>
      <c r="BM29" s="11"/>
      <c r="BN29" s="11"/>
    </row>
    <row r="30" spans="1:66" ht="18" customHeight="1">
      <c r="A30" s="39">
        <v>22</v>
      </c>
      <c r="B30" s="36" t="s">
        <v>166</v>
      </c>
      <c r="C30" s="37" t="s">
        <v>167</v>
      </c>
      <c r="D30" s="30"/>
      <c r="E30" s="68" t="s">
        <v>154</v>
      </c>
      <c r="F30" s="75">
        <v>0.1</v>
      </c>
      <c r="G30" s="76" t="s">
        <v>135</v>
      </c>
      <c r="H30" s="65">
        <f>5000000/0.9</f>
        <v>5555555.555555555</v>
      </c>
      <c r="I30" s="65"/>
      <c r="J30" s="69"/>
      <c r="K30" s="68"/>
      <c r="L30" s="68"/>
      <c r="M30" s="44">
        <f t="shared" si="28"/>
        <v>5555555.555555555</v>
      </c>
      <c r="N30" s="77"/>
      <c r="O30" s="65"/>
      <c r="P30" s="65"/>
      <c r="Q30" s="65"/>
      <c r="R30" s="65"/>
      <c r="S30" s="65"/>
      <c r="T30" s="65"/>
      <c r="U30" s="66">
        <f t="shared" si="2"/>
        <v>19</v>
      </c>
      <c r="V30" s="45">
        <v>20</v>
      </c>
      <c r="W30" s="45">
        <v>19</v>
      </c>
      <c r="X30" s="66"/>
      <c r="Y30" s="67"/>
      <c r="Z30" s="67"/>
      <c r="AA30" s="65">
        <f t="shared" si="30"/>
        <v>5277778</v>
      </c>
      <c r="AB30" s="65">
        <f t="shared" si="4"/>
        <v>5277778</v>
      </c>
      <c r="AC30" s="65">
        <f t="shared" si="5"/>
        <v>0</v>
      </c>
      <c r="AD30" s="65">
        <f t="shared" si="6"/>
        <v>0</v>
      </c>
      <c r="AE30" s="65"/>
      <c r="AF30" s="65">
        <f t="shared" si="29"/>
        <v>0</v>
      </c>
      <c r="AG30" s="68"/>
      <c r="AH30" s="68"/>
      <c r="AI30" s="68"/>
      <c r="AJ30" s="68"/>
      <c r="AK30" s="68"/>
      <c r="AL30" s="69"/>
      <c r="AM30" s="42">
        <f t="shared" si="8"/>
        <v>5277778</v>
      </c>
      <c r="AN30" s="68"/>
      <c r="AO30" s="65"/>
      <c r="AP30" s="65"/>
      <c r="AQ30" s="68"/>
      <c r="AR30" s="69"/>
      <c r="AS30" s="47">
        <f t="shared" si="21"/>
        <v>5277778</v>
      </c>
      <c r="AT30" s="42">
        <f t="shared" si="12"/>
        <v>5277778</v>
      </c>
      <c r="AU30" s="69">
        <f t="shared" si="13"/>
        <v>527778</v>
      </c>
      <c r="AV30" s="69"/>
      <c r="AW30" s="65">
        <f t="shared" si="15"/>
        <v>4750000</v>
      </c>
      <c r="AX30" s="47">
        <v>0</v>
      </c>
      <c r="AY30" s="68"/>
      <c r="AZ30" s="42">
        <f t="shared" si="16"/>
        <v>4750000</v>
      </c>
      <c r="BA30" s="69">
        <f t="shared" si="17"/>
        <v>5277778</v>
      </c>
      <c r="BB30" s="80" t="s">
        <v>155</v>
      </c>
      <c r="BC30" s="71"/>
      <c r="BD30" s="11"/>
      <c r="BE30" s="11"/>
      <c r="BF30" s="11"/>
      <c r="BG30" s="11"/>
      <c r="BH30" s="11"/>
      <c r="BI30" s="53" t="s">
        <v>159</v>
      </c>
      <c r="BJ30" s="53" t="e">
        <f t="shared" si="22"/>
        <v>#REF!</v>
      </c>
      <c r="BK30" s="53" t="e">
        <f t="shared" si="23"/>
        <v>#REF!</v>
      </c>
      <c r="BL30" s="53" t="e">
        <f t="shared" si="24"/>
        <v>#REF!</v>
      </c>
      <c r="BM30" s="11"/>
      <c r="BN30" s="11"/>
    </row>
    <row r="31" spans="1:66" ht="18" customHeight="1">
      <c r="A31" s="39">
        <v>23</v>
      </c>
      <c r="B31" s="82"/>
      <c r="C31" s="81" t="s">
        <v>168</v>
      </c>
      <c r="D31" s="83" t="s">
        <v>169</v>
      </c>
      <c r="E31" s="84" t="s">
        <v>170</v>
      </c>
      <c r="F31" s="75">
        <v>0.1</v>
      </c>
      <c r="G31" s="39" t="s">
        <v>85</v>
      </c>
      <c r="H31" s="85">
        <v>5000000</v>
      </c>
      <c r="I31" s="42"/>
      <c r="J31" s="47"/>
      <c r="K31" s="39"/>
      <c r="L31" s="86"/>
      <c r="M31" s="44">
        <f t="shared" si="28"/>
        <v>5000000</v>
      </c>
      <c r="N31" s="44"/>
      <c r="O31" s="42"/>
      <c r="P31" s="42"/>
      <c r="Q31" s="42"/>
      <c r="R31" s="42"/>
      <c r="S31" s="42"/>
      <c r="T31" s="42"/>
      <c r="U31" s="66">
        <f t="shared" si="2"/>
        <v>11.5</v>
      </c>
      <c r="V31" s="45">
        <v>20</v>
      </c>
      <c r="W31" s="45">
        <v>11.5</v>
      </c>
      <c r="X31" s="45"/>
      <c r="Y31" s="46"/>
      <c r="Z31" s="46"/>
      <c r="AA31" s="65">
        <f t="shared" si="30"/>
        <v>2875000</v>
      </c>
      <c r="AB31" s="65">
        <f t="shared" si="4"/>
        <v>2875000</v>
      </c>
      <c r="AC31" s="65">
        <f t="shared" si="5"/>
        <v>0</v>
      </c>
      <c r="AD31" s="65">
        <f t="shared" si="6"/>
        <v>0</v>
      </c>
      <c r="AE31" s="42"/>
      <c r="AF31" s="65">
        <f t="shared" si="29"/>
        <v>0</v>
      </c>
      <c r="AG31" s="41"/>
      <c r="AH31" s="41"/>
      <c r="AI31" s="41"/>
      <c r="AJ31" s="41"/>
      <c r="AK31" s="47"/>
      <c r="AL31" s="42"/>
      <c r="AM31" s="42">
        <f t="shared" si="8"/>
        <v>2875000</v>
      </c>
      <c r="AN31" s="42"/>
      <c r="AO31" s="42"/>
      <c r="AP31" s="41"/>
      <c r="AQ31" s="47"/>
      <c r="AR31" s="47"/>
      <c r="AS31" s="47">
        <f t="shared" si="21"/>
        <v>2875000</v>
      </c>
      <c r="AT31" s="42">
        <f t="shared" si="12"/>
        <v>2875000</v>
      </c>
      <c r="AU31" s="69">
        <f t="shared" si="13"/>
        <v>287500</v>
      </c>
      <c r="AV31" s="42"/>
      <c r="AW31" s="65">
        <f t="shared" si="15"/>
        <v>2587500</v>
      </c>
      <c r="AX31" s="47">
        <v>0</v>
      </c>
      <c r="AY31" s="42"/>
      <c r="AZ31" s="42">
        <f t="shared" si="16"/>
        <v>2587500</v>
      </c>
      <c r="BA31" s="69">
        <f t="shared" si="17"/>
        <v>2875000</v>
      </c>
      <c r="BB31" s="80" t="s">
        <v>155</v>
      </c>
      <c r="BC31" s="10"/>
      <c r="BD31" s="11"/>
      <c r="BE31" s="11"/>
      <c r="BF31" s="11"/>
      <c r="BG31" s="11"/>
      <c r="BH31" s="11"/>
      <c r="BI31" s="53"/>
      <c r="BJ31" s="53" t="e">
        <f t="shared" si="22"/>
        <v>#REF!</v>
      </c>
      <c r="BK31" s="53" t="e">
        <f t="shared" si="23"/>
        <v>#REF!</v>
      </c>
      <c r="BL31" s="53" t="e">
        <f t="shared" si="24"/>
        <v>#REF!</v>
      </c>
      <c r="BM31" s="11"/>
      <c r="BN31" s="11"/>
    </row>
    <row r="32" spans="1:66" ht="18" customHeight="1">
      <c r="A32" s="39">
        <v>24</v>
      </c>
      <c r="B32" s="82"/>
      <c r="C32" s="78" t="s">
        <v>171</v>
      </c>
      <c r="D32" s="87" t="s">
        <v>172</v>
      </c>
      <c r="E32" s="84" t="s">
        <v>170</v>
      </c>
      <c r="F32" s="75"/>
      <c r="G32" s="76" t="s">
        <v>135</v>
      </c>
      <c r="H32" s="65">
        <v>3000000</v>
      </c>
      <c r="I32" s="42"/>
      <c r="J32" s="47"/>
      <c r="K32" s="39"/>
      <c r="L32" s="86"/>
      <c r="M32" s="44">
        <f t="shared" si="28"/>
        <v>3000000</v>
      </c>
      <c r="N32" s="44"/>
      <c r="O32" s="42"/>
      <c r="P32" s="42"/>
      <c r="Q32" s="42"/>
      <c r="R32" s="42"/>
      <c r="S32" s="42"/>
      <c r="T32" s="42"/>
      <c r="U32" s="66">
        <f t="shared" si="2"/>
        <v>7</v>
      </c>
      <c r="V32" s="45">
        <v>20</v>
      </c>
      <c r="W32" s="45">
        <v>7</v>
      </c>
      <c r="X32" s="45"/>
      <c r="Y32" s="46"/>
      <c r="Z32" s="46"/>
      <c r="AA32" s="65">
        <f t="shared" si="30"/>
        <v>1050000</v>
      </c>
      <c r="AB32" s="65">
        <f t="shared" si="4"/>
        <v>1050000</v>
      </c>
      <c r="AC32" s="65">
        <f t="shared" si="5"/>
        <v>0</v>
      </c>
      <c r="AD32" s="65">
        <f t="shared" si="6"/>
        <v>0</v>
      </c>
      <c r="AE32" s="42"/>
      <c r="AF32" s="65">
        <f t="shared" si="29"/>
        <v>0</v>
      </c>
      <c r="AG32" s="41"/>
      <c r="AH32" s="41"/>
      <c r="AI32" s="41"/>
      <c r="AJ32" s="41"/>
      <c r="AK32" s="47"/>
      <c r="AL32" s="42"/>
      <c r="AM32" s="42">
        <f t="shared" si="8"/>
        <v>1050000</v>
      </c>
      <c r="AN32" s="42"/>
      <c r="AO32" s="42"/>
      <c r="AP32" s="41"/>
      <c r="AQ32" s="47"/>
      <c r="AR32" s="47"/>
      <c r="AS32" s="47">
        <f t="shared" si="21"/>
        <v>1050000</v>
      </c>
      <c r="AT32" s="42">
        <f t="shared" si="12"/>
        <v>1050000</v>
      </c>
      <c r="AU32" s="69">
        <f t="shared" si="13"/>
        <v>0</v>
      </c>
      <c r="AV32" s="42"/>
      <c r="AW32" s="65">
        <f t="shared" si="15"/>
        <v>1050000</v>
      </c>
      <c r="AX32" s="47">
        <v>0</v>
      </c>
      <c r="AY32" s="42"/>
      <c r="AZ32" s="42">
        <f t="shared" si="16"/>
        <v>1050000</v>
      </c>
      <c r="BA32" s="69">
        <f t="shared" si="17"/>
        <v>1050000</v>
      </c>
      <c r="BB32" s="80" t="s">
        <v>155</v>
      </c>
      <c r="BC32" s="10"/>
      <c r="BD32" s="11"/>
      <c r="BE32" s="11"/>
      <c r="BF32" s="11"/>
      <c r="BG32" s="11"/>
      <c r="BH32" s="11"/>
      <c r="BI32" s="53" t="s">
        <v>159</v>
      </c>
      <c r="BJ32" s="53" t="e">
        <f t="shared" si="22"/>
        <v>#REF!</v>
      </c>
      <c r="BK32" s="53" t="e">
        <f t="shared" si="23"/>
        <v>#REF!</v>
      </c>
      <c r="BL32" s="53" t="e">
        <f t="shared" si="24"/>
        <v>#REF!</v>
      </c>
      <c r="BM32" s="11"/>
      <c r="BN32" s="11"/>
    </row>
    <row r="33" spans="1:66" ht="18" customHeight="1">
      <c r="A33" s="39">
        <v>25</v>
      </c>
      <c r="B33" s="82"/>
      <c r="C33" s="81" t="s">
        <v>173</v>
      </c>
      <c r="D33" s="83" t="s">
        <v>174</v>
      </c>
      <c r="E33" s="84" t="s">
        <v>175</v>
      </c>
      <c r="F33" s="75"/>
      <c r="G33" s="88"/>
      <c r="H33" s="65">
        <v>2500000</v>
      </c>
      <c r="I33" s="42"/>
      <c r="J33" s="47"/>
      <c r="K33" s="39"/>
      <c r="L33" s="86"/>
      <c r="M33" s="44">
        <f t="shared" si="28"/>
        <v>2500000</v>
      </c>
      <c r="N33" s="44"/>
      <c r="O33" s="42"/>
      <c r="P33" s="42"/>
      <c r="Q33" s="42"/>
      <c r="R33" s="42"/>
      <c r="S33" s="42"/>
      <c r="T33" s="42"/>
      <c r="U33" s="66">
        <f t="shared" si="2"/>
        <v>13</v>
      </c>
      <c r="V33" s="45">
        <v>20</v>
      </c>
      <c r="W33" s="45">
        <v>13</v>
      </c>
      <c r="X33" s="45"/>
      <c r="Y33" s="46"/>
      <c r="Z33" s="46"/>
      <c r="AA33" s="65">
        <f t="shared" si="30"/>
        <v>1625000</v>
      </c>
      <c r="AB33" s="65">
        <f t="shared" si="4"/>
        <v>1625000</v>
      </c>
      <c r="AC33" s="65">
        <f t="shared" si="5"/>
        <v>0</v>
      </c>
      <c r="AD33" s="65">
        <f t="shared" si="6"/>
        <v>0</v>
      </c>
      <c r="AE33" s="42"/>
      <c r="AF33" s="65">
        <f t="shared" si="29"/>
        <v>0</v>
      </c>
      <c r="AG33" s="41"/>
      <c r="AH33" s="41"/>
      <c r="AI33" s="41"/>
      <c r="AJ33" s="41"/>
      <c r="AK33" s="47"/>
      <c r="AL33" s="42"/>
      <c r="AM33" s="42">
        <f t="shared" si="8"/>
        <v>1625000</v>
      </c>
      <c r="AN33" s="42"/>
      <c r="AO33" s="42"/>
      <c r="AP33" s="41"/>
      <c r="AQ33" s="47"/>
      <c r="AR33" s="47"/>
      <c r="AS33" s="47">
        <f t="shared" si="21"/>
        <v>1625000</v>
      </c>
      <c r="AT33" s="42">
        <f t="shared" si="12"/>
        <v>1625000</v>
      </c>
      <c r="AU33" s="69">
        <f t="shared" si="13"/>
        <v>0</v>
      </c>
      <c r="AV33" s="42"/>
      <c r="AW33" s="65">
        <f t="shared" si="15"/>
        <v>1625000</v>
      </c>
      <c r="AX33" s="41"/>
      <c r="AY33" s="42"/>
      <c r="AZ33" s="42">
        <f t="shared" si="16"/>
        <v>1625000</v>
      </c>
      <c r="BA33" s="69">
        <f t="shared" si="17"/>
        <v>1625000</v>
      </c>
      <c r="BB33" s="30" t="s">
        <v>176</v>
      </c>
      <c r="BC33" s="10"/>
      <c r="BD33" s="11"/>
      <c r="BE33" s="11"/>
      <c r="BF33" s="11"/>
      <c r="BG33" s="11"/>
      <c r="BH33" s="11"/>
      <c r="BI33" s="53"/>
      <c r="BJ33" s="53" t="e">
        <f t="shared" si="22"/>
        <v>#REF!</v>
      </c>
      <c r="BK33" s="53" t="e">
        <f t="shared" si="23"/>
        <v>#REF!</v>
      </c>
      <c r="BL33" s="53" t="e">
        <f t="shared" si="24"/>
        <v>#REF!</v>
      </c>
      <c r="BM33" s="11"/>
      <c r="BN33" s="11"/>
    </row>
    <row r="34" spans="1:66" ht="18" customHeight="1">
      <c r="A34" s="39"/>
      <c r="B34" s="89" t="s">
        <v>177</v>
      </c>
      <c r="C34" s="81"/>
      <c r="D34" s="83"/>
      <c r="E34" s="84"/>
      <c r="F34" s="90"/>
      <c r="G34" s="88"/>
      <c r="H34" s="42"/>
      <c r="I34" s="42"/>
      <c r="J34" s="47"/>
      <c r="K34" s="39"/>
      <c r="L34" s="91"/>
      <c r="M34" s="92"/>
      <c r="N34" s="44"/>
      <c r="O34" s="42"/>
      <c r="P34" s="42"/>
      <c r="Q34" s="42"/>
      <c r="R34" s="42"/>
      <c r="S34" s="42"/>
      <c r="T34" s="42"/>
      <c r="U34" s="45"/>
      <c r="V34" s="45"/>
      <c r="W34" s="45"/>
      <c r="X34" s="45"/>
      <c r="Y34" s="46"/>
      <c r="Z34" s="46"/>
      <c r="AA34" s="42"/>
      <c r="AB34" s="42"/>
      <c r="AC34" s="42"/>
      <c r="AD34" s="42"/>
      <c r="AE34" s="42"/>
      <c r="AF34" s="41"/>
      <c r="AG34" s="41"/>
      <c r="AH34" s="41"/>
      <c r="AI34" s="41"/>
      <c r="AJ34" s="41"/>
      <c r="AK34" s="47"/>
      <c r="AL34" s="42"/>
      <c r="AM34" s="41"/>
      <c r="AN34" s="42"/>
      <c r="AO34" s="42"/>
      <c r="AP34" s="41"/>
      <c r="AQ34" s="47"/>
      <c r="AR34" s="47"/>
      <c r="AS34" s="42"/>
      <c r="AT34" s="47"/>
      <c r="AU34" s="47"/>
      <c r="AV34" s="42"/>
      <c r="AW34" s="65">
        <f t="shared" si="15"/>
        <v>0</v>
      </c>
      <c r="AX34" s="41"/>
      <c r="AY34" s="42"/>
      <c r="AZ34" s="47"/>
      <c r="BA34" s="30"/>
      <c r="BB34" s="30"/>
      <c r="BC34" s="10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1:66" ht="18" customHeight="1">
      <c r="A35" s="39">
        <v>1</v>
      </c>
      <c r="B35" s="40"/>
      <c r="C35" s="81" t="s">
        <v>173</v>
      </c>
      <c r="D35" s="93"/>
      <c r="E35" s="84" t="s">
        <v>150</v>
      </c>
      <c r="F35" s="90"/>
      <c r="G35" s="88"/>
      <c r="H35" s="42">
        <v>2500000</v>
      </c>
      <c r="I35" s="42"/>
      <c r="J35" s="47"/>
      <c r="K35" s="39"/>
      <c r="L35" s="91"/>
      <c r="M35" s="92"/>
      <c r="N35" s="44"/>
      <c r="O35" s="42"/>
      <c r="P35" s="42"/>
      <c r="Q35" s="42"/>
      <c r="R35" s="42"/>
      <c r="S35" s="42"/>
      <c r="T35" s="42"/>
      <c r="U35" s="45">
        <v>23</v>
      </c>
      <c r="V35" s="45">
        <v>23</v>
      </c>
      <c r="W35" s="45"/>
      <c r="X35" s="45"/>
      <c r="Y35" s="46"/>
      <c r="Z35" s="46"/>
      <c r="AA35" s="47">
        <f t="shared" ref="AA35:AA44" si="31">IFERROR(ROUND(H35/V35*U35,0),0)</f>
        <v>2500000</v>
      </c>
      <c r="AB35" s="42"/>
      <c r="AC35" s="42"/>
      <c r="AD35" s="42"/>
      <c r="AE35" s="42">
        <v>0</v>
      </c>
      <c r="AF35" s="41"/>
      <c r="AG35" s="41"/>
      <c r="AH35" s="41"/>
      <c r="AI35" s="41"/>
      <c r="AJ35" s="41"/>
      <c r="AK35" s="47"/>
      <c r="AL35" s="42"/>
      <c r="AM35" s="42">
        <f t="shared" ref="AM35:AM44" si="32">AA35+AF35</f>
        <v>2500000</v>
      </c>
      <c r="AN35" s="42"/>
      <c r="AO35" s="42"/>
      <c r="AP35" s="41"/>
      <c r="AQ35" s="47"/>
      <c r="AR35" s="47"/>
      <c r="AS35" s="42"/>
      <c r="AT35" s="47"/>
      <c r="AU35" s="47"/>
      <c r="AV35" s="42"/>
      <c r="AW35" s="42"/>
      <c r="AX35" s="41"/>
      <c r="AY35" s="42"/>
      <c r="AZ35" s="47"/>
      <c r="BA35" s="47"/>
      <c r="BB35" s="41"/>
      <c r="BC35" s="10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</row>
    <row r="36" spans="1:66" ht="18" customHeight="1">
      <c r="A36" s="39">
        <f t="shared" ref="A36:A44" si="33">A35+1</f>
        <v>2</v>
      </c>
      <c r="B36" s="40" t="s">
        <v>89</v>
      </c>
      <c r="C36" s="94" t="s">
        <v>90</v>
      </c>
      <c r="D36" s="30"/>
      <c r="E36" s="41" t="s">
        <v>92</v>
      </c>
      <c r="F36" s="90"/>
      <c r="G36" s="39"/>
      <c r="H36" s="42">
        <v>23500000</v>
      </c>
      <c r="I36" s="42"/>
      <c r="J36" s="47"/>
      <c r="K36" s="39"/>
      <c r="L36" s="91"/>
      <c r="M36" s="92"/>
      <c r="N36" s="44"/>
      <c r="O36" s="42"/>
      <c r="P36" s="42"/>
      <c r="Q36" s="42"/>
      <c r="R36" s="42"/>
      <c r="S36" s="42"/>
      <c r="T36" s="42"/>
      <c r="U36" s="45">
        <f t="shared" ref="U36:U44" si="34">IFERROR(VLOOKUP(C36,$C$9:$U$27,19,0),0)</f>
        <v>20</v>
      </c>
      <c r="V36" s="45">
        <f t="shared" ref="V36:V44" si="35">IFERROR(VLOOKUP(C36,$C$9:$V$27,20,0),0)</f>
        <v>20</v>
      </c>
      <c r="W36" s="45"/>
      <c r="X36" s="45"/>
      <c r="Y36" s="46"/>
      <c r="Z36" s="46"/>
      <c r="AA36" s="47">
        <f t="shared" si="31"/>
        <v>23500000</v>
      </c>
      <c r="AB36" s="42"/>
      <c r="AC36" s="42"/>
      <c r="AD36" s="42"/>
      <c r="AE36" s="42">
        <v>0</v>
      </c>
      <c r="AF36" s="41"/>
      <c r="AG36" s="41"/>
      <c r="AH36" s="41"/>
      <c r="AI36" s="41"/>
      <c r="AJ36" s="41"/>
      <c r="AK36" s="47"/>
      <c r="AL36" s="42"/>
      <c r="AM36" s="42">
        <f t="shared" si="32"/>
        <v>23500000</v>
      </c>
      <c r="AN36" s="42"/>
      <c r="AO36" s="42"/>
      <c r="AP36" s="41"/>
      <c r="AQ36" s="47"/>
      <c r="AR36" s="47"/>
      <c r="AS36" s="42"/>
      <c r="AT36" s="47"/>
      <c r="AU36" s="47"/>
      <c r="AV36" s="42"/>
      <c r="AW36" s="42">
        <f t="shared" ref="AW36:AW44" si="36">AM36-AO36-AV36-AU36</f>
        <v>23500000</v>
      </c>
      <c r="AX36" s="41"/>
      <c r="AY36" s="42"/>
      <c r="AZ36" s="47">
        <f t="shared" ref="AZ36:AZ44" si="37">ROUND(AW36-AX36+AY36,0)</f>
        <v>23500000</v>
      </c>
      <c r="BA36" s="47">
        <f t="shared" ref="BA36:BA44" si="38">AM36+AP36</f>
        <v>23500000</v>
      </c>
      <c r="BB36" s="41" t="s">
        <v>178</v>
      </c>
      <c r="BC36" s="10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</row>
    <row r="37" spans="1:66" ht="18" customHeight="1">
      <c r="A37" s="39">
        <f t="shared" si="33"/>
        <v>3</v>
      </c>
      <c r="B37" s="40" t="s">
        <v>81</v>
      </c>
      <c r="C37" s="81" t="s">
        <v>82</v>
      </c>
      <c r="D37" s="83"/>
      <c r="E37" s="84"/>
      <c r="F37" s="90"/>
      <c r="G37" s="88"/>
      <c r="H37" s="42">
        <v>1000000</v>
      </c>
      <c r="I37" s="42"/>
      <c r="J37" s="47"/>
      <c r="K37" s="39"/>
      <c r="L37" s="91"/>
      <c r="M37" s="92"/>
      <c r="N37" s="44"/>
      <c r="O37" s="42"/>
      <c r="P37" s="42"/>
      <c r="Q37" s="42"/>
      <c r="R37" s="42"/>
      <c r="S37" s="42"/>
      <c r="T37" s="42"/>
      <c r="U37" s="45">
        <f t="shared" si="34"/>
        <v>10</v>
      </c>
      <c r="V37" s="45">
        <f t="shared" si="35"/>
        <v>20</v>
      </c>
      <c r="W37" s="45"/>
      <c r="X37" s="45"/>
      <c r="Y37" s="46"/>
      <c r="Z37" s="46"/>
      <c r="AA37" s="47">
        <f t="shared" si="31"/>
        <v>500000</v>
      </c>
      <c r="AB37" s="42"/>
      <c r="AC37" s="42"/>
      <c r="AD37" s="42"/>
      <c r="AE37" s="42">
        <v>0</v>
      </c>
      <c r="AF37" s="41"/>
      <c r="AG37" s="41"/>
      <c r="AH37" s="41"/>
      <c r="AI37" s="41"/>
      <c r="AJ37" s="41"/>
      <c r="AK37" s="47"/>
      <c r="AL37" s="42"/>
      <c r="AM37" s="42">
        <f t="shared" si="32"/>
        <v>500000</v>
      </c>
      <c r="AN37" s="42"/>
      <c r="AO37" s="42"/>
      <c r="AP37" s="41"/>
      <c r="AQ37" s="47"/>
      <c r="AR37" s="47"/>
      <c r="AS37" s="42"/>
      <c r="AT37" s="47"/>
      <c r="AU37" s="47"/>
      <c r="AV37" s="42"/>
      <c r="AW37" s="42">
        <f t="shared" si="36"/>
        <v>500000</v>
      </c>
      <c r="AX37" s="41"/>
      <c r="AY37" s="42"/>
      <c r="AZ37" s="47">
        <f t="shared" si="37"/>
        <v>500000</v>
      </c>
      <c r="BA37" s="47">
        <f t="shared" si="38"/>
        <v>500000</v>
      </c>
      <c r="BB37" s="41" t="s">
        <v>178</v>
      </c>
      <c r="BC37" s="10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 spans="1:66" ht="18" customHeight="1">
      <c r="A38" s="39">
        <f t="shared" si="33"/>
        <v>4</v>
      </c>
      <c r="B38" s="40" t="s">
        <v>96</v>
      </c>
      <c r="C38" s="81" t="s">
        <v>97</v>
      </c>
      <c r="D38" s="83"/>
      <c r="E38" s="84"/>
      <c r="F38" s="90"/>
      <c r="G38" s="88"/>
      <c r="H38" s="42">
        <v>4000000</v>
      </c>
      <c r="I38" s="42"/>
      <c r="J38" s="47"/>
      <c r="K38" s="39"/>
      <c r="L38" s="91"/>
      <c r="M38" s="92"/>
      <c r="N38" s="44"/>
      <c r="O38" s="42"/>
      <c r="P38" s="42"/>
      <c r="Q38" s="42"/>
      <c r="R38" s="42"/>
      <c r="S38" s="42"/>
      <c r="T38" s="42"/>
      <c r="U38" s="45">
        <f t="shared" si="34"/>
        <v>20</v>
      </c>
      <c r="V38" s="45">
        <f t="shared" si="35"/>
        <v>20</v>
      </c>
      <c r="W38" s="45"/>
      <c r="X38" s="45"/>
      <c r="Y38" s="46"/>
      <c r="Z38" s="46"/>
      <c r="AA38" s="47">
        <f t="shared" si="31"/>
        <v>4000000</v>
      </c>
      <c r="AB38" s="42"/>
      <c r="AC38" s="42"/>
      <c r="AD38" s="42"/>
      <c r="AE38" s="42">
        <v>0</v>
      </c>
      <c r="AF38" s="41"/>
      <c r="AG38" s="41"/>
      <c r="AH38" s="41"/>
      <c r="AI38" s="41"/>
      <c r="AJ38" s="41"/>
      <c r="AK38" s="47"/>
      <c r="AL38" s="42"/>
      <c r="AM38" s="42">
        <f t="shared" si="32"/>
        <v>4000000</v>
      </c>
      <c r="AN38" s="42"/>
      <c r="AO38" s="42"/>
      <c r="AP38" s="41"/>
      <c r="AQ38" s="47"/>
      <c r="AR38" s="47"/>
      <c r="AS38" s="42"/>
      <c r="AT38" s="47"/>
      <c r="AU38" s="47"/>
      <c r="AV38" s="42"/>
      <c r="AW38" s="42">
        <f t="shared" si="36"/>
        <v>4000000</v>
      </c>
      <c r="AX38" s="41"/>
      <c r="AY38" s="42"/>
      <c r="AZ38" s="47">
        <f t="shared" si="37"/>
        <v>4000000</v>
      </c>
      <c r="BA38" s="47">
        <f t="shared" si="38"/>
        <v>4000000</v>
      </c>
      <c r="BB38" s="41" t="s">
        <v>178</v>
      </c>
      <c r="BC38" s="10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</row>
    <row r="39" spans="1:66" ht="18" customHeight="1">
      <c r="A39" s="39">
        <f t="shared" si="33"/>
        <v>5</v>
      </c>
      <c r="B39" s="40" t="s">
        <v>100</v>
      </c>
      <c r="C39" s="81" t="s">
        <v>101</v>
      </c>
      <c r="D39" s="83"/>
      <c r="E39" s="84"/>
      <c r="F39" s="90"/>
      <c r="G39" s="88"/>
      <c r="H39" s="42">
        <v>1000000</v>
      </c>
      <c r="I39" s="42"/>
      <c r="J39" s="47"/>
      <c r="K39" s="39"/>
      <c r="L39" s="95"/>
      <c r="M39" s="92"/>
      <c r="N39" s="44"/>
      <c r="O39" s="42"/>
      <c r="P39" s="42"/>
      <c r="Q39" s="42"/>
      <c r="R39" s="42"/>
      <c r="S39" s="42"/>
      <c r="T39" s="42"/>
      <c r="U39" s="45">
        <f t="shared" si="34"/>
        <v>20</v>
      </c>
      <c r="V39" s="45">
        <f t="shared" si="35"/>
        <v>20</v>
      </c>
      <c r="W39" s="45"/>
      <c r="X39" s="45"/>
      <c r="Y39" s="46"/>
      <c r="Z39" s="46"/>
      <c r="AA39" s="47">
        <f t="shared" si="31"/>
        <v>1000000</v>
      </c>
      <c r="AB39" s="42"/>
      <c r="AC39" s="42"/>
      <c r="AD39" s="42"/>
      <c r="AE39" s="42">
        <v>0</v>
      </c>
      <c r="AF39" s="41"/>
      <c r="AG39" s="41"/>
      <c r="AH39" s="41"/>
      <c r="AI39" s="41"/>
      <c r="AJ39" s="41"/>
      <c r="AK39" s="47"/>
      <c r="AL39" s="42"/>
      <c r="AM39" s="42">
        <f t="shared" si="32"/>
        <v>1000000</v>
      </c>
      <c r="AN39" s="42"/>
      <c r="AO39" s="42"/>
      <c r="AP39" s="41"/>
      <c r="AQ39" s="47"/>
      <c r="AR39" s="47"/>
      <c r="AS39" s="42"/>
      <c r="AT39" s="47"/>
      <c r="AU39" s="47"/>
      <c r="AV39" s="42"/>
      <c r="AW39" s="42">
        <f t="shared" si="36"/>
        <v>1000000</v>
      </c>
      <c r="AX39" s="41"/>
      <c r="AY39" s="42"/>
      <c r="AZ39" s="47">
        <f t="shared" si="37"/>
        <v>1000000</v>
      </c>
      <c r="BA39" s="47">
        <f t="shared" si="38"/>
        <v>1000000</v>
      </c>
      <c r="BB39" s="41" t="s">
        <v>178</v>
      </c>
      <c r="BC39" s="10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</row>
    <row r="40" spans="1:66" ht="18" customHeight="1">
      <c r="A40" s="39">
        <f t="shared" si="33"/>
        <v>6</v>
      </c>
      <c r="B40" s="40" t="s">
        <v>103</v>
      </c>
      <c r="C40" s="81" t="s">
        <v>104</v>
      </c>
      <c r="D40" s="83"/>
      <c r="E40" s="84"/>
      <c r="F40" s="90"/>
      <c r="G40" s="88"/>
      <c r="H40" s="42">
        <v>1000000</v>
      </c>
      <c r="I40" s="42"/>
      <c r="J40" s="47"/>
      <c r="K40" s="39"/>
      <c r="L40" s="91"/>
      <c r="M40" s="92"/>
      <c r="N40" s="44"/>
      <c r="O40" s="42"/>
      <c r="P40" s="42"/>
      <c r="Q40" s="42"/>
      <c r="R40" s="42"/>
      <c r="S40" s="42"/>
      <c r="T40" s="42"/>
      <c r="U40" s="45">
        <f t="shared" si="34"/>
        <v>20</v>
      </c>
      <c r="V40" s="45">
        <f t="shared" si="35"/>
        <v>20</v>
      </c>
      <c r="W40" s="45"/>
      <c r="X40" s="45"/>
      <c r="Y40" s="46"/>
      <c r="Z40" s="46"/>
      <c r="AA40" s="47">
        <f t="shared" si="31"/>
        <v>1000000</v>
      </c>
      <c r="AB40" s="42"/>
      <c r="AC40" s="42"/>
      <c r="AD40" s="42"/>
      <c r="AE40" s="42">
        <v>0</v>
      </c>
      <c r="AF40" s="41"/>
      <c r="AG40" s="41"/>
      <c r="AH40" s="41"/>
      <c r="AI40" s="41"/>
      <c r="AJ40" s="41"/>
      <c r="AK40" s="47"/>
      <c r="AL40" s="42"/>
      <c r="AM40" s="42">
        <f t="shared" si="32"/>
        <v>1000000</v>
      </c>
      <c r="AN40" s="42"/>
      <c r="AO40" s="42"/>
      <c r="AP40" s="41"/>
      <c r="AQ40" s="47"/>
      <c r="AR40" s="47"/>
      <c r="AS40" s="42"/>
      <c r="AT40" s="47"/>
      <c r="AU40" s="47"/>
      <c r="AV40" s="42"/>
      <c r="AW40" s="42">
        <f t="shared" si="36"/>
        <v>1000000</v>
      </c>
      <c r="AX40" s="41"/>
      <c r="AY40" s="42"/>
      <c r="AZ40" s="47">
        <f t="shared" si="37"/>
        <v>1000000</v>
      </c>
      <c r="BA40" s="47">
        <f t="shared" si="38"/>
        <v>1000000</v>
      </c>
      <c r="BB40" s="41" t="s">
        <v>178</v>
      </c>
      <c r="BC40" s="10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</row>
    <row r="41" spans="1:66" ht="18" customHeight="1">
      <c r="A41" s="39">
        <f t="shared" si="33"/>
        <v>7</v>
      </c>
      <c r="B41" s="40" t="s">
        <v>107</v>
      </c>
      <c r="C41" s="81" t="s">
        <v>108</v>
      </c>
      <c r="D41" s="83"/>
      <c r="E41" s="84"/>
      <c r="F41" s="90"/>
      <c r="G41" s="88"/>
      <c r="H41" s="42">
        <v>3500000</v>
      </c>
      <c r="I41" s="42"/>
      <c r="J41" s="47"/>
      <c r="K41" s="39"/>
      <c r="L41" s="91"/>
      <c r="M41" s="92"/>
      <c r="N41" s="44"/>
      <c r="O41" s="42"/>
      <c r="P41" s="42"/>
      <c r="Q41" s="42"/>
      <c r="R41" s="42"/>
      <c r="S41" s="42"/>
      <c r="T41" s="42"/>
      <c r="U41" s="45">
        <f t="shared" si="34"/>
        <v>20</v>
      </c>
      <c r="V41" s="45">
        <f t="shared" si="35"/>
        <v>20</v>
      </c>
      <c r="W41" s="45"/>
      <c r="X41" s="45"/>
      <c r="Y41" s="46"/>
      <c r="Z41" s="46"/>
      <c r="AA41" s="47">
        <f t="shared" si="31"/>
        <v>3500000</v>
      </c>
      <c r="AB41" s="42"/>
      <c r="AC41" s="42"/>
      <c r="AD41" s="42"/>
      <c r="AE41" s="42">
        <v>0</v>
      </c>
      <c r="AF41" s="41"/>
      <c r="AG41" s="41"/>
      <c r="AH41" s="41"/>
      <c r="AI41" s="41"/>
      <c r="AJ41" s="41"/>
      <c r="AK41" s="47"/>
      <c r="AL41" s="42"/>
      <c r="AM41" s="42">
        <f t="shared" si="32"/>
        <v>3500000</v>
      </c>
      <c r="AN41" s="42"/>
      <c r="AO41" s="42"/>
      <c r="AP41" s="41"/>
      <c r="AQ41" s="47"/>
      <c r="AR41" s="47"/>
      <c r="AS41" s="42"/>
      <c r="AT41" s="47"/>
      <c r="AU41" s="47"/>
      <c r="AV41" s="42"/>
      <c r="AW41" s="42">
        <f t="shared" si="36"/>
        <v>3500000</v>
      </c>
      <c r="AX41" s="41"/>
      <c r="AY41" s="42"/>
      <c r="AZ41" s="47">
        <f t="shared" si="37"/>
        <v>3500000</v>
      </c>
      <c r="BA41" s="47">
        <f t="shared" si="38"/>
        <v>3500000</v>
      </c>
      <c r="BB41" s="41" t="s">
        <v>178</v>
      </c>
      <c r="BC41" s="10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</row>
    <row r="42" spans="1:66" ht="18" customHeight="1">
      <c r="A42" s="39">
        <f t="shared" si="33"/>
        <v>8</v>
      </c>
      <c r="B42" s="40" t="s">
        <v>110</v>
      </c>
      <c r="C42" s="81" t="s">
        <v>111</v>
      </c>
      <c r="D42" s="83"/>
      <c r="E42" s="84"/>
      <c r="F42" s="90"/>
      <c r="G42" s="88"/>
      <c r="H42" s="42">
        <v>3000000</v>
      </c>
      <c r="I42" s="42"/>
      <c r="J42" s="47"/>
      <c r="K42" s="39"/>
      <c r="L42" s="40"/>
      <c r="M42" s="94"/>
      <c r="N42" s="44"/>
      <c r="O42" s="42"/>
      <c r="P42" s="42"/>
      <c r="Q42" s="42"/>
      <c r="R42" s="42"/>
      <c r="S42" s="42"/>
      <c r="T42" s="42"/>
      <c r="U42" s="45">
        <f t="shared" si="34"/>
        <v>20</v>
      </c>
      <c r="V42" s="45">
        <f t="shared" si="35"/>
        <v>20</v>
      </c>
      <c r="W42" s="45"/>
      <c r="X42" s="45"/>
      <c r="Y42" s="46"/>
      <c r="Z42" s="46"/>
      <c r="AA42" s="47">
        <f t="shared" si="31"/>
        <v>3000000</v>
      </c>
      <c r="AB42" s="42"/>
      <c r="AC42" s="42"/>
      <c r="AD42" s="42"/>
      <c r="AE42" s="42">
        <v>0</v>
      </c>
      <c r="AF42" s="41"/>
      <c r="AG42" s="41"/>
      <c r="AH42" s="41"/>
      <c r="AI42" s="41"/>
      <c r="AJ42" s="41"/>
      <c r="AK42" s="47"/>
      <c r="AL42" s="42"/>
      <c r="AM42" s="42">
        <f t="shared" si="32"/>
        <v>3000000</v>
      </c>
      <c r="AN42" s="42"/>
      <c r="AO42" s="42"/>
      <c r="AP42" s="41"/>
      <c r="AQ42" s="47"/>
      <c r="AR42" s="47"/>
      <c r="AS42" s="42"/>
      <c r="AT42" s="47"/>
      <c r="AU42" s="47"/>
      <c r="AV42" s="42"/>
      <c r="AW42" s="42">
        <f t="shared" si="36"/>
        <v>3000000</v>
      </c>
      <c r="AX42" s="41"/>
      <c r="AY42" s="42"/>
      <c r="AZ42" s="47">
        <f t="shared" si="37"/>
        <v>3000000</v>
      </c>
      <c r="BA42" s="47">
        <f t="shared" si="38"/>
        <v>3000000</v>
      </c>
      <c r="BB42" s="41" t="s">
        <v>178</v>
      </c>
      <c r="BC42" s="10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</row>
    <row r="43" spans="1:66" ht="18" customHeight="1">
      <c r="A43" s="39">
        <f t="shared" si="33"/>
        <v>9</v>
      </c>
      <c r="B43" s="40" t="s">
        <v>114</v>
      </c>
      <c r="C43" s="81" t="s">
        <v>115</v>
      </c>
      <c r="D43" s="83"/>
      <c r="E43" s="84"/>
      <c r="F43" s="90"/>
      <c r="G43" s="88"/>
      <c r="H43" s="42">
        <v>1000000</v>
      </c>
      <c r="I43" s="42"/>
      <c r="J43" s="47"/>
      <c r="K43" s="39"/>
      <c r="L43" s="91"/>
      <c r="M43" s="96"/>
      <c r="N43" s="44"/>
      <c r="O43" s="42"/>
      <c r="P43" s="42"/>
      <c r="Q43" s="42"/>
      <c r="R43" s="42"/>
      <c r="S43" s="42"/>
      <c r="T43" s="42"/>
      <c r="U43" s="45">
        <f t="shared" si="34"/>
        <v>20</v>
      </c>
      <c r="V43" s="45">
        <f t="shared" si="35"/>
        <v>20</v>
      </c>
      <c r="W43" s="45"/>
      <c r="X43" s="45"/>
      <c r="Y43" s="46"/>
      <c r="Z43" s="46"/>
      <c r="AA43" s="47">
        <f t="shared" si="31"/>
        <v>1000000</v>
      </c>
      <c r="AB43" s="42"/>
      <c r="AC43" s="42"/>
      <c r="AD43" s="42"/>
      <c r="AE43" s="42">
        <v>0</v>
      </c>
      <c r="AF43" s="41"/>
      <c r="AG43" s="41"/>
      <c r="AH43" s="41"/>
      <c r="AI43" s="41"/>
      <c r="AJ43" s="41"/>
      <c r="AK43" s="47"/>
      <c r="AL43" s="42"/>
      <c r="AM43" s="42">
        <f t="shared" si="32"/>
        <v>1000000</v>
      </c>
      <c r="AN43" s="42"/>
      <c r="AO43" s="42"/>
      <c r="AP43" s="41"/>
      <c r="AQ43" s="47"/>
      <c r="AR43" s="47"/>
      <c r="AS43" s="42"/>
      <c r="AT43" s="47"/>
      <c r="AU43" s="47"/>
      <c r="AV43" s="42"/>
      <c r="AW43" s="42">
        <f t="shared" si="36"/>
        <v>1000000</v>
      </c>
      <c r="AX43" s="41"/>
      <c r="AY43" s="42"/>
      <c r="AZ43" s="47">
        <f t="shared" si="37"/>
        <v>1000000</v>
      </c>
      <c r="BA43" s="47">
        <f t="shared" si="38"/>
        <v>1000000</v>
      </c>
      <c r="BB43" s="41" t="s">
        <v>178</v>
      </c>
      <c r="BC43" s="10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</row>
    <row r="44" spans="1:66" ht="18" customHeight="1">
      <c r="A44" s="39">
        <f t="shared" si="33"/>
        <v>10</v>
      </c>
      <c r="B44" s="40" t="s">
        <v>121</v>
      </c>
      <c r="C44" s="81" t="s">
        <v>122</v>
      </c>
      <c r="D44" s="83"/>
      <c r="E44" s="84" t="s">
        <v>92</v>
      </c>
      <c r="F44" s="90"/>
      <c r="G44" s="88"/>
      <c r="H44" s="42">
        <v>2000000</v>
      </c>
      <c r="I44" s="42"/>
      <c r="J44" s="47"/>
      <c r="K44" s="76"/>
      <c r="L44" s="63"/>
      <c r="M44" s="63"/>
      <c r="N44" s="44"/>
      <c r="O44" s="42"/>
      <c r="P44" s="42"/>
      <c r="Q44" s="42"/>
      <c r="R44" s="42"/>
      <c r="S44" s="42"/>
      <c r="T44" s="42"/>
      <c r="U44" s="45">
        <f t="shared" si="34"/>
        <v>20</v>
      </c>
      <c r="V44" s="45">
        <f t="shared" si="35"/>
        <v>20</v>
      </c>
      <c r="W44" s="45"/>
      <c r="X44" s="45"/>
      <c r="Y44" s="46"/>
      <c r="Z44" s="46"/>
      <c r="AA44" s="47">
        <f t="shared" si="31"/>
        <v>2000000</v>
      </c>
      <c r="AB44" s="42"/>
      <c r="AC44" s="42"/>
      <c r="AD44" s="42"/>
      <c r="AE44" s="42">
        <v>0</v>
      </c>
      <c r="AF44" s="41"/>
      <c r="AG44" s="41"/>
      <c r="AH44" s="41"/>
      <c r="AI44" s="41"/>
      <c r="AJ44" s="41"/>
      <c r="AK44" s="47"/>
      <c r="AL44" s="42"/>
      <c r="AM44" s="42">
        <f t="shared" si="32"/>
        <v>2000000</v>
      </c>
      <c r="AN44" s="42"/>
      <c r="AO44" s="42"/>
      <c r="AP44" s="41"/>
      <c r="AQ44" s="47"/>
      <c r="AR44" s="47"/>
      <c r="AS44" s="42"/>
      <c r="AT44" s="47"/>
      <c r="AU44" s="47"/>
      <c r="AV44" s="42"/>
      <c r="AW44" s="42">
        <f t="shared" si="36"/>
        <v>2000000</v>
      </c>
      <c r="AX44" s="41"/>
      <c r="AY44" s="42"/>
      <c r="AZ44" s="47">
        <f t="shared" si="37"/>
        <v>2000000</v>
      </c>
      <c r="BA44" s="47">
        <f t="shared" si="38"/>
        <v>2000000</v>
      </c>
      <c r="BB44" s="41" t="s">
        <v>179</v>
      </c>
      <c r="BC44" s="10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</row>
    <row r="45" spans="1:66" ht="15" customHeight="1">
      <c r="A45" s="24"/>
      <c r="B45" s="24"/>
      <c r="C45" s="97" t="s">
        <v>180</v>
      </c>
      <c r="D45" s="97"/>
      <c r="E45" s="98"/>
      <c r="F45" s="99"/>
      <c r="G45" s="99"/>
      <c r="H45" s="59">
        <f t="shared" ref="H45:P45" si="39">SUM(H9:H44)</f>
        <v>86222222.222222224</v>
      </c>
      <c r="I45" s="59">
        <f t="shared" si="39"/>
        <v>0</v>
      </c>
      <c r="J45" s="59">
        <f t="shared" si="39"/>
        <v>92722222.222222209</v>
      </c>
      <c r="K45" s="77">
        <f t="shared" si="39"/>
        <v>0</v>
      </c>
      <c r="L45" s="100">
        <f t="shared" si="39"/>
        <v>0</v>
      </c>
      <c r="M45" s="100">
        <f t="shared" si="39"/>
        <v>573542473.11111104</v>
      </c>
      <c r="N45" s="101">
        <f t="shared" si="39"/>
        <v>529820250.8888889</v>
      </c>
      <c r="O45" s="101">
        <f t="shared" si="39"/>
        <v>98800000</v>
      </c>
      <c r="P45" s="101">
        <f t="shared" si="39"/>
        <v>307571362</v>
      </c>
      <c r="Q45" s="101"/>
      <c r="R45" s="101">
        <f t="shared" ref="R45:BA45" si="40">SUM(R9:R44)</f>
        <v>4800000</v>
      </c>
      <c r="S45" s="101">
        <f t="shared" si="40"/>
        <v>7500000</v>
      </c>
      <c r="T45" s="101">
        <f t="shared" si="40"/>
        <v>8760000</v>
      </c>
      <c r="U45" s="101">
        <f t="shared" si="40"/>
        <v>632.5</v>
      </c>
      <c r="V45" s="101">
        <f t="shared" si="40"/>
        <v>703</v>
      </c>
      <c r="W45" s="101">
        <f t="shared" si="40"/>
        <v>129.5</v>
      </c>
      <c r="X45" s="101">
        <f t="shared" si="40"/>
        <v>87</v>
      </c>
      <c r="Y45" s="101">
        <f t="shared" si="40"/>
        <v>223</v>
      </c>
      <c r="Z45" s="101">
        <f t="shared" si="40"/>
        <v>0</v>
      </c>
      <c r="AA45" s="101" t="e">
        <f t="shared" si="40"/>
        <v>#VALUE!</v>
      </c>
      <c r="AB45" s="101">
        <f t="shared" si="40"/>
        <v>38272223</v>
      </c>
      <c r="AC45" s="101">
        <f t="shared" si="40"/>
        <v>78944444</v>
      </c>
      <c r="AD45" s="101" t="e">
        <f t="shared" si="40"/>
        <v>#VALUE!</v>
      </c>
      <c r="AE45" s="101">
        <f t="shared" si="40"/>
        <v>0</v>
      </c>
      <c r="AF45" s="101">
        <f t="shared" si="40"/>
        <v>0</v>
      </c>
      <c r="AG45" s="101">
        <f t="shared" si="40"/>
        <v>0</v>
      </c>
      <c r="AH45" s="101">
        <f t="shared" si="40"/>
        <v>0</v>
      </c>
      <c r="AI45" s="101">
        <f t="shared" si="40"/>
        <v>0</v>
      </c>
      <c r="AJ45" s="101">
        <f t="shared" si="40"/>
        <v>0</v>
      </c>
      <c r="AK45" s="101">
        <f t="shared" si="40"/>
        <v>0</v>
      </c>
      <c r="AL45" s="101">
        <f t="shared" si="40"/>
        <v>0</v>
      </c>
      <c r="AM45" s="101" t="e">
        <f t="shared" si="40"/>
        <v>#VALUE!</v>
      </c>
      <c r="AN45" s="101">
        <f t="shared" si="40"/>
        <v>95800000</v>
      </c>
      <c r="AO45" s="101">
        <f t="shared" si="40"/>
        <v>10059000</v>
      </c>
      <c r="AP45" s="101">
        <f t="shared" si="40"/>
        <v>20597000</v>
      </c>
      <c r="AQ45" s="101">
        <f t="shared" si="40"/>
        <v>9</v>
      </c>
      <c r="AR45" s="101">
        <f t="shared" si="40"/>
        <v>171600000</v>
      </c>
      <c r="AS45" s="101" t="e">
        <f t="shared" si="40"/>
        <v>#VALUE!</v>
      </c>
      <c r="AT45" s="101" t="e">
        <f t="shared" si="40"/>
        <v>#VALUE!</v>
      </c>
      <c r="AU45" s="101" t="e">
        <f t="shared" si="40"/>
        <v>#VALUE!</v>
      </c>
      <c r="AV45" s="101" t="e">
        <f t="shared" si="40"/>
        <v>#VALUE!</v>
      </c>
      <c r="AW45" s="101" t="e">
        <f t="shared" si="40"/>
        <v>#VALUE!</v>
      </c>
      <c r="AX45" s="101">
        <f t="shared" si="40"/>
        <v>0</v>
      </c>
      <c r="AY45" s="101">
        <f t="shared" si="40"/>
        <v>0</v>
      </c>
      <c r="AZ45" s="101" t="e">
        <f t="shared" si="40"/>
        <v>#VALUE!</v>
      </c>
      <c r="BA45" s="101" t="e">
        <f t="shared" si="40"/>
        <v>#VALUE!</v>
      </c>
      <c r="BB45" s="101">
        <f>SUM(BB9:BB30)</f>
        <v>0</v>
      </c>
      <c r="BC45" s="101">
        <f t="shared" ref="BC45:BH45" si="41">SUM(BC9:BC22)</f>
        <v>0</v>
      </c>
      <c r="BD45" s="101">
        <f t="shared" si="41"/>
        <v>0</v>
      </c>
      <c r="BE45" s="101">
        <f t="shared" si="41"/>
        <v>0</v>
      </c>
      <c r="BF45" s="101" t="e">
        <f t="shared" si="41"/>
        <v>#REF!</v>
      </c>
      <c r="BG45" s="101">
        <f t="shared" si="41"/>
        <v>0</v>
      </c>
      <c r="BH45" s="101" t="e">
        <f t="shared" si="41"/>
        <v>#REF!</v>
      </c>
      <c r="BI45" s="11"/>
      <c r="BJ45" s="11"/>
      <c r="BK45" s="11"/>
      <c r="BL45" s="11"/>
      <c r="BM45" s="11"/>
      <c r="BN45" s="11"/>
    </row>
    <row r="46" spans="1:66" ht="15" customHeight="1">
      <c r="A46" s="11"/>
      <c r="B46" s="2"/>
      <c r="C46" s="11"/>
      <c r="D46" s="11"/>
      <c r="E46" s="11"/>
      <c r="F46" s="11"/>
      <c r="G46" s="11"/>
      <c r="H46" s="11"/>
      <c r="I46" s="11"/>
      <c r="J46" s="11"/>
      <c r="K46" s="39"/>
      <c r="L46" s="40"/>
      <c r="M46" s="102" t="s">
        <v>136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20">
        <f>AP45+AO45</f>
        <v>30656000</v>
      </c>
      <c r="AQ46" s="11"/>
      <c r="AR46" s="11"/>
      <c r="AS46" s="11"/>
      <c r="AT46" s="11"/>
      <c r="AU46" s="11"/>
      <c r="AV46" s="11"/>
      <c r="AW46" s="11"/>
      <c r="AX46" s="21"/>
      <c r="AY46" s="11"/>
      <c r="AZ46" s="103"/>
      <c r="BA46" s="11"/>
      <c r="BB46" s="104">
        <f>SUM(BA35:BA44)</f>
        <v>39500000</v>
      </c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  <row r="47" spans="1:66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</row>
    <row r="48" spans="1:6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</row>
    <row r="49" spans="1:66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</row>
    <row r="50" spans="1:66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</row>
    <row r="51" spans="1:66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</row>
    <row r="52" spans="1:66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</row>
    <row r="53" spans="1:66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</row>
    <row r="54" spans="1:66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</row>
    <row r="55" spans="1:66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</row>
    <row r="56" spans="1:66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</row>
    <row r="57" spans="1:66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</row>
    <row r="58" spans="1:66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</row>
    <row r="59" spans="1:66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</row>
    <row r="60" spans="1:66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</row>
    <row r="61" spans="1:66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</row>
    <row r="62" spans="1:66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</row>
    <row r="63" spans="1:66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</row>
    <row r="64" spans="1:66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</row>
    <row r="65" spans="1:66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</row>
    <row r="66" spans="1:66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</row>
    <row r="67" spans="1:66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</row>
    <row r="68" spans="1:66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</row>
    <row r="69" spans="1:66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</row>
    <row r="70" spans="1:66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</row>
    <row r="71" spans="1:66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</row>
    <row r="72" spans="1:66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</row>
    <row r="73" spans="1:66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</row>
    <row r="74" spans="1:66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</row>
    <row r="75" spans="1:66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</row>
    <row r="76" spans="1:66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</row>
    <row r="77" spans="1:66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</row>
    <row r="78" spans="1:66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</row>
    <row r="79" spans="1:66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</row>
    <row r="80" spans="1:66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</row>
    <row r="81" spans="1:66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</row>
    <row r="82" spans="1:66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</row>
    <row r="83" spans="1:66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</row>
    <row r="84" spans="1:66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</row>
    <row r="85" spans="1:66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</row>
    <row r="86" spans="1:66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</row>
    <row r="87" spans="1:66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</row>
    <row r="88" spans="1:66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</row>
    <row r="89" spans="1:66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</row>
    <row r="90" spans="1:66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</row>
    <row r="91" spans="1:66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</row>
    <row r="92" spans="1:66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</row>
    <row r="93" spans="1:66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</row>
    <row r="94" spans="1:66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</row>
    <row r="95" spans="1:66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</row>
    <row r="96" spans="1:66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</row>
    <row r="97" spans="1:66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</row>
    <row r="98" spans="1:66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</row>
    <row r="99" spans="1:66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</row>
    <row r="100" spans="1:66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</row>
    <row r="101" spans="1:66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</row>
    <row r="102" spans="1:66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</row>
    <row r="103" spans="1:66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</row>
    <row r="104" spans="1:66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</row>
    <row r="105" spans="1:66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</row>
    <row r="106" spans="1:66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</row>
    <row r="107" spans="1:66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</row>
    <row r="108" spans="1:66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</row>
    <row r="109" spans="1:66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</row>
    <row r="110" spans="1:66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</row>
    <row r="111" spans="1:66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</row>
    <row r="112" spans="1:66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</row>
    <row r="113" spans="1:66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</row>
    <row r="114" spans="1:66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</row>
    <row r="115" spans="1:66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</row>
    <row r="116" spans="1:66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</row>
    <row r="117" spans="1:66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</row>
    <row r="118" spans="1:66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</row>
    <row r="119" spans="1:66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</row>
    <row r="120" spans="1:66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</row>
    <row r="121" spans="1:66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</row>
    <row r="122" spans="1:66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</row>
    <row r="123" spans="1:66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</row>
    <row r="124" spans="1:66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</row>
    <row r="125" spans="1:66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</row>
    <row r="126" spans="1:66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</row>
    <row r="127" spans="1:66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</row>
    <row r="128" spans="1:66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</row>
    <row r="129" spans="1:66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</row>
    <row r="130" spans="1:66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</row>
    <row r="131" spans="1:66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</row>
    <row r="132" spans="1:66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</row>
    <row r="133" spans="1:66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</row>
    <row r="134" spans="1:66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</row>
    <row r="135" spans="1:66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</row>
    <row r="136" spans="1:66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</row>
    <row r="137" spans="1:66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</row>
    <row r="138" spans="1:66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</row>
    <row r="139" spans="1:66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</row>
    <row r="140" spans="1:66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</row>
    <row r="141" spans="1:66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</row>
    <row r="142" spans="1:66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</row>
    <row r="143" spans="1:66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</row>
    <row r="144" spans="1:66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</row>
    <row r="145" spans="1:66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</row>
    <row r="146" spans="1:66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</row>
    <row r="147" spans="1:66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</row>
    <row r="148" spans="1:66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</row>
    <row r="149" spans="1:66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</row>
    <row r="150" spans="1:66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</row>
    <row r="151" spans="1:66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</row>
    <row r="152" spans="1:66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</row>
    <row r="153" spans="1:66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</row>
    <row r="154" spans="1:66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</row>
    <row r="155" spans="1:66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</row>
    <row r="156" spans="1:66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</row>
    <row r="157" spans="1:66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</row>
    <row r="158" spans="1:66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</row>
    <row r="159" spans="1:66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</row>
    <row r="160" spans="1:66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</row>
    <row r="161" spans="1:66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</row>
    <row r="162" spans="1:66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</row>
    <row r="163" spans="1:66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</row>
    <row r="164" spans="1:66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</row>
    <row r="165" spans="1:66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</row>
    <row r="166" spans="1:66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</row>
    <row r="167" spans="1:66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</row>
    <row r="168" spans="1:66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</row>
    <row r="169" spans="1:66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</row>
    <row r="170" spans="1:66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</row>
    <row r="171" spans="1:66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</row>
    <row r="172" spans="1:66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</row>
    <row r="173" spans="1:66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</row>
    <row r="174" spans="1:66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</row>
    <row r="175" spans="1:66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</row>
    <row r="176" spans="1:66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</row>
    <row r="177" spans="1:66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</row>
    <row r="178" spans="1:66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</row>
    <row r="179" spans="1:66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</row>
    <row r="180" spans="1:66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</row>
    <row r="181" spans="1:66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</row>
    <row r="182" spans="1:66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</row>
    <row r="183" spans="1:66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</row>
    <row r="184" spans="1:66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</row>
    <row r="185" spans="1:66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</row>
    <row r="186" spans="1:66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</row>
    <row r="187" spans="1:66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</row>
    <row r="188" spans="1:66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</row>
    <row r="189" spans="1:66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</row>
    <row r="190" spans="1:66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</row>
    <row r="191" spans="1:66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</row>
    <row r="192" spans="1:66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</row>
    <row r="193" spans="1:66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</row>
    <row r="194" spans="1:66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</row>
    <row r="195" spans="1:66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</row>
    <row r="196" spans="1:66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</row>
    <row r="197" spans="1:66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</row>
    <row r="198" spans="1:66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</row>
    <row r="199" spans="1:66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</row>
    <row r="200" spans="1:66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</row>
    <row r="201" spans="1:66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</row>
    <row r="202" spans="1:66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</row>
    <row r="203" spans="1:66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</row>
    <row r="204" spans="1:66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</row>
    <row r="205" spans="1:66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</row>
    <row r="206" spans="1:66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</row>
    <row r="207" spans="1:66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</row>
    <row r="208" spans="1:66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</row>
    <row r="209" spans="1:66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</row>
    <row r="210" spans="1:66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</row>
    <row r="211" spans="1:66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</row>
    <row r="212" spans="1:66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</row>
    <row r="213" spans="1:66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</row>
    <row r="214" spans="1:66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</row>
    <row r="215" spans="1:66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</row>
    <row r="216" spans="1:66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</row>
    <row r="217" spans="1:66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</row>
    <row r="218" spans="1:66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</row>
    <row r="219" spans="1:66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</row>
    <row r="220" spans="1:66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</row>
    <row r="221" spans="1:66" ht="18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</row>
    <row r="222" spans="1:66" ht="18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</row>
    <row r="223" spans="1:66" ht="18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</row>
    <row r="224" spans="1:66" ht="18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</row>
    <row r="225" spans="1:66" ht="18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</row>
    <row r="226" spans="1:66" ht="18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</row>
    <row r="227" spans="1:66" ht="18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</row>
    <row r="228" spans="1:66" ht="18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</row>
    <row r="229" spans="1:66" ht="18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</row>
    <row r="230" spans="1:66" ht="18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</row>
    <row r="231" spans="1:66" ht="18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</row>
    <row r="232" spans="1:66" ht="18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</row>
    <row r="233" spans="1:66" ht="18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</row>
    <row r="234" spans="1:66" ht="18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</row>
    <row r="235" spans="1:66" ht="18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</row>
    <row r="236" spans="1:66" ht="18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</row>
    <row r="237" spans="1:66" ht="18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</row>
    <row r="238" spans="1:66" ht="18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</row>
    <row r="239" spans="1:66" ht="18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</row>
    <row r="240" spans="1:66" ht="18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</row>
    <row r="241" spans="1:66" ht="18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</row>
    <row r="242" spans="1:66" ht="18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</row>
    <row r="243" spans="1:66" ht="18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</row>
    <row r="244" spans="1:66" ht="18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</row>
    <row r="245" spans="1:66" ht="18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</row>
    <row r="246" spans="1:66" ht="15.75" customHeight="1"/>
    <row r="247" spans="1:66" ht="15.75" customHeight="1"/>
    <row r="248" spans="1:66" ht="15.75" customHeight="1"/>
    <row r="249" spans="1:66" ht="15.75" customHeight="1"/>
    <row r="250" spans="1:66" ht="15.75" customHeight="1"/>
    <row r="251" spans="1:66" ht="15.75" customHeight="1"/>
    <row r="252" spans="1:66" ht="15.75" customHeight="1"/>
    <row r="253" spans="1:66" ht="15.75" customHeight="1"/>
    <row r="254" spans="1:66" ht="15.75" customHeight="1"/>
    <row r="255" spans="1:66" ht="15.75" customHeight="1"/>
    <row r="256" spans="1:6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N5:T5"/>
    <mergeCell ref="U5:U6"/>
    <mergeCell ref="AX5:AX6"/>
    <mergeCell ref="AY5:AY6"/>
    <mergeCell ref="BJ2:BK2"/>
    <mergeCell ref="A3:BA3"/>
    <mergeCell ref="A4:C4"/>
    <mergeCell ref="H4:T4"/>
    <mergeCell ref="U4:Y4"/>
    <mergeCell ref="AA4:AD4"/>
    <mergeCell ref="AM4:AM6"/>
    <mergeCell ref="AZ5:AZ6"/>
    <mergeCell ref="AF4:AL4"/>
    <mergeCell ref="AN4:AP4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BA4:BA6"/>
    <mergeCell ref="BB4:BB6"/>
    <mergeCell ref="A5:A6"/>
    <mergeCell ref="B5:B6"/>
    <mergeCell ref="C5:C6"/>
    <mergeCell ref="D5:D6"/>
    <mergeCell ref="E5:E6"/>
    <mergeCell ref="F5:F6"/>
    <mergeCell ref="G5:G6"/>
    <mergeCell ref="H5:I5"/>
    <mergeCell ref="J5:L5"/>
    <mergeCell ref="M5:M6"/>
    <mergeCell ref="AH5:AH6"/>
    <mergeCell ref="AI5:AI6"/>
    <mergeCell ref="AU5:AV5"/>
    <mergeCell ref="AW5:AW6"/>
    <mergeCell ref="AJ5:AJ6"/>
    <mergeCell ref="AK5:AK6"/>
    <mergeCell ref="AL5:AL6"/>
    <mergeCell ref="AQ4:AV4"/>
    <mergeCell ref="AW4:AZ4"/>
    <mergeCell ref="AN5:AN6"/>
    <mergeCell ref="AO5:AO6"/>
    <mergeCell ref="AP5:AP6"/>
    <mergeCell ref="AQ5:AQ6"/>
    <mergeCell ref="AR5:AR6"/>
    <mergeCell ref="AS5:AS6"/>
    <mergeCell ref="AT5:AT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X972"/>
  <sheetViews>
    <sheetView tabSelected="1" workbookViewId="0">
      <pane xSplit="2" ySplit="8" topLeftCell="BJ9" activePane="bottomRight" state="frozen"/>
      <selection pane="topRight" activeCell="C1" sqref="C1"/>
      <selection pane="bottomLeft" activeCell="A9" sqref="A9"/>
      <selection pane="bottomRight" activeCell="BL12" sqref="BL12"/>
    </sheetView>
  </sheetViews>
  <sheetFormatPr defaultColWidth="14.44140625" defaultRowHeight="15" customHeight="1"/>
  <cols>
    <col min="1" max="1" width="8" customWidth="1"/>
    <col min="2" max="2" width="23.109375" customWidth="1"/>
    <col min="3" max="3" width="24.88671875" customWidth="1"/>
    <col min="4" max="4" width="17" customWidth="1"/>
    <col min="5" max="5" width="7" customWidth="1"/>
    <col min="6" max="6" width="8" customWidth="1"/>
    <col min="7" max="8" width="16" customWidth="1"/>
    <col min="9" max="9" width="14" customWidth="1"/>
    <col min="10" max="12" width="15" customWidth="1"/>
    <col min="13" max="13" width="16" customWidth="1"/>
    <col min="14" max="14" width="15" customWidth="1"/>
    <col min="15" max="15" width="17" customWidth="1"/>
    <col min="16" max="17" width="15.33203125" customWidth="1"/>
    <col min="18" max="21" width="13" customWidth="1"/>
    <col min="22" max="23" width="10" customWidth="1"/>
    <col min="24" max="24" width="11" customWidth="1"/>
    <col min="25" max="25" width="10" customWidth="1"/>
    <col min="26" max="26" width="12.5546875" customWidth="1"/>
    <col min="27" max="27" width="17.44140625" customWidth="1"/>
    <col min="28" max="28" width="15" customWidth="1"/>
    <col min="29" max="29" width="13" customWidth="1"/>
    <col min="30" max="30" width="16" customWidth="1"/>
    <col min="31" max="31" width="16" style="736" customWidth="1"/>
    <col min="32" max="32" width="16" style="811" customWidth="1"/>
    <col min="33" max="33" width="14" customWidth="1"/>
    <col min="34" max="34" width="13" customWidth="1"/>
    <col min="35" max="35" width="12" customWidth="1"/>
    <col min="36" max="36" width="15" customWidth="1"/>
    <col min="37" max="37" width="12" customWidth="1"/>
    <col min="38" max="38" width="14" customWidth="1"/>
    <col min="39" max="39" width="18" customWidth="1"/>
    <col min="40" max="40" width="15" customWidth="1"/>
    <col min="41" max="42" width="14" customWidth="1"/>
    <col min="43" max="43" width="10" customWidth="1"/>
    <col min="44" max="44" width="14" customWidth="1"/>
    <col min="45" max="46" width="17" customWidth="1"/>
    <col min="47" max="47" width="14.44140625" customWidth="1"/>
    <col min="48" max="48" width="14" customWidth="1"/>
    <col min="49" max="49" width="15" customWidth="1"/>
    <col min="50" max="50" width="14.5546875" style="631" customWidth="1"/>
    <col min="51" max="51" width="18.44140625" style="631" customWidth="1"/>
    <col min="52" max="52" width="18.44140625" customWidth="1"/>
    <col min="53" max="53" width="21" customWidth="1"/>
    <col min="54" max="54" width="10.33203125" customWidth="1"/>
    <col min="55" max="55" width="8.5546875" customWidth="1"/>
    <col min="56" max="56" width="12.5546875" customWidth="1"/>
    <col min="57" max="57" width="14.5546875" customWidth="1"/>
    <col min="58" max="59" width="16" customWidth="1"/>
    <col min="60" max="60" width="13.109375" customWidth="1"/>
    <col min="61" max="61" width="19" style="648" customWidth="1"/>
    <col min="62" max="62" width="41.21875" style="648" customWidth="1"/>
    <col min="63" max="63" width="21.88671875" customWidth="1"/>
    <col min="64" max="64" width="31.44140625" customWidth="1"/>
    <col min="65" max="65" width="23.6640625" style="868" customWidth="1"/>
    <col min="66" max="68" width="19.33203125" customWidth="1"/>
    <col min="69" max="69" width="14" customWidth="1"/>
    <col min="70" max="70" width="14.44140625" style="560"/>
  </cols>
  <sheetData>
    <row r="1" spans="1:76" ht="18" customHeight="1">
      <c r="A1" s="942" t="s">
        <v>1070</v>
      </c>
      <c r="B1" s="106"/>
      <c r="C1" s="106"/>
      <c r="D1" s="107"/>
      <c r="E1" s="106"/>
      <c r="F1" s="106"/>
      <c r="G1" s="108"/>
      <c r="H1" s="112"/>
      <c r="I1" s="108"/>
      <c r="J1" s="109"/>
      <c r="K1" s="108"/>
      <c r="L1" s="108"/>
      <c r="M1" s="110"/>
      <c r="N1" s="106"/>
      <c r="O1" s="108"/>
      <c r="P1" s="110"/>
      <c r="Q1" s="110"/>
      <c r="R1" s="108"/>
      <c r="S1" s="108"/>
      <c r="T1" s="112"/>
      <c r="U1" s="108"/>
      <c r="V1" s="108"/>
      <c r="W1" s="719"/>
      <c r="X1" s="719"/>
      <c r="Y1" s="108"/>
      <c r="Z1" s="108"/>
      <c r="AA1" s="112"/>
      <c r="AB1" s="108"/>
      <c r="AC1" s="108"/>
      <c r="AD1" s="111"/>
      <c r="AE1" s="116"/>
      <c r="AF1" s="110"/>
      <c r="AG1" s="108"/>
      <c r="AH1" s="108"/>
      <c r="AI1" s="108"/>
      <c r="AJ1" s="108"/>
      <c r="AK1" s="108"/>
      <c r="AL1" s="111"/>
      <c r="AM1" s="108"/>
      <c r="AN1" s="108"/>
      <c r="AO1" s="108"/>
      <c r="AP1" s="108"/>
      <c r="AQ1" s="108"/>
      <c r="AR1" s="108"/>
      <c r="AS1" s="108"/>
      <c r="AT1" s="108"/>
      <c r="AU1" s="108"/>
      <c r="AV1" s="111"/>
      <c r="AW1" s="108"/>
      <c r="AX1" s="719"/>
      <c r="AY1" s="719"/>
      <c r="AZ1" s="112">
        <v>142000</v>
      </c>
      <c r="BA1" s="113"/>
      <c r="BB1" s="114"/>
      <c r="BC1" s="114"/>
      <c r="BD1" s="114"/>
      <c r="BE1" s="114"/>
      <c r="BF1" s="115"/>
      <c r="BG1" s="116"/>
      <c r="BH1" s="116"/>
      <c r="BI1" s="117"/>
      <c r="BJ1" s="118"/>
      <c r="BK1" s="115"/>
      <c r="BL1" s="115"/>
      <c r="BM1" s="869"/>
      <c r="BN1" s="115"/>
      <c r="BO1" s="115"/>
      <c r="BP1" s="115"/>
      <c r="BQ1" s="115"/>
    </row>
    <row r="2" spans="1:76" ht="15.75" customHeight="1">
      <c r="A2" s="1165"/>
      <c r="B2" s="1166"/>
      <c r="C2" s="119"/>
      <c r="D2" s="120"/>
      <c r="E2" s="119"/>
      <c r="F2" s="106"/>
      <c r="G2" s="112"/>
      <c r="H2" s="112"/>
      <c r="I2" s="110"/>
      <c r="J2" s="109"/>
      <c r="K2" s="108"/>
      <c r="L2" s="108"/>
      <c r="M2" s="110"/>
      <c r="N2" s="110"/>
      <c r="O2" s="110"/>
      <c r="P2" s="110"/>
      <c r="Q2" s="110"/>
      <c r="R2" s="110"/>
      <c r="S2" s="110"/>
      <c r="T2" s="110"/>
      <c r="V2" s="110"/>
      <c r="W2" s="110"/>
      <c r="X2" s="121"/>
      <c r="Y2" s="110"/>
      <c r="Z2" s="110"/>
      <c r="AA2" s="172"/>
      <c r="AB2" s="172"/>
      <c r="AC2" s="110"/>
      <c r="AD2" s="746"/>
      <c r="AE2" s="732"/>
      <c r="AF2" s="110"/>
      <c r="AG2" s="108"/>
      <c r="AH2" s="112"/>
      <c r="AI2" s="112"/>
      <c r="AJ2" s="111"/>
      <c r="AK2" s="108"/>
      <c r="AL2" s="111"/>
      <c r="AM2" s="122">
        <f>AM24-1630000</f>
        <v>10370000</v>
      </c>
      <c r="AN2" s="122"/>
      <c r="AO2" s="122"/>
      <c r="AP2" s="122"/>
      <c r="AQ2" s="122"/>
      <c r="AR2" s="122"/>
      <c r="AS2" s="122"/>
      <c r="AT2" s="112"/>
      <c r="AU2" s="112"/>
      <c r="AV2" s="111"/>
      <c r="AW2" s="112"/>
      <c r="AX2" s="719"/>
      <c r="AY2" s="719"/>
      <c r="AZ2" s="123">
        <v>558000</v>
      </c>
      <c r="BA2" s="111"/>
      <c r="BB2" s="114"/>
      <c r="BC2" s="114"/>
      <c r="BD2" s="114"/>
      <c r="BE2" s="114"/>
      <c r="BF2" s="115"/>
      <c r="BG2" s="116"/>
      <c r="BH2" s="116"/>
      <c r="BI2" s="117"/>
      <c r="BJ2" s="118"/>
      <c r="BK2" s="124"/>
      <c r="BL2" s="1167" t="s">
        <v>0</v>
      </c>
      <c r="BM2" s="1167"/>
      <c r="BN2" s="1156"/>
      <c r="BO2" s="115"/>
      <c r="BP2" s="125">
        <v>13358652</v>
      </c>
      <c r="BQ2" s="115"/>
    </row>
    <row r="3" spans="1:76" ht="22.5" customHeight="1">
      <c r="A3" s="1168" t="s">
        <v>5994</v>
      </c>
      <c r="B3" s="1169"/>
      <c r="C3" s="1169"/>
      <c r="D3" s="1169"/>
      <c r="E3" s="1169"/>
      <c r="F3" s="1169"/>
      <c r="G3" s="1169"/>
      <c r="H3" s="1169"/>
      <c r="I3" s="1169"/>
      <c r="J3" s="1169"/>
      <c r="K3" s="1169"/>
      <c r="L3" s="1169"/>
      <c r="M3" s="1169"/>
      <c r="N3" s="1169"/>
      <c r="O3" s="1169"/>
      <c r="P3" s="1169"/>
      <c r="Q3" s="1169"/>
      <c r="R3" s="1169"/>
      <c r="S3" s="1169"/>
      <c r="T3" s="1169"/>
      <c r="U3" s="1169"/>
      <c r="V3" s="1169"/>
      <c r="W3" s="1169"/>
      <c r="X3" s="1169"/>
      <c r="Y3" s="1169"/>
      <c r="Z3" s="1169"/>
      <c r="AA3" s="1169"/>
      <c r="AB3" s="1169"/>
      <c r="AC3" s="1169"/>
      <c r="AD3" s="1169"/>
      <c r="AE3" s="1169"/>
      <c r="AF3" s="1170"/>
      <c r="AG3" s="1169"/>
      <c r="AH3" s="1169"/>
      <c r="AI3" s="1169"/>
      <c r="AJ3" s="1169"/>
      <c r="AK3" s="1169"/>
      <c r="AL3" s="1169"/>
      <c r="AM3" s="1169"/>
      <c r="AN3" s="1169"/>
      <c r="AO3" s="1169"/>
      <c r="AP3" s="1169"/>
      <c r="AQ3" s="1169"/>
      <c r="AR3" s="1169"/>
      <c r="AS3" s="1169"/>
      <c r="AT3" s="1169"/>
      <c r="AU3" s="1169"/>
      <c r="AV3" s="1169"/>
      <c r="AW3" s="1169"/>
      <c r="AX3" s="1169"/>
      <c r="AY3" s="1169"/>
      <c r="AZ3" s="1169"/>
      <c r="BA3" s="1169"/>
      <c r="BB3" s="115"/>
      <c r="BC3" s="115"/>
      <c r="BD3" s="115"/>
      <c r="BE3" s="115"/>
      <c r="BF3" s="115"/>
      <c r="BG3" s="126"/>
      <c r="BH3" s="116"/>
      <c r="BI3" s="117"/>
      <c r="BJ3" s="118"/>
      <c r="BK3" s="127"/>
      <c r="BL3" s="127" t="s">
        <v>2</v>
      </c>
      <c r="BM3" s="127"/>
      <c r="BN3" s="128">
        <f>SUM(AZ9:AZ37)</f>
        <v>-248086000</v>
      </c>
      <c r="BO3" s="129">
        <f>BN3+BN4</f>
        <v>157008213</v>
      </c>
      <c r="BP3" s="125">
        <v>472375765</v>
      </c>
      <c r="BQ3" s="115"/>
    </row>
    <row r="4" spans="1:76" ht="24.75" customHeight="1">
      <c r="A4" s="1171" t="s">
        <v>3</v>
      </c>
      <c r="B4" s="1146"/>
      <c r="C4" s="130"/>
      <c r="D4" s="130"/>
      <c r="E4" s="130"/>
      <c r="F4" s="130"/>
      <c r="G4" s="1172" t="s">
        <v>4</v>
      </c>
      <c r="H4" s="1145"/>
      <c r="I4" s="1145"/>
      <c r="J4" s="1145"/>
      <c r="K4" s="1145"/>
      <c r="L4" s="1145"/>
      <c r="M4" s="1145"/>
      <c r="N4" s="1145"/>
      <c r="O4" s="1145"/>
      <c r="P4" s="1145"/>
      <c r="Q4" s="1145"/>
      <c r="R4" s="1145"/>
      <c r="S4" s="1146"/>
      <c r="T4" s="131"/>
      <c r="U4" s="1173" t="s">
        <v>5</v>
      </c>
      <c r="V4" s="1145"/>
      <c r="W4" s="1145"/>
      <c r="X4" s="1145"/>
      <c r="Y4" s="1146"/>
      <c r="Z4" s="130"/>
      <c r="AA4" s="1174" t="s">
        <v>6</v>
      </c>
      <c r="AB4" s="1145"/>
      <c r="AC4" s="1145"/>
      <c r="AD4" s="1146"/>
      <c r="AE4" s="733"/>
      <c r="AF4" s="1188" t="s">
        <v>7</v>
      </c>
      <c r="AG4" s="1145"/>
      <c r="AH4" s="1145"/>
      <c r="AI4" s="1145"/>
      <c r="AJ4" s="1145"/>
      <c r="AK4" s="1145"/>
      <c r="AL4" s="1146"/>
      <c r="AM4" s="1189" t="s">
        <v>8</v>
      </c>
      <c r="AN4" s="1178" t="s">
        <v>9</v>
      </c>
      <c r="AO4" s="1145"/>
      <c r="AP4" s="1146"/>
      <c r="AQ4" s="1179" t="s">
        <v>10</v>
      </c>
      <c r="AR4" s="1145"/>
      <c r="AS4" s="1145"/>
      <c r="AT4" s="1145"/>
      <c r="AU4" s="1145"/>
      <c r="AV4" s="1146"/>
      <c r="AW4" s="1175" t="s">
        <v>11</v>
      </c>
      <c r="AX4" s="1145"/>
      <c r="AY4" s="1145"/>
      <c r="AZ4" s="1146"/>
      <c r="BA4" s="1180" t="s">
        <v>12</v>
      </c>
      <c r="BB4" s="1181" t="s">
        <v>13</v>
      </c>
      <c r="BC4" s="120"/>
      <c r="BD4" s="120"/>
      <c r="BE4" s="120"/>
      <c r="BF4" s="115"/>
      <c r="BG4" s="116"/>
      <c r="BH4" s="116"/>
      <c r="BI4" s="117"/>
      <c r="BJ4" s="118"/>
      <c r="BK4" s="133"/>
      <c r="BL4" s="133" t="s">
        <v>14</v>
      </c>
      <c r="BM4" s="882"/>
      <c r="BN4" s="134">
        <f>SUM(BA9:BA37)</f>
        <v>405094213</v>
      </c>
      <c r="BO4" s="115"/>
      <c r="BP4" s="115"/>
      <c r="BQ4" s="115"/>
    </row>
    <row r="5" spans="1:76" ht="21" customHeight="1">
      <c r="A5" s="1181" t="s">
        <v>15</v>
      </c>
      <c r="B5" s="1181" t="s">
        <v>17</v>
      </c>
      <c r="C5" s="1181" t="s">
        <v>18</v>
      </c>
      <c r="D5" s="1181" t="s">
        <v>19</v>
      </c>
      <c r="E5" s="1181" t="s">
        <v>20</v>
      </c>
      <c r="F5" s="1181" t="s">
        <v>21</v>
      </c>
      <c r="G5" s="1172" t="s">
        <v>22</v>
      </c>
      <c r="H5" s="1146"/>
      <c r="I5" s="1172" t="s">
        <v>23</v>
      </c>
      <c r="J5" s="1145"/>
      <c r="K5" s="1146"/>
      <c r="L5" s="1181" t="s">
        <v>24</v>
      </c>
      <c r="M5" s="1172" t="s">
        <v>25</v>
      </c>
      <c r="N5" s="1145"/>
      <c r="O5" s="1145"/>
      <c r="P5" s="1145"/>
      <c r="Q5" s="1145"/>
      <c r="R5" s="1145"/>
      <c r="S5" s="1146"/>
      <c r="T5" s="135"/>
      <c r="U5" s="1184" t="s">
        <v>26</v>
      </c>
      <c r="V5" s="1184" t="s">
        <v>27</v>
      </c>
      <c r="W5" s="1184" t="s">
        <v>28</v>
      </c>
      <c r="X5" s="1184" t="s">
        <v>29</v>
      </c>
      <c r="Y5" s="1184" t="s">
        <v>30</v>
      </c>
      <c r="Z5" s="1181" t="s">
        <v>31</v>
      </c>
      <c r="AA5" s="1184" t="s">
        <v>32</v>
      </c>
      <c r="AB5" s="1182" t="s">
        <v>33</v>
      </c>
      <c r="AC5" s="1182" t="s">
        <v>34</v>
      </c>
      <c r="AD5" s="1182" t="s">
        <v>35</v>
      </c>
      <c r="AE5" s="1191" t="s">
        <v>36</v>
      </c>
      <c r="AF5" s="1181" t="s">
        <v>37</v>
      </c>
      <c r="AG5" s="1186" t="s">
        <v>980</v>
      </c>
      <c r="AH5" s="1186" t="s">
        <v>38</v>
      </c>
      <c r="AI5" s="1186" t="s">
        <v>40</v>
      </c>
      <c r="AJ5" s="1186" t="s">
        <v>41</v>
      </c>
      <c r="AK5" s="1186" t="s">
        <v>1222</v>
      </c>
      <c r="AL5" s="1190" t="s">
        <v>43</v>
      </c>
      <c r="AM5" s="1150"/>
      <c r="AN5" s="1182" t="s">
        <v>44</v>
      </c>
      <c r="AO5" s="1182" t="s">
        <v>45</v>
      </c>
      <c r="AP5" s="1182" t="s">
        <v>46</v>
      </c>
      <c r="AQ5" s="1184" t="s">
        <v>47</v>
      </c>
      <c r="AR5" s="1184" t="s">
        <v>48</v>
      </c>
      <c r="AS5" s="1184" t="s">
        <v>49</v>
      </c>
      <c r="AT5" s="1184" t="s">
        <v>50</v>
      </c>
      <c r="AU5" s="1185" t="s">
        <v>51</v>
      </c>
      <c r="AV5" s="1146"/>
      <c r="AW5" s="1181" t="s">
        <v>52</v>
      </c>
      <c r="AX5" s="1176" t="s">
        <v>53</v>
      </c>
      <c r="AY5" s="1176" t="s">
        <v>54</v>
      </c>
      <c r="AZ5" s="1181" t="s">
        <v>55</v>
      </c>
      <c r="BA5" s="1150"/>
      <c r="BB5" s="1150"/>
      <c r="BC5" s="120"/>
      <c r="BD5" s="724"/>
      <c r="BE5" s="724"/>
      <c r="BF5" s="115"/>
      <c r="BG5" s="116"/>
      <c r="BH5" s="116"/>
      <c r="BI5" s="117"/>
      <c r="BJ5" s="118"/>
      <c r="BK5" s="115" t="s">
        <v>56</v>
      </c>
      <c r="BL5" s="115"/>
      <c r="BM5" s="869"/>
      <c r="BN5" s="115"/>
      <c r="BO5" s="115"/>
      <c r="BP5" s="115"/>
      <c r="BQ5" s="125">
        <v>549869632</v>
      </c>
    </row>
    <row r="6" spans="1:76" ht="37.5" customHeight="1">
      <c r="A6" s="1141"/>
      <c r="B6" s="1141"/>
      <c r="C6" s="1141"/>
      <c r="D6" s="1141"/>
      <c r="E6" s="1141"/>
      <c r="F6" s="1141"/>
      <c r="G6" s="132" t="s">
        <v>57</v>
      </c>
      <c r="H6" s="132" t="s">
        <v>58</v>
      </c>
      <c r="I6" s="135" t="s">
        <v>59</v>
      </c>
      <c r="J6" s="136" t="s">
        <v>60</v>
      </c>
      <c r="K6" s="137" t="s">
        <v>61</v>
      </c>
      <c r="L6" s="1141"/>
      <c r="M6" s="132" t="s">
        <v>62</v>
      </c>
      <c r="N6" s="137" t="s">
        <v>63</v>
      </c>
      <c r="O6" s="137" t="s">
        <v>64</v>
      </c>
      <c r="P6" s="137" t="s">
        <v>65</v>
      </c>
      <c r="Q6" s="137" t="s">
        <v>66</v>
      </c>
      <c r="R6" s="137" t="s">
        <v>67</v>
      </c>
      <c r="S6" s="137" t="s">
        <v>61</v>
      </c>
      <c r="T6" s="135" t="s">
        <v>181</v>
      </c>
      <c r="U6" s="1141"/>
      <c r="V6" s="1141"/>
      <c r="W6" s="1141"/>
      <c r="X6" s="1141"/>
      <c r="Y6" s="1141"/>
      <c r="Z6" s="1141"/>
      <c r="AA6" s="1141"/>
      <c r="AB6" s="1141"/>
      <c r="AC6" s="1141"/>
      <c r="AD6" s="1141"/>
      <c r="AE6" s="1192"/>
      <c r="AF6" s="1193"/>
      <c r="AG6" s="1187"/>
      <c r="AH6" s="1187"/>
      <c r="AI6" s="1187"/>
      <c r="AJ6" s="1187"/>
      <c r="AK6" s="1187"/>
      <c r="AL6" s="1187"/>
      <c r="AM6" s="1141"/>
      <c r="AN6" s="1141"/>
      <c r="AO6" s="1141"/>
      <c r="AP6" s="1141"/>
      <c r="AQ6" s="1141"/>
      <c r="AR6" s="1141"/>
      <c r="AS6" s="1141"/>
      <c r="AT6" s="1141"/>
      <c r="AU6" s="132" t="s">
        <v>68</v>
      </c>
      <c r="AV6" s="132" t="s">
        <v>69</v>
      </c>
      <c r="AW6" s="1183"/>
      <c r="AX6" s="1177"/>
      <c r="AY6" s="1177"/>
      <c r="AZ6" s="1183"/>
      <c r="BA6" s="1141"/>
      <c r="BB6" s="1141"/>
      <c r="BC6" s="138" t="s">
        <v>1240</v>
      </c>
      <c r="BD6" s="120" t="s">
        <v>1241</v>
      </c>
      <c r="BE6" s="138" t="s">
        <v>1224</v>
      </c>
      <c r="BF6" s="780" t="s">
        <v>183</v>
      </c>
      <c r="BG6" s="140" t="s">
        <v>1242</v>
      </c>
      <c r="BH6" s="140" t="s">
        <v>1243</v>
      </c>
      <c r="BI6" s="674" t="s">
        <v>1009</v>
      </c>
      <c r="BJ6" s="141" t="s">
        <v>184</v>
      </c>
      <c r="BK6" s="115"/>
      <c r="BL6" s="115" t="s">
        <v>185</v>
      </c>
      <c r="BM6" s="869"/>
      <c r="BN6" s="115" t="s">
        <v>186</v>
      </c>
      <c r="BO6" s="115"/>
      <c r="BP6" s="115"/>
      <c r="BQ6" s="125">
        <f>BQ5-BN4</f>
        <v>144775419</v>
      </c>
    </row>
    <row r="7" spans="1:76" ht="23.25" customHeight="1">
      <c r="A7" s="142"/>
      <c r="B7" s="142"/>
      <c r="C7" s="142"/>
      <c r="D7" s="142"/>
      <c r="E7" s="142"/>
      <c r="F7" s="142"/>
      <c r="G7" s="142" t="s">
        <v>77</v>
      </c>
      <c r="H7" s="142" t="s">
        <v>77</v>
      </c>
      <c r="I7" s="142" t="s">
        <v>77</v>
      </c>
      <c r="J7" s="143" t="s">
        <v>77</v>
      </c>
      <c r="K7" s="142" t="s">
        <v>77</v>
      </c>
      <c r="L7" s="142" t="s">
        <v>77</v>
      </c>
      <c r="M7" s="142" t="s">
        <v>77</v>
      </c>
      <c r="N7" s="142" t="s">
        <v>77</v>
      </c>
      <c r="O7" s="142" t="s">
        <v>77</v>
      </c>
      <c r="P7" s="142" t="s">
        <v>77</v>
      </c>
      <c r="Q7" s="142" t="s">
        <v>77</v>
      </c>
      <c r="R7" s="142" t="s">
        <v>77</v>
      </c>
      <c r="S7" s="142" t="s">
        <v>77</v>
      </c>
      <c r="T7" s="142" t="s">
        <v>77</v>
      </c>
      <c r="U7" s="142" t="s">
        <v>78</v>
      </c>
      <c r="V7" s="142" t="s">
        <v>78</v>
      </c>
      <c r="W7" s="142" t="s">
        <v>78</v>
      </c>
      <c r="X7" s="142" t="s">
        <v>78</v>
      </c>
      <c r="Y7" s="142" t="s">
        <v>78</v>
      </c>
      <c r="Z7" s="142"/>
      <c r="AA7" s="142" t="s">
        <v>77</v>
      </c>
      <c r="AB7" s="142" t="s">
        <v>77</v>
      </c>
      <c r="AC7" s="142" t="s">
        <v>77</v>
      </c>
      <c r="AD7" s="142" t="s">
        <v>77</v>
      </c>
      <c r="AE7" s="734"/>
      <c r="AF7" s="132" t="s">
        <v>77</v>
      </c>
      <c r="AG7" s="142" t="s">
        <v>77</v>
      </c>
      <c r="AH7" s="142" t="s">
        <v>77</v>
      </c>
      <c r="AI7" s="142" t="s">
        <v>77</v>
      </c>
      <c r="AJ7" s="142" t="s">
        <v>77</v>
      </c>
      <c r="AK7" s="142"/>
      <c r="AL7" s="142" t="s">
        <v>77</v>
      </c>
      <c r="AM7" s="142" t="s">
        <v>77</v>
      </c>
      <c r="AN7" s="142" t="s">
        <v>77</v>
      </c>
      <c r="AO7" s="142" t="s">
        <v>77</v>
      </c>
      <c r="AP7" s="142" t="s">
        <v>77</v>
      </c>
      <c r="AQ7" s="142" t="s">
        <v>79</v>
      </c>
      <c r="AR7" s="142" t="s">
        <v>80</v>
      </c>
      <c r="AS7" s="142" t="s">
        <v>80</v>
      </c>
      <c r="AT7" s="142" t="s">
        <v>80</v>
      </c>
      <c r="AU7" s="142"/>
      <c r="AV7" s="142" t="s">
        <v>80</v>
      </c>
      <c r="AW7" s="142" t="s">
        <v>80</v>
      </c>
      <c r="AX7" s="720" t="s">
        <v>80</v>
      </c>
      <c r="AY7" s="720" t="s">
        <v>80</v>
      </c>
      <c r="AZ7" s="142" t="s">
        <v>80</v>
      </c>
      <c r="BA7" s="142" t="s">
        <v>80</v>
      </c>
      <c r="BB7" s="144"/>
      <c r="BC7" s="780" t="s">
        <v>1244</v>
      </c>
      <c r="BD7" s="139"/>
      <c r="BE7" s="139"/>
      <c r="BF7" s="145"/>
      <c r="BG7" s="146"/>
      <c r="BH7" s="887" t="s">
        <v>1066</v>
      </c>
      <c r="BI7" s="147"/>
      <c r="BJ7" s="148"/>
      <c r="BK7" s="145"/>
      <c r="BL7" s="145"/>
      <c r="BM7" s="145"/>
      <c r="BN7" s="145"/>
      <c r="BO7" s="145"/>
      <c r="BP7" s="145"/>
      <c r="BQ7" s="145"/>
    </row>
    <row r="8" spans="1:76" ht="21" customHeight="1">
      <c r="A8" s="149"/>
      <c r="B8" s="944"/>
      <c r="C8" s="944"/>
      <c r="D8" s="945"/>
      <c r="E8" s="149"/>
      <c r="F8" s="149"/>
      <c r="G8" s="150">
        <v>1</v>
      </c>
      <c r="H8" s="150"/>
      <c r="I8" s="150">
        <v>2</v>
      </c>
      <c r="J8" s="151">
        <v>3</v>
      </c>
      <c r="K8" s="150">
        <v>4</v>
      </c>
      <c r="L8" s="150">
        <v>5</v>
      </c>
      <c r="M8" s="150">
        <v>5</v>
      </c>
      <c r="N8" s="150">
        <v>6</v>
      </c>
      <c r="O8" s="150">
        <v>7</v>
      </c>
      <c r="P8" s="150"/>
      <c r="Q8" s="150">
        <v>8</v>
      </c>
      <c r="R8" s="150">
        <v>9</v>
      </c>
      <c r="S8" s="150">
        <v>10</v>
      </c>
      <c r="T8" s="150"/>
      <c r="U8" s="150">
        <v>11</v>
      </c>
      <c r="V8" s="150">
        <v>12</v>
      </c>
      <c r="W8" s="150">
        <v>13</v>
      </c>
      <c r="X8" s="150">
        <v>14</v>
      </c>
      <c r="Y8" s="150">
        <v>15</v>
      </c>
      <c r="Z8" s="150"/>
      <c r="AA8" s="150">
        <v>16</v>
      </c>
      <c r="AB8" s="150">
        <v>17</v>
      </c>
      <c r="AC8" s="150">
        <v>18</v>
      </c>
      <c r="AD8" s="150">
        <v>19</v>
      </c>
      <c r="AE8" s="735"/>
      <c r="AF8" s="876">
        <v>23</v>
      </c>
      <c r="AG8" s="150">
        <v>24</v>
      </c>
      <c r="AH8" s="150">
        <v>26</v>
      </c>
      <c r="AI8" s="150">
        <v>27</v>
      </c>
      <c r="AJ8" s="150">
        <v>28</v>
      </c>
      <c r="AK8" s="150">
        <v>29</v>
      </c>
      <c r="AL8" s="150">
        <v>30</v>
      </c>
      <c r="AM8" s="150">
        <v>31</v>
      </c>
      <c r="AN8" s="150">
        <v>32</v>
      </c>
      <c r="AO8" s="150">
        <v>33</v>
      </c>
      <c r="AP8" s="150">
        <v>34</v>
      </c>
      <c r="AQ8" s="150">
        <v>35</v>
      </c>
      <c r="AR8" s="150">
        <v>36</v>
      </c>
      <c r="AS8" s="150">
        <v>37</v>
      </c>
      <c r="AT8" s="150">
        <v>38</v>
      </c>
      <c r="AU8" s="150">
        <v>39</v>
      </c>
      <c r="AV8" s="150">
        <v>40</v>
      </c>
      <c r="AW8" s="150">
        <v>41</v>
      </c>
      <c r="AX8" s="721">
        <v>42</v>
      </c>
      <c r="AY8" s="721">
        <v>43</v>
      </c>
      <c r="AZ8" s="150">
        <v>44</v>
      </c>
      <c r="BA8" s="150">
        <v>47</v>
      </c>
      <c r="BB8" s="150"/>
      <c r="BC8" s="139"/>
      <c r="BD8" s="139"/>
      <c r="BE8" s="139"/>
      <c r="BF8" s="152"/>
      <c r="BG8" s="153"/>
      <c r="BH8" s="154"/>
      <c r="BI8" s="117"/>
      <c r="BJ8" s="118"/>
      <c r="BK8" s="115"/>
      <c r="BL8" s="115"/>
      <c r="BM8" s="145" t="s">
        <v>1238</v>
      </c>
      <c r="BN8" s="145" t="s">
        <v>1236</v>
      </c>
      <c r="BO8" s="145" t="s">
        <v>1239</v>
      </c>
      <c r="BP8" s="145" t="s">
        <v>1237</v>
      </c>
      <c r="BQ8" s="115"/>
      <c r="BR8" s="562" t="s">
        <v>973</v>
      </c>
      <c r="BT8" s="873" t="s">
        <v>1221</v>
      </c>
      <c r="BU8" s="873" t="s">
        <v>1219</v>
      </c>
    </row>
    <row r="9" spans="1:76" s="584" customFormat="1" ht="24.75" customHeight="1">
      <c r="A9" s="616" t="s">
        <v>971</v>
      </c>
      <c r="B9" s="636" t="s">
        <v>90</v>
      </c>
      <c r="C9" s="635" t="s">
        <v>91</v>
      </c>
      <c r="D9" s="635" t="s">
        <v>187</v>
      </c>
      <c r="E9" s="634"/>
      <c r="F9" s="634" t="s">
        <v>85</v>
      </c>
      <c r="G9" s="635"/>
      <c r="H9" s="635"/>
      <c r="I9" s="635"/>
      <c r="J9" s="640"/>
      <c r="K9" s="641"/>
      <c r="L9" s="623">
        <v>20000000</v>
      </c>
      <c r="M9" s="623">
        <f t="shared" ref="M9:M40" si="0">L9</f>
        <v>20000000</v>
      </c>
      <c r="N9" s="571">
        <f>VLOOKUP(B9,BHXH!$E$7:$F$20,2,0)</f>
        <v>5310000</v>
      </c>
      <c r="O9" s="571">
        <f t="shared" ref="O9:O18" si="1">M9-(N9+P9+Q9+R9+S9)</f>
        <v>12060000</v>
      </c>
      <c r="P9" s="571">
        <v>500000</v>
      </c>
      <c r="Q9" s="571">
        <v>400000</v>
      </c>
      <c r="R9" s="571">
        <v>1000000</v>
      </c>
      <c r="S9" s="571">
        <v>730000</v>
      </c>
      <c r="T9" s="571">
        <f t="shared" ref="T9:T18" si="2">SUM(Q9:S9)</f>
        <v>2130000</v>
      </c>
      <c r="U9" s="559">
        <f t="shared" ref="U9:U18" si="3">SUM(W9:Y9)</f>
        <v>22</v>
      </c>
      <c r="V9" s="559">
        <v>22</v>
      </c>
      <c r="W9" s="567"/>
      <c r="X9" s="559"/>
      <c r="Y9" s="572">
        <f>VLOOKUP(B9, 'Thưởng hiệu suất'!$B:$D,3,0)</f>
        <v>22</v>
      </c>
      <c r="Z9" s="571"/>
      <c r="AA9" s="168">
        <f t="shared" ref="AA9:AA24" si="4">SUM(AB9:AD9)</f>
        <v>20000000</v>
      </c>
      <c r="AB9" s="571">
        <f t="shared" ref="AB9:AB18" si="5">ROUND($G9/V9*W9,0)</f>
        <v>0</v>
      </c>
      <c r="AC9" s="571">
        <f t="shared" ref="AC9:AC18" si="6">ROUND(I9/V9*X9,0)</f>
        <v>0</v>
      </c>
      <c r="AD9" s="571">
        <f t="shared" ref="AD9:AD18" si="7">ROUND($M9/V9*Y9,0)</f>
        <v>20000000</v>
      </c>
      <c r="AE9" s="184"/>
      <c r="AF9" s="571">
        <f t="shared" ref="AF9:AF18" si="8">SUM(AG9:AL9)</f>
        <v>0</v>
      </c>
      <c r="AG9" s="618">
        <f>SUMIF('Tổng hợp OT'!B:B,B9,'Tổng hợp OT'!D:D)</f>
        <v>0</v>
      </c>
      <c r="AH9" s="618"/>
      <c r="AI9" s="559"/>
      <c r="AJ9" s="571">
        <f>-VLOOKUP(B9,'Thưởng hiệu suất'!$B$3:$D$36,2,0)</f>
        <v>0</v>
      </c>
      <c r="AK9" s="559"/>
      <c r="AL9" s="559"/>
      <c r="AM9" s="570">
        <f t="shared" ref="AM9:AM18" si="9">AA9+AF9</f>
        <v>20000000</v>
      </c>
      <c r="AN9" s="571">
        <f>VLOOKUP(B9,BHXH!$E$7:$F$17,2,0)</f>
        <v>5310000</v>
      </c>
      <c r="AO9" s="571">
        <f t="shared" ref="AO9:AO20" si="10">$AN9*10.5%</f>
        <v>557550</v>
      </c>
      <c r="AP9" s="571">
        <f t="shared" ref="AP9:AP20" si="11">$AN9*21.5%</f>
        <v>1141650</v>
      </c>
      <c r="AQ9" s="573">
        <v>3</v>
      </c>
      <c r="AR9" s="563">
        <f>IF($E9=10%,0,(AQ9*6200000+15500000))</f>
        <v>34100000</v>
      </c>
      <c r="AS9" s="563">
        <f>AM9-(Q9+R9+S9)/V9*U9-AG9</f>
        <v>17870000</v>
      </c>
      <c r="AT9" s="571">
        <f t="shared" ref="AT9:AT18" si="12">ROUND(IF((AS9-AR9-AO9)&lt;0,0,(AS9-AR9-AO9)),0)</f>
        <v>0</v>
      </c>
      <c r="AU9" s="563"/>
      <c r="AV9" s="563">
        <f>IF(AT9&lt;=0,0,IF(AT9&lt;=10000000,AT9*5%,IF(AT9&lt;=30000000,AT9*10%-500000,IF(AT9&lt;=60000000,AT9*20%-3500000,IF(AT9&lt;=100000000,AT9*30%-9500000,AT9*35%-14500000)))))</f>
        <v>0</v>
      </c>
      <c r="AW9" s="571">
        <f>ROUND((AM9-AO9-AV9-AU9),-3)</f>
        <v>19442000</v>
      </c>
      <c r="AX9" s="1065">
        <v>55000000</v>
      </c>
      <c r="AY9" s="618"/>
      <c r="AZ9" s="571">
        <f t="shared" ref="AZ9:AZ18" si="13">ROUND(AW9-AX9+AY9,0)</f>
        <v>-35558000</v>
      </c>
      <c r="BA9" s="563">
        <f t="shared" ref="BA9:BA18" si="14">AM9+AP9</f>
        <v>21141650</v>
      </c>
      <c r="BB9" s="574"/>
      <c r="BC9" s="575">
        <f>(U9-V9)</f>
        <v>0</v>
      </c>
      <c r="BD9" s="576">
        <f>AF9</f>
        <v>0</v>
      </c>
      <c r="BE9" s="577">
        <v>0</v>
      </c>
      <c r="BF9" s="577">
        <f>T9</f>
        <v>2130000</v>
      </c>
      <c r="BG9" s="577">
        <v>55000000</v>
      </c>
      <c r="BH9" s="577">
        <v>0</v>
      </c>
      <c r="BI9" s="162">
        <f t="shared" ref="BI9:BI40" si="15">AW9-BG9</f>
        <v>-35558000</v>
      </c>
      <c r="BJ9" s="118"/>
      <c r="BK9" s="578" t="s">
        <v>90</v>
      </c>
      <c r="BL9" s="579" t="s">
        <v>188</v>
      </c>
      <c r="BM9" s="579" t="s">
        <v>189</v>
      </c>
      <c r="BN9" s="579" t="s">
        <v>201</v>
      </c>
      <c r="BO9" s="688" t="s">
        <v>1024</v>
      </c>
      <c r="BP9" s="601" t="s">
        <v>1025</v>
      </c>
      <c r="BQ9" s="582" t="s">
        <v>90</v>
      </c>
      <c r="BR9" s="583" t="s">
        <v>971</v>
      </c>
      <c r="BS9" s="584" t="s">
        <v>90</v>
      </c>
      <c r="BT9" s="875"/>
      <c r="BU9" s="875"/>
      <c r="BV9" s="872"/>
      <c r="BW9" s="584">
        <v>57475000</v>
      </c>
      <c r="BX9" s="875">
        <f>L9-BW9</f>
        <v>-37475000</v>
      </c>
    </row>
    <row r="10" spans="1:76" s="584" customFormat="1" ht="33" customHeight="1">
      <c r="A10" s="862" t="s">
        <v>971</v>
      </c>
      <c r="B10" s="635" t="s">
        <v>97</v>
      </c>
      <c r="C10" s="567" t="s">
        <v>98</v>
      </c>
      <c r="D10" s="567" t="s">
        <v>92</v>
      </c>
      <c r="E10" s="566"/>
      <c r="F10" s="566" t="s">
        <v>85</v>
      </c>
      <c r="G10" s="567"/>
      <c r="H10" s="567"/>
      <c r="I10" s="567"/>
      <c r="J10" s="568"/>
      <c r="K10" s="569"/>
      <c r="L10" s="623">
        <f>L9-1000000</f>
        <v>19000000</v>
      </c>
      <c r="M10" s="623">
        <f t="shared" si="0"/>
        <v>19000000</v>
      </c>
      <c r="N10" s="571">
        <f>VLOOKUP(B10,BHXH!$E$7:$F$20,2,0)</f>
        <v>5310000</v>
      </c>
      <c r="O10" s="571">
        <f t="shared" si="1"/>
        <v>11310000</v>
      </c>
      <c r="P10" s="571">
        <v>250000</v>
      </c>
      <c r="Q10" s="571">
        <v>400000</v>
      </c>
      <c r="R10" s="571">
        <v>1000000</v>
      </c>
      <c r="S10" s="571">
        <v>730000</v>
      </c>
      <c r="T10" s="571">
        <f t="shared" si="2"/>
        <v>2130000</v>
      </c>
      <c r="U10" s="559">
        <f t="shared" si="3"/>
        <v>22</v>
      </c>
      <c r="V10" s="559">
        <v>22</v>
      </c>
      <c r="W10" s="567"/>
      <c r="X10" s="567"/>
      <c r="Y10" s="572">
        <f>VLOOKUP(B10, 'Thưởng hiệu suất'!$B:$D,3,0)</f>
        <v>22</v>
      </c>
      <c r="Z10" s="571"/>
      <c r="AA10" s="168">
        <f t="shared" si="4"/>
        <v>19000000</v>
      </c>
      <c r="AB10" s="571">
        <f t="shared" si="5"/>
        <v>0</v>
      </c>
      <c r="AC10" s="571">
        <f t="shared" si="6"/>
        <v>0</v>
      </c>
      <c r="AD10" s="571">
        <f t="shared" si="7"/>
        <v>19000000</v>
      </c>
      <c r="AE10" s="184"/>
      <c r="AF10" s="571">
        <f t="shared" si="8"/>
        <v>0</v>
      </c>
      <c r="AG10" s="618">
        <f>SUMIF('Tổng hợp OT'!B:B,B10,'Tổng hợp OT'!D:D)</f>
        <v>0</v>
      </c>
      <c r="AH10" s="618"/>
      <c r="AI10" s="567"/>
      <c r="AJ10" s="571">
        <f>-VLOOKUP(B10,'Thưởng hiệu suất'!$B$3:$D$36,2,0)</f>
        <v>0</v>
      </c>
      <c r="AK10" s="559"/>
      <c r="AL10" s="563"/>
      <c r="AM10" s="570">
        <f t="shared" si="9"/>
        <v>19000000</v>
      </c>
      <c r="AN10" s="571">
        <f>VLOOKUP(B10,BHXH!$E$7:$F$17,2,0)</f>
        <v>5310000</v>
      </c>
      <c r="AO10" s="571">
        <f t="shared" si="10"/>
        <v>557550</v>
      </c>
      <c r="AP10" s="571">
        <f t="shared" si="11"/>
        <v>1141650</v>
      </c>
      <c r="AQ10" s="567">
        <v>0</v>
      </c>
      <c r="AR10" s="563">
        <f t="shared" ref="AR10:AR28" si="16">IF($E10=10%,0,(AQ10*6200000+15500000))</f>
        <v>15500000</v>
      </c>
      <c r="AS10" s="563">
        <f t="shared" ref="AS10:AS18" si="17">AM10-(Q10+R10+S10)/V10*U10-AG10</f>
        <v>16870000</v>
      </c>
      <c r="AT10" s="571">
        <f t="shared" si="12"/>
        <v>812450</v>
      </c>
      <c r="AU10" s="563"/>
      <c r="AV10" s="563">
        <f t="shared" ref="AV10:AV28" si="18">IF(AT10&lt;=0,0,IF(AT10&lt;=10000000,AT10*5%,IF(AT10&lt;=30000000,AT10*10%-500000,IF(AT10&lt;=60000000,AT10*20%-3500000,IF(AT10&lt;=100000000,AT10*30%-9500000,AT10*35%-14500000)))))</f>
        <v>40622.5</v>
      </c>
      <c r="AW10" s="571">
        <f t="shared" ref="AW10:AW40" si="19">ROUND((AM10-AO10-AV10-AU10),-3)</f>
        <v>18402000</v>
      </c>
      <c r="AX10" s="1065">
        <v>38000000</v>
      </c>
      <c r="AY10" s="618"/>
      <c r="AZ10" s="571">
        <f t="shared" si="13"/>
        <v>-19598000</v>
      </c>
      <c r="BA10" s="563">
        <f t="shared" si="14"/>
        <v>20141650</v>
      </c>
      <c r="BB10" s="574"/>
      <c r="BC10" s="575">
        <f t="shared" ref="BC10:BC20" si="20">(U10-V10)</f>
        <v>0</v>
      </c>
      <c r="BD10" s="576">
        <f t="shared" ref="BD10:BD18" si="21">AF10</f>
        <v>0</v>
      </c>
      <c r="BE10" s="577">
        <v>0</v>
      </c>
      <c r="BF10" s="577">
        <f t="shared" ref="BF10:BF40" si="22">T10</f>
        <v>2130000</v>
      </c>
      <c r="BG10" s="577">
        <v>38000000</v>
      </c>
      <c r="BH10" s="577">
        <v>0</v>
      </c>
      <c r="BI10" s="162">
        <f t="shared" si="15"/>
        <v>-19598000</v>
      </c>
      <c r="BJ10" s="694"/>
      <c r="BK10" s="585" t="s">
        <v>97</v>
      </c>
      <c r="BL10" s="579" t="s">
        <v>191</v>
      </c>
      <c r="BM10" s="883" t="s">
        <v>1023</v>
      </c>
      <c r="BN10" s="883" t="s">
        <v>1025</v>
      </c>
      <c r="BO10" s="688" t="s">
        <v>1023</v>
      </c>
      <c r="BP10" s="601" t="s">
        <v>1025</v>
      </c>
      <c r="BQ10" s="582" t="s">
        <v>97</v>
      </c>
      <c r="BR10" s="583" t="s">
        <v>971</v>
      </c>
      <c r="BS10" s="584" t="s">
        <v>97</v>
      </c>
      <c r="BW10" s="584">
        <v>40265328</v>
      </c>
      <c r="BX10" s="875">
        <f t="shared" ref="BX10:BX41" si="23">L10-BW10</f>
        <v>-21265328</v>
      </c>
    </row>
    <row r="11" spans="1:76" s="736" customFormat="1" ht="24.75" customHeight="1">
      <c r="A11" s="938" t="s">
        <v>971</v>
      </c>
      <c r="B11" s="817" t="s">
        <v>115</v>
      </c>
      <c r="C11" s="187" t="s">
        <v>116</v>
      </c>
      <c r="D11" s="187" t="s">
        <v>117</v>
      </c>
      <c r="E11" s="173"/>
      <c r="F11" s="836" t="s">
        <v>85</v>
      </c>
      <c r="G11" s="180"/>
      <c r="H11" s="180"/>
      <c r="I11" s="939"/>
      <c r="J11" s="939"/>
      <c r="K11" s="940"/>
      <c r="L11" s="623">
        <f t="shared" ref="L11:L38" si="24">L10-1000000</f>
        <v>18000000</v>
      </c>
      <c r="M11" s="623">
        <f t="shared" si="0"/>
        <v>18000000</v>
      </c>
      <c r="N11" s="184">
        <f>VLOOKUP(B11,BHXH!$E$7:$F$20,2,0)</f>
        <v>5310000</v>
      </c>
      <c r="O11" s="184">
        <f t="shared" si="1"/>
        <v>10810000</v>
      </c>
      <c r="P11" s="184">
        <v>250000</v>
      </c>
      <c r="Q11" s="184">
        <v>400000</v>
      </c>
      <c r="R11" s="184">
        <v>500000</v>
      </c>
      <c r="S11" s="184">
        <v>730000</v>
      </c>
      <c r="T11" s="184">
        <f t="shared" si="2"/>
        <v>1630000</v>
      </c>
      <c r="U11" s="863">
        <f t="shared" si="3"/>
        <v>10</v>
      </c>
      <c r="V11" s="186">
        <v>22</v>
      </c>
      <c r="W11" s="186"/>
      <c r="X11" s="941"/>
      <c r="Y11" s="844">
        <f>VLOOKUP(B11, 'Thưởng hiệu suất'!$B:$D,3,0)</f>
        <v>10</v>
      </c>
      <c r="Z11" s="184"/>
      <c r="AA11" s="837">
        <f t="shared" si="4"/>
        <v>8181818</v>
      </c>
      <c r="AB11" s="184">
        <f t="shared" si="5"/>
        <v>0</v>
      </c>
      <c r="AC11" s="184">
        <f t="shared" si="6"/>
        <v>0</v>
      </c>
      <c r="AD11" s="184">
        <f t="shared" si="7"/>
        <v>8181818</v>
      </c>
      <c r="AE11" s="184"/>
      <c r="AF11" s="184">
        <f t="shared" si="8"/>
        <v>-225000</v>
      </c>
      <c r="AG11" s="838">
        <f>SUMIF('Tổng hợp OT'!B:B,B11,'Tổng hợp OT'!D:D)</f>
        <v>0</v>
      </c>
      <c r="AH11" s="838"/>
      <c r="AI11" s="187"/>
      <c r="AJ11" s="571">
        <f>-VLOOKUP(B11,'Thưởng hiệu suất'!$B$3:$D$36,2,0)</f>
        <v>-225000</v>
      </c>
      <c r="AK11" s="186"/>
      <c r="AL11" s="180"/>
      <c r="AM11" s="837">
        <f t="shared" si="9"/>
        <v>7956818</v>
      </c>
      <c r="AN11" s="184">
        <f>VLOOKUP(B11,BHXH!$E$7:$F$17,2,0)</f>
        <v>5310000</v>
      </c>
      <c r="AO11" s="184">
        <f t="shared" si="10"/>
        <v>557550</v>
      </c>
      <c r="AP11" s="184">
        <f t="shared" si="11"/>
        <v>1141650</v>
      </c>
      <c r="AQ11" s="187">
        <v>0</v>
      </c>
      <c r="AR11" s="180">
        <f t="shared" si="16"/>
        <v>15500000</v>
      </c>
      <c r="AS11" s="180">
        <f t="shared" si="17"/>
        <v>7215908.9090909092</v>
      </c>
      <c r="AT11" s="184">
        <f t="shared" si="12"/>
        <v>0</v>
      </c>
      <c r="AU11" s="180"/>
      <c r="AV11" s="180">
        <f t="shared" si="18"/>
        <v>0</v>
      </c>
      <c r="AW11" s="184">
        <f t="shared" si="19"/>
        <v>7399000</v>
      </c>
      <c r="AX11" s="838"/>
      <c r="AY11" s="838"/>
      <c r="AZ11" s="184">
        <f t="shared" si="13"/>
        <v>7399000</v>
      </c>
      <c r="BA11" s="838">
        <f t="shared" si="14"/>
        <v>9098468</v>
      </c>
      <c r="BB11" s="926"/>
      <c r="BC11" s="839">
        <f t="shared" si="20"/>
        <v>-12</v>
      </c>
      <c r="BD11" s="840">
        <f t="shared" si="21"/>
        <v>-225000</v>
      </c>
      <c r="BE11" s="841">
        <v>-450000</v>
      </c>
      <c r="BF11" s="841">
        <f t="shared" si="22"/>
        <v>1630000</v>
      </c>
      <c r="BG11" s="577">
        <v>23710000</v>
      </c>
      <c r="BH11" s="841">
        <v>0</v>
      </c>
      <c r="BI11" s="1061">
        <f t="shared" si="15"/>
        <v>-16311000</v>
      </c>
      <c r="BJ11" s="1064" t="s">
        <v>6018</v>
      </c>
      <c r="BK11" s="924" t="s">
        <v>115</v>
      </c>
      <c r="BL11" s="126" t="s">
        <v>199</v>
      </c>
      <c r="BM11" s="126" t="s">
        <v>200</v>
      </c>
      <c r="BN11" s="126" t="s">
        <v>201</v>
      </c>
      <c r="BO11" s="925" t="s">
        <v>200</v>
      </c>
      <c r="BP11" s="937" t="s">
        <v>201</v>
      </c>
      <c r="BQ11" s="842" t="s">
        <v>115</v>
      </c>
      <c r="BR11" s="843" t="s">
        <v>972</v>
      </c>
      <c r="BS11" s="736" t="s">
        <v>115</v>
      </c>
      <c r="BW11" s="583">
        <v>24913865.789473683</v>
      </c>
      <c r="BX11" s="875">
        <f t="shared" si="23"/>
        <v>-6913865.7894736826</v>
      </c>
    </row>
    <row r="12" spans="1:76" s="584" customFormat="1" ht="26.25" customHeight="1">
      <c r="A12" s="862" t="s">
        <v>971</v>
      </c>
      <c r="B12" s="567" t="s">
        <v>297</v>
      </c>
      <c r="C12" s="567" t="s">
        <v>126</v>
      </c>
      <c r="D12" s="567" t="s">
        <v>204</v>
      </c>
      <c r="E12" s="588"/>
      <c r="F12" s="566" t="s">
        <v>85</v>
      </c>
      <c r="G12" s="563"/>
      <c r="H12" s="563"/>
      <c r="I12" s="563"/>
      <c r="J12" s="568"/>
      <c r="K12" s="569"/>
      <c r="L12" s="623">
        <f t="shared" si="24"/>
        <v>17000000</v>
      </c>
      <c r="M12" s="623">
        <f t="shared" si="0"/>
        <v>17000000</v>
      </c>
      <c r="N12" s="571">
        <f>VLOOKUP(B12,BHXH!$E$7:$F$20,2,0)</f>
        <v>5310000</v>
      </c>
      <c r="O12" s="571">
        <f t="shared" si="1"/>
        <v>9310000</v>
      </c>
      <c r="P12" s="571">
        <v>250000</v>
      </c>
      <c r="Q12" s="571">
        <v>400000</v>
      </c>
      <c r="R12" s="571">
        <v>1000000</v>
      </c>
      <c r="S12" s="571">
        <v>730000</v>
      </c>
      <c r="T12" s="571">
        <f t="shared" si="2"/>
        <v>2130000</v>
      </c>
      <c r="U12" s="705">
        <f t="shared" si="3"/>
        <v>22</v>
      </c>
      <c r="V12" s="559">
        <v>22</v>
      </c>
      <c r="W12" s="705"/>
      <c r="X12" s="706"/>
      <c r="Y12" s="572">
        <f>VLOOKUP(B12, 'Thưởng hiệu suất'!$B:$D,3,0)</f>
        <v>22</v>
      </c>
      <c r="Z12" s="571"/>
      <c r="AA12" s="168">
        <f t="shared" si="4"/>
        <v>17000000</v>
      </c>
      <c r="AB12" s="571">
        <f t="shared" si="5"/>
        <v>0</v>
      </c>
      <c r="AC12" s="571">
        <f t="shared" si="6"/>
        <v>0</v>
      </c>
      <c r="AD12" s="571">
        <f t="shared" si="7"/>
        <v>17000000</v>
      </c>
      <c r="AE12" s="184"/>
      <c r="AF12" s="571">
        <f t="shared" si="8"/>
        <v>0</v>
      </c>
      <c r="AG12" s="618">
        <f>SUMIF('Tổng hợp OT'!B:B,B12,'Tổng hợp OT'!D:D)</f>
        <v>0</v>
      </c>
      <c r="AH12" s="618"/>
      <c r="AI12" s="567"/>
      <c r="AJ12" s="571">
        <f>-VLOOKUP(B12,'Thưởng hiệu suất'!$B$3:$D$36,2,0)</f>
        <v>0</v>
      </c>
      <c r="AK12" s="559"/>
      <c r="AL12" s="563"/>
      <c r="AM12" s="570">
        <f t="shared" si="9"/>
        <v>17000000</v>
      </c>
      <c r="AN12" s="571">
        <f>VLOOKUP(B12,BHXH!$E$7:$F$17,2,0)</f>
        <v>5310000</v>
      </c>
      <c r="AO12" s="571">
        <f t="shared" si="10"/>
        <v>557550</v>
      </c>
      <c r="AP12" s="571">
        <f t="shared" si="11"/>
        <v>1141650</v>
      </c>
      <c r="AQ12" s="567">
        <v>2</v>
      </c>
      <c r="AR12" s="563">
        <f t="shared" si="16"/>
        <v>27900000</v>
      </c>
      <c r="AS12" s="563">
        <f t="shared" si="17"/>
        <v>14870000</v>
      </c>
      <c r="AT12" s="571">
        <f t="shared" si="12"/>
        <v>0</v>
      </c>
      <c r="AU12" s="563"/>
      <c r="AV12" s="563">
        <f t="shared" si="18"/>
        <v>0</v>
      </c>
      <c r="AW12" s="571">
        <f t="shared" si="19"/>
        <v>16442000</v>
      </c>
      <c r="AX12" s="1065">
        <v>80000000</v>
      </c>
      <c r="AY12" s="618"/>
      <c r="AZ12" s="571">
        <f t="shared" si="13"/>
        <v>-63558000</v>
      </c>
      <c r="BA12" s="563">
        <f t="shared" si="14"/>
        <v>18141650</v>
      </c>
      <c r="BB12" s="586"/>
      <c r="BC12" s="575">
        <f t="shared" si="20"/>
        <v>0</v>
      </c>
      <c r="BD12" s="576">
        <f t="shared" si="21"/>
        <v>0</v>
      </c>
      <c r="BE12" s="577">
        <v>0</v>
      </c>
      <c r="BF12" s="577">
        <f t="shared" si="22"/>
        <v>2130000</v>
      </c>
      <c r="BG12" s="577">
        <v>80000000</v>
      </c>
      <c r="BH12" s="577">
        <v>0</v>
      </c>
      <c r="BI12" s="162">
        <f t="shared" si="15"/>
        <v>-63558000</v>
      </c>
      <c r="BJ12" s="118"/>
      <c r="BK12" s="585" t="s">
        <v>297</v>
      </c>
      <c r="BL12" s="579" t="s">
        <v>205</v>
      </c>
      <c r="BM12" s="883" t="s">
        <v>206</v>
      </c>
      <c r="BN12" s="883" t="s">
        <v>1025</v>
      </c>
      <c r="BO12" s="587" t="s">
        <v>206</v>
      </c>
      <c r="BP12" s="601" t="s">
        <v>1025</v>
      </c>
      <c r="BQ12" s="582" t="s">
        <v>297</v>
      </c>
      <c r="BR12" s="583" t="s">
        <v>971</v>
      </c>
      <c r="BS12" s="584" t="s">
        <v>297</v>
      </c>
      <c r="BW12" s="584">
        <v>90217500</v>
      </c>
      <c r="BX12" s="875">
        <f t="shared" si="23"/>
        <v>-73217500</v>
      </c>
    </row>
    <row r="13" spans="1:76" s="584" customFormat="1" ht="26.25" customHeight="1">
      <c r="A13" s="615">
        <v>5</v>
      </c>
      <c r="B13" s="589" t="s">
        <v>207</v>
      </c>
      <c r="C13" s="589" t="s">
        <v>129</v>
      </c>
      <c r="D13" s="590" t="s">
        <v>208</v>
      </c>
      <c r="E13" s="588"/>
      <c r="F13" s="591" t="s">
        <v>85</v>
      </c>
      <c r="G13" s="563"/>
      <c r="H13" s="563"/>
      <c r="I13" s="563"/>
      <c r="J13" s="568"/>
      <c r="K13" s="569"/>
      <c r="L13" s="623">
        <f t="shared" si="24"/>
        <v>16000000</v>
      </c>
      <c r="M13" s="623">
        <f t="shared" si="0"/>
        <v>16000000</v>
      </c>
      <c r="N13" s="571">
        <f>VLOOKUP(B13,BHXH!$E$7:$F$20,2,0)</f>
        <v>5310000</v>
      </c>
      <c r="O13" s="571">
        <f t="shared" si="1"/>
        <v>8810000</v>
      </c>
      <c r="P13" s="571">
        <v>250000</v>
      </c>
      <c r="Q13" s="571">
        <v>400000</v>
      </c>
      <c r="R13" s="571">
        <v>500000</v>
      </c>
      <c r="S13" s="571">
        <v>730000</v>
      </c>
      <c r="T13" s="571">
        <f t="shared" si="2"/>
        <v>1630000</v>
      </c>
      <c r="U13" s="705">
        <f t="shared" si="3"/>
        <v>22</v>
      </c>
      <c r="V13" s="559">
        <v>22</v>
      </c>
      <c r="W13" s="705"/>
      <c r="X13" s="706"/>
      <c r="Y13" s="572">
        <f>VLOOKUP(B13, 'Thưởng hiệu suất'!$B:$D,3,0)</f>
        <v>22</v>
      </c>
      <c r="Z13" s="571"/>
      <c r="AA13" s="168">
        <f t="shared" si="4"/>
        <v>16000000</v>
      </c>
      <c r="AB13" s="571">
        <f t="shared" si="5"/>
        <v>0</v>
      </c>
      <c r="AC13" s="571">
        <f t="shared" si="6"/>
        <v>0</v>
      </c>
      <c r="AD13" s="571">
        <f t="shared" si="7"/>
        <v>16000000</v>
      </c>
      <c r="AE13" s="184"/>
      <c r="AF13" s="571">
        <f t="shared" si="8"/>
        <v>0</v>
      </c>
      <c r="AG13" s="618">
        <f>SUMIF('Tổng hợp OT'!B:B,B13,'Tổng hợp OT'!D:D)</f>
        <v>0</v>
      </c>
      <c r="AH13" s="618"/>
      <c r="AI13" s="567"/>
      <c r="AJ13" s="571">
        <f>-VLOOKUP(B13,'Thưởng hiệu suất'!$B$3:$D$36,2,0)</f>
        <v>0</v>
      </c>
      <c r="AK13" s="559"/>
      <c r="AL13" s="563"/>
      <c r="AM13" s="570">
        <f t="shared" si="9"/>
        <v>16000000</v>
      </c>
      <c r="AN13" s="571">
        <f>VLOOKUP(B13,BHXH!$E$7:$F$17,2,0)</f>
        <v>5310000</v>
      </c>
      <c r="AO13" s="571">
        <f t="shared" si="10"/>
        <v>557550</v>
      </c>
      <c r="AP13" s="571">
        <f t="shared" si="11"/>
        <v>1141650</v>
      </c>
      <c r="AQ13" s="567">
        <v>0</v>
      </c>
      <c r="AR13" s="563">
        <f t="shared" si="16"/>
        <v>15500000</v>
      </c>
      <c r="AS13" s="563">
        <f t="shared" si="17"/>
        <v>14370000</v>
      </c>
      <c r="AT13" s="571">
        <f t="shared" si="12"/>
        <v>0</v>
      </c>
      <c r="AU13" s="563"/>
      <c r="AV13" s="563">
        <f t="shared" si="18"/>
        <v>0</v>
      </c>
      <c r="AW13" s="571">
        <f t="shared" si="19"/>
        <v>15442000</v>
      </c>
      <c r="AX13" s="1065">
        <v>13055000</v>
      </c>
      <c r="AY13" s="618"/>
      <c r="AZ13" s="571">
        <f t="shared" si="13"/>
        <v>2387000</v>
      </c>
      <c r="BA13" s="563">
        <f t="shared" si="14"/>
        <v>17141650</v>
      </c>
      <c r="BB13" s="586"/>
      <c r="BC13" s="575">
        <f t="shared" si="20"/>
        <v>0</v>
      </c>
      <c r="BD13" s="576">
        <f t="shared" si="21"/>
        <v>0</v>
      </c>
      <c r="BE13" s="577">
        <v>0</v>
      </c>
      <c r="BF13" s="577">
        <f t="shared" si="22"/>
        <v>1630000</v>
      </c>
      <c r="BG13" s="577">
        <v>12830000</v>
      </c>
      <c r="BH13" s="577">
        <v>0</v>
      </c>
      <c r="BI13" s="1061">
        <f t="shared" si="15"/>
        <v>2612000</v>
      </c>
      <c r="BJ13" s="1062" t="s">
        <v>1050</v>
      </c>
      <c r="BK13" s="585" t="s">
        <v>207</v>
      </c>
      <c r="BL13" s="579" t="s">
        <v>209</v>
      </c>
      <c r="BM13" s="579" t="s">
        <v>210</v>
      </c>
      <c r="BN13" s="579" t="s">
        <v>211</v>
      </c>
      <c r="BO13" s="580" t="s">
        <v>210</v>
      </c>
      <c r="BP13" s="581" t="s">
        <v>211</v>
      </c>
      <c r="BQ13" s="582" t="s">
        <v>207</v>
      </c>
      <c r="BR13" s="583" t="s">
        <v>972</v>
      </c>
      <c r="BS13" s="584" t="s">
        <v>207</v>
      </c>
      <c r="BW13" s="584">
        <v>14000000</v>
      </c>
      <c r="BX13" s="875">
        <f t="shared" si="23"/>
        <v>2000000</v>
      </c>
    </row>
    <row r="14" spans="1:76" s="736" customFormat="1" ht="24.75" customHeight="1">
      <c r="A14" s="836">
        <f>A13+1</f>
        <v>6</v>
      </c>
      <c r="B14" s="912" t="s">
        <v>216</v>
      </c>
      <c r="C14" s="962" t="s">
        <v>217</v>
      </c>
      <c r="D14" s="953" t="s">
        <v>92</v>
      </c>
      <c r="E14" s="954"/>
      <c r="F14" s="955" t="s">
        <v>85</v>
      </c>
      <c r="G14" s="959"/>
      <c r="H14" s="959"/>
      <c r="I14" s="956"/>
      <c r="J14" s="957"/>
      <c r="K14" s="958"/>
      <c r="L14" s="623">
        <f t="shared" si="24"/>
        <v>15000000</v>
      </c>
      <c r="M14" s="623">
        <f t="shared" si="0"/>
        <v>15000000</v>
      </c>
      <c r="N14" s="184">
        <f>VLOOKUP(B14,BHXH!$E$7:$F$20,2,0)</f>
        <v>5310000</v>
      </c>
      <c r="O14" s="959">
        <f t="shared" si="1"/>
        <v>7810000</v>
      </c>
      <c r="P14" s="959">
        <v>250000</v>
      </c>
      <c r="Q14" s="959">
        <v>400000</v>
      </c>
      <c r="R14" s="959">
        <v>500000</v>
      </c>
      <c r="S14" s="959">
        <v>730000</v>
      </c>
      <c r="T14" s="959">
        <f t="shared" si="2"/>
        <v>1630000</v>
      </c>
      <c r="U14" s="863">
        <f t="shared" si="3"/>
        <v>22</v>
      </c>
      <c r="V14" s="186">
        <v>22</v>
      </c>
      <c r="W14" s="863"/>
      <c r="X14" s="863"/>
      <c r="Y14" s="844">
        <f>VLOOKUP(B14, 'Thưởng hiệu suất'!$B:$D,3,0)</f>
        <v>22</v>
      </c>
      <c r="Z14" s="184"/>
      <c r="AA14" s="837">
        <f t="shared" si="4"/>
        <v>15000000</v>
      </c>
      <c r="AB14" s="959">
        <f t="shared" si="5"/>
        <v>0</v>
      </c>
      <c r="AC14" s="959">
        <f t="shared" si="6"/>
        <v>0</v>
      </c>
      <c r="AD14" s="959">
        <f t="shared" si="7"/>
        <v>15000000</v>
      </c>
      <c r="AE14" s="184"/>
      <c r="AF14" s="961">
        <f t="shared" si="8"/>
        <v>-450000</v>
      </c>
      <c r="AG14" s="838">
        <f>SUMIF('Tổng hợp OT'!B:B,B14,'Tổng hợp OT'!D:D)</f>
        <v>0</v>
      </c>
      <c r="AH14" s="838"/>
      <c r="AI14" s="953"/>
      <c r="AJ14" s="571">
        <f>-VLOOKUP(B14,'Thưởng hiệu suất'!$B$3:$D$36,2,0)</f>
        <v>-450000</v>
      </c>
      <c r="AK14" s="186"/>
      <c r="AL14" s="956"/>
      <c r="AM14" s="961">
        <f t="shared" si="9"/>
        <v>14550000</v>
      </c>
      <c r="AN14" s="184">
        <f>VLOOKUP(B14,BHXH!$E$7:$F$17,2,0)</f>
        <v>5310000</v>
      </c>
      <c r="AO14" s="959">
        <f t="shared" si="10"/>
        <v>557550</v>
      </c>
      <c r="AP14" s="959">
        <f t="shared" si="11"/>
        <v>1141650</v>
      </c>
      <c r="AQ14" s="953">
        <v>0</v>
      </c>
      <c r="AR14" s="180">
        <f t="shared" si="16"/>
        <v>15500000</v>
      </c>
      <c r="AS14" s="180">
        <f t="shared" si="17"/>
        <v>12920000</v>
      </c>
      <c r="AT14" s="959">
        <f t="shared" si="12"/>
        <v>0</v>
      </c>
      <c r="AU14" s="956"/>
      <c r="AV14" s="180">
        <f t="shared" si="18"/>
        <v>0</v>
      </c>
      <c r="AW14" s="691">
        <f t="shared" si="19"/>
        <v>13992000</v>
      </c>
      <c r="AX14" s="1066">
        <v>15992000</v>
      </c>
      <c r="AY14" s="838"/>
      <c r="AZ14" s="959">
        <f t="shared" si="13"/>
        <v>-2000000</v>
      </c>
      <c r="BA14" s="956">
        <f t="shared" si="14"/>
        <v>15691650</v>
      </c>
      <c r="BB14" s="962"/>
      <c r="BC14" s="839">
        <f t="shared" si="20"/>
        <v>0</v>
      </c>
      <c r="BD14" s="840">
        <f t="shared" si="21"/>
        <v>-450000</v>
      </c>
      <c r="BE14" s="841">
        <v>450500</v>
      </c>
      <c r="BF14" s="841">
        <f t="shared" si="22"/>
        <v>1630000</v>
      </c>
      <c r="BG14" s="577">
        <v>16067000</v>
      </c>
      <c r="BH14" s="841">
        <v>0</v>
      </c>
      <c r="BI14" s="1061">
        <f t="shared" si="15"/>
        <v>-2075000</v>
      </c>
      <c r="BJ14" s="1062" t="s">
        <v>1050</v>
      </c>
      <c r="BK14" s="963" t="s">
        <v>998</v>
      </c>
      <c r="BL14" s="964" t="s">
        <v>218</v>
      </c>
      <c r="BM14" s="126" t="s">
        <v>5951</v>
      </c>
      <c r="BN14" s="126" t="s">
        <v>201</v>
      </c>
      <c r="BO14" s="965" t="s">
        <v>219</v>
      </c>
      <c r="BP14" s="966" t="s">
        <v>211</v>
      </c>
      <c r="BQ14" s="842" t="s">
        <v>216</v>
      </c>
      <c r="BR14" s="843" t="s">
        <v>972</v>
      </c>
      <c r="BS14" s="736" t="s">
        <v>998</v>
      </c>
      <c r="BT14" s="872">
        <v>15415000</v>
      </c>
      <c r="BU14" s="872">
        <v>1500000</v>
      </c>
      <c r="BV14" s="872">
        <f>AW14-BT14-BU14</f>
        <v>-2923000</v>
      </c>
      <c r="BW14" s="584">
        <v>17000000</v>
      </c>
      <c r="BX14" s="875">
        <f t="shared" si="23"/>
        <v>-2000000</v>
      </c>
    </row>
    <row r="15" spans="1:76" s="736" customFormat="1" ht="24" customHeight="1">
      <c r="A15" s="950" t="s">
        <v>971</v>
      </c>
      <c r="B15" s="951" t="s">
        <v>139</v>
      </c>
      <c r="C15" s="952" t="s">
        <v>140</v>
      </c>
      <c r="D15" s="953" t="s">
        <v>220</v>
      </c>
      <c r="E15" s="954"/>
      <c r="F15" s="955" t="s">
        <v>85</v>
      </c>
      <c r="G15" s="956"/>
      <c r="H15" s="956"/>
      <c r="I15" s="956"/>
      <c r="J15" s="957"/>
      <c r="K15" s="958"/>
      <c r="L15" s="623">
        <f t="shared" si="24"/>
        <v>14000000</v>
      </c>
      <c r="M15" s="623">
        <f t="shared" si="0"/>
        <v>14000000</v>
      </c>
      <c r="N15" s="184">
        <f>VLOOKUP(B15,BHXH!$E$7:$F$20,2,0)</f>
        <v>5310000</v>
      </c>
      <c r="O15" s="959">
        <f t="shared" si="1"/>
        <v>6810000</v>
      </c>
      <c r="P15" s="959">
        <v>250000</v>
      </c>
      <c r="Q15" s="959">
        <v>400000</v>
      </c>
      <c r="R15" s="959">
        <v>500000</v>
      </c>
      <c r="S15" s="959">
        <v>730000</v>
      </c>
      <c r="T15" s="959">
        <f t="shared" si="2"/>
        <v>1630000</v>
      </c>
      <c r="U15" s="863">
        <f t="shared" si="3"/>
        <v>22</v>
      </c>
      <c r="V15" s="186">
        <v>22</v>
      </c>
      <c r="W15" s="863"/>
      <c r="X15" s="960"/>
      <c r="Y15" s="844">
        <f>VLOOKUP(B15, 'Thưởng hiệu suất'!$B:$D,3,0)</f>
        <v>22</v>
      </c>
      <c r="Z15" s="184"/>
      <c r="AA15" s="837">
        <f t="shared" si="4"/>
        <v>14000000</v>
      </c>
      <c r="AB15" s="959">
        <f t="shared" si="5"/>
        <v>0</v>
      </c>
      <c r="AC15" s="959">
        <f t="shared" si="6"/>
        <v>0</v>
      </c>
      <c r="AD15" s="959">
        <f t="shared" si="7"/>
        <v>14000000</v>
      </c>
      <c r="AE15" s="184"/>
      <c r="AF15" s="959">
        <f t="shared" si="8"/>
        <v>-50000</v>
      </c>
      <c r="AG15" s="838">
        <f>SUMIF('Tổng hợp OT'!B:B,B15,'Tổng hợp OT'!D:D)</f>
        <v>0</v>
      </c>
      <c r="AH15" s="838"/>
      <c r="AI15" s="953"/>
      <c r="AJ15" s="571">
        <f>-VLOOKUP(B15,'Thưởng hiệu suất'!$B$3:$D$36,2,0)</f>
        <v>-50000</v>
      </c>
      <c r="AK15" s="186"/>
      <c r="AL15" s="956"/>
      <c r="AM15" s="961">
        <f t="shared" si="9"/>
        <v>13950000</v>
      </c>
      <c r="AN15" s="184">
        <f>VLOOKUP(B15,BHXH!$E$7:$F$17,2,0)</f>
        <v>5310000</v>
      </c>
      <c r="AO15" s="959">
        <f t="shared" si="10"/>
        <v>557550</v>
      </c>
      <c r="AP15" s="959">
        <f t="shared" si="11"/>
        <v>1141650</v>
      </c>
      <c r="AQ15" s="953">
        <v>0</v>
      </c>
      <c r="AR15" s="180">
        <f t="shared" si="16"/>
        <v>15500000</v>
      </c>
      <c r="AS15" s="180">
        <f t="shared" si="17"/>
        <v>12320000</v>
      </c>
      <c r="AT15" s="959">
        <f t="shared" si="12"/>
        <v>0</v>
      </c>
      <c r="AU15" s="956">
        <v>0</v>
      </c>
      <c r="AV15" s="180">
        <f t="shared" si="18"/>
        <v>0</v>
      </c>
      <c r="AW15" s="691">
        <f t="shared" si="19"/>
        <v>13392000</v>
      </c>
      <c r="AX15" s="1066"/>
      <c r="AY15" s="838"/>
      <c r="AZ15" s="959">
        <f t="shared" si="13"/>
        <v>13392000</v>
      </c>
      <c r="BA15" s="956">
        <f t="shared" si="14"/>
        <v>15091650</v>
      </c>
      <c r="BB15" s="962"/>
      <c r="BC15" s="839">
        <f t="shared" si="20"/>
        <v>0</v>
      </c>
      <c r="BD15" s="840">
        <f t="shared" si="21"/>
        <v>-50000</v>
      </c>
      <c r="BE15" s="841">
        <v>0</v>
      </c>
      <c r="BF15" s="841">
        <f t="shared" si="22"/>
        <v>1630000</v>
      </c>
      <c r="BG15" s="577">
        <v>30000000</v>
      </c>
      <c r="BH15" s="841">
        <v>0</v>
      </c>
      <c r="BI15" s="162">
        <f t="shared" si="15"/>
        <v>-16608000</v>
      </c>
      <c r="BJ15" s="118"/>
      <c r="BK15" s="963" t="s">
        <v>139</v>
      </c>
      <c r="BL15" s="964" t="s">
        <v>221</v>
      </c>
      <c r="BM15" s="126" t="s">
        <v>5952</v>
      </c>
      <c r="BN15" s="126" t="s">
        <v>201</v>
      </c>
      <c r="BO15" s="965" t="s">
        <v>222</v>
      </c>
      <c r="BP15" s="966" t="s">
        <v>223</v>
      </c>
      <c r="BQ15" s="842" t="s">
        <v>139</v>
      </c>
      <c r="BR15" s="843" t="s">
        <v>971</v>
      </c>
      <c r="BS15" s="736" t="s">
        <v>139</v>
      </c>
      <c r="BT15" s="872"/>
      <c r="BU15" s="872"/>
      <c r="BV15" s="967"/>
      <c r="BW15" s="584">
        <v>31431994</v>
      </c>
      <c r="BX15" s="875">
        <f t="shared" si="23"/>
        <v>-17431994</v>
      </c>
    </row>
    <row r="16" spans="1:76" s="584" customFormat="1" ht="28.5" customHeight="1">
      <c r="A16" s="615">
        <v>8</v>
      </c>
      <c r="B16" s="602" t="s">
        <v>142</v>
      </c>
      <c r="C16" s="597" t="s">
        <v>143</v>
      </c>
      <c r="D16" s="593" t="s">
        <v>144</v>
      </c>
      <c r="E16" s="594"/>
      <c r="F16" s="595" t="s">
        <v>85</v>
      </c>
      <c r="G16" s="596"/>
      <c r="H16" s="596"/>
      <c r="I16" s="564"/>
      <c r="J16" s="568"/>
      <c r="K16" s="569"/>
      <c r="L16" s="623">
        <f t="shared" si="24"/>
        <v>13000000</v>
      </c>
      <c r="M16" s="623">
        <f t="shared" si="0"/>
        <v>13000000</v>
      </c>
      <c r="N16" s="571">
        <f>VLOOKUP(B16,BHXH!$E$7:$F$20,2,0)</f>
        <v>5310000</v>
      </c>
      <c r="O16" s="596">
        <f t="shared" si="1"/>
        <v>5810000</v>
      </c>
      <c r="P16" s="596">
        <v>250000</v>
      </c>
      <c r="Q16" s="596">
        <v>400000</v>
      </c>
      <c r="R16" s="596">
        <v>500000</v>
      </c>
      <c r="S16" s="596">
        <v>730000</v>
      </c>
      <c r="T16" s="596">
        <f t="shared" si="2"/>
        <v>1630000</v>
      </c>
      <c r="U16" s="705">
        <f t="shared" si="3"/>
        <v>22</v>
      </c>
      <c r="V16" s="559">
        <v>22</v>
      </c>
      <c r="W16" s="705"/>
      <c r="X16" s="706"/>
      <c r="Y16" s="572">
        <f>VLOOKUP(B16, 'Thưởng hiệu suất'!$B:$D,3,0)</f>
        <v>22</v>
      </c>
      <c r="Z16" s="571"/>
      <c r="AA16" s="168">
        <f t="shared" si="4"/>
        <v>13000000</v>
      </c>
      <c r="AB16" s="571">
        <f t="shared" si="5"/>
        <v>0</v>
      </c>
      <c r="AC16" s="596">
        <f t="shared" si="6"/>
        <v>0</v>
      </c>
      <c r="AD16" s="596">
        <f t="shared" si="7"/>
        <v>13000000</v>
      </c>
      <c r="AE16" s="184"/>
      <c r="AF16" s="596">
        <f t="shared" si="8"/>
        <v>0</v>
      </c>
      <c r="AG16" s="618">
        <f>SUMIF('Tổng hợp OT'!B:B,B16,'Tổng hợp OT'!D:D)</f>
        <v>0</v>
      </c>
      <c r="AH16" s="618"/>
      <c r="AI16" s="593"/>
      <c r="AJ16" s="571">
        <f>-VLOOKUP(B16,'Thưởng hiệu suất'!$B$3:$D$36,2,0)</f>
        <v>0</v>
      </c>
      <c r="AK16" s="559"/>
      <c r="AL16" s="320"/>
      <c r="AM16" s="570">
        <f t="shared" si="9"/>
        <v>13000000</v>
      </c>
      <c r="AN16" s="571">
        <f>VLOOKUP(B16,BHXH!$E$7:$F$17,2,0)</f>
        <v>5310000</v>
      </c>
      <c r="AO16" s="596">
        <f t="shared" si="10"/>
        <v>557550</v>
      </c>
      <c r="AP16" s="596">
        <f t="shared" si="11"/>
        <v>1141650</v>
      </c>
      <c r="AQ16" s="567">
        <v>0</v>
      </c>
      <c r="AR16" s="563">
        <f t="shared" si="16"/>
        <v>15500000</v>
      </c>
      <c r="AS16" s="563">
        <f t="shared" si="17"/>
        <v>11370000</v>
      </c>
      <c r="AT16" s="596">
        <f t="shared" si="12"/>
        <v>0</v>
      </c>
      <c r="AU16" s="564">
        <v>0</v>
      </c>
      <c r="AV16" s="563">
        <f t="shared" si="18"/>
        <v>0</v>
      </c>
      <c r="AW16" s="596">
        <f t="shared" si="19"/>
        <v>12442000</v>
      </c>
      <c r="AX16" s="1065">
        <v>16092000</v>
      </c>
      <c r="AY16" s="618">
        <v>150000</v>
      </c>
      <c r="AZ16" s="596">
        <f t="shared" si="13"/>
        <v>-3500000</v>
      </c>
      <c r="BA16" s="722">
        <f t="shared" si="14"/>
        <v>14141650</v>
      </c>
      <c r="BB16" s="592"/>
      <c r="BC16" s="575">
        <f t="shared" si="20"/>
        <v>0</v>
      </c>
      <c r="BD16" s="576">
        <f t="shared" si="21"/>
        <v>0</v>
      </c>
      <c r="BE16" s="577">
        <v>1055000</v>
      </c>
      <c r="BF16" s="577">
        <f t="shared" si="22"/>
        <v>1630000</v>
      </c>
      <c r="BG16" s="577">
        <v>14892000</v>
      </c>
      <c r="BH16" s="577">
        <v>0</v>
      </c>
      <c r="BI16" s="1061">
        <f t="shared" si="15"/>
        <v>-2450000</v>
      </c>
      <c r="BJ16" s="1064" t="s">
        <v>6019</v>
      </c>
      <c r="BK16" s="598" t="s">
        <v>142</v>
      </c>
      <c r="BL16" s="599" t="s">
        <v>224</v>
      </c>
      <c r="BM16" s="579" t="s">
        <v>225</v>
      </c>
      <c r="BN16" s="579" t="s">
        <v>201</v>
      </c>
      <c r="BO16" s="600" t="s">
        <v>225</v>
      </c>
      <c r="BP16" s="601" t="s">
        <v>201</v>
      </c>
      <c r="BQ16" s="582" t="s">
        <v>142</v>
      </c>
      <c r="BR16" s="583" t="s">
        <v>972</v>
      </c>
      <c r="BS16" s="584" t="s">
        <v>142</v>
      </c>
      <c r="BW16" s="584">
        <v>16500000</v>
      </c>
      <c r="BX16" s="875">
        <f t="shared" si="23"/>
        <v>-3500000</v>
      </c>
    </row>
    <row r="17" spans="1:76" s="584" customFormat="1" ht="27" customHeight="1">
      <c r="A17" s="566">
        <f>A16+1</f>
        <v>9</v>
      </c>
      <c r="B17" s="592" t="s">
        <v>229</v>
      </c>
      <c r="C17" s="592" t="s">
        <v>230</v>
      </c>
      <c r="D17" s="593" t="s">
        <v>231</v>
      </c>
      <c r="E17" s="594"/>
      <c r="F17" s="595" t="s">
        <v>85</v>
      </c>
      <c r="G17" s="596"/>
      <c r="H17" s="596"/>
      <c r="I17" s="565"/>
      <c r="J17" s="568"/>
      <c r="K17" s="569"/>
      <c r="L17" s="623">
        <v>12000000</v>
      </c>
      <c r="M17" s="623">
        <f t="shared" si="0"/>
        <v>12000000</v>
      </c>
      <c r="N17" s="571">
        <f>VLOOKUP(B17,BHXH!$E$7:$F$20,2,0)</f>
        <v>5310000</v>
      </c>
      <c r="O17" s="596">
        <f t="shared" si="1"/>
        <v>4060000</v>
      </c>
      <c r="P17" s="596">
        <v>500000</v>
      </c>
      <c r="Q17" s="596">
        <v>400000</v>
      </c>
      <c r="R17" s="596">
        <v>1000000</v>
      </c>
      <c r="S17" s="596">
        <v>730000</v>
      </c>
      <c r="T17" s="596">
        <f t="shared" si="2"/>
        <v>2130000</v>
      </c>
      <c r="U17" s="707">
        <f t="shared" si="3"/>
        <v>22</v>
      </c>
      <c r="V17" s="559">
        <v>22</v>
      </c>
      <c r="W17" s="705"/>
      <c r="X17" s="708"/>
      <c r="Y17" s="572">
        <f>VLOOKUP(B17, 'Thưởng hiệu suất'!$B:$D,3,0)</f>
        <v>22</v>
      </c>
      <c r="Z17" s="571"/>
      <c r="AA17" s="168">
        <f t="shared" si="4"/>
        <v>12000000</v>
      </c>
      <c r="AB17" s="571">
        <f t="shared" si="5"/>
        <v>0</v>
      </c>
      <c r="AC17" s="603">
        <f t="shared" si="6"/>
        <v>0</v>
      </c>
      <c r="AD17" s="596">
        <f t="shared" si="7"/>
        <v>12000000</v>
      </c>
      <c r="AE17" s="184"/>
      <c r="AF17" s="603">
        <f t="shared" si="8"/>
        <v>0</v>
      </c>
      <c r="AG17" s="618">
        <f>SUMIF('Tổng hợp OT'!B:B,B17,'Tổng hợp OT'!D:D)</f>
        <v>0</v>
      </c>
      <c r="AH17" s="618"/>
      <c r="AI17" s="593"/>
      <c r="AJ17" s="571">
        <f>-VLOOKUP(B17,'Thưởng hiệu suất'!$B$3:$D$36,2,0)</f>
        <v>0</v>
      </c>
      <c r="AK17" s="559"/>
      <c r="AL17" s="564"/>
      <c r="AM17" s="570">
        <f t="shared" si="9"/>
        <v>12000000</v>
      </c>
      <c r="AN17" s="571">
        <f>VLOOKUP(B17,BHXH!$E$7:$F$17,2,0)</f>
        <v>5310000</v>
      </c>
      <c r="AO17" s="596">
        <f t="shared" si="10"/>
        <v>557550</v>
      </c>
      <c r="AP17" s="596">
        <f t="shared" si="11"/>
        <v>1141650</v>
      </c>
      <c r="AQ17" s="567">
        <v>0</v>
      </c>
      <c r="AR17" s="563">
        <f t="shared" si="16"/>
        <v>15500000</v>
      </c>
      <c r="AS17" s="563">
        <f t="shared" si="17"/>
        <v>9870000</v>
      </c>
      <c r="AT17" s="596">
        <f t="shared" si="12"/>
        <v>0</v>
      </c>
      <c r="AU17" s="565">
        <v>0</v>
      </c>
      <c r="AV17" s="563">
        <f t="shared" si="18"/>
        <v>0</v>
      </c>
      <c r="AW17" s="596">
        <f t="shared" si="19"/>
        <v>11442000</v>
      </c>
      <c r="AX17" s="1065">
        <v>43713000</v>
      </c>
      <c r="AY17" s="618"/>
      <c r="AZ17" s="603">
        <f t="shared" si="13"/>
        <v>-32271000</v>
      </c>
      <c r="BA17" s="565">
        <f t="shared" si="14"/>
        <v>13141650</v>
      </c>
      <c r="BB17" s="592"/>
      <c r="BC17" s="575">
        <f t="shared" si="20"/>
        <v>0</v>
      </c>
      <c r="BD17" s="576">
        <f t="shared" si="21"/>
        <v>0</v>
      </c>
      <c r="BE17" s="577">
        <v>0</v>
      </c>
      <c r="BF17" s="577">
        <f t="shared" si="22"/>
        <v>2130000</v>
      </c>
      <c r="BG17" s="577">
        <v>43713000</v>
      </c>
      <c r="BH17" s="577">
        <v>0</v>
      </c>
      <c r="BI17" s="162">
        <f t="shared" si="15"/>
        <v>-32271000</v>
      </c>
      <c r="BJ17" s="118"/>
      <c r="BK17" s="604" t="s">
        <v>999</v>
      </c>
      <c r="BL17" s="599" t="s">
        <v>232</v>
      </c>
      <c r="BM17" s="579" t="s">
        <v>5953</v>
      </c>
      <c r="BN17" s="579" t="s">
        <v>201</v>
      </c>
      <c r="BO17" s="621" t="s">
        <v>982</v>
      </c>
      <c r="BP17" s="601" t="s">
        <v>1025</v>
      </c>
      <c r="BQ17" s="582" t="s">
        <v>229</v>
      </c>
      <c r="BR17" s="583" t="s">
        <v>972</v>
      </c>
      <c r="BS17" s="584" t="s">
        <v>999</v>
      </c>
      <c r="BW17" s="584">
        <v>47000000</v>
      </c>
      <c r="BX17" s="875">
        <f t="shared" si="23"/>
        <v>-35000000</v>
      </c>
    </row>
    <row r="18" spans="1:76" s="584" customFormat="1" ht="28.8" customHeight="1">
      <c r="A18" s="616" t="s">
        <v>971</v>
      </c>
      <c r="B18" s="611" t="s">
        <v>233</v>
      </c>
      <c r="C18" s="611" t="s">
        <v>234</v>
      </c>
      <c r="D18" s="635" t="s">
        <v>144</v>
      </c>
      <c r="E18" s="637"/>
      <c r="F18" s="634" t="s">
        <v>85</v>
      </c>
      <c r="G18" s="638"/>
      <c r="H18" s="638"/>
      <c r="I18" s="639"/>
      <c r="J18" s="640"/>
      <c r="K18" s="641"/>
      <c r="L18" s="623">
        <v>12000000</v>
      </c>
      <c r="M18" s="623">
        <f t="shared" si="0"/>
        <v>12000000</v>
      </c>
      <c r="N18" s="571">
        <f>VLOOKUP(B18,BHXH!$E$7:$F$20,2,0)</f>
        <v>5310000</v>
      </c>
      <c r="O18" s="596">
        <f t="shared" si="1"/>
        <v>4810000</v>
      </c>
      <c r="P18" s="571">
        <v>250000</v>
      </c>
      <c r="Q18" s="596">
        <v>400000</v>
      </c>
      <c r="R18" s="596">
        <v>500000</v>
      </c>
      <c r="S18" s="596">
        <v>730000</v>
      </c>
      <c r="T18" s="596">
        <f t="shared" si="2"/>
        <v>1630000</v>
      </c>
      <c r="U18" s="705">
        <f t="shared" si="3"/>
        <v>22</v>
      </c>
      <c r="V18" s="559">
        <v>22</v>
      </c>
      <c r="W18" s="705"/>
      <c r="X18" s="706"/>
      <c r="Y18" s="572">
        <f>VLOOKUP(B18, 'Thưởng hiệu suất'!$B:$D,3,0)</f>
        <v>22</v>
      </c>
      <c r="Z18" s="571"/>
      <c r="AA18" s="168">
        <f t="shared" si="4"/>
        <v>12000000</v>
      </c>
      <c r="AB18" s="571">
        <f t="shared" si="5"/>
        <v>0</v>
      </c>
      <c r="AC18" s="571">
        <f t="shared" si="6"/>
        <v>0</v>
      </c>
      <c r="AD18" s="596">
        <f t="shared" si="7"/>
        <v>12000000</v>
      </c>
      <c r="AE18" s="184"/>
      <c r="AF18" s="605">
        <f t="shared" si="8"/>
        <v>0</v>
      </c>
      <c r="AG18" s="618">
        <f>SUMIF('Tổng hợp OT'!B:B,B18,'Tổng hợp OT'!D:D)</f>
        <v>0</v>
      </c>
      <c r="AH18" s="618"/>
      <c r="AI18" s="567"/>
      <c r="AJ18" s="571">
        <f>-VLOOKUP(B18,'Thưởng hiệu suất'!$B$3:$D$36,2,0)</f>
        <v>0</v>
      </c>
      <c r="AK18" s="559"/>
      <c r="AL18" s="563"/>
      <c r="AM18" s="570">
        <f t="shared" si="9"/>
        <v>12000000</v>
      </c>
      <c r="AN18" s="571">
        <f>VLOOKUP(B18,BHXH!$E$7:$F$17,2,0)</f>
        <v>5310000</v>
      </c>
      <c r="AO18" s="596">
        <f t="shared" si="10"/>
        <v>557550</v>
      </c>
      <c r="AP18" s="596">
        <f t="shared" si="11"/>
        <v>1141650</v>
      </c>
      <c r="AQ18" s="567">
        <v>1</v>
      </c>
      <c r="AR18" s="563">
        <f t="shared" si="16"/>
        <v>21700000</v>
      </c>
      <c r="AS18" s="563">
        <f t="shared" si="17"/>
        <v>10370000</v>
      </c>
      <c r="AT18" s="596">
        <f t="shared" si="12"/>
        <v>0</v>
      </c>
      <c r="AU18" s="565">
        <v>0</v>
      </c>
      <c r="AV18" s="563">
        <f t="shared" si="18"/>
        <v>0</v>
      </c>
      <c r="AW18" s="596">
        <f t="shared" si="19"/>
        <v>11442000</v>
      </c>
      <c r="AX18" s="1065">
        <v>17000000</v>
      </c>
      <c r="AY18" s="618"/>
      <c r="AZ18" s="571">
        <f t="shared" si="13"/>
        <v>-5558000</v>
      </c>
      <c r="BA18" s="618">
        <f t="shared" si="14"/>
        <v>13141650</v>
      </c>
      <c r="BB18" s="592"/>
      <c r="BC18" s="575">
        <f t="shared" si="20"/>
        <v>0</v>
      </c>
      <c r="BD18" s="576">
        <f t="shared" si="21"/>
        <v>0</v>
      </c>
      <c r="BE18" s="577">
        <v>-75000</v>
      </c>
      <c r="BF18" s="577">
        <f t="shared" si="22"/>
        <v>1630000</v>
      </c>
      <c r="BG18" s="577">
        <v>17000000</v>
      </c>
      <c r="BH18" s="577">
        <v>0</v>
      </c>
      <c r="BI18" s="162">
        <f t="shared" si="15"/>
        <v>-5558000</v>
      </c>
      <c r="BJ18" s="118"/>
      <c r="BK18" s="585" t="s">
        <v>990</v>
      </c>
      <c r="BL18" s="606" t="s">
        <v>235</v>
      </c>
      <c r="BM18" s="883" t="s">
        <v>983</v>
      </c>
      <c r="BN18" s="883" t="s">
        <v>1025</v>
      </c>
      <c r="BO18" s="587" t="s">
        <v>983</v>
      </c>
      <c r="BP18" s="601" t="s">
        <v>1025</v>
      </c>
      <c r="BQ18" s="582" t="s">
        <v>233</v>
      </c>
      <c r="BR18" s="583" t="s">
        <v>971</v>
      </c>
      <c r="BS18" s="584" t="s">
        <v>990</v>
      </c>
      <c r="BW18" s="584">
        <v>17557550</v>
      </c>
      <c r="BX18" s="875">
        <f t="shared" si="23"/>
        <v>-5557550</v>
      </c>
    </row>
    <row r="19" spans="1:76" ht="27" customHeight="1">
      <c r="A19" s="615">
        <v>11</v>
      </c>
      <c r="B19" s="1015" t="s">
        <v>970</v>
      </c>
      <c r="C19" s="624" t="s">
        <v>249</v>
      </c>
      <c r="D19" s="659" t="s">
        <v>250</v>
      </c>
      <c r="E19" s="637"/>
      <c r="F19" s="634" t="s">
        <v>85</v>
      </c>
      <c r="G19" s="660"/>
      <c r="H19" s="660"/>
      <c r="I19" s="661"/>
      <c r="J19" s="662"/>
      <c r="K19" s="663"/>
      <c r="L19" s="623">
        <v>12000000</v>
      </c>
      <c r="M19" s="623">
        <f t="shared" si="0"/>
        <v>12000000</v>
      </c>
      <c r="N19" s="571">
        <f>VLOOKUP(B19,BHXH!$E$7:$F$20,2,0)</f>
        <v>5310000</v>
      </c>
      <c r="O19" s="596">
        <f t="shared" ref="O19" si="25">M19-(N19+P19+Q19+R19+S19)</f>
        <v>4810000</v>
      </c>
      <c r="P19" s="571">
        <v>250000</v>
      </c>
      <c r="Q19" s="596">
        <v>400000</v>
      </c>
      <c r="R19" s="596">
        <v>500000</v>
      </c>
      <c r="S19" s="596">
        <v>730000</v>
      </c>
      <c r="T19" s="596">
        <f t="shared" ref="T19" si="26">SUM(Q19:S19)</f>
        <v>1630000</v>
      </c>
      <c r="U19" s="709">
        <f>SUM(W19:Y19)</f>
        <v>22</v>
      </c>
      <c r="V19" s="559">
        <v>22</v>
      </c>
      <c r="W19" s="710"/>
      <c r="X19" s="711"/>
      <c r="Y19" s="572">
        <f>VLOOKUP(B19, 'Thưởng hiệu suất'!$B:$D,3,0)</f>
        <v>22</v>
      </c>
      <c r="Z19" s="571"/>
      <c r="AA19" s="168">
        <f t="shared" si="4"/>
        <v>12000000</v>
      </c>
      <c r="AB19" s="158">
        <f>ROUND($G19/V19*W19,0)</f>
        <v>0</v>
      </c>
      <c r="AC19" s="169">
        <f>ROUND(I19/V19*X19,0)</f>
        <v>0</v>
      </c>
      <c r="AD19" s="175">
        <f>ROUND($M19/V19*Y19,0)</f>
        <v>12000000</v>
      </c>
      <c r="AE19" s="184"/>
      <c r="AF19" s="179">
        <f>SUM(AG19:AL19)</f>
        <v>0</v>
      </c>
      <c r="AG19" s="618">
        <f>SUMIF('Tổng hợp OT'!B:B,B19,'Tổng hợp OT'!D:D)</f>
        <v>0</v>
      </c>
      <c r="AH19" s="804"/>
      <c r="AI19" s="171"/>
      <c r="AJ19" s="571">
        <f>-VLOOKUP(B19,'Thưởng hiệu suất'!$B$3:$D$36,2,0)</f>
        <v>0</v>
      </c>
      <c r="AK19" s="559"/>
      <c r="AL19" s="167"/>
      <c r="AM19" s="157">
        <f>AA19+AF19</f>
        <v>12000000</v>
      </c>
      <c r="AN19" s="571">
        <f>VLOOKUP(B19,BHXH!$E$7:$F$17,2,0)</f>
        <v>5310000</v>
      </c>
      <c r="AO19" s="596">
        <f>$AN19*10.5%</f>
        <v>557550</v>
      </c>
      <c r="AP19" s="596">
        <f>$AN19*21.5%</f>
        <v>1141650</v>
      </c>
      <c r="AQ19" s="567">
        <v>1</v>
      </c>
      <c r="AR19" s="563">
        <f t="shared" si="16"/>
        <v>21700000</v>
      </c>
      <c r="AS19" s="563">
        <f>AM19-(Q19+R19+S19)/V19*U19-AG19</f>
        <v>10370000</v>
      </c>
      <c r="AT19" s="158">
        <f>ROUND(IF((AS19-AR19-AO19)&lt;0,0,(AS19-AR19-AO19)),0)</f>
        <v>0</v>
      </c>
      <c r="AU19" s="565">
        <v>0</v>
      </c>
      <c r="AV19" s="563">
        <f t="shared" si="18"/>
        <v>0</v>
      </c>
      <c r="AW19" s="596">
        <f t="shared" si="19"/>
        <v>11442000</v>
      </c>
      <c r="AX19" s="1065">
        <v>33483000</v>
      </c>
      <c r="AY19" s="618"/>
      <c r="AZ19" s="169">
        <f>ROUND(AW19-AX19+AY19,0)</f>
        <v>-22041000</v>
      </c>
      <c r="BA19" s="180">
        <f>AM19+AP19</f>
        <v>13141650</v>
      </c>
      <c r="BB19" s="592"/>
      <c r="BC19" s="575">
        <f t="shared" si="20"/>
        <v>0</v>
      </c>
      <c r="BD19" s="576">
        <f>AF19</f>
        <v>0</v>
      </c>
      <c r="BE19" s="577">
        <v>0</v>
      </c>
      <c r="BF19" s="577">
        <f t="shared" si="22"/>
        <v>1630000</v>
      </c>
      <c r="BG19" s="577">
        <v>40514000</v>
      </c>
      <c r="BH19" s="577">
        <v>0</v>
      </c>
      <c r="BI19" s="1061">
        <f t="shared" si="15"/>
        <v>-29072000</v>
      </c>
      <c r="BJ19" s="1062" t="s">
        <v>6015</v>
      </c>
      <c r="BK19" s="172" t="s">
        <v>970</v>
      </c>
      <c r="BL19" s="165" t="s">
        <v>974</v>
      </c>
      <c r="BM19" s="883" t="s">
        <v>975</v>
      </c>
      <c r="BN19" s="883" t="s">
        <v>1025</v>
      </c>
      <c r="BO19" s="164" t="s">
        <v>975</v>
      </c>
      <c r="BP19" s="601" t="s">
        <v>1025</v>
      </c>
      <c r="BQ19" s="582" t="s">
        <v>970</v>
      </c>
      <c r="BR19" s="561" t="s">
        <v>972</v>
      </c>
      <c r="BS19" s="740" t="s">
        <v>970</v>
      </c>
      <c r="BT19" s="875"/>
      <c r="BU19" s="875"/>
      <c r="BW19" s="584">
        <v>27500000</v>
      </c>
      <c r="BX19" s="875">
        <f t="shared" si="23"/>
        <v>-15500000</v>
      </c>
    </row>
    <row r="20" spans="1:76" s="736" customFormat="1" ht="27" customHeight="1">
      <c r="A20" s="566">
        <f>A19+1</f>
        <v>12</v>
      </c>
      <c r="B20" s="818" t="s">
        <v>157</v>
      </c>
      <c r="C20" s="818" t="s">
        <v>158</v>
      </c>
      <c r="D20" s="817" t="s">
        <v>251</v>
      </c>
      <c r="E20" s="730"/>
      <c r="F20" s="970" t="s">
        <v>85</v>
      </c>
      <c r="G20" s="691"/>
      <c r="H20" s="691"/>
      <c r="I20" s="692"/>
      <c r="J20" s="971"/>
      <c r="K20" s="972"/>
      <c r="L20" s="623">
        <v>12000000</v>
      </c>
      <c r="M20" s="623">
        <f t="shared" si="0"/>
        <v>12000000</v>
      </c>
      <c r="N20" s="184">
        <f>VLOOKUP(B20,BHXH!$E$7:$F$20,2,0)</f>
        <v>5310000</v>
      </c>
      <c r="O20" s="959">
        <f t="shared" ref="O20" si="27">M20-(N20+P20+Q20+R20+S20)</f>
        <v>4810000</v>
      </c>
      <c r="P20" s="184">
        <v>250000</v>
      </c>
      <c r="Q20" s="959">
        <v>400000</v>
      </c>
      <c r="R20" s="959">
        <v>500000</v>
      </c>
      <c r="S20" s="959">
        <v>730000</v>
      </c>
      <c r="T20" s="959">
        <f t="shared" ref="T20" si="28">SUM(Q20:S20)</f>
        <v>1630000</v>
      </c>
      <c r="U20" s="863">
        <f>SUM(W20:Y20)</f>
        <v>22</v>
      </c>
      <c r="V20" s="186">
        <v>22</v>
      </c>
      <c r="W20" s="973"/>
      <c r="X20" s="863"/>
      <c r="Y20" s="844">
        <f>VLOOKUP(B20, 'Thưởng hiệu suất'!$B:$D,3,0)</f>
        <v>22</v>
      </c>
      <c r="Z20" s="184"/>
      <c r="AA20" s="837">
        <f t="shared" si="4"/>
        <v>12000000</v>
      </c>
      <c r="AB20" s="184">
        <f t="shared" ref="AB20:AB22" si="29">ROUND($G20/V20*W20,0)</f>
        <v>0</v>
      </c>
      <c r="AC20" s="184">
        <f>ROUND(I20/V20*X20,0)</f>
        <v>0</v>
      </c>
      <c r="AD20" s="184">
        <f t="shared" ref="AD20:AD22" si="30">ROUND($M20/V20*Y20,0)</f>
        <v>12000000</v>
      </c>
      <c r="AE20" s="184"/>
      <c r="AF20" s="974">
        <f>SUM(AG20:AL20)</f>
        <v>0</v>
      </c>
      <c r="AG20" s="838">
        <f>SUMIF('Tổng hợp OT'!B:B,B20,'Tổng hợp OT'!D:D)</f>
        <v>0</v>
      </c>
      <c r="AH20" s="838"/>
      <c r="AI20" s="187"/>
      <c r="AJ20" s="571">
        <f>-VLOOKUP(B20,'Thưởng hiệu suất'!$B$3:$D$36,2,0)</f>
        <v>0</v>
      </c>
      <c r="AK20" s="186"/>
      <c r="AL20" s="180"/>
      <c r="AM20" s="837">
        <f>AA20+AF20</f>
        <v>12000000</v>
      </c>
      <c r="AN20" s="184">
        <f>VLOOKUP(B20,BHXH!$E$7:$F$18,2,0)</f>
        <v>5310000</v>
      </c>
      <c r="AO20" s="959">
        <f t="shared" si="10"/>
        <v>557550</v>
      </c>
      <c r="AP20" s="959">
        <f t="shared" si="11"/>
        <v>1141650</v>
      </c>
      <c r="AQ20" s="187"/>
      <c r="AR20" s="180">
        <f t="shared" si="16"/>
        <v>15500000</v>
      </c>
      <c r="AS20" s="180">
        <f>AM20-(Q20+R20+S20)/V20*U20-AG20</f>
        <v>10370000</v>
      </c>
      <c r="AT20" s="184">
        <f>ROUND(IF((AS20-AR20-AO20)&lt;0,0,(AS20-AR20-AO20)),0)</f>
        <v>0</v>
      </c>
      <c r="AU20" s="180">
        <f>IF(AT20&lt;2000000,0,(AT20*10%))</f>
        <v>0</v>
      </c>
      <c r="AV20" s="180">
        <f t="shared" si="18"/>
        <v>0</v>
      </c>
      <c r="AW20" s="184">
        <f t="shared" si="19"/>
        <v>11442000</v>
      </c>
      <c r="AX20" s="1066">
        <v>13442000</v>
      </c>
      <c r="AY20" s="838"/>
      <c r="AZ20" s="184">
        <f>ROUND(AW20-AX20+AY20,0)</f>
        <v>-2000000</v>
      </c>
      <c r="BA20" s="180">
        <f>AM20+AP20</f>
        <v>13141650</v>
      </c>
      <c r="BB20" s="962"/>
      <c r="BC20" s="839">
        <f t="shared" si="20"/>
        <v>0</v>
      </c>
      <c r="BD20" s="840">
        <f>AF20</f>
        <v>0</v>
      </c>
      <c r="BE20" s="841">
        <v>925500</v>
      </c>
      <c r="BF20" s="841">
        <f t="shared" si="22"/>
        <v>1630000</v>
      </c>
      <c r="BG20" s="577">
        <v>12517000</v>
      </c>
      <c r="BH20" s="841">
        <v>0</v>
      </c>
      <c r="BI20" s="1061">
        <f t="shared" si="15"/>
        <v>-1075000</v>
      </c>
      <c r="BJ20" s="1062" t="s">
        <v>6020</v>
      </c>
      <c r="BK20" s="924" t="s">
        <v>157</v>
      </c>
      <c r="BL20" s="126" t="s">
        <v>252</v>
      </c>
      <c r="BM20" s="126" t="s">
        <v>253</v>
      </c>
      <c r="BN20" s="126" t="s">
        <v>198</v>
      </c>
      <c r="BO20" s="925" t="s">
        <v>253</v>
      </c>
      <c r="BP20" s="937" t="s">
        <v>198</v>
      </c>
      <c r="BQ20" s="842" t="s">
        <v>157</v>
      </c>
      <c r="BR20" s="843" t="s">
        <v>971</v>
      </c>
      <c r="BS20" s="736" t="s">
        <v>157</v>
      </c>
      <c r="BT20" s="872">
        <v>13390000</v>
      </c>
      <c r="BU20" s="872">
        <v>1000000</v>
      </c>
      <c r="BV20" s="872">
        <f>AW20-BT20-BU20</f>
        <v>-2948000</v>
      </c>
      <c r="BW20" s="584">
        <v>14000000</v>
      </c>
      <c r="BX20" s="875">
        <f t="shared" si="23"/>
        <v>-2000000</v>
      </c>
    </row>
    <row r="21" spans="1:76" s="655" customFormat="1" ht="27" customHeight="1">
      <c r="A21" s="614" t="s">
        <v>971</v>
      </c>
      <c r="B21" s="611" t="s">
        <v>1007</v>
      </c>
      <c r="C21" s="943">
        <v>45758</v>
      </c>
      <c r="D21" s="567" t="s">
        <v>147</v>
      </c>
      <c r="E21" s="699"/>
      <c r="F21" s="634" t="s">
        <v>85</v>
      </c>
      <c r="G21" s="169"/>
      <c r="H21" s="169"/>
      <c r="I21" s="656"/>
      <c r="J21" s="657"/>
      <c r="K21" s="658"/>
      <c r="L21" s="623">
        <v>12000000</v>
      </c>
      <c r="M21" s="623">
        <f t="shared" si="0"/>
        <v>12000000</v>
      </c>
      <c r="N21" s="571">
        <f>VLOOKUP(B21,BHXH!$E$7:$F$20,2,0)</f>
        <v>5310000</v>
      </c>
      <c r="O21" s="596">
        <f t="shared" ref="O21" si="31">M21-(N21+P21+Q21+R21+S21)</f>
        <v>4810000</v>
      </c>
      <c r="P21" s="571">
        <v>250000</v>
      </c>
      <c r="Q21" s="596">
        <v>400000</v>
      </c>
      <c r="R21" s="596">
        <v>500000</v>
      </c>
      <c r="S21" s="596">
        <v>730000</v>
      </c>
      <c r="T21" s="596">
        <f t="shared" ref="T21" si="32">SUM(Q21:S21)</f>
        <v>1630000</v>
      </c>
      <c r="U21" s="709">
        <f t="shared" ref="U21" si="33">SUM(W21:Y21)</f>
        <v>22</v>
      </c>
      <c r="V21" s="559">
        <v>22</v>
      </c>
      <c r="W21" s="710"/>
      <c r="X21" s="711"/>
      <c r="Y21" s="572">
        <f>VLOOKUP(B21, 'Thưởng hiệu suất'!$B:$D,3,0)</f>
        <v>22</v>
      </c>
      <c r="Z21" s="571"/>
      <c r="AA21" s="612">
        <f t="shared" si="4"/>
        <v>12000000</v>
      </c>
      <c r="AB21" s="182">
        <f t="shared" si="29"/>
        <v>0</v>
      </c>
      <c r="AC21" s="169">
        <f t="shared" ref="AC21" si="34">ROUND(I21/V21*X21,0)</f>
        <v>0</v>
      </c>
      <c r="AD21" s="175">
        <f t="shared" si="30"/>
        <v>12000000</v>
      </c>
      <c r="AE21" s="184"/>
      <c r="AF21" s="179">
        <f t="shared" ref="AF21" si="35">SUM(AG21:AL21)</f>
        <v>0</v>
      </c>
      <c r="AG21" s="618">
        <f>SUMIF('Tổng hợp OT'!B:B,B21,'Tổng hợp OT'!D:D)</f>
        <v>0</v>
      </c>
      <c r="AH21" s="618"/>
      <c r="AI21" s="171"/>
      <c r="AJ21" s="571">
        <f>-VLOOKUP(B21,'Thưởng hiệu suất'!$B$3:$D$36,2,0)</f>
        <v>0</v>
      </c>
      <c r="AK21" s="559"/>
      <c r="AL21" s="167"/>
      <c r="AM21" s="157">
        <f t="shared" ref="AM21" si="36">AA21+AF21</f>
        <v>12000000</v>
      </c>
      <c r="AN21" s="571">
        <f>VLOOKUP(B21,BHXH!$E$7:$F$40,2,0)</f>
        <v>5310000</v>
      </c>
      <c r="AO21" s="596">
        <f t="shared" ref="AO21:AO38" si="37">$AN21*10.5%</f>
        <v>557550</v>
      </c>
      <c r="AP21" s="596">
        <f t="shared" ref="AP21:AP38" si="38">$AN21*21.5%</f>
        <v>1141650</v>
      </c>
      <c r="AQ21" s="171"/>
      <c r="AR21" s="563">
        <f t="shared" si="16"/>
        <v>15500000</v>
      </c>
      <c r="AS21" s="563">
        <f t="shared" ref="AS21" si="39">AM21-(Q21+R21+S21)/V21*U21-AG21</f>
        <v>10370000</v>
      </c>
      <c r="AT21" s="182">
        <f t="shared" ref="AT21" si="40">ROUND(IF((AS21-AR21-AO21)&lt;0,0,(AS21-AR21-AO21)),0)</f>
        <v>0</v>
      </c>
      <c r="AU21" s="180">
        <f t="shared" ref="AU21" si="41">IF(AT21&lt;2000000,0,(AT21*10%))</f>
        <v>0</v>
      </c>
      <c r="AV21" s="563">
        <f t="shared" si="18"/>
        <v>0</v>
      </c>
      <c r="AW21" s="571">
        <f t="shared" si="19"/>
        <v>11442000</v>
      </c>
      <c r="AX21" s="1065">
        <v>13000000</v>
      </c>
      <c r="AY21" s="618"/>
      <c r="AZ21" s="169">
        <f t="shared" ref="AZ21" si="42">ROUND(AW21-AX21+AY21,0)</f>
        <v>-1558000</v>
      </c>
      <c r="BA21" s="180">
        <f t="shared" ref="BA21" si="43">AM21+AP21</f>
        <v>13141650</v>
      </c>
      <c r="BB21" s="592"/>
      <c r="BC21" s="575">
        <f t="shared" ref="BC21" si="44">(U21-V21)</f>
        <v>0</v>
      </c>
      <c r="BD21" s="576">
        <f t="shared" ref="BD21" si="45">AF21</f>
        <v>0</v>
      </c>
      <c r="BE21" s="577">
        <v>0</v>
      </c>
      <c r="BF21" s="577">
        <f t="shared" si="22"/>
        <v>1630000</v>
      </c>
      <c r="BG21" s="577">
        <v>13000000</v>
      </c>
      <c r="BH21" s="577">
        <v>0</v>
      </c>
      <c r="BI21" s="162">
        <f t="shared" si="15"/>
        <v>-1558000</v>
      </c>
      <c r="BJ21" s="118"/>
      <c r="BK21" s="172" t="s">
        <v>1007</v>
      </c>
      <c r="BL21" s="181" t="s">
        <v>1021</v>
      </c>
      <c r="BM21" s="579" t="s">
        <v>1022</v>
      </c>
      <c r="BN21" s="579" t="s">
        <v>211</v>
      </c>
      <c r="BO21" s="686" t="s">
        <v>1022</v>
      </c>
      <c r="BP21" s="601" t="s">
        <v>211</v>
      </c>
      <c r="BQ21" s="582" t="s">
        <v>1007</v>
      </c>
      <c r="BR21" s="561" t="s">
        <v>972</v>
      </c>
      <c r="BS21" s="740" t="s">
        <v>1007</v>
      </c>
      <c r="BW21" s="584">
        <v>13557550</v>
      </c>
      <c r="BX21" s="875">
        <f t="shared" si="23"/>
        <v>-1557550</v>
      </c>
    </row>
    <row r="22" spans="1:76" s="736" customFormat="1" ht="27" customHeight="1">
      <c r="A22" s="950" t="s">
        <v>971</v>
      </c>
      <c r="B22" s="818" t="s">
        <v>994</v>
      </c>
      <c r="C22" s="270"/>
      <c r="D22" s="187" t="s">
        <v>984</v>
      </c>
      <c r="E22" s="173"/>
      <c r="F22" s="970" t="s">
        <v>85</v>
      </c>
      <c r="G22" s="184"/>
      <c r="H22" s="184"/>
      <c r="I22" s="956"/>
      <c r="J22" s="939"/>
      <c r="K22" s="940"/>
      <c r="L22" s="623">
        <v>12000000</v>
      </c>
      <c r="M22" s="623">
        <f t="shared" si="0"/>
        <v>12000000</v>
      </c>
      <c r="N22" s="184">
        <f>VLOOKUP(B22,BHXH!$E$7:$F$20,2,0)</f>
        <v>5310000</v>
      </c>
      <c r="O22" s="959">
        <f t="shared" ref="O22" si="46">M22-(N22+P22+Q22+R22+S22)</f>
        <v>4810000</v>
      </c>
      <c r="P22" s="184">
        <v>250000</v>
      </c>
      <c r="Q22" s="959">
        <v>400000</v>
      </c>
      <c r="R22" s="959">
        <v>500000</v>
      </c>
      <c r="S22" s="959">
        <v>730000</v>
      </c>
      <c r="T22" s="959">
        <f t="shared" ref="T22" si="47">SUM(Q22:S22)</f>
        <v>1630000</v>
      </c>
      <c r="U22" s="863">
        <f>SUM(W22:Y22)</f>
        <v>21</v>
      </c>
      <c r="V22" s="186">
        <v>22</v>
      </c>
      <c r="W22" s="863"/>
      <c r="X22" s="863"/>
      <c r="Y22" s="844">
        <f>VLOOKUP(B22, 'Thưởng hiệu suất'!$B:$D,3,0)</f>
        <v>21</v>
      </c>
      <c r="Z22" s="184"/>
      <c r="AA22" s="837">
        <f t="shared" si="4"/>
        <v>11454545</v>
      </c>
      <c r="AB22" s="184">
        <f t="shared" si="29"/>
        <v>0</v>
      </c>
      <c r="AC22" s="184">
        <f>ROUND(I22/V22*X22,0)</f>
        <v>0</v>
      </c>
      <c r="AD22" s="959">
        <f t="shared" si="30"/>
        <v>11454545</v>
      </c>
      <c r="AE22" s="184"/>
      <c r="AF22" s="974">
        <f>SUM(AG22:AL22)</f>
        <v>-450000</v>
      </c>
      <c r="AG22" s="838">
        <f>SUMIF('Tổng hợp OT'!B:B,B22,'Tổng hợp OT'!D:D)</f>
        <v>0</v>
      </c>
      <c r="AH22" s="838"/>
      <c r="AI22" s="187"/>
      <c r="AJ22" s="571">
        <f>-VLOOKUP(B22,'Thưởng hiệu suất'!$B$3:$D$36,2,0)</f>
        <v>-450000</v>
      </c>
      <c r="AK22" s="186"/>
      <c r="AL22" s="180"/>
      <c r="AM22" s="837">
        <f>AA22+AF22</f>
        <v>11004545</v>
      </c>
      <c r="AN22" s="184">
        <f>VLOOKUP(B22,BHXH!$E$7:$F$40,2,0)</f>
        <v>5310000</v>
      </c>
      <c r="AO22" s="959">
        <f t="shared" si="37"/>
        <v>557550</v>
      </c>
      <c r="AP22" s="959">
        <f t="shared" si="38"/>
        <v>1141650</v>
      </c>
      <c r="AQ22" s="187"/>
      <c r="AR22" s="180">
        <f t="shared" si="16"/>
        <v>15500000</v>
      </c>
      <c r="AS22" s="180">
        <f>AM22-(Q22+R22+S22)/V22*U22-AG22</f>
        <v>9448635.9090909101</v>
      </c>
      <c r="AT22" s="184">
        <f>ROUND(IF((AS22-AR22-AO22)&lt;0,0,(AS22-AR22-AO22)),0)</f>
        <v>0</v>
      </c>
      <c r="AU22" s="180"/>
      <c r="AV22" s="180">
        <f t="shared" si="18"/>
        <v>0</v>
      </c>
      <c r="AW22" s="184">
        <f t="shared" si="19"/>
        <v>10447000</v>
      </c>
      <c r="AX22" s="1066">
        <v>15275000</v>
      </c>
      <c r="AY22" s="838"/>
      <c r="AZ22" s="184">
        <f>ROUND(AW22-AX22+AY22,0)</f>
        <v>-4828000</v>
      </c>
      <c r="BA22" s="180">
        <f>AM22+AP22</f>
        <v>12146195</v>
      </c>
      <c r="BB22" s="962"/>
      <c r="BC22" s="839">
        <f>(U22-V22)</f>
        <v>-1</v>
      </c>
      <c r="BD22" s="840">
        <f>AF22</f>
        <v>-450000</v>
      </c>
      <c r="BE22" s="841">
        <v>993157.89473684132</v>
      </c>
      <c r="BF22" s="841">
        <f t="shared" si="22"/>
        <v>1630000</v>
      </c>
      <c r="BG22" s="577">
        <v>15197000</v>
      </c>
      <c r="BH22" s="841">
        <v>0</v>
      </c>
      <c r="BI22" s="1061">
        <f t="shared" si="15"/>
        <v>-4750000</v>
      </c>
      <c r="BJ22" s="1062" t="s">
        <v>6021</v>
      </c>
      <c r="BK22" s="924" t="s">
        <v>994</v>
      </c>
      <c r="BL22" s="975" t="s">
        <v>1001</v>
      </c>
      <c r="BM22" s="126" t="s">
        <v>5950</v>
      </c>
      <c r="BN22" s="126" t="s">
        <v>201</v>
      </c>
      <c r="BO22" s="976" t="s">
        <v>1002</v>
      </c>
      <c r="BP22" s="977" t="s">
        <v>190</v>
      </c>
      <c r="BQ22" s="842" t="s">
        <v>994</v>
      </c>
      <c r="BR22" s="843" t="s">
        <v>972</v>
      </c>
      <c r="BS22" s="736" t="s">
        <v>994</v>
      </c>
      <c r="BT22" s="872">
        <v>15975000</v>
      </c>
      <c r="BU22" s="872">
        <v>1500000</v>
      </c>
      <c r="BV22" s="872">
        <f>AW22-BT22-BU22</f>
        <v>-7028000</v>
      </c>
      <c r="BW22" s="584">
        <v>17057550</v>
      </c>
      <c r="BX22" s="875">
        <f t="shared" si="23"/>
        <v>-5057550</v>
      </c>
    </row>
    <row r="23" spans="1:76" s="695" customFormat="1" ht="27" customHeight="1" thickBot="1">
      <c r="A23" s="615">
        <v>15</v>
      </c>
      <c r="B23" s="792" t="s">
        <v>1030</v>
      </c>
      <c r="C23" s="793">
        <v>45825</v>
      </c>
      <c r="D23" s="794" t="s">
        <v>1031</v>
      </c>
      <c r="E23" s="730"/>
      <c r="F23" s="634" t="s">
        <v>85</v>
      </c>
      <c r="G23" s="795"/>
      <c r="H23" s="795"/>
      <c r="I23" s="796"/>
      <c r="J23" s="662"/>
      <c r="K23" s="663"/>
      <c r="L23" s="623">
        <v>12000000</v>
      </c>
      <c r="M23" s="623">
        <f t="shared" si="0"/>
        <v>12000000</v>
      </c>
      <c r="N23" s="571">
        <f>VLOOKUP(B23,BHXH!$E$7:$F$40,2,0)</f>
        <v>5310000</v>
      </c>
      <c r="O23" s="596">
        <f t="shared" ref="O23" si="48">M23-(N23+P23+Q23+R23+S23)</f>
        <v>4810000</v>
      </c>
      <c r="P23" s="571">
        <v>250000</v>
      </c>
      <c r="Q23" s="596">
        <v>400000</v>
      </c>
      <c r="R23" s="596">
        <v>500000</v>
      </c>
      <c r="S23" s="596">
        <v>730000</v>
      </c>
      <c r="T23" s="596">
        <f t="shared" ref="T23:T24" si="49">SUM(Q23:S23)</f>
        <v>1630000</v>
      </c>
      <c r="U23" s="709">
        <f t="shared" ref="U23" si="50">SUM(W23:Y23)</f>
        <v>22</v>
      </c>
      <c r="V23" s="559">
        <v>22</v>
      </c>
      <c r="W23" s="170"/>
      <c r="X23" s="711"/>
      <c r="Y23" s="572">
        <f>VLOOKUP(B23, 'Thưởng hiệu suất'!$B:$D,3,0)</f>
        <v>22</v>
      </c>
      <c r="Z23" s="571"/>
      <c r="AA23" s="168">
        <f t="shared" si="4"/>
        <v>12000000</v>
      </c>
      <c r="AB23" s="182">
        <f t="shared" ref="AB23" si="51">ROUND($G23/V23*W23,0)</f>
        <v>0</v>
      </c>
      <c r="AC23" s="169">
        <f t="shared" ref="AC23" si="52">ROUND(I23/V23*X23,0)</f>
        <v>0</v>
      </c>
      <c r="AD23" s="175">
        <f t="shared" ref="AD23" si="53">ROUND($M23/V23*Y23,0)</f>
        <v>12000000</v>
      </c>
      <c r="AE23" s="184"/>
      <c r="AF23" s="179">
        <f t="shared" ref="AF23" si="54">SUM(AG23:AL23)</f>
        <v>0</v>
      </c>
      <c r="AG23" s="618">
        <f>SUMIF('Tổng hợp OT'!B:B,B23,'Tổng hợp OT'!D:D)</f>
        <v>0</v>
      </c>
      <c r="AH23" s="618"/>
      <c r="AI23" s="171"/>
      <c r="AJ23" s="571">
        <f>-VLOOKUP(B23,'Thưởng hiệu suất'!$B$3:$D$36,2,0)</f>
        <v>0</v>
      </c>
      <c r="AK23" s="559"/>
      <c r="AL23" s="167"/>
      <c r="AM23" s="157">
        <f t="shared" ref="AM23" si="55">AA23+AF23</f>
        <v>12000000</v>
      </c>
      <c r="AN23" s="571">
        <f>VLOOKUP(B23,BHXH!$E$7:$F$40,2,0)</f>
        <v>5310000</v>
      </c>
      <c r="AO23" s="596">
        <f t="shared" si="37"/>
        <v>557550</v>
      </c>
      <c r="AP23" s="596">
        <f t="shared" si="38"/>
        <v>1141650</v>
      </c>
      <c r="AQ23" s="171"/>
      <c r="AR23" s="563">
        <f t="shared" si="16"/>
        <v>15500000</v>
      </c>
      <c r="AS23" s="563">
        <f t="shared" ref="AS23" si="56">AM23-(Q23+R23+S23)/V23*U23-AG23</f>
        <v>10370000</v>
      </c>
      <c r="AT23" s="182">
        <f t="shared" ref="AT23" si="57">ROUND(IF((AS23-AR23-AO23)&lt;0,0,(AS23-AR23-AO23)),0)</f>
        <v>0</v>
      </c>
      <c r="AU23" s="180"/>
      <c r="AV23" s="563">
        <f t="shared" si="18"/>
        <v>0</v>
      </c>
      <c r="AW23" s="571">
        <f t="shared" si="19"/>
        <v>11442000</v>
      </c>
      <c r="AX23" s="1065">
        <v>17427000</v>
      </c>
      <c r="AY23" s="618"/>
      <c r="AZ23" s="169">
        <f t="shared" ref="AZ23" si="58">ROUND(AW23-AX23+AY23,0)</f>
        <v>-5985000</v>
      </c>
      <c r="BA23" s="618">
        <f t="shared" ref="BA23" si="59">AM23+AP23</f>
        <v>13141650</v>
      </c>
      <c r="BB23" s="962"/>
      <c r="BC23" s="575">
        <f t="shared" ref="BC23" si="60">(U23-V23)</f>
        <v>0</v>
      </c>
      <c r="BD23" s="576">
        <f t="shared" ref="BD23" si="61">AF23</f>
        <v>0</v>
      </c>
      <c r="BE23" s="577">
        <v>-75000</v>
      </c>
      <c r="BF23" s="577">
        <f t="shared" si="22"/>
        <v>1630000</v>
      </c>
      <c r="BG23" s="577">
        <v>17284000</v>
      </c>
      <c r="BH23" s="577">
        <v>0</v>
      </c>
      <c r="BI23" s="1061">
        <f t="shared" si="15"/>
        <v>-5842000</v>
      </c>
      <c r="BJ23" s="1062" t="s">
        <v>1050</v>
      </c>
      <c r="BK23" s="727" t="s">
        <v>1030</v>
      </c>
      <c r="BL23" s="181" t="s">
        <v>1032</v>
      </c>
      <c r="BM23" s="579" t="s">
        <v>1033</v>
      </c>
      <c r="BN23" s="579" t="s">
        <v>201</v>
      </c>
      <c r="BO23" s="163" t="s">
        <v>1033</v>
      </c>
      <c r="BP23" s="725" t="s">
        <v>1011</v>
      </c>
      <c r="BQ23" s="582" t="s">
        <v>1030</v>
      </c>
      <c r="BR23" s="561" t="s">
        <v>972</v>
      </c>
      <c r="BS23" s="740" t="s">
        <v>1041</v>
      </c>
      <c r="BW23" s="584">
        <v>18000000</v>
      </c>
      <c r="BX23" s="875">
        <f t="shared" si="23"/>
        <v>-6000000</v>
      </c>
    </row>
    <row r="24" spans="1:76" s="728" customFormat="1" ht="27" customHeight="1" thickBot="1">
      <c r="A24" s="566">
        <f t="shared" ref="A24" si="62">A23+1</f>
        <v>16</v>
      </c>
      <c r="B24" s="792" t="s">
        <v>1036</v>
      </c>
      <c r="C24" s="704">
        <v>45859</v>
      </c>
      <c r="D24" s="701" t="s">
        <v>1037</v>
      </c>
      <c r="E24" s="730"/>
      <c r="F24" s="634" t="s">
        <v>85</v>
      </c>
      <c r="G24" s="702"/>
      <c r="H24" s="702"/>
      <c r="I24" s="703"/>
      <c r="J24" s="155"/>
      <c r="K24" s="156"/>
      <c r="L24" s="623">
        <v>12000000</v>
      </c>
      <c r="M24" s="623">
        <f t="shared" si="0"/>
        <v>12000000</v>
      </c>
      <c r="N24" s="571">
        <f>VLOOKUP(B24,BHXH!$E$7:$F$40,2,0)</f>
        <v>5310000</v>
      </c>
      <c r="O24" s="596">
        <f t="shared" ref="O24" si="63">M24-(N24+P24+Q24+R24+S24)</f>
        <v>4810000</v>
      </c>
      <c r="P24" s="571">
        <v>250000</v>
      </c>
      <c r="Q24" s="596">
        <v>400000</v>
      </c>
      <c r="R24" s="596">
        <v>500000</v>
      </c>
      <c r="S24" s="596">
        <v>730000</v>
      </c>
      <c r="T24" s="596">
        <f t="shared" si="49"/>
        <v>1630000</v>
      </c>
      <c r="U24" s="709">
        <f t="shared" ref="U24" si="64">SUM(W24:Y24)</f>
        <v>22</v>
      </c>
      <c r="V24" s="559">
        <v>22</v>
      </c>
      <c r="W24" s="170"/>
      <c r="X24" s="711"/>
      <c r="Y24" s="572">
        <f>VLOOKUP(B24, 'Thưởng hiệu suất'!$B:$D,3,0)</f>
        <v>22</v>
      </c>
      <c r="Z24" s="571"/>
      <c r="AA24" s="168">
        <f t="shared" si="4"/>
        <v>12000000</v>
      </c>
      <c r="AB24" s="182">
        <f t="shared" ref="AB24" si="65">ROUND($G24/V24*W24,0)</f>
        <v>0</v>
      </c>
      <c r="AC24" s="169">
        <f t="shared" ref="AC24" si="66">ROUND(I24/V24*X24,0)</f>
        <v>0</v>
      </c>
      <c r="AD24" s="175">
        <f t="shared" ref="AD24" si="67">ROUND($M24/V24*Y24,0)</f>
        <v>12000000</v>
      </c>
      <c r="AE24" s="184"/>
      <c r="AF24" s="179">
        <f t="shared" ref="AF24" si="68">SUM(AG24:AL24)</f>
        <v>0</v>
      </c>
      <c r="AG24" s="618">
        <f>SUMIF('Tổng hợp OT'!B:B,B24,'Tổng hợp OT'!D:D)</f>
        <v>0</v>
      </c>
      <c r="AH24" s="618"/>
      <c r="AI24" s="171"/>
      <c r="AJ24" s="571">
        <f>-VLOOKUP(B24,'Thưởng hiệu suất'!$B$3:$D$36,2,0)</f>
        <v>0</v>
      </c>
      <c r="AK24" s="559"/>
      <c r="AL24" s="167"/>
      <c r="AM24" s="157">
        <f t="shared" ref="AM24" si="69">AA24+AF24</f>
        <v>12000000</v>
      </c>
      <c r="AN24" s="571">
        <f>VLOOKUP(B24,BHXH!$E$7:$F$40,2,0)</f>
        <v>5310000</v>
      </c>
      <c r="AO24" s="596">
        <f t="shared" si="37"/>
        <v>557550</v>
      </c>
      <c r="AP24" s="596">
        <f t="shared" si="38"/>
        <v>1141650</v>
      </c>
      <c r="AQ24" s="171">
        <v>1</v>
      </c>
      <c r="AR24" s="563">
        <f t="shared" si="16"/>
        <v>21700000</v>
      </c>
      <c r="AS24" s="563">
        <f t="shared" ref="AS24" si="70">AM24-(Q24+R24+S24)/V24*U24-AG24</f>
        <v>10370000</v>
      </c>
      <c r="AT24" s="182">
        <f t="shared" ref="AT24" si="71">ROUND(IF((AS24-AR24-AO24)&lt;0,0,(AS24-AR24-AO24)),0)</f>
        <v>0</v>
      </c>
      <c r="AU24" s="180"/>
      <c r="AV24" s="563">
        <f t="shared" si="18"/>
        <v>0</v>
      </c>
      <c r="AW24" s="571">
        <f t="shared" si="19"/>
        <v>11442000</v>
      </c>
      <c r="AX24" s="1065">
        <v>28968000</v>
      </c>
      <c r="AY24" s="618"/>
      <c r="AZ24" s="169">
        <f t="shared" ref="AZ24" si="72">ROUND(AW24-AX24+AY24,0)</f>
        <v>-17526000</v>
      </c>
      <c r="BA24" s="180">
        <f t="shared" ref="BA24" si="73">AM24+AP24</f>
        <v>13141650</v>
      </c>
      <c r="BB24" s="962"/>
      <c r="BC24" s="575">
        <f t="shared" ref="BC24" si="74">(U24-V24)</f>
        <v>0</v>
      </c>
      <c r="BD24" s="576">
        <f t="shared" ref="BD24" si="75">AF24</f>
        <v>0</v>
      </c>
      <c r="BE24" s="577">
        <v>0</v>
      </c>
      <c r="BF24" s="577">
        <f t="shared" si="22"/>
        <v>1630000</v>
      </c>
      <c r="BG24" s="577">
        <v>28968000</v>
      </c>
      <c r="BH24" s="577">
        <v>0</v>
      </c>
      <c r="BI24" s="162">
        <f t="shared" si="15"/>
        <v>-17526000</v>
      </c>
      <c r="BJ24" s="697"/>
      <c r="BK24" s="727" t="s">
        <v>1036</v>
      </c>
      <c r="BL24" s="181" t="s">
        <v>1046</v>
      </c>
      <c r="BM24" s="579" t="s">
        <v>1067</v>
      </c>
      <c r="BN24" s="579" t="s">
        <v>190</v>
      </c>
      <c r="BO24" s="726" t="s">
        <v>1067</v>
      </c>
      <c r="BP24" s="676" t="s">
        <v>1047</v>
      </c>
      <c r="BQ24" s="582" t="e">
        <v>#N/A</v>
      </c>
      <c r="BR24" s="561" t="s">
        <v>972</v>
      </c>
      <c r="BS24" s="740" t="s">
        <v>1043</v>
      </c>
      <c r="BW24" s="584">
        <v>30000000</v>
      </c>
      <c r="BX24" s="875">
        <f t="shared" si="23"/>
        <v>-18000000</v>
      </c>
    </row>
    <row r="25" spans="1:76" s="834" customFormat="1" ht="27" customHeight="1">
      <c r="A25" s="616" t="s">
        <v>971</v>
      </c>
      <c r="B25" s="792" t="s">
        <v>1099</v>
      </c>
      <c r="C25" s="755">
        <v>45992</v>
      </c>
      <c r="D25" s="701" t="s">
        <v>1100</v>
      </c>
      <c r="E25" s="730"/>
      <c r="F25" s="634" t="s">
        <v>85</v>
      </c>
      <c r="G25" s="702"/>
      <c r="H25" s="702"/>
      <c r="I25" s="703"/>
      <c r="J25" s="155"/>
      <c r="K25" s="156"/>
      <c r="L25" s="623">
        <v>12000000</v>
      </c>
      <c r="M25" s="623">
        <f t="shared" si="0"/>
        <v>12000000</v>
      </c>
      <c r="N25" s="571">
        <f>VLOOKUP(B25,BHXH!$E$7:$F$40,2,0)</f>
        <v>5310000</v>
      </c>
      <c r="O25" s="596">
        <f t="shared" ref="O25:O28" si="76">M25-(N25+P25+Q25+R25+S25)</f>
        <v>4810000</v>
      </c>
      <c r="P25" s="571">
        <v>250000</v>
      </c>
      <c r="Q25" s="596">
        <v>400000</v>
      </c>
      <c r="R25" s="596">
        <v>500000</v>
      </c>
      <c r="S25" s="596">
        <v>730000</v>
      </c>
      <c r="T25" s="596">
        <f t="shared" ref="T25:T28" si="77">SUM(Q25:S25)</f>
        <v>1630000</v>
      </c>
      <c r="U25" s="709">
        <f t="shared" ref="U25:U28" si="78">SUM(W25:Y25)</f>
        <v>22</v>
      </c>
      <c r="V25" s="559">
        <v>22</v>
      </c>
      <c r="W25" s="170"/>
      <c r="X25" s="711"/>
      <c r="Y25" s="572">
        <f>VLOOKUP(B25, 'Thưởng hiệu suất'!$B:$D,3,0)</f>
        <v>22</v>
      </c>
      <c r="Z25" s="571"/>
      <c r="AA25" s="168">
        <f t="shared" ref="AA25:AA28" si="79">SUM(AB25:AD25)</f>
        <v>12000000</v>
      </c>
      <c r="AB25" s="182">
        <f t="shared" ref="AB25:AB28" si="80">ROUND($G25/V25*W25,0)</f>
        <v>0</v>
      </c>
      <c r="AC25" s="169">
        <f t="shared" ref="AC25:AC28" si="81">ROUND(I25/V25*X25,0)</f>
        <v>0</v>
      </c>
      <c r="AD25" s="175">
        <f t="shared" ref="AD25:AD28" si="82">ROUND($M25/V25*Y25,0)</f>
        <v>12000000</v>
      </c>
      <c r="AE25" s="184"/>
      <c r="AF25" s="179">
        <f t="shared" ref="AF25:AF28" si="83">SUM(AG25:AL25)</f>
        <v>0</v>
      </c>
      <c r="AG25" s="618">
        <f>SUMIF('Tổng hợp OT'!B:B,B25,'Tổng hợp OT'!D:D)</f>
        <v>0</v>
      </c>
      <c r="AH25" s="618"/>
      <c r="AI25" s="171"/>
      <c r="AJ25" s="571">
        <f>-VLOOKUP(B25,'Thưởng hiệu suất'!$B$3:$D$36,2,0)</f>
        <v>0</v>
      </c>
      <c r="AK25" s="559"/>
      <c r="AL25" s="167"/>
      <c r="AM25" s="157">
        <f t="shared" ref="AM25:AM28" si="84">AA25+AF25</f>
        <v>12000000</v>
      </c>
      <c r="AN25" s="571">
        <f>VLOOKUP(B25,BHXH!$E$7:$F$40,2,0)</f>
        <v>5310000</v>
      </c>
      <c r="AO25" s="596">
        <f t="shared" si="37"/>
        <v>557550</v>
      </c>
      <c r="AP25" s="596">
        <f t="shared" si="38"/>
        <v>1141650</v>
      </c>
      <c r="AQ25" s="171">
        <v>2</v>
      </c>
      <c r="AR25" s="563">
        <f t="shared" si="16"/>
        <v>27900000</v>
      </c>
      <c r="AS25" s="563">
        <f t="shared" ref="AS25:AS28" si="85">AM25-(Q25+R25+S25)/V25*U25-AG25</f>
        <v>10370000</v>
      </c>
      <c r="AT25" s="182">
        <f t="shared" ref="AT25:AT28" si="86">ROUND(IF((AS25-AR25-AO25)&lt;0,0,(AS25-AR25-AO25)),0)</f>
        <v>0</v>
      </c>
      <c r="AU25" s="180"/>
      <c r="AV25" s="563">
        <f t="shared" si="18"/>
        <v>0</v>
      </c>
      <c r="AW25" s="571">
        <f t="shared" ref="AW25:AW28" si="87">ROUND((AM25-AO25-AV25-AU25),-3)</f>
        <v>11442000</v>
      </c>
      <c r="AX25" s="1065">
        <v>25075000</v>
      </c>
      <c r="AY25" s="618">
        <v>75000</v>
      </c>
      <c r="AZ25" s="169">
        <f t="shared" ref="AZ25:AZ28" si="88">ROUND(AW25-AX25+AY25,0)</f>
        <v>-13558000</v>
      </c>
      <c r="BA25" s="180">
        <f t="shared" ref="BA25:BA28" si="89">AM25+AP25</f>
        <v>13141650</v>
      </c>
      <c r="BB25" s="962"/>
      <c r="BC25" s="575">
        <f t="shared" ref="BC25:BC28" si="90">(U25-V25)</f>
        <v>0</v>
      </c>
      <c r="BD25" s="576">
        <f t="shared" ref="BD25:BD28" si="91">AF25</f>
        <v>0</v>
      </c>
      <c r="BE25" s="577">
        <v>0</v>
      </c>
      <c r="BF25" s="577">
        <f t="shared" ref="BF25:BF28" si="92">T25</f>
        <v>1630000</v>
      </c>
      <c r="BG25" s="577">
        <v>24925000</v>
      </c>
      <c r="BH25" s="577">
        <v>0</v>
      </c>
      <c r="BI25" s="1061">
        <f t="shared" ref="BI25:BI28" si="93">AW25-BG25</f>
        <v>-13483000</v>
      </c>
      <c r="BJ25" s="1062" t="s">
        <v>1050</v>
      </c>
      <c r="BK25" s="867" t="s">
        <v>1099</v>
      </c>
      <c r="BL25" s="654" t="s">
        <v>1227</v>
      </c>
      <c r="BM25" s="579" t="s">
        <v>1228</v>
      </c>
      <c r="BN25" s="579" t="s">
        <v>190</v>
      </c>
      <c r="BO25" s="881" t="s">
        <v>1228</v>
      </c>
      <c r="BP25" s="654" t="s">
        <v>190</v>
      </c>
      <c r="BQ25" s="879"/>
      <c r="BR25" s="880"/>
      <c r="BS25" s="648"/>
      <c r="BW25" s="584">
        <v>25892499.999999996</v>
      </c>
      <c r="BX25" s="875">
        <f t="shared" si="23"/>
        <v>-13892499.999999996</v>
      </c>
    </row>
    <row r="26" spans="1:76" s="834" customFormat="1" ht="27" customHeight="1">
      <c r="A26" s="615">
        <v>18</v>
      </c>
      <c r="B26" s="792" t="s">
        <v>1101</v>
      </c>
      <c r="C26" s="755">
        <v>45992</v>
      </c>
      <c r="D26" s="701" t="s">
        <v>1003</v>
      </c>
      <c r="E26" s="730"/>
      <c r="F26" s="634" t="s">
        <v>85</v>
      </c>
      <c r="G26" s="702"/>
      <c r="H26" s="702"/>
      <c r="I26" s="703"/>
      <c r="J26" s="155"/>
      <c r="K26" s="156"/>
      <c r="L26" s="623">
        <v>12000000</v>
      </c>
      <c r="M26" s="623">
        <f t="shared" si="0"/>
        <v>12000000</v>
      </c>
      <c r="N26" s="571">
        <f>VLOOKUP(B26,BHXH!$E$7:$F$40,2,0)</f>
        <v>5310000</v>
      </c>
      <c r="O26" s="596">
        <f t="shared" si="76"/>
        <v>4810000</v>
      </c>
      <c r="P26" s="571">
        <v>250000</v>
      </c>
      <c r="Q26" s="596">
        <v>400000</v>
      </c>
      <c r="R26" s="596">
        <v>500000</v>
      </c>
      <c r="S26" s="596">
        <v>730000</v>
      </c>
      <c r="T26" s="596">
        <f t="shared" si="77"/>
        <v>1630000</v>
      </c>
      <c r="U26" s="709">
        <f t="shared" si="78"/>
        <v>22</v>
      </c>
      <c r="V26" s="559">
        <v>22</v>
      </c>
      <c r="W26" s="170"/>
      <c r="X26" s="711"/>
      <c r="Y26" s="572">
        <f>VLOOKUP(B26, 'Thưởng hiệu suất'!$B:$D,3,0)</f>
        <v>22</v>
      </c>
      <c r="Z26" s="571"/>
      <c r="AA26" s="168">
        <f t="shared" si="79"/>
        <v>12000000</v>
      </c>
      <c r="AB26" s="182">
        <f t="shared" si="80"/>
        <v>0</v>
      </c>
      <c r="AC26" s="169">
        <f t="shared" si="81"/>
        <v>0</v>
      </c>
      <c r="AD26" s="175">
        <f t="shared" si="82"/>
        <v>12000000</v>
      </c>
      <c r="AE26" s="184"/>
      <c r="AF26" s="877">
        <f t="shared" si="83"/>
        <v>0</v>
      </c>
      <c r="AG26" s="618">
        <f>SUMIF('Tổng hợp OT'!B:B,B26,'Tổng hợp OT'!D:D)</f>
        <v>0</v>
      </c>
      <c r="AH26" s="804"/>
      <c r="AI26" s="171"/>
      <c r="AJ26" s="571">
        <f>-VLOOKUP(B26,'Thưởng hiệu suất'!$B$3:$D$36,2,0)</f>
        <v>0</v>
      </c>
      <c r="AK26" s="559"/>
      <c r="AL26" s="167"/>
      <c r="AM26" s="157">
        <f t="shared" si="84"/>
        <v>12000000</v>
      </c>
      <c r="AN26" s="571">
        <f>VLOOKUP(B26,BHXH!$E$7:$F$40,2,0)</f>
        <v>5310000</v>
      </c>
      <c r="AO26" s="596">
        <f t="shared" si="37"/>
        <v>557550</v>
      </c>
      <c r="AP26" s="596">
        <f t="shared" si="38"/>
        <v>1141650</v>
      </c>
      <c r="AQ26" s="171">
        <v>0</v>
      </c>
      <c r="AR26" s="563">
        <f t="shared" si="16"/>
        <v>15500000</v>
      </c>
      <c r="AS26" s="563">
        <f t="shared" si="85"/>
        <v>10370000</v>
      </c>
      <c r="AT26" s="182">
        <f t="shared" si="86"/>
        <v>0</v>
      </c>
      <c r="AU26" s="180"/>
      <c r="AV26" s="563">
        <f t="shared" si="18"/>
        <v>0</v>
      </c>
      <c r="AW26" s="571">
        <f t="shared" si="87"/>
        <v>11442000</v>
      </c>
      <c r="AX26" s="1065">
        <v>10442000</v>
      </c>
      <c r="AY26" s="618"/>
      <c r="AZ26" s="169">
        <f t="shared" si="88"/>
        <v>1000000</v>
      </c>
      <c r="BA26" s="180">
        <f t="shared" si="89"/>
        <v>13141650</v>
      </c>
      <c r="BB26" s="962"/>
      <c r="BC26" s="575">
        <f t="shared" si="90"/>
        <v>0</v>
      </c>
      <c r="BD26" s="576">
        <f t="shared" si="91"/>
        <v>0</v>
      </c>
      <c r="BE26" s="577">
        <v>555500</v>
      </c>
      <c r="BF26" s="577">
        <f t="shared" si="92"/>
        <v>1630000</v>
      </c>
      <c r="BG26" s="577">
        <v>10442000</v>
      </c>
      <c r="BH26" s="577">
        <v>0</v>
      </c>
      <c r="BI26" s="162">
        <f t="shared" si="93"/>
        <v>1000000</v>
      </c>
      <c r="BJ26" s="118"/>
      <c r="BK26" s="867" t="s">
        <v>1101</v>
      </c>
      <c r="BL26" s="654" t="s">
        <v>1229</v>
      </c>
      <c r="BM26" s="579" t="s">
        <v>1230</v>
      </c>
      <c r="BN26" s="579" t="s">
        <v>1231</v>
      </c>
      <c r="BO26" s="653" t="s">
        <v>1230</v>
      </c>
      <c r="BP26" s="654" t="s">
        <v>1231</v>
      </c>
      <c r="BQ26" s="879"/>
      <c r="BR26" s="880"/>
      <c r="BS26" s="648"/>
      <c r="BT26" s="872">
        <v>8520000</v>
      </c>
      <c r="BU26" s="872">
        <v>500000</v>
      </c>
      <c r="BV26" s="874">
        <f>AW26-BT26-BU26</f>
        <v>2422000</v>
      </c>
      <c r="BW26" s="584">
        <v>11000000</v>
      </c>
      <c r="BX26" s="875">
        <f t="shared" si="23"/>
        <v>1000000</v>
      </c>
    </row>
    <row r="27" spans="1:76" s="834" customFormat="1" ht="27" customHeight="1">
      <c r="A27" s="616" t="s">
        <v>971</v>
      </c>
      <c r="B27" s="792" t="s">
        <v>1102</v>
      </c>
      <c r="C27" s="755">
        <v>45992</v>
      </c>
      <c r="D27" s="768" t="s">
        <v>1103</v>
      </c>
      <c r="E27" s="730"/>
      <c r="F27" s="634" t="s">
        <v>85</v>
      </c>
      <c r="G27" s="702"/>
      <c r="H27" s="702"/>
      <c r="I27" s="703"/>
      <c r="J27" s="155"/>
      <c r="K27" s="156"/>
      <c r="L27" s="623">
        <v>12000000</v>
      </c>
      <c r="M27" s="623">
        <f t="shared" si="0"/>
        <v>12000000</v>
      </c>
      <c r="N27" s="571">
        <f>VLOOKUP(B27,BHXH!$E$7:$F$40,2,0)</f>
        <v>5310000</v>
      </c>
      <c r="O27" s="596">
        <f t="shared" si="76"/>
        <v>4810000</v>
      </c>
      <c r="P27" s="571">
        <v>250000</v>
      </c>
      <c r="Q27" s="596">
        <v>400000</v>
      </c>
      <c r="R27" s="596">
        <v>500000</v>
      </c>
      <c r="S27" s="596">
        <v>730000</v>
      </c>
      <c r="T27" s="596">
        <f t="shared" si="77"/>
        <v>1630000</v>
      </c>
      <c r="U27" s="709">
        <f t="shared" si="78"/>
        <v>22</v>
      </c>
      <c r="V27" s="559">
        <v>22</v>
      </c>
      <c r="W27" s="170"/>
      <c r="X27" s="711"/>
      <c r="Y27" s="572">
        <f>VLOOKUP(B27, 'Thưởng hiệu suất'!$B:$D,3,0)</f>
        <v>22</v>
      </c>
      <c r="Z27" s="571"/>
      <c r="AA27" s="168">
        <f t="shared" si="79"/>
        <v>12000000</v>
      </c>
      <c r="AB27" s="182">
        <f t="shared" si="80"/>
        <v>0</v>
      </c>
      <c r="AC27" s="169">
        <f t="shared" si="81"/>
        <v>0</v>
      </c>
      <c r="AD27" s="175">
        <f t="shared" si="82"/>
        <v>12000000</v>
      </c>
      <c r="AE27" s="184"/>
      <c r="AF27" s="179">
        <f t="shared" si="83"/>
        <v>-50000</v>
      </c>
      <c r="AG27" s="618">
        <f>SUMIF('Tổng hợp OT'!B:B,B27,'Tổng hợp OT'!D:D)</f>
        <v>0</v>
      </c>
      <c r="AH27" s="804"/>
      <c r="AI27" s="171"/>
      <c r="AJ27" s="571">
        <f>-VLOOKUP(B27,'Thưởng hiệu suất'!$B$3:$D$36,2,0)</f>
        <v>-50000</v>
      </c>
      <c r="AK27" s="559"/>
      <c r="AL27" s="167"/>
      <c r="AM27" s="157">
        <f t="shared" si="84"/>
        <v>11950000</v>
      </c>
      <c r="AN27" s="571">
        <f>VLOOKUP(B27,BHXH!$E$7:$F$40,2,0)</f>
        <v>5310000</v>
      </c>
      <c r="AO27" s="596">
        <f t="shared" si="37"/>
        <v>557550</v>
      </c>
      <c r="AP27" s="596">
        <f t="shared" si="38"/>
        <v>1141650</v>
      </c>
      <c r="AQ27" s="171">
        <v>0</v>
      </c>
      <c r="AR27" s="563">
        <f t="shared" si="16"/>
        <v>15500000</v>
      </c>
      <c r="AS27" s="563">
        <f t="shared" si="85"/>
        <v>10320000</v>
      </c>
      <c r="AT27" s="182">
        <f t="shared" si="86"/>
        <v>0</v>
      </c>
      <c r="AU27" s="180"/>
      <c r="AV27" s="563">
        <f t="shared" si="18"/>
        <v>0</v>
      </c>
      <c r="AW27" s="571">
        <f t="shared" si="87"/>
        <v>11392000</v>
      </c>
      <c r="AX27" s="1065">
        <v>36628000</v>
      </c>
      <c r="AY27" s="618">
        <v>1673000</v>
      </c>
      <c r="AZ27" s="169">
        <f t="shared" si="88"/>
        <v>-23563000</v>
      </c>
      <c r="BA27" s="180">
        <f t="shared" si="89"/>
        <v>13091650</v>
      </c>
      <c r="BB27" s="962"/>
      <c r="BC27" s="575">
        <f t="shared" si="90"/>
        <v>0</v>
      </c>
      <c r="BD27" s="576">
        <f t="shared" si="91"/>
        <v>-50000</v>
      </c>
      <c r="BE27" s="577">
        <v>0</v>
      </c>
      <c r="BF27" s="577">
        <f t="shared" si="92"/>
        <v>1630000</v>
      </c>
      <c r="BG27" s="577">
        <v>33327000</v>
      </c>
      <c r="BH27" s="577">
        <v>0</v>
      </c>
      <c r="BI27" s="1061">
        <f t="shared" si="93"/>
        <v>-21935000</v>
      </c>
      <c r="BJ27" s="1063" t="s">
        <v>6022</v>
      </c>
      <c r="BK27" s="867" t="s">
        <v>1102</v>
      </c>
      <c r="BL27" s="654" t="s">
        <v>1232</v>
      </c>
      <c r="BM27" s="579" t="s">
        <v>1233</v>
      </c>
      <c r="BN27" s="579" t="s">
        <v>198</v>
      </c>
      <c r="BO27" s="653" t="s">
        <v>1233</v>
      </c>
      <c r="BP27" s="654" t="s">
        <v>198</v>
      </c>
      <c r="BQ27" s="879"/>
      <c r="BR27" s="880"/>
      <c r="BS27" s="648"/>
      <c r="BW27" s="584">
        <v>36987550</v>
      </c>
      <c r="BX27" s="875">
        <f t="shared" si="23"/>
        <v>-24987550</v>
      </c>
    </row>
    <row r="28" spans="1:76" s="736" customFormat="1" ht="27" customHeight="1" thickBot="1">
      <c r="A28" s="950" t="s">
        <v>971</v>
      </c>
      <c r="B28" s="978" t="s">
        <v>1104</v>
      </c>
      <c r="C28" s="1136">
        <v>45992</v>
      </c>
      <c r="D28" s="1137" t="s">
        <v>1103</v>
      </c>
      <c r="E28" s="730"/>
      <c r="F28" s="970" t="s">
        <v>85</v>
      </c>
      <c r="G28" s="981"/>
      <c r="H28" s="981"/>
      <c r="I28" s="982"/>
      <c r="J28" s="939"/>
      <c r="K28" s="940"/>
      <c r="L28" s="623">
        <v>12000000</v>
      </c>
      <c r="M28" s="623">
        <f t="shared" si="0"/>
        <v>12000000</v>
      </c>
      <c r="N28" s="184">
        <f>VLOOKUP(B28,BHXH!$E$7:$F$40,2,0)</f>
        <v>5310000</v>
      </c>
      <c r="O28" s="959">
        <f t="shared" si="76"/>
        <v>4810000</v>
      </c>
      <c r="P28" s="184">
        <v>250000</v>
      </c>
      <c r="Q28" s="959">
        <v>400000</v>
      </c>
      <c r="R28" s="959">
        <v>500000</v>
      </c>
      <c r="S28" s="959">
        <v>730000</v>
      </c>
      <c r="T28" s="959">
        <f t="shared" si="77"/>
        <v>1630000</v>
      </c>
      <c r="U28" s="863">
        <f t="shared" si="78"/>
        <v>22</v>
      </c>
      <c r="V28" s="186">
        <v>22</v>
      </c>
      <c r="W28" s="186"/>
      <c r="X28" s="973"/>
      <c r="Y28" s="844">
        <f>VLOOKUP(B28, 'Thưởng hiệu suất'!$B:$D,3,0)</f>
        <v>22</v>
      </c>
      <c r="Z28" s="184"/>
      <c r="AA28" s="837">
        <f t="shared" si="79"/>
        <v>12000000</v>
      </c>
      <c r="AB28" s="184">
        <f t="shared" si="80"/>
        <v>0</v>
      </c>
      <c r="AC28" s="184">
        <f t="shared" si="81"/>
        <v>0</v>
      </c>
      <c r="AD28" s="959">
        <f t="shared" si="82"/>
        <v>12000000</v>
      </c>
      <c r="AE28" s="184"/>
      <c r="AF28" s="1138">
        <f t="shared" si="83"/>
        <v>-50000</v>
      </c>
      <c r="AG28" s="838">
        <f>SUMIF('Tổng hợp OT'!B:B,B28,'Tổng hợp OT'!D:D)</f>
        <v>0</v>
      </c>
      <c r="AH28" s="984"/>
      <c r="AI28" s="187"/>
      <c r="AJ28" s="184">
        <f>-VLOOKUP(B28,'Thưởng hiệu suất'!$B$3:$D$36,2,0)</f>
        <v>-50000</v>
      </c>
      <c r="AK28" s="186"/>
      <c r="AL28" s="180"/>
      <c r="AM28" s="837">
        <f t="shared" si="84"/>
        <v>11950000</v>
      </c>
      <c r="AN28" s="184">
        <f>VLOOKUP(B28,BHXH!$E$7:$F$40,2,0)</f>
        <v>5310000</v>
      </c>
      <c r="AO28" s="959">
        <f t="shared" si="37"/>
        <v>557550</v>
      </c>
      <c r="AP28" s="959">
        <f t="shared" si="38"/>
        <v>1141650</v>
      </c>
      <c r="AQ28" s="187">
        <v>0</v>
      </c>
      <c r="AR28" s="180">
        <f t="shared" si="16"/>
        <v>15500000</v>
      </c>
      <c r="AS28" s="180">
        <f t="shared" si="85"/>
        <v>10320000</v>
      </c>
      <c r="AT28" s="184">
        <f t="shared" si="86"/>
        <v>0</v>
      </c>
      <c r="AU28" s="180"/>
      <c r="AV28" s="180">
        <f t="shared" si="18"/>
        <v>0</v>
      </c>
      <c r="AW28" s="184">
        <f t="shared" si="87"/>
        <v>11392000</v>
      </c>
      <c r="AX28" s="1066"/>
      <c r="AY28" s="838"/>
      <c r="AZ28" s="184">
        <f t="shared" si="88"/>
        <v>11392000</v>
      </c>
      <c r="BA28" s="180">
        <f t="shared" si="89"/>
        <v>13091650</v>
      </c>
      <c r="BB28" s="962"/>
      <c r="BC28" s="839">
        <f t="shared" si="90"/>
        <v>0</v>
      </c>
      <c r="BD28" s="840">
        <f t="shared" si="91"/>
        <v>-50000</v>
      </c>
      <c r="BE28" s="841">
        <v>110000</v>
      </c>
      <c r="BF28" s="841">
        <f t="shared" si="92"/>
        <v>1630000</v>
      </c>
      <c r="BG28" s="841">
        <v>16619000</v>
      </c>
      <c r="BH28" s="841">
        <v>0</v>
      </c>
      <c r="BI28" s="162">
        <f t="shared" si="93"/>
        <v>-5227000</v>
      </c>
      <c r="BJ28" s="118" t="s">
        <v>1050</v>
      </c>
      <c r="BK28" s="1139" t="s">
        <v>1104</v>
      </c>
      <c r="BL28" s="977" t="s">
        <v>1234</v>
      </c>
      <c r="BM28" s="126" t="s">
        <v>1235</v>
      </c>
      <c r="BN28" s="126" t="s">
        <v>211</v>
      </c>
      <c r="BO28" s="976" t="s">
        <v>1235</v>
      </c>
      <c r="BP28" s="977" t="s">
        <v>211</v>
      </c>
      <c r="BQ28" s="987"/>
      <c r="BR28" s="988"/>
      <c r="BS28" s="988"/>
      <c r="BW28" s="736">
        <v>18077023.684210524</v>
      </c>
      <c r="BX28" s="872">
        <f t="shared" si="23"/>
        <v>-6077023.684210524</v>
      </c>
    </row>
    <row r="29" spans="1:76" s="884" customFormat="1" ht="27" customHeight="1" thickBot="1">
      <c r="A29" s="615">
        <v>21</v>
      </c>
      <c r="B29" s="792" t="s">
        <v>1089</v>
      </c>
      <c r="C29" s="704" t="s">
        <v>5945</v>
      </c>
      <c r="D29" s="909" t="s">
        <v>1103</v>
      </c>
      <c r="E29" s="730"/>
      <c r="F29" s="634" t="s">
        <v>85</v>
      </c>
      <c r="G29" s="702"/>
      <c r="H29" s="702"/>
      <c r="I29" s="703"/>
      <c r="J29" s="155"/>
      <c r="K29" s="696"/>
      <c r="L29" s="623">
        <v>12000000</v>
      </c>
      <c r="M29" s="623">
        <f t="shared" si="0"/>
        <v>12000000</v>
      </c>
      <c r="N29" s="571">
        <f>VLOOKUP(B29,BHXH!$E$7:$F$40,2,0)</f>
        <v>5310000</v>
      </c>
      <c r="O29" s="596">
        <f t="shared" ref="O29:O34" si="94">M29-(N29+P29+Q29+R29+S29)</f>
        <v>4810000</v>
      </c>
      <c r="P29" s="571">
        <v>250000</v>
      </c>
      <c r="Q29" s="596">
        <v>400000</v>
      </c>
      <c r="R29" s="596">
        <v>500000</v>
      </c>
      <c r="S29" s="596">
        <v>730000</v>
      </c>
      <c r="T29" s="596">
        <f t="shared" ref="T29:T34" si="95">SUM(Q29:S29)</f>
        <v>1630000</v>
      </c>
      <c r="U29" s="709">
        <f t="shared" ref="U29:U34" si="96">SUM(W29:Y29)</f>
        <v>22</v>
      </c>
      <c r="V29" s="559">
        <v>22</v>
      </c>
      <c r="W29" s="170"/>
      <c r="X29" s="711"/>
      <c r="Y29" s="572">
        <f>VLOOKUP(B29, 'Thưởng hiệu suất'!$B:$D,3,0)</f>
        <v>22</v>
      </c>
      <c r="Z29" s="571"/>
      <c r="AA29" s="168">
        <f t="shared" ref="AA29:AA34" si="97">SUM(AB29:AD29)</f>
        <v>12000000</v>
      </c>
      <c r="AB29" s="182">
        <f t="shared" ref="AB29:AB34" si="98">ROUND($G29/V29*W29,0)</f>
        <v>0</v>
      </c>
      <c r="AC29" s="169">
        <f t="shared" ref="AC29:AC34" si="99">ROUND(I29/V29*X29,0)</f>
        <v>0</v>
      </c>
      <c r="AD29" s="175">
        <f t="shared" ref="AD29:AD34" si="100">ROUND($M29/V29*Y29,0)</f>
        <v>12000000</v>
      </c>
      <c r="AE29" s="184"/>
      <c r="AF29" s="877">
        <f t="shared" ref="AF29:AF34" si="101">SUM(AG29:AL29)</f>
        <v>0</v>
      </c>
      <c r="AG29" s="618">
        <f>SUMIF('Tổng hợp OT'!B:B,B29,'Tổng hợp OT'!D:D)</f>
        <v>0</v>
      </c>
      <c r="AH29" s="804"/>
      <c r="AI29" s="171"/>
      <c r="AJ29" s="571">
        <f>-VLOOKUP(B29,'Thưởng hiệu suất'!$B$3:$D$36,2,0)</f>
        <v>0</v>
      </c>
      <c r="AK29" s="559"/>
      <c r="AL29" s="167"/>
      <c r="AM29" s="157">
        <f t="shared" ref="AM29:AM34" si="102">AA29+AF29</f>
        <v>12000000</v>
      </c>
      <c r="AN29" s="571">
        <f>VLOOKUP(B29,BHXH!$E$7:$F$40,2,0)</f>
        <v>5310000</v>
      </c>
      <c r="AO29" s="596">
        <f t="shared" si="37"/>
        <v>557550</v>
      </c>
      <c r="AP29" s="596">
        <f t="shared" si="38"/>
        <v>1141650</v>
      </c>
      <c r="AQ29" s="171">
        <v>2</v>
      </c>
      <c r="AR29" s="563">
        <f t="shared" ref="AR29:AR38" si="103">IF($E29=10%,0,(AQ29*6200000+15500000))</f>
        <v>27900000</v>
      </c>
      <c r="AS29" s="563">
        <f t="shared" ref="AS29:AS34" si="104">AM29-(Q29+R29+S29)/V29*U29-AG29</f>
        <v>10370000</v>
      </c>
      <c r="AT29" s="182">
        <f t="shared" ref="AT29:AT34" si="105">ROUND(IF((AS29-AR29-AO29)&lt;0,0,(AS29-AR29-AO29)),0)</f>
        <v>0</v>
      </c>
      <c r="AU29" s="180"/>
      <c r="AV29" s="563">
        <f t="shared" ref="AV29:AV34" si="106">IF(AT29&lt;=0,0,IF(AT29&lt;=10000000,AT29*5%,IF(AT29&lt;=30000000,AT29*10%-500000,IF(AT29&lt;=60000000,AT29*20%-3500000,IF(AT29&lt;=100000000,AT29*30%-9500000,AT29*35%-14500000)))))</f>
        <v>0</v>
      </c>
      <c r="AW29" s="571">
        <f t="shared" ref="AW29:AW34" si="107">ROUND((AM29-AO29-AV29-AU29),-3)</f>
        <v>11442000</v>
      </c>
      <c r="AX29" s="1065">
        <v>20288000</v>
      </c>
      <c r="AY29" s="618">
        <v>75000</v>
      </c>
      <c r="AZ29" s="169">
        <f t="shared" ref="AZ29:AZ34" si="108">ROUND(AW29-AX29+AY29,0)</f>
        <v>-8771000</v>
      </c>
      <c r="BA29" s="180">
        <f t="shared" ref="BA29:BA34" si="109">AM29+AP29</f>
        <v>13141650</v>
      </c>
      <c r="BB29" s="962"/>
      <c r="BC29" s="575">
        <f t="shared" ref="BC29:BC34" si="110">(U29-V29)</f>
        <v>0</v>
      </c>
      <c r="BD29" s="576">
        <f t="shared" ref="BD29:BD34" si="111">AF29</f>
        <v>0</v>
      </c>
      <c r="BE29" s="577">
        <v>0</v>
      </c>
      <c r="BF29" s="577">
        <f t="shared" ref="BF29:BF34" si="112">T29</f>
        <v>1630000</v>
      </c>
      <c r="BG29" s="577">
        <v>20063000</v>
      </c>
      <c r="BH29" s="577">
        <v>0</v>
      </c>
      <c r="BI29" s="1061">
        <f t="shared" ref="BI29:BI34" si="113">AW29-BG29</f>
        <v>-8621000</v>
      </c>
      <c r="BJ29" s="1062" t="s">
        <v>1050</v>
      </c>
      <c r="BK29" s="916" t="s">
        <v>1089</v>
      </c>
      <c r="BL29" s="916" t="s">
        <v>5966</v>
      </c>
      <c r="BM29" s="917" t="s">
        <v>5962</v>
      </c>
      <c r="BN29" s="579" t="s">
        <v>211</v>
      </c>
      <c r="BO29" s="917" t="s">
        <v>5962</v>
      </c>
      <c r="BP29" s="676" t="s">
        <v>1056</v>
      </c>
      <c r="BQ29" s="654"/>
      <c r="BR29" s="879"/>
      <c r="BS29" s="880"/>
      <c r="BT29" s="648"/>
      <c r="BW29" s="584">
        <v>21000000</v>
      </c>
      <c r="BX29" s="875">
        <f t="shared" si="23"/>
        <v>-9000000</v>
      </c>
    </row>
    <row r="30" spans="1:76" s="736" customFormat="1" ht="27" customHeight="1" thickBot="1">
      <c r="A30" s="836">
        <f t="shared" ref="A30:A35" si="114">A29+1</f>
        <v>22</v>
      </c>
      <c r="B30" s="978" t="s">
        <v>5939</v>
      </c>
      <c r="C30" s="979" t="s">
        <v>5945</v>
      </c>
      <c r="D30" s="980" t="s">
        <v>1103</v>
      </c>
      <c r="E30" s="730"/>
      <c r="F30" s="970" t="s">
        <v>85</v>
      </c>
      <c r="G30" s="981"/>
      <c r="H30" s="981"/>
      <c r="I30" s="982"/>
      <c r="J30" s="939"/>
      <c r="K30" s="983"/>
      <c r="L30" s="623">
        <v>12000000</v>
      </c>
      <c r="M30" s="623">
        <f t="shared" si="0"/>
        <v>12000000</v>
      </c>
      <c r="N30" s="184">
        <f>VLOOKUP(B30,BHXH!$E$7:$F$40,2,0)</f>
        <v>5310000</v>
      </c>
      <c r="O30" s="959">
        <f t="shared" si="94"/>
        <v>4810000</v>
      </c>
      <c r="P30" s="184">
        <v>250000</v>
      </c>
      <c r="Q30" s="959">
        <v>400000</v>
      </c>
      <c r="R30" s="959">
        <v>500000</v>
      </c>
      <c r="S30" s="959">
        <v>730000</v>
      </c>
      <c r="T30" s="959">
        <f t="shared" si="95"/>
        <v>1630000</v>
      </c>
      <c r="U30" s="863">
        <f t="shared" si="96"/>
        <v>22</v>
      </c>
      <c r="V30" s="186">
        <v>22</v>
      </c>
      <c r="W30" s="186"/>
      <c r="X30" s="973"/>
      <c r="Y30" s="844">
        <f>VLOOKUP(B30, 'Thưởng hiệu suất'!$B:$D,3,0)</f>
        <v>22</v>
      </c>
      <c r="Z30" s="184"/>
      <c r="AA30" s="837">
        <f t="shared" si="97"/>
        <v>12000000</v>
      </c>
      <c r="AB30" s="184">
        <f t="shared" si="98"/>
        <v>0</v>
      </c>
      <c r="AC30" s="184">
        <f t="shared" si="99"/>
        <v>0</v>
      </c>
      <c r="AD30" s="959">
        <f t="shared" si="100"/>
        <v>12000000</v>
      </c>
      <c r="AE30" s="184"/>
      <c r="AF30" s="974">
        <f t="shared" si="101"/>
        <v>-125000</v>
      </c>
      <c r="AG30" s="838">
        <f>SUMIF('Tổng hợp OT'!B:B,B30,'Tổng hợp OT'!D:D)</f>
        <v>0</v>
      </c>
      <c r="AH30" s="984"/>
      <c r="AI30" s="187"/>
      <c r="AJ30" s="571">
        <f>-VLOOKUP(B30,'Thưởng hiệu suất'!$B$3:$D$36,2,0)</f>
        <v>-125000</v>
      </c>
      <c r="AK30" s="186"/>
      <c r="AL30" s="167"/>
      <c r="AM30" s="837">
        <f t="shared" si="102"/>
        <v>11875000</v>
      </c>
      <c r="AN30" s="184">
        <f>VLOOKUP(B30,BHXH!$E$7:$F$40,2,0)</f>
        <v>5310000</v>
      </c>
      <c r="AO30" s="959">
        <f t="shared" si="37"/>
        <v>557550</v>
      </c>
      <c r="AP30" s="959">
        <f t="shared" si="38"/>
        <v>1141650</v>
      </c>
      <c r="AQ30" s="187">
        <v>2</v>
      </c>
      <c r="AR30" s="180">
        <f t="shared" si="103"/>
        <v>27900000</v>
      </c>
      <c r="AS30" s="180">
        <f t="shared" si="104"/>
        <v>10245000</v>
      </c>
      <c r="AT30" s="184">
        <f t="shared" si="105"/>
        <v>0</v>
      </c>
      <c r="AU30" s="180"/>
      <c r="AV30" s="180">
        <f t="shared" si="106"/>
        <v>0</v>
      </c>
      <c r="AW30" s="184">
        <f t="shared" si="107"/>
        <v>11317000</v>
      </c>
      <c r="AX30" s="1065"/>
      <c r="AY30" s="838"/>
      <c r="AZ30" s="184">
        <f t="shared" si="108"/>
        <v>11317000</v>
      </c>
      <c r="BA30" s="180">
        <f t="shared" si="109"/>
        <v>13016650</v>
      </c>
      <c r="BB30" s="962"/>
      <c r="BC30" s="839">
        <f t="shared" si="110"/>
        <v>0</v>
      </c>
      <c r="BD30" s="840">
        <f t="shared" si="111"/>
        <v>-125000</v>
      </c>
      <c r="BE30" s="841">
        <v>0</v>
      </c>
      <c r="BF30" s="841">
        <f t="shared" si="112"/>
        <v>1630000</v>
      </c>
      <c r="BG30" s="577">
        <v>32838000</v>
      </c>
      <c r="BH30" s="841">
        <v>0</v>
      </c>
      <c r="BI30" s="1061">
        <f t="shared" si="113"/>
        <v>-21521000</v>
      </c>
      <c r="BJ30" s="1063" t="s">
        <v>6023</v>
      </c>
      <c r="BK30" s="985" t="s">
        <v>1337</v>
      </c>
      <c r="BL30" s="985" t="s">
        <v>5967</v>
      </c>
      <c r="BM30" s="986" t="s">
        <v>5963</v>
      </c>
      <c r="BN30" s="683" t="s">
        <v>968</v>
      </c>
      <c r="BO30" s="986" t="s">
        <v>5963</v>
      </c>
      <c r="BP30" s="683" t="s">
        <v>968</v>
      </c>
      <c r="BQ30" s="977"/>
      <c r="BR30" s="987"/>
      <c r="BS30" s="988"/>
      <c r="BT30" s="988"/>
      <c r="BW30" s="584">
        <v>35000000</v>
      </c>
      <c r="BX30" s="875">
        <f t="shared" si="23"/>
        <v>-23000000</v>
      </c>
    </row>
    <row r="31" spans="1:76" s="884" customFormat="1" ht="27" customHeight="1" thickBot="1">
      <c r="A31" s="566">
        <f t="shared" si="114"/>
        <v>23</v>
      </c>
      <c r="B31" s="792" t="s">
        <v>5940</v>
      </c>
      <c r="C31" s="704" t="s">
        <v>5945</v>
      </c>
      <c r="D31" s="909" t="s">
        <v>1003</v>
      </c>
      <c r="E31" s="730"/>
      <c r="F31" s="634" t="s">
        <v>85</v>
      </c>
      <c r="G31" s="702"/>
      <c r="H31" s="702"/>
      <c r="I31" s="703"/>
      <c r="J31" s="155"/>
      <c r="K31" s="696"/>
      <c r="L31" s="623">
        <v>12000000</v>
      </c>
      <c r="M31" s="623">
        <f t="shared" si="0"/>
        <v>12000000</v>
      </c>
      <c r="N31" s="571">
        <f>VLOOKUP(B31,BHXH!$E$7:$F$40,2,0)</f>
        <v>5310000</v>
      </c>
      <c r="O31" s="596">
        <f t="shared" si="94"/>
        <v>4810000</v>
      </c>
      <c r="P31" s="571">
        <v>250000</v>
      </c>
      <c r="Q31" s="596">
        <v>400000</v>
      </c>
      <c r="R31" s="596">
        <v>500000</v>
      </c>
      <c r="S31" s="596">
        <v>730000</v>
      </c>
      <c r="T31" s="596">
        <f t="shared" si="95"/>
        <v>1630000</v>
      </c>
      <c r="U31" s="709">
        <f t="shared" si="96"/>
        <v>22</v>
      </c>
      <c r="V31" s="559">
        <v>22</v>
      </c>
      <c r="W31" s="170"/>
      <c r="X31" s="711"/>
      <c r="Y31" s="572">
        <f>VLOOKUP(B31, 'Thưởng hiệu suất'!$B:$D,3,0)</f>
        <v>22</v>
      </c>
      <c r="Z31" s="571"/>
      <c r="AA31" s="168">
        <f t="shared" si="97"/>
        <v>12000000</v>
      </c>
      <c r="AB31" s="182">
        <f t="shared" si="98"/>
        <v>0</v>
      </c>
      <c r="AC31" s="169">
        <f t="shared" si="99"/>
        <v>0</v>
      </c>
      <c r="AD31" s="175">
        <f t="shared" si="100"/>
        <v>12000000</v>
      </c>
      <c r="AE31" s="184"/>
      <c r="AF31" s="877">
        <f t="shared" si="101"/>
        <v>0</v>
      </c>
      <c r="AG31" s="618">
        <f>SUMIF('Tổng hợp OT'!B:B,B31,'Tổng hợp OT'!D:D)</f>
        <v>0</v>
      </c>
      <c r="AH31" s="804"/>
      <c r="AI31" s="171"/>
      <c r="AJ31" s="571">
        <f>-VLOOKUP(B31,'Thưởng hiệu suất'!$B$3:$D$36,2,0)</f>
        <v>0</v>
      </c>
      <c r="AK31" s="559"/>
      <c r="AL31" s="167"/>
      <c r="AM31" s="157">
        <f t="shared" si="102"/>
        <v>12000000</v>
      </c>
      <c r="AN31" s="571">
        <f>VLOOKUP(B31,BHXH!$E$7:$F$40,2,0)</f>
        <v>5310000</v>
      </c>
      <c r="AO31" s="596">
        <f t="shared" si="37"/>
        <v>557550</v>
      </c>
      <c r="AP31" s="596">
        <f t="shared" si="38"/>
        <v>1141650</v>
      </c>
      <c r="AQ31" s="171">
        <v>0</v>
      </c>
      <c r="AR31" s="563">
        <f t="shared" si="103"/>
        <v>15500000</v>
      </c>
      <c r="AS31" s="563">
        <f t="shared" si="104"/>
        <v>10370000</v>
      </c>
      <c r="AT31" s="182">
        <f t="shared" si="105"/>
        <v>0</v>
      </c>
      <c r="AU31" s="180"/>
      <c r="AV31" s="563">
        <f t="shared" si="106"/>
        <v>0</v>
      </c>
      <c r="AW31" s="571">
        <f t="shared" si="107"/>
        <v>11442000</v>
      </c>
      <c r="AX31" s="1065">
        <v>10442000</v>
      </c>
      <c r="AY31" s="618"/>
      <c r="AZ31" s="169">
        <f t="shared" si="108"/>
        <v>1000000</v>
      </c>
      <c r="BA31" s="180">
        <f t="shared" si="109"/>
        <v>13141650</v>
      </c>
      <c r="BB31" s="962"/>
      <c r="BC31" s="575">
        <f t="shared" si="110"/>
        <v>0</v>
      </c>
      <c r="BD31" s="576">
        <f t="shared" si="111"/>
        <v>0</v>
      </c>
      <c r="BE31" s="577">
        <v>0</v>
      </c>
      <c r="BF31" s="577">
        <f t="shared" si="112"/>
        <v>1630000</v>
      </c>
      <c r="BG31" s="577">
        <v>10367000</v>
      </c>
      <c r="BH31" s="577">
        <v>0</v>
      </c>
      <c r="BI31" s="1061">
        <f t="shared" si="113"/>
        <v>1075000</v>
      </c>
      <c r="BJ31" s="1062" t="s">
        <v>1050</v>
      </c>
      <c r="BK31" s="681" t="s">
        <v>1088</v>
      </c>
      <c r="BL31" s="681" t="s">
        <v>5968</v>
      </c>
      <c r="BM31" s="917" t="s">
        <v>5964</v>
      </c>
      <c r="BN31" s="676" t="s">
        <v>5957</v>
      </c>
      <c r="BO31" s="917" t="s">
        <v>5964</v>
      </c>
      <c r="BP31" s="676" t="s">
        <v>5957</v>
      </c>
      <c r="BQ31" s="654"/>
      <c r="BR31" s="879"/>
      <c r="BS31" s="880"/>
      <c r="BT31" s="648"/>
      <c r="BW31" s="584">
        <v>11000000</v>
      </c>
      <c r="BX31" s="875">
        <f t="shared" si="23"/>
        <v>1000000</v>
      </c>
    </row>
    <row r="32" spans="1:76" s="884" customFormat="1" ht="27" customHeight="1" thickBot="1">
      <c r="A32" s="566">
        <f t="shared" si="114"/>
        <v>24</v>
      </c>
      <c r="B32" s="792" t="s">
        <v>5941</v>
      </c>
      <c r="C32" s="704" t="s">
        <v>5945</v>
      </c>
      <c r="D32" s="909" t="s">
        <v>1003</v>
      </c>
      <c r="E32" s="730"/>
      <c r="F32" s="634" t="s">
        <v>85</v>
      </c>
      <c r="G32" s="702"/>
      <c r="H32" s="702"/>
      <c r="I32" s="703"/>
      <c r="J32" s="155"/>
      <c r="K32" s="696"/>
      <c r="L32" s="623">
        <v>12000000</v>
      </c>
      <c r="M32" s="623">
        <f t="shared" si="0"/>
        <v>12000000</v>
      </c>
      <c r="N32" s="571">
        <f>VLOOKUP(B32,BHXH!$E$7:$F$40,2,0)</f>
        <v>5310000</v>
      </c>
      <c r="O32" s="596">
        <f t="shared" si="94"/>
        <v>4810000</v>
      </c>
      <c r="P32" s="571">
        <v>250000</v>
      </c>
      <c r="Q32" s="596">
        <v>400000</v>
      </c>
      <c r="R32" s="596">
        <v>500000</v>
      </c>
      <c r="S32" s="596">
        <v>730000</v>
      </c>
      <c r="T32" s="596">
        <f t="shared" si="95"/>
        <v>1630000</v>
      </c>
      <c r="U32" s="709">
        <f t="shared" si="96"/>
        <v>22</v>
      </c>
      <c r="V32" s="559">
        <v>22</v>
      </c>
      <c r="W32" s="170"/>
      <c r="X32" s="711"/>
      <c r="Y32" s="572">
        <f>VLOOKUP(B32, 'Thưởng hiệu suất'!$B:$D,3,0)</f>
        <v>22</v>
      </c>
      <c r="Z32" s="571"/>
      <c r="AA32" s="168">
        <f t="shared" si="97"/>
        <v>12000000</v>
      </c>
      <c r="AB32" s="182">
        <f t="shared" si="98"/>
        <v>0</v>
      </c>
      <c r="AC32" s="169">
        <f t="shared" si="99"/>
        <v>0</v>
      </c>
      <c r="AD32" s="175">
        <f t="shared" si="100"/>
        <v>12000000</v>
      </c>
      <c r="AE32" s="184"/>
      <c r="AF32" s="877">
        <f t="shared" si="101"/>
        <v>0</v>
      </c>
      <c r="AG32" s="618">
        <f>SUMIF('Tổng hợp OT'!B:B,B32,'Tổng hợp OT'!D:D)</f>
        <v>0</v>
      </c>
      <c r="AH32" s="804"/>
      <c r="AI32" s="171"/>
      <c r="AJ32" s="571">
        <f>-VLOOKUP(B32,'Thưởng hiệu suất'!$B$3:$D$36,2,0)</f>
        <v>0</v>
      </c>
      <c r="AK32" s="559"/>
      <c r="AL32" s="167"/>
      <c r="AM32" s="157">
        <f t="shared" si="102"/>
        <v>12000000</v>
      </c>
      <c r="AN32" s="571">
        <f>VLOOKUP(B32,BHXH!$E$7:$F$40,2,0)</f>
        <v>5310000</v>
      </c>
      <c r="AO32" s="596">
        <f t="shared" si="37"/>
        <v>557550</v>
      </c>
      <c r="AP32" s="596">
        <f t="shared" si="38"/>
        <v>1141650</v>
      </c>
      <c r="AQ32" s="171">
        <v>0</v>
      </c>
      <c r="AR32" s="563">
        <f t="shared" si="103"/>
        <v>15500000</v>
      </c>
      <c r="AS32" s="563">
        <f t="shared" si="104"/>
        <v>10370000</v>
      </c>
      <c r="AT32" s="182">
        <f t="shared" si="105"/>
        <v>0</v>
      </c>
      <c r="AU32" s="180"/>
      <c r="AV32" s="563">
        <f t="shared" si="106"/>
        <v>0</v>
      </c>
      <c r="AW32" s="571">
        <f t="shared" si="107"/>
        <v>11442000</v>
      </c>
      <c r="AX32" s="1065">
        <v>9942000</v>
      </c>
      <c r="AY32" s="618">
        <v>500000</v>
      </c>
      <c r="AZ32" s="169">
        <f t="shared" si="108"/>
        <v>2000000</v>
      </c>
      <c r="BA32" s="180">
        <f t="shared" si="109"/>
        <v>13141650</v>
      </c>
      <c r="BB32" s="962"/>
      <c r="BC32" s="575">
        <f t="shared" si="110"/>
        <v>0</v>
      </c>
      <c r="BD32" s="576">
        <f t="shared" si="111"/>
        <v>0</v>
      </c>
      <c r="BE32" s="577">
        <v>0</v>
      </c>
      <c r="BF32" s="577">
        <f t="shared" si="112"/>
        <v>1630000</v>
      </c>
      <c r="BG32" s="577">
        <v>8867000</v>
      </c>
      <c r="BH32" s="577">
        <v>0</v>
      </c>
      <c r="BI32" s="1061">
        <f t="shared" si="113"/>
        <v>2575000</v>
      </c>
      <c r="BJ32" s="1063" t="s">
        <v>6017</v>
      </c>
      <c r="BK32" s="681" t="s">
        <v>1198</v>
      </c>
      <c r="BL32" s="681" t="s">
        <v>5969</v>
      </c>
      <c r="BM32" s="917" t="s">
        <v>5965</v>
      </c>
      <c r="BN32" s="676" t="s">
        <v>5958</v>
      </c>
      <c r="BO32" s="917" t="s">
        <v>5965</v>
      </c>
      <c r="BP32" s="676" t="s">
        <v>5958</v>
      </c>
      <c r="BQ32" s="654"/>
      <c r="BR32" s="879"/>
      <c r="BS32" s="880"/>
      <c r="BT32" s="648"/>
      <c r="BW32" s="584">
        <v>10000000</v>
      </c>
      <c r="BX32" s="875">
        <f t="shared" si="23"/>
        <v>2000000</v>
      </c>
    </row>
    <row r="33" spans="1:76" s="736" customFormat="1" ht="27" customHeight="1" thickBot="1">
      <c r="A33" s="836">
        <f t="shared" si="114"/>
        <v>25</v>
      </c>
      <c r="B33" s="978" t="s">
        <v>1223</v>
      </c>
      <c r="C33" s="979" t="s">
        <v>5945</v>
      </c>
      <c r="D33" s="980" t="s">
        <v>5944</v>
      </c>
      <c r="E33" s="730"/>
      <c r="F33" s="970" t="s">
        <v>85</v>
      </c>
      <c r="G33" s="981"/>
      <c r="H33" s="981"/>
      <c r="I33" s="982"/>
      <c r="J33" s="939"/>
      <c r="K33" s="983"/>
      <c r="L33" s="623">
        <v>12000000</v>
      </c>
      <c r="M33" s="623">
        <f t="shared" si="0"/>
        <v>12000000</v>
      </c>
      <c r="N33" s="184">
        <f>VLOOKUP(B33,BHXH!$E$7:$F$40,2,0)</f>
        <v>5310000</v>
      </c>
      <c r="O33" s="959">
        <f t="shared" si="94"/>
        <v>4810000</v>
      </c>
      <c r="P33" s="184">
        <v>250000</v>
      </c>
      <c r="Q33" s="959">
        <v>400000</v>
      </c>
      <c r="R33" s="959">
        <v>500000</v>
      </c>
      <c r="S33" s="959">
        <v>730000</v>
      </c>
      <c r="T33" s="959">
        <f t="shared" si="95"/>
        <v>1630000</v>
      </c>
      <c r="U33" s="863">
        <f t="shared" si="96"/>
        <v>22</v>
      </c>
      <c r="V33" s="186">
        <v>22</v>
      </c>
      <c r="W33" s="186"/>
      <c r="X33" s="973"/>
      <c r="Y33" s="844">
        <f>VLOOKUP(B33, 'Thưởng hiệu suất'!$B:$D,3,0)</f>
        <v>22</v>
      </c>
      <c r="Z33" s="184"/>
      <c r="AA33" s="837">
        <f t="shared" si="97"/>
        <v>12000000</v>
      </c>
      <c r="AB33" s="184">
        <f t="shared" si="98"/>
        <v>0</v>
      </c>
      <c r="AC33" s="184">
        <f t="shared" si="99"/>
        <v>0</v>
      </c>
      <c r="AD33" s="959">
        <f t="shared" si="100"/>
        <v>12000000</v>
      </c>
      <c r="AE33" s="184"/>
      <c r="AF33" s="974">
        <f t="shared" si="101"/>
        <v>0</v>
      </c>
      <c r="AG33" s="838">
        <f>SUMIF('Tổng hợp OT'!B:B,B33,'Tổng hợp OT'!D:D)</f>
        <v>0</v>
      </c>
      <c r="AH33" s="984"/>
      <c r="AI33" s="187"/>
      <c r="AJ33" s="571">
        <f>-VLOOKUP(B33,'Thưởng hiệu suất'!$B$3:$D$36,2,0)</f>
        <v>0</v>
      </c>
      <c r="AK33" s="186"/>
      <c r="AL33" s="167"/>
      <c r="AM33" s="837">
        <f t="shared" si="102"/>
        <v>12000000</v>
      </c>
      <c r="AN33" s="184">
        <f>VLOOKUP(B33,BHXH!$E$7:$F$40,2,0)</f>
        <v>5310000</v>
      </c>
      <c r="AO33" s="959">
        <f t="shared" si="37"/>
        <v>557550</v>
      </c>
      <c r="AP33" s="959">
        <f t="shared" si="38"/>
        <v>1141650</v>
      </c>
      <c r="AQ33" s="187">
        <v>2</v>
      </c>
      <c r="AR33" s="180">
        <f t="shared" si="103"/>
        <v>27900000</v>
      </c>
      <c r="AS33" s="180">
        <f t="shared" si="104"/>
        <v>10370000</v>
      </c>
      <c r="AT33" s="184">
        <f t="shared" si="105"/>
        <v>0</v>
      </c>
      <c r="AU33" s="180"/>
      <c r="AV33" s="180">
        <f t="shared" si="106"/>
        <v>0</v>
      </c>
      <c r="AW33" s="184">
        <f t="shared" si="107"/>
        <v>11442000</v>
      </c>
      <c r="AX33" s="1065">
        <v>40285000</v>
      </c>
      <c r="AY33" s="838">
        <v>3106000</v>
      </c>
      <c r="AZ33" s="184">
        <f t="shared" si="108"/>
        <v>-25737000</v>
      </c>
      <c r="BA33" s="180">
        <f t="shared" si="109"/>
        <v>13141650</v>
      </c>
      <c r="BB33" s="962"/>
      <c r="BC33" s="839">
        <f t="shared" si="110"/>
        <v>0</v>
      </c>
      <c r="BD33" s="840">
        <f t="shared" si="111"/>
        <v>0</v>
      </c>
      <c r="BE33" s="841">
        <v>1000000</v>
      </c>
      <c r="BF33" s="841">
        <f t="shared" si="112"/>
        <v>1630000</v>
      </c>
      <c r="BG33" s="577">
        <v>33859000</v>
      </c>
      <c r="BH33" s="841">
        <v>-23</v>
      </c>
      <c r="BI33" s="1061">
        <f t="shared" si="113"/>
        <v>-22417000</v>
      </c>
      <c r="BJ33" s="1063" t="s">
        <v>6017</v>
      </c>
      <c r="BK33" s="985" t="s">
        <v>1223</v>
      </c>
      <c r="BL33" s="985" t="s">
        <v>5960</v>
      </c>
      <c r="BM33" s="986" t="s">
        <v>5961</v>
      </c>
      <c r="BN33" s="683" t="s">
        <v>211</v>
      </c>
      <c r="BO33" s="986" t="s">
        <v>5961</v>
      </c>
      <c r="BP33" s="683" t="s">
        <v>1056</v>
      </c>
      <c r="BQ33" s="977"/>
      <c r="BR33" s="988"/>
      <c r="BS33" s="988"/>
      <c r="BW33" s="584">
        <v>38500000</v>
      </c>
      <c r="BX33" s="875">
        <f t="shared" si="23"/>
        <v>-26500000</v>
      </c>
    </row>
    <row r="34" spans="1:76" s="884" customFormat="1" ht="27" customHeight="1" thickBot="1">
      <c r="A34" s="566">
        <f t="shared" si="114"/>
        <v>26</v>
      </c>
      <c r="B34" s="792" t="s">
        <v>5942</v>
      </c>
      <c r="C34" s="704" t="s">
        <v>5946</v>
      </c>
      <c r="D34" s="909" t="s">
        <v>5947</v>
      </c>
      <c r="E34" s="730"/>
      <c r="F34" s="634" t="s">
        <v>85</v>
      </c>
      <c r="G34" s="702"/>
      <c r="H34" s="702"/>
      <c r="I34" s="703"/>
      <c r="J34" s="155"/>
      <c r="K34" s="696"/>
      <c r="L34" s="623">
        <v>12000000</v>
      </c>
      <c r="M34" s="623">
        <f t="shared" si="0"/>
        <v>12000000</v>
      </c>
      <c r="N34" s="571">
        <f>VLOOKUP(B34,BHXH!$E$7:$F$40,2,0)</f>
        <v>5310000</v>
      </c>
      <c r="O34" s="596">
        <f t="shared" si="94"/>
        <v>4310000</v>
      </c>
      <c r="P34" s="571">
        <v>250000</v>
      </c>
      <c r="Q34" s="596">
        <v>400000</v>
      </c>
      <c r="R34" s="596">
        <v>1000000</v>
      </c>
      <c r="S34" s="596">
        <v>730000</v>
      </c>
      <c r="T34" s="596">
        <f t="shared" si="95"/>
        <v>2130000</v>
      </c>
      <c r="U34" s="709">
        <f t="shared" si="96"/>
        <v>22</v>
      </c>
      <c r="V34" s="559">
        <v>22</v>
      </c>
      <c r="W34" s="170"/>
      <c r="X34" s="711"/>
      <c r="Y34" s="572">
        <f>VLOOKUP(B34, 'Thưởng hiệu suất'!$B:$D,3,0)</f>
        <v>22</v>
      </c>
      <c r="Z34" s="571"/>
      <c r="AA34" s="168">
        <f t="shared" si="97"/>
        <v>12000000</v>
      </c>
      <c r="AB34" s="182">
        <f t="shared" si="98"/>
        <v>0</v>
      </c>
      <c r="AC34" s="169">
        <f t="shared" si="99"/>
        <v>0</v>
      </c>
      <c r="AD34" s="175">
        <f t="shared" si="100"/>
        <v>12000000</v>
      </c>
      <c r="AE34" s="184"/>
      <c r="AF34" s="877">
        <f t="shared" si="101"/>
        <v>0</v>
      </c>
      <c r="AG34" s="618">
        <f>SUMIF('Tổng hợp OT'!B:B,B34,'Tổng hợp OT'!D:D)</f>
        <v>0</v>
      </c>
      <c r="AH34" s="804"/>
      <c r="AI34" s="171"/>
      <c r="AJ34" s="571">
        <f>-VLOOKUP(B34,'Thưởng hiệu suất'!$B$3:$D$36,2,0)</f>
        <v>0</v>
      </c>
      <c r="AK34" s="559"/>
      <c r="AL34" s="167"/>
      <c r="AM34" s="157">
        <f t="shared" si="102"/>
        <v>12000000</v>
      </c>
      <c r="AN34" s="571">
        <f>VLOOKUP(B34,BHXH!$E$7:$F$40,2,0)</f>
        <v>5310000</v>
      </c>
      <c r="AO34" s="596">
        <f t="shared" si="37"/>
        <v>557550</v>
      </c>
      <c r="AP34" s="596">
        <f t="shared" si="38"/>
        <v>1141650</v>
      </c>
      <c r="AQ34" s="171">
        <v>0</v>
      </c>
      <c r="AR34" s="563">
        <f t="shared" si="103"/>
        <v>15500000</v>
      </c>
      <c r="AS34" s="563">
        <f t="shared" si="104"/>
        <v>9870000</v>
      </c>
      <c r="AT34" s="182">
        <f t="shared" si="105"/>
        <v>0</v>
      </c>
      <c r="AU34" s="180"/>
      <c r="AV34" s="563">
        <f t="shared" si="106"/>
        <v>0</v>
      </c>
      <c r="AW34" s="571">
        <f t="shared" si="107"/>
        <v>11442000</v>
      </c>
      <c r="AX34" s="1065"/>
      <c r="AY34" s="618"/>
      <c r="AZ34" s="169">
        <f t="shared" si="108"/>
        <v>11442000</v>
      </c>
      <c r="BA34" s="180">
        <f t="shared" si="109"/>
        <v>13141650</v>
      </c>
      <c r="BB34" s="962"/>
      <c r="BC34" s="575">
        <f t="shared" si="110"/>
        <v>0</v>
      </c>
      <c r="BD34" s="576">
        <f t="shared" si="111"/>
        <v>0</v>
      </c>
      <c r="BE34" s="577">
        <v>0</v>
      </c>
      <c r="BF34" s="577">
        <f t="shared" si="112"/>
        <v>2130000</v>
      </c>
      <c r="BG34" s="577">
        <v>27373000</v>
      </c>
      <c r="BH34" s="577">
        <v>0</v>
      </c>
      <c r="BI34" s="162">
        <f t="shared" si="113"/>
        <v>-15931000</v>
      </c>
      <c r="BJ34" s="697"/>
      <c r="BK34" s="681" t="s">
        <v>5942</v>
      </c>
      <c r="BL34" s="681" t="s">
        <v>5970</v>
      </c>
      <c r="BM34" s="917" t="s">
        <v>5971</v>
      </c>
      <c r="BN34" s="676" t="s">
        <v>5959</v>
      </c>
      <c r="BO34" s="917" t="s">
        <v>5971</v>
      </c>
      <c r="BP34" s="676" t="s">
        <v>5959</v>
      </c>
      <c r="BQ34" s="654"/>
      <c r="BR34" s="879"/>
      <c r="BS34" s="880"/>
      <c r="BT34" s="648"/>
      <c r="BW34" s="584">
        <v>30000000</v>
      </c>
      <c r="BX34" s="875">
        <f t="shared" si="23"/>
        <v>-18000000</v>
      </c>
    </row>
    <row r="35" spans="1:76" s="748" customFormat="1" ht="27" customHeight="1" thickBot="1">
      <c r="A35" s="566">
        <f t="shared" si="114"/>
        <v>27</v>
      </c>
      <c r="B35" s="792" t="s">
        <v>1071</v>
      </c>
      <c r="C35" s="704">
        <v>45985</v>
      </c>
      <c r="D35" s="1012" t="s">
        <v>1072</v>
      </c>
      <c r="E35" s="730"/>
      <c r="F35" s="634" t="s">
        <v>85</v>
      </c>
      <c r="G35" s="702"/>
      <c r="H35" s="702"/>
      <c r="I35" s="796"/>
      <c r="J35" s="662"/>
      <c r="K35" s="908"/>
      <c r="L35" s="623">
        <v>12000000</v>
      </c>
      <c r="M35" s="623">
        <f t="shared" si="0"/>
        <v>12000000</v>
      </c>
      <c r="N35" s="571">
        <f>VLOOKUP(B35,BHXH!$E$7:$F$40,2,0)</f>
        <v>5310000</v>
      </c>
      <c r="O35" s="596">
        <f t="shared" ref="O35" si="115">M35-(N35+P35+Q35+R35+S35)</f>
        <v>4810000</v>
      </c>
      <c r="P35" s="571">
        <v>250000</v>
      </c>
      <c r="Q35" s="596">
        <v>400000</v>
      </c>
      <c r="R35" s="596">
        <v>500000</v>
      </c>
      <c r="S35" s="596">
        <v>730000</v>
      </c>
      <c r="T35" s="596">
        <f t="shared" ref="T35" si="116">SUM(Q35:S35)</f>
        <v>1630000</v>
      </c>
      <c r="U35" s="628">
        <f t="shared" ref="U35" si="117">SUM(W35:Y35)</f>
        <v>22</v>
      </c>
      <c r="V35" s="559">
        <v>22</v>
      </c>
      <c r="W35" s="170"/>
      <c r="X35" s="711"/>
      <c r="Y35" s="572">
        <f>VLOOKUP(B35, 'Thưởng hiệu suất'!$B:$D,3,0)</f>
        <v>22</v>
      </c>
      <c r="Z35" s="571"/>
      <c r="AA35" s="168">
        <f t="shared" ref="AA35" si="118">SUM(AB35:AD35)</f>
        <v>12000000</v>
      </c>
      <c r="AB35" s="182">
        <f>ROUND($G35/V35*W35,0)</f>
        <v>0</v>
      </c>
      <c r="AC35" s="169">
        <f t="shared" ref="AC35" si="119">ROUND(I35/V35*X35,0)</f>
        <v>0</v>
      </c>
      <c r="AD35" s="175">
        <f>ROUND($M35/V35*Y35,0)</f>
        <v>12000000</v>
      </c>
      <c r="AE35" s="184"/>
      <c r="AF35" s="179">
        <f t="shared" ref="AF35" si="120">SUM(AG35:AL35)</f>
        <v>-200000</v>
      </c>
      <c r="AG35" s="618">
        <f>SUMIF('Tổng hợp OT'!B:B,B35,'Tổng hợp OT'!D:D)</f>
        <v>0</v>
      </c>
      <c r="AH35" s="618"/>
      <c r="AI35" s="171"/>
      <c r="AJ35" s="571">
        <f>-VLOOKUP(B35,'Thưởng hiệu suất'!$B$3:$D$36,2,0)</f>
        <v>-200000</v>
      </c>
      <c r="AK35" s="559"/>
      <c r="AL35" s="167"/>
      <c r="AM35" s="157">
        <f t="shared" ref="AM35" si="121">AA35+AF35</f>
        <v>11800000</v>
      </c>
      <c r="AN35" s="571">
        <f>VLOOKUP(B35,BHXH!$E$7:$F$40,2,0)</f>
        <v>5310000</v>
      </c>
      <c r="AO35" s="596">
        <f t="shared" si="37"/>
        <v>557550</v>
      </c>
      <c r="AP35" s="596">
        <f t="shared" si="38"/>
        <v>1141650</v>
      </c>
      <c r="AQ35" s="171">
        <v>2</v>
      </c>
      <c r="AR35" s="563">
        <f t="shared" si="103"/>
        <v>27900000</v>
      </c>
      <c r="AS35" s="563">
        <f t="shared" ref="AS35" si="122">AM35-(Q35+R35+S35)/V35*U35-AG35</f>
        <v>10170000</v>
      </c>
      <c r="AT35" s="182">
        <f t="shared" ref="AT35" si="123">ROUND(IF((AS35-AR35-AO35)&lt;0,0,(AS35-AR35-AO35)),0)</f>
        <v>0</v>
      </c>
      <c r="AU35" s="180"/>
      <c r="AV35" s="563">
        <f t="shared" ref="AV35:AV36" si="124">IF(AT35&lt;=0,0,IF(AT35&lt;=10000000,AT35*5%,IF(AT35&lt;=30000000,AT35*10%-500000,IF(AT35&lt;=60000000,AT35*20%-3500000,IF(AT35&lt;=100000000,AT35*30%-9500000,AT35*35%-14500000)))))</f>
        <v>0</v>
      </c>
      <c r="AW35" s="571">
        <f t="shared" si="19"/>
        <v>11242000</v>
      </c>
      <c r="AX35" s="1065">
        <v>38956000</v>
      </c>
      <c r="AY35" s="723">
        <v>2467000</v>
      </c>
      <c r="AZ35" s="169">
        <f t="shared" ref="AZ35" si="125">ROUND(AW35-AX35+AY35,0)</f>
        <v>-25247000</v>
      </c>
      <c r="BA35" s="180">
        <f t="shared" ref="BA35" si="126">AM35+AP35</f>
        <v>12941650</v>
      </c>
      <c r="BB35" s="962"/>
      <c r="BC35" s="575">
        <f t="shared" ref="BC35" si="127">(U35-V35)</f>
        <v>0</v>
      </c>
      <c r="BD35" s="576">
        <f t="shared" ref="BD35" si="128">AF35</f>
        <v>-200000</v>
      </c>
      <c r="BE35" s="577">
        <v>0</v>
      </c>
      <c r="BF35" s="577">
        <f t="shared" ref="BF35" si="129">T35</f>
        <v>1630000</v>
      </c>
      <c r="BG35" s="577">
        <v>33998000</v>
      </c>
      <c r="BH35" s="577">
        <v>0</v>
      </c>
      <c r="BI35" s="1061">
        <f t="shared" ref="BI35" si="130">AW35-BG35</f>
        <v>-22756000</v>
      </c>
      <c r="BJ35" s="1063" t="s">
        <v>6016</v>
      </c>
      <c r="BK35" s="681" t="s">
        <v>1071</v>
      </c>
      <c r="BL35" s="681" t="s">
        <v>1098</v>
      </c>
      <c r="BM35" s="917" t="s">
        <v>5954</v>
      </c>
      <c r="BN35" s="676" t="s">
        <v>238</v>
      </c>
      <c r="BO35" s="917" t="s">
        <v>1057</v>
      </c>
      <c r="BP35" s="676" t="s">
        <v>1018</v>
      </c>
      <c r="BQ35" s="582" t="s">
        <v>1071</v>
      </c>
      <c r="BR35" s="561"/>
      <c r="BW35" s="584">
        <v>38000000</v>
      </c>
      <c r="BX35" s="875">
        <f t="shared" si="23"/>
        <v>-26000000</v>
      </c>
    </row>
    <row r="36" spans="1:76" s="1106" customFormat="1" ht="26.25" customHeight="1" thickBot="1">
      <c r="A36" s="1079" t="s">
        <v>971</v>
      </c>
      <c r="B36" s="1080" t="s">
        <v>262</v>
      </c>
      <c r="C36" s="1081" t="s">
        <v>1220</v>
      </c>
      <c r="D36" s="1082" t="s">
        <v>264</v>
      </c>
      <c r="E36" s="1083"/>
      <c r="F36" s="1084" t="s">
        <v>85</v>
      </c>
      <c r="G36" s="1085"/>
      <c r="H36" s="1086"/>
      <c r="I36" s="1086"/>
      <c r="J36" s="1086"/>
      <c r="K36" s="1087"/>
      <c r="L36" s="623">
        <v>12000000</v>
      </c>
      <c r="M36" s="623">
        <f t="shared" si="0"/>
        <v>12000000</v>
      </c>
      <c r="N36" s="1088">
        <f>VLOOKUP(B36,BHXH!$E$7:$F$40,2,0)</f>
        <v>5310000</v>
      </c>
      <c r="O36" s="1089">
        <f t="shared" ref="O36:O38" si="131">M36-(N36+P36+Q36+R36+S36)</f>
        <v>4810000</v>
      </c>
      <c r="P36" s="1088">
        <v>250000</v>
      </c>
      <c r="Q36" s="1089">
        <v>400000</v>
      </c>
      <c r="R36" s="1089">
        <v>500000</v>
      </c>
      <c r="S36" s="1089">
        <v>730000</v>
      </c>
      <c r="T36" s="1089">
        <f t="shared" ref="T36:T38" si="132">SUM(Q36:S36)</f>
        <v>1630000</v>
      </c>
      <c r="U36" s="1090">
        <f>SUM(W36:Y36)</f>
        <v>22</v>
      </c>
      <c r="V36" s="1090">
        <v>22</v>
      </c>
      <c r="W36" s="1090"/>
      <c r="X36" s="1091"/>
      <c r="Y36" s="1092">
        <f>VLOOKUP(B36, 'Thưởng hiệu suất'!$B:$D,3,0)</f>
        <v>22</v>
      </c>
      <c r="Z36" s="1088"/>
      <c r="AA36" s="1093">
        <f>SUM(AB36:AD36)</f>
        <v>12000000</v>
      </c>
      <c r="AB36" s="1088">
        <f>ROUND($G36/V36*W36,0)</f>
        <v>0</v>
      </c>
      <c r="AC36" s="1088">
        <f>ROUND(I36/V36*X36,0)</f>
        <v>0</v>
      </c>
      <c r="AD36" s="1088">
        <f>ROUND($M36/V36*Y36,0)</f>
        <v>12000000</v>
      </c>
      <c r="AE36" s="1088"/>
      <c r="AF36" s="1094">
        <f>SUM(AG36:AL36)</f>
        <v>0</v>
      </c>
      <c r="AG36" s="1095">
        <f>SUMIF('Tổng hợp OT'!B:B,B36,'Tổng hợp OT'!D:D)</f>
        <v>0</v>
      </c>
      <c r="AH36" s="1095"/>
      <c r="AI36" s="1093"/>
      <c r="AJ36" s="1088">
        <f>-VLOOKUP(B36,'Thưởng hiệu suất'!$B$3:$D$36,2,0)</f>
        <v>0</v>
      </c>
      <c r="AK36" s="1090"/>
      <c r="AL36" s="1093"/>
      <c r="AM36" s="1093">
        <f>AA36+AF36</f>
        <v>12000000</v>
      </c>
      <c r="AN36" s="1088">
        <f>VLOOKUP(B36,BHXH!$E$7:$F$40,2,0)</f>
        <v>5310000</v>
      </c>
      <c r="AO36" s="1089">
        <f t="shared" si="37"/>
        <v>557550</v>
      </c>
      <c r="AP36" s="1089">
        <f t="shared" si="38"/>
        <v>1141650</v>
      </c>
      <c r="AQ36" s="1093"/>
      <c r="AR36" s="563">
        <f t="shared" si="103"/>
        <v>15500000</v>
      </c>
      <c r="AS36" s="930">
        <f>AM36-(Q36+R36+S36)/V36*U36-AG36</f>
        <v>10370000</v>
      </c>
      <c r="AT36" s="1088">
        <f>ROUND(IF((AS36-AR36-AO36)&lt;0,0,(AS36-AR36-AO36)),0)</f>
        <v>0</v>
      </c>
      <c r="AU36" s="930"/>
      <c r="AV36" s="930">
        <f t="shared" si="124"/>
        <v>0</v>
      </c>
      <c r="AW36" s="1088">
        <f>ROUND((AM36-AO36-AV36-AU36),-3)</f>
        <v>11442000</v>
      </c>
      <c r="AX36" s="1096">
        <v>10517000</v>
      </c>
      <c r="AY36" s="1095">
        <v>75000</v>
      </c>
      <c r="AZ36" s="1088">
        <f>ROUND(AW36-AX36+AY36,0)</f>
        <v>1000000</v>
      </c>
      <c r="BA36" s="930">
        <f>AM36+AP36</f>
        <v>13141650</v>
      </c>
      <c r="BB36" s="1097"/>
      <c r="BC36" s="1098">
        <f>(U36-V36)</f>
        <v>0</v>
      </c>
      <c r="BD36" s="1099">
        <f>AF36</f>
        <v>0</v>
      </c>
      <c r="BE36" s="1100">
        <v>0</v>
      </c>
      <c r="BF36" s="1100">
        <f>T36</f>
        <v>1630000</v>
      </c>
      <c r="BG36" s="1100">
        <v>7925000</v>
      </c>
      <c r="BH36" s="1100">
        <v>-2.5</v>
      </c>
      <c r="BI36" s="1061">
        <f>AW36-BG36</f>
        <v>3517000</v>
      </c>
      <c r="BJ36" s="1063" t="s">
        <v>6015</v>
      </c>
      <c r="BK36" s="1101" t="s">
        <v>262</v>
      </c>
      <c r="BL36" s="1101" t="s">
        <v>265</v>
      </c>
      <c r="BM36" s="1102" t="s">
        <v>5956</v>
      </c>
      <c r="BN36" s="1103" t="s">
        <v>201</v>
      </c>
      <c r="BO36" s="1102" t="s">
        <v>981</v>
      </c>
      <c r="BP36" s="1103" t="s">
        <v>1025</v>
      </c>
      <c r="BQ36" s="1104" t="s">
        <v>262</v>
      </c>
      <c r="BR36" s="1105" t="s">
        <v>972</v>
      </c>
      <c r="BS36" s="1106" t="s">
        <v>164</v>
      </c>
      <c r="BW36" s="935">
        <v>8000000</v>
      </c>
      <c r="BX36" s="1107">
        <f t="shared" si="23"/>
        <v>4000000</v>
      </c>
    </row>
    <row r="37" spans="1:76" s="1106" customFormat="1" ht="23.25" customHeight="1" thickBot="1">
      <c r="A37" s="1079" t="s">
        <v>971</v>
      </c>
      <c r="B37" s="1108" t="s">
        <v>1026</v>
      </c>
      <c r="C37" s="1109" t="s">
        <v>1045</v>
      </c>
      <c r="D37" s="1080" t="s">
        <v>1027</v>
      </c>
      <c r="E37" s="1083"/>
      <c r="F37" s="1084" t="s">
        <v>85</v>
      </c>
      <c r="G37" s="1112"/>
      <c r="H37" s="1113"/>
      <c r="I37" s="1114"/>
      <c r="J37" s="1115"/>
      <c r="K37" s="1116"/>
      <c r="L37" s="623">
        <v>12000000</v>
      </c>
      <c r="M37" s="623">
        <f t="shared" si="0"/>
        <v>12000000</v>
      </c>
      <c r="N37" s="1088">
        <f>VLOOKUP(B37,BHXH!$E$7:$F$40,2,0)</f>
        <v>5310000</v>
      </c>
      <c r="O37" s="1089">
        <f t="shared" si="131"/>
        <v>4810000</v>
      </c>
      <c r="P37" s="1088">
        <v>250000</v>
      </c>
      <c r="Q37" s="1089">
        <v>400000</v>
      </c>
      <c r="R37" s="1089">
        <v>500000</v>
      </c>
      <c r="S37" s="1089">
        <v>730000</v>
      </c>
      <c r="T37" s="1089">
        <f t="shared" si="132"/>
        <v>1630000</v>
      </c>
      <c r="U37" s="1090">
        <f t="shared" ref="U37" si="133">SUM(W37:Y37)</f>
        <v>22</v>
      </c>
      <c r="V37" s="1090">
        <v>22</v>
      </c>
      <c r="W37" s="1092"/>
      <c r="X37" s="1091"/>
      <c r="Y37" s="1092">
        <f>VLOOKUP(B37, 'Thưởng hiệu suất'!$B:$D,3,0)</f>
        <v>22</v>
      </c>
      <c r="Z37" s="1088"/>
      <c r="AA37" s="1093">
        <f>SUM(AB37:AD37)</f>
        <v>12000000</v>
      </c>
      <c r="AB37" s="1088">
        <f>ROUND($G37/V37*W37,0)</f>
        <v>0</v>
      </c>
      <c r="AC37" s="1088">
        <f t="shared" ref="AC37" si="134">ROUND(I37/V37*X37,0)</f>
        <v>0</v>
      </c>
      <c r="AD37" s="1088">
        <f>ROUND($M37/V37*Y37,0)</f>
        <v>12000000</v>
      </c>
      <c r="AE37" s="1088"/>
      <c r="AF37" s="1117">
        <f t="shared" ref="AF37" si="135">SUM(AG37:AL37)</f>
        <v>-50000</v>
      </c>
      <c r="AG37" s="1095">
        <f>SUMIF('Tổng hợp OT'!B:B,B37,'Tổng hợp OT'!D:D)</f>
        <v>0</v>
      </c>
      <c r="AH37" s="1095"/>
      <c r="AI37" s="1118"/>
      <c r="AJ37" s="1088">
        <f>-VLOOKUP(B37,'Thưởng hiệu suất'!$B$3:$D$36,2,0)</f>
        <v>-50000</v>
      </c>
      <c r="AK37" s="1090"/>
      <c r="AL37" s="930"/>
      <c r="AM37" s="1093">
        <f t="shared" ref="AM37" si="136">AA37+AF37</f>
        <v>11950000</v>
      </c>
      <c r="AN37" s="1088">
        <f>VLOOKUP(B37,BHXH!$E$7:$F$40,2,0)</f>
        <v>5310000</v>
      </c>
      <c r="AO37" s="1089">
        <f t="shared" si="37"/>
        <v>557550</v>
      </c>
      <c r="AP37" s="1089">
        <f t="shared" si="38"/>
        <v>1141650</v>
      </c>
      <c r="AQ37" s="1118"/>
      <c r="AR37" s="563">
        <f t="shared" si="103"/>
        <v>15500000</v>
      </c>
      <c r="AS37" s="930">
        <f t="shared" ref="AS37" si="137">AM37-(Q37+R37+S37)/V37*U37-AG37</f>
        <v>10320000</v>
      </c>
      <c r="AT37" s="1088">
        <f t="shared" ref="AT37" si="138">ROUND(IF((AS37-AR37-AO37)&lt;0,0,(AS37-AR37-AO37)),0)</f>
        <v>0</v>
      </c>
      <c r="AU37" s="930"/>
      <c r="AV37" s="930">
        <f t="shared" ref="AV37:AV38" si="139">IF(AT37&lt;=0,0,IF(AT37&lt;=10000000,AT37*5%,IF(AT37&lt;=30000000,AT37*10%-500000,IF(AT37&lt;=60000000,AT37*20%-3500000,IF(AT37&lt;=100000000,AT37*30%-9500000,AT37*35%-14500000)))))</f>
        <v>0</v>
      </c>
      <c r="AW37" s="1088">
        <f>ROUND((AM37-AO37-AV37-AU37),-3)</f>
        <v>11392000</v>
      </c>
      <c r="AX37" s="1096">
        <v>8950000</v>
      </c>
      <c r="AY37" s="1095"/>
      <c r="AZ37" s="1088">
        <f t="shared" ref="AZ37" si="140">ROUND(AW37-AX37+AY37,0)</f>
        <v>2442000</v>
      </c>
      <c r="BA37" s="930">
        <f t="shared" ref="BA37" si="141">AM37+AP37</f>
        <v>13091650</v>
      </c>
      <c r="BB37" s="1097"/>
      <c r="BC37" s="1098">
        <f t="shared" ref="BC37" si="142">(U37-V37)</f>
        <v>0</v>
      </c>
      <c r="BD37" s="1099">
        <f t="shared" ref="BD37" si="143">AF37</f>
        <v>-50000</v>
      </c>
      <c r="BE37" s="1100">
        <v>1350000</v>
      </c>
      <c r="BF37" s="1100">
        <f>T37</f>
        <v>1630000</v>
      </c>
      <c r="BG37" s="1100">
        <v>9000000</v>
      </c>
      <c r="BH37" s="1100">
        <v>-1</v>
      </c>
      <c r="BI37" s="1061">
        <f>AW37-BG37</f>
        <v>2392000</v>
      </c>
      <c r="BJ37" s="1062" t="s">
        <v>1050</v>
      </c>
      <c r="BK37" s="1101" t="s">
        <v>1026</v>
      </c>
      <c r="BL37" s="1101" t="s">
        <v>1028</v>
      </c>
      <c r="BM37" s="1102" t="s">
        <v>5955</v>
      </c>
      <c r="BN37" s="1103" t="s">
        <v>201</v>
      </c>
      <c r="BO37" s="1102" t="s">
        <v>1034</v>
      </c>
      <c r="BP37" s="1103" t="s">
        <v>1029</v>
      </c>
      <c r="BQ37" s="1104" t="s">
        <v>1026</v>
      </c>
      <c r="BR37" s="1105" t="s">
        <v>971</v>
      </c>
      <c r="BS37" s="1106" t="s">
        <v>1026</v>
      </c>
      <c r="BT37" s="1107">
        <v>9959000</v>
      </c>
      <c r="BU37" s="1107"/>
      <c r="BV37" s="1119">
        <f>AW37-BT37-BU37</f>
        <v>1433000</v>
      </c>
      <c r="BW37" s="935">
        <v>9000000</v>
      </c>
      <c r="BX37" s="1107">
        <f t="shared" si="23"/>
        <v>3000000</v>
      </c>
    </row>
    <row r="38" spans="1:76" s="1106" customFormat="1" ht="23.25" customHeight="1" thickBot="1">
      <c r="A38" s="615">
        <v>30</v>
      </c>
      <c r="B38" s="1108" t="s">
        <v>5996</v>
      </c>
      <c r="C38" s="1109"/>
      <c r="D38" s="1120"/>
      <c r="E38" s="1110"/>
      <c r="F38" s="1111"/>
      <c r="G38" s="1112"/>
      <c r="H38" s="1113"/>
      <c r="I38" s="1114"/>
      <c r="J38" s="1115"/>
      <c r="K38" s="1121"/>
      <c r="L38" s="623">
        <v>12000000</v>
      </c>
      <c r="M38" s="623">
        <f t="shared" si="0"/>
        <v>12000000</v>
      </c>
      <c r="N38" s="1088">
        <f>VLOOKUP(B38,BHXH!$E$7:$F$40,2,0)</f>
        <v>5310000</v>
      </c>
      <c r="O38" s="1089">
        <f t="shared" si="131"/>
        <v>4810000</v>
      </c>
      <c r="P38" s="1088">
        <v>250000</v>
      </c>
      <c r="Q38" s="1089">
        <v>400000</v>
      </c>
      <c r="R38" s="1089">
        <v>500000</v>
      </c>
      <c r="S38" s="1089">
        <v>730000</v>
      </c>
      <c r="T38" s="1089">
        <f t="shared" ref="T38" si="144">SUM(Q38:S38)</f>
        <v>1630000</v>
      </c>
      <c r="U38" s="1090">
        <f t="shared" ref="U38" si="145">SUM(W38:Y38)</f>
        <v>22</v>
      </c>
      <c r="V38" s="1090">
        <v>22</v>
      </c>
      <c r="W38" s="1092"/>
      <c r="X38" s="1091"/>
      <c r="Y38" s="1092">
        <f>VLOOKUP(B38, 'Thưởng hiệu suất'!$B:$D,3,0)</f>
        <v>22</v>
      </c>
      <c r="Z38" s="1088"/>
      <c r="AA38" s="1093">
        <f>SUM(AB38:AD38)</f>
        <v>12000000</v>
      </c>
      <c r="AB38" s="1088">
        <f>ROUND($G38/V38*W38,0)</f>
        <v>0</v>
      </c>
      <c r="AC38" s="1088">
        <f t="shared" ref="AC38" si="146">ROUND(I38/V38*X38,0)</f>
        <v>0</v>
      </c>
      <c r="AD38" s="1088">
        <f>ROUND($M38/V38*Y38,0)</f>
        <v>12000000</v>
      </c>
      <c r="AE38" s="1088"/>
      <c r="AF38" s="1117">
        <f t="shared" ref="AF38" si="147">SUM(AG38:AL38)</f>
        <v>0</v>
      </c>
      <c r="AG38" s="1095">
        <f>SUMIF('Tổng hợp OT'!B:B,B38,'Tổng hợp OT'!D:D)</f>
        <v>0</v>
      </c>
      <c r="AH38" s="1095"/>
      <c r="AI38" s="1118"/>
      <c r="AJ38" s="1088">
        <f>-VLOOKUP(B38,'Thưởng hiệu suất'!$B$3:$D$36,2,0)</f>
        <v>0</v>
      </c>
      <c r="AK38" s="1090"/>
      <c r="AL38" s="930"/>
      <c r="AM38" s="1093">
        <f t="shared" ref="AM38" si="148">AA38+AF38</f>
        <v>12000000</v>
      </c>
      <c r="AN38" s="1088">
        <f>VLOOKUP(B38,BHXH!$E$7:$F$40,2,0)</f>
        <v>5310000</v>
      </c>
      <c r="AO38" s="1089">
        <f t="shared" si="37"/>
        <v>557550</v>
      </c>
      <c r="AP38" s="1089">
        <f t="shared" si="38"/>
        <v>1141650</v>
      </c>
      <c r="AQ38" s="1118"/>
      <c r="AR38" s="563">
        <f t="shared" si="103"/>
        <v>15500000</v>
      </c>
      <c r="AS38" s="930">
        <f t="shared" ref="AS38" si="149">AM38-(Q38+R38+S38)/V38*U38-AG38</f>
        <v>10370000</v>
      </c>
      <c r="AT38" s="1088">
        <f t="shared" ref="AT38" si="150">ROUND(IF((AS38-AR38-AO38)&lt;0,0,(AS38-AR38-AO38)),0)</f>
        <v>0</v>
      </c>
      <c r="AU38" s="930"/>
      <c r="AV38" s="930">
        <f t="shared" si="139"/>
        <v>0</v>
      </c>
      <c r="AW38" s="1088">
        <f>ROUND((AM38-AO38-AV38-AU38),-3)</f>
        <v>11442000</v>
      </c>
      <c r="AX38" s="1096">
        <v>6000000</v>
      </c>
      <c r="AY38" s="1095"/>
      <c r="AZ38" s="1088">
        <f t="shared" ref="AZ38" si="151">ROUND(AW38-AX38+AY38,0)</f>
        <v>5442000</v>
      </c>
      <c r="BA38" s="930">
        <f t="shared" ref="BA38" si="152">AM38+AP38</f>
        <v>13141650</v>
      </c>
      <c r="BB38" s="1097"/>
      <c r="BC38" s="1098"/>
      <c r="BD38" s="1099"/>
      <c r="BE38" s="1100"/>
      <c r="BF38" s="1100"/>
      <c r="BG38" s="1100">
        <v>0</v>
      </c>
      <c r="BH38" s="1100">
        <v>-1</v>
      </c>
      <c r="BI38" s="1061">
        <f>AW38-BG38</f>
        <v>11442000</v>
      </c>
      <c r="BJ38" s="1062" t="s">
        <v>1095</v>
      </c>
      <c r="BK38" s="1101"/>
      <c r="BL38" s="1101"/>
      <c r="BM38" s="1102"/>
      <c r="BN38" s="1103"/>
      <c r="BO38" s="1102"/>
      <c r="BP38" s="1103"/>
      <c r="BQ38" s="1104"/>
      <c r="BR38" s="1105"/>
      <c r="BT38" s="1107"/>
      <c r="BU38" s="1107"/>
      <c r="BV38" s="1119"/>
      <c r="BW38" s="935">
        <v>0</v>
      </c>
      <c r="BX38" s="1107">
        <f t="shared" si="23"/>
        <v>12000000</v>
      </c>
    </row>
    <row r="39" spans="1:76" s="949" customFormat="1" ht="23.25" customHeight="1" thickBot="1">
      <c r="A39" s="1079" t="s">
        <v>971</v>
      </c>
      <c r="B39" s="946" t="s">
        <v>5983</v>
      </c>
      <c r="C39" s="947" t="s">
        <v>5973</v>
      </c>
      <c r="D39" s="948" t="s">
        <v>5974</v>
      </c>
      <c r="E39" s="790">
        <v>0.1</v>
      </c>
      <c r="F39" s="665" t="s">
        <v>176</v>
      </c>
      <c r="G39" s="791">
        <v>4000000</v>
      </c>
      <c r="H39" s="691"/>
      <c r="I39" s="692"/>
      <c r="J39" s="662"/>
      <c r="K39" s="663"/>
      <c r="L39" s="612">
        <f t="shared" ref="L39" si="153">G39</f>
        <v>4000000</v>
      </c>
      <c r="M39" s="623">
        <f t="shared" si="0"/>
        <v>4000000</v>
      </c>
      <c r="N39" s="184"/>
      <c r="O39" s="184"/>
      <c r="P39" s="184"/>
      <c r="Q39" s="184"/>
      <c r="R39" s="184"/>
      <c r="S39" s="184"/>
      <c r="T39" s="159"/>
      <c r="U39" s="559">
        <f t="shared" ref="U39" si="154">SUM(W39:Y39)</f>
        <v>22</v>
      </c>
      <c r="V39" s="559">
        <v>22</v>
      </c>
      <c r="W39" s="160">
        <f>VLOOKUP(B39, 'Thưởng hiệu suất'!$B:$D,3,0)</f>
        <v>22</v>
      </c>
      <c r="X39" s="186"/>
      <c r="Y39" s="166"/>
      <c r="Z39" s="571"/>
      <c r="AA39" s="168">
        <f t="shared" ref="AA39" si="155">SUM(AB39:AD39)</f>
        <v>4000000</v>
      </c>
      <c r="AB39" s="169">
        <f>ROUND($G39/V39*W39,0)</f>
        <v>4000000</v>
      </c>
      <c r="AC39" s="169">
        <f t="shared" ref="AC39" si="156">ROUND(I39/V39*X39,0)</f>
        <v>0</v>
      </c>
      <c r="AD39" s="169">
        <f>ROUND($M39/V39*Y39,0)</f>
        <v>0</v>
      </c>
      <c r="AE39" s="184"/>
      <c r="AF39" s="179">
        <f t="shared" ref="AF39" si="157">SUM(AG39:AL39)</f>
        <v>0</v>
      </c>
      <c r="AG39" s="618">
        <f>SUMIF('Tổng hợp OT'!B:B,B39,'Tổng hợp OT'!D:D)</f>
        <v>0</v>
      </c>
      <c r="AH39" s="618"/>
      <c r="AI39" s="187"/>
      <c r="AJ39" s="571">
        <f>-VLOOKUP(B39,'Thưởng hiệu suất'!$B$3:$D$36,2,0)</f>
        <v>0</v>
      </c>
      <c r="AK39" s="559"/>
      <c r="AL39" s="180"/>
      <c r="AM39" s="157">
        <f t="shared" ref="AM39" si="158">AA39+AF39</f>
        <v>4000000</v>
      </c>
      <c r="AN39" s="169"/>
      <c r="AO39" s="184"/>
      <c r="AP39" s="184"/>
      <c r="AQ39" s="187"/>
      <c r="AR39" s="161">
        <f>IF($E39=10%,0,(AQ39*4400000+11000000))</f>
        <v>0</v>
      </c>
      <c r="AS39" s="563">
        <f t="shared" ref="AS39" si="159">AM39-(Q39+R39+S39)/V39*U39-AG39</f>
        <v>4000000</v>
      </c>
      <c r="AT39" s="182">
        <f t="shared" ref="AT39" si="160">ROUND(IF((AS39-AR39-AO39)&lt;0,0,(AS39-AR39-AO39)),0)</f>
        <v>4000000</v>
      </c>
      <c r="AU39" s="563">
        <f t="shared" ref="AU39" si="161">IF(AT39&lt;2000000,0,(AT39*10%))</f>
        <v>400000</v>
      </c>
      <c r="AV39" s="167"/>
      <c r="AW39" s="169">
        <f t="shared" ref="AW39" si="162">ROUND((AM39-AO39-AV39-AU39),-3)</f>
        <v>3600000</v>
      </c>
      <c r="AX39" s="1065">
        <v>8000000</v>
      </c>
      <c r="AY39" s="723"/>
      <c r="AZ39" s="169">
        <f t="shared" ref="AZ39" si="163">ROUND(AW39-AX39+AY39,0)</f>
        <v>-4400000</v>
      </c>
      <c r="BA39" s="180">
        <f t="shared" ref="BA39" si="164">AM39+AP39</f>
        <v>4000000</v>
      </c>
      <c r="BB39" s="174" t="s">
        <v>155</v>
      </c>
      <c r="BC39" s="575">
        <f t="shared" ref="BC39" si="165">(U39-V39)</f>
        <v>0</v>
      </c>
      <c r="BD39" s="576">
        <f t="shared" ref="BD39" si="166">AF39</f>
        <v>0</v>
      </c>
      <c r="BE39" s="577">
        <v>110000</v>
      </c>
      <c r="BF39" s="577">
        <f t="shared" ref="BF39" si="167">T39</f>
        <v>0</v>
      </c>
      <c r="BG39" s="577">
        <v>0</v>
      </c>
      <c r="BH39" s="577">
        <v>0</v>
      </c>
      <c r="BI39" s="1061">
        <f t="shared" ref="BI39" si="168">AW39-BG39</f>
        <v>3600000</v>
      </c>
      <c r="BJ39" s="1062" t="s">
        <v>1095</v>
      </c>
      <c r="BK39" s="681" t="s">
        <v>1093</v>
      </c>
      <c r="BL39" s="681" t="s">
        <v>1225</v>
      </c>
      <c r="BM39" s="917" t="s">
        <v>1226</v>
      </c>
      <c r="BN39" s="676" t="s">
        <v>190</v>
      </c>
      <c r="BO39" s="917" t="s">
        <v>1226</v>
      </c>
      <c r="BP39" s="676" t="s">
        <v>190</v>
      </c>
      <c r="BQ39" s="582" t="s">
        <v>1093</v>
      </c>
      <c r="BR39" s="561" t="s">
        <v>971</v>
      </c>
      <c r="BS39" s="949" t="s">
        <v>1026</v>
      </c>
      <c r="BW39" s="584">
        <v>0</v>
      </c>
      <c r="BX39" s="875">
        <f t="shared" si="23"/>
        <v>4000000</v>
      </c>
    </row>
    <row r="40" spans="1:76" s="695" customFormat="1" ht="26.25" customHeight="1" thickBot="1">
      <c r="A40" s="615">
        <v>37</v>
      </c>
      <c r="B40" s="913" t="s">
        <v>1073</v>
      </c>
      <c r="C40" s="704">
        <v>45967</v>
      </c>
      <c r="D40" s="698" t="s">
        <v>1074</v>
      </c>
      <c r="E40" s="699">
        <v>0.1</v>
      </c>
      <c r="F40" s="700" t="s">
        <v>155</v>
      </c>
      <c r="G40" s="791">
        <v>4000000</v>
      </c>
      <c r="H40" s="662"/>
      <c r="I40" s="692"/>
      <c r="J40" s="662"/>
      <c r="K40" s="908"/>
      <c r="L40" s="664">
        <v>4000000</v>
      </c>
      <c r="M40" s="623">
        <f t="shared" si="0"/>
        <v>4000000</v>
      </c>
      <c r="N40" s="168"/>
      <c r="O40" s="168"/>
      <c r="P40" s="168"/>
      <c r="Q40" s="168"/>
      <c r="R40" s="168"/>
      <c r="S40" s="168"/>
      <c r="T40" s="168"/>
      <c r="U40" s="559">
        <f t="shared" ref="U40:U41" si="169">SUM(W40:Y40)</f>
        <v>22</v>
      </c>
      <c r="V40" s="559">
        <v>22</v>
      </c>
      <c r="W40" s="160">
        <f>VLOOKUP(B40, 'Thưởng hiệu suất'!$B:$D,3,0)</f>
        <v>22</v>
      </c>
      <c r="X40" s="186"/>
      <c r="Y40" s="168"/>
      <c r="Z40" s="571"/>
      <c r="AA40" s="612">
        <f t="shared" ref="AA40" si="170">SUM(AB40:AD40)</f>
        <v>4000000</v>
      </c>
      <c r="AB40" s="169">
        <f t="shared" ref="AB40" si="171">ROUND($G40/V40*W40,0)</f>
        <v>4000000</v>
      </c>
      <c r="AC40" s="169">
        <f t="shared" ref="AC40:AC41" si="172">ROUND(I40/V40*X40,0)</f>
        <v>0</v>
      </c>
      <c r="AD40" s="169">
        <f t="shared" ref="AD40" si="173">ROUND($M40/V40*Y40,0)</f>
        <v>0</v>
      </c>
      <c r="AE40" s="184"/>
      <c r="AF40" s="179">
        <f t="shared" ref="AF40" si="174">SUM(AG40:AL40)</f>
        <v>0</v>
      </c>
      <c r="AG40" s="618">
        <f>SUMIF('Tổng hợp OT'!B:B,B40,'Tổng hợp OT'!D:D)</f>
        <v>0</v>
      </c>
      <c r="AH40" s="618"/>
      <c r="AI40" s="168"/>
      <c r="AJ40" s="571">
        <f>-VLOOKUP(B40,'Thưởng hiệu suất'!$B$3:$D$36,2,0)</f>
        <v>0</v>
      </c>
      <c r="AK40" s="559"/>
      <c r="AL40" s="168"/>
      <c r="AM40" s="157">
        <f t="shared" ref="AM40:AM41" si="175">AA40+AF40</f>
        <v>4000000</v>
      </c>
      <c r="AN40" s="168"/>
      <c r="AO40" s="168"/>
      <c r="AP40" s="168"/>
      <c r="AQ40" s="168"/>
      <c r="AR40" s="161">
        <f t="shared" ref="AR40" si="176">IF($E40=10%,0,(AQ40*4400000+11000000))</f>
        <v>0</v>
      </c>
      <c r="AS40" s="563">
        <f t="shared" ref="AS40:AS41" si="177">AM40-(Q40+R40+S40)/V40*U40-AG40</f>
        <v>4000000</v>
      </c>
      <c r="AT40" s="182">
        <f t="shared" ref="AT40:AT41" si="178">ROUND(IF((AS40-AR40-AO40)&lt;0,0,(AS40-AR40-AO40)),0)</f>
        <v>4000000</v>
      </c>
      <c r="AU40" s="737"/>
      <c r="AV40" s="167"/>
      <c r="AW40" s="169">
        <f t="shared" si="19"/>
        <v>4000000</v>
      </c>
      <c r="AX40" s="1065">
        <v>4000000</v>
      </c>
      <c r="AY40" s="723"/>
      <c r="AZ40" s="169">
        <f t="shared" ref="AZ40:AZ41" si="179">ROUND(AW40-AX40+AY40,0)</f>
        <v>0</v>
      </c>
      <c r="BA40" s="180">
        <f t="shared" ref="BA40:BA41" si="180">AM40+AP40</f>
        <v>4000000</v>
      </c>
      <c r="BB40" s="174" t="s">
        <v>155</v>
      </c>
      <c r="BC40" s="575">
        <f t="shared" ref="BC40:BC41" si="181">(U40-V40)</f>
        <v>0</v>
      </c>
      <c r="BD40" s="576">
        <f t="shared" ref="BD40:BD41" si="182">AF40</f>
        <v>0</v>
      </c>
      <c r="BE40" s="577">
        <v>55000</v>
      </c>
      <c r="BF40" s="577">
        <f t="shared" si="22"/>
        <v>0</v>
      </c>
      <c r="BG40" s="577">
        <v>3850000</v>
      </c>
      <c r="BH40" s="577">
        <v>-1</v>
      </c>
      <c r="BI40" s="1061">
        <f t="shared" si="15"/>
        <v>150000</v>
      </c>
      <c r="BJ40" s="1063" t="s">
        <v>5948</v>
      </c>
      <c r="BK40" s="681" t="s">
        <v>1073</v>
      </c>
      <c r="BL40" s="681" t="s">
        <v>1096</v>
      </c>
      <c r="BM40" s="917" t="s">
        <v>1097</v>
      </c>
      <c r="BN40" s="676" t="s">
        <v>211</v>
      </c>
      <c r="BO40" s="917" t="s">
        <v>1097</v>
      </c>
      <c r="BP40" s="676" t="s">
        <v>1029</v>
      </c>
      <c r="BQ40" s="582" t="e">
        <v>#N/A</v>
      </c>
      <c r="BR40" s="561"/>
      <c r="BS40" s="740" t="s">
        <v>1042</v>
      </c>
      <c r="BW40" s="584">
        <v>4000000</v>
      </c>
      <c r="BX40" s="875">
        <f t="shared" si="23"/>
        <v>0</v>
      </c>
    </row>
    <row r="41" spans="1:76" s="834" customFormat="1" ht="23.25" customHeight="1" thickBot="1">
      <c r="A41" s="566">
        <f t="shared" ref="A41" si="183">A40+1</f>
        <v>38</v>
      </c>
      <c r="B41" s="913" t="s">
        <v>1093</v>
      </c>
      <c r="C41" s="755">
        <v>45992</v>
      </c>
      <c r="D41" s="183" t="s">
        <v>251</v>
      </c>
      <c r="E41" s="790">
        <v>0.1</v>
      </c>
      <c r="F41" s="700" t="s">
        <v>155</v>
      </c>
      <c r="G41" s="791">
        <v>4000000</v>
      </c>
      <c r="H41" s="691"/>
      <c r="I41" s="692"/>
      <c r="J41" s="662"/>
      <c r="K41" s="663"/>
      <c r="L41" s="612">
        <f t="shared" ref="L41" si="184">G41</f>
        <v>4000000</v>
      </c>
      <c r="M41" s="623">
        <f>L41</f>
        <v>4000000</v>
      </c>
      <c r="N41" s="184"/>
      <c r="O41" s="184"/>
      <c r="P41" s="184"/>
      <c r="Q41" s="184"/>
      <c r="R41" s="184"/>
      <c r="S41" s="184"/>
      <c r="T41" s="159"/>
      <c r="U41" s="559">
        <f t="shared" si="169"/>
        <v>22</v>
      </c>
      <c r="V41" s="559">
        <v>22</v>
      </c>
      <c r="W41" s="160">
        <f>VLOOKUP(B41, 'Thưởng hiệu suất'!$B:$D,3,0)</f>
        <v>22</v>
      </c>
      <c r="X41" s="186"/>
      <c r="Y41" s="166"/>
      <c r="Z41" s="571"/>
      <c r="AA41" s="168">
        <f t="shared" ref="AA41" si="185">SUM(AB41:AD41)</f>
        <v>4000000</v>
      </c>
      <c r="AB41" s="169">
        <f>ROUND($G41/V41*W41,0)</f>
        <v>4000000</v>
      </c>
      <c r="AC41" s="169">
        <f t="shared" si="172"/>
        <v>0</v>
      </c>
      <c r="AD41" s="169">
        <f>ROUND($M41/V41*Y41,0)</f>
        <v>0</v>
      </c>
      <c r="AE41" s="184"/>
      <c r="AF41" s="179">
        <f t="shared" ref="AF41" si="186">SUM(AG41:AL41)</f>
        <v>65000</v>
      </c>
      <c r="AG41" s="618">
        <f>SUMIF('Tổng hợp OT'!B:B,B41,'Tổng hợp OT'!D:D)</f>
        <v>65000</v>
      </c>
      <c r="AH41" s="804"/>
      <c r="AI41" s="187"/>
      <c r="AJ41" s="571">
        <f>-VLOOKUP(B41,'Thưởng hiệu suất'!$B$3:$D$36,2,0)</f>
        <v>0</v>
      </c>
      <c r="AK41" s="559"/>
      <c r="AL41" s="180"/>
      <c r="AM41" s="157">
        <f t="shared" si="175"/>
        <v>4065000</v>
      </c>
      <c r="AN41" s="169"/>
      <c r="AO41" s="184"/>
      <c r="AP41" s="184"/>
      <c r="AQ41" s="187"/>
      <c r="AR41" s="161">
        <f>IF($E41=10%,0,(AQ41*4400000+11000000))</f>
        <v>0</v>
      </c>
      <c r="AS41" s="563">
        <f t="shared" si="177"/>
        <v>4000000</v>
      </c>
      <c r="AT41" s="182">
        <f t="shared" si="178"/>
        <v>4000000</v>
      </c>
      <c r="AU41" s="737"/>
      <c r="AV41" s="167"/>
      <c r="AW41" s="169">
        <f t="shared" ref="AW41" si="187">ROUND((AM41-AO41-AV41-AU41),-3)</f>
        <v>4065000</v>
      </c>
      <c r="AX41" s="1065">
        <v>6140000</v>
      </c>
      <c r="AY41" s="723">
        <v>75000</v>
      </c>
      <c r="AZ41" s="169">
        <f t="shared" si="179"/>
        <v>-2000000</v>
      </c>
      <c r="BA41" s="180">
        <f t="shared" si="180"/>
        <v>4065000</v>
      </c>
      <c r="BB41" s="174" t="s">
        <v>155</v>
      </c>
      <c r="BC41" s="575">
        <f t="shared" si="181"/>
        <v>0</v>
      </c>
      <c r="BD41" s="576">
        <f t="shared" si="182"/>
        <v>65000</v>
      </c>
      <c r="BE41" s="577">
        <v>110000</v>
      </c>
      <c r="BF41" s="577">
        <f t="shared" ref="BF41" si="188">T41</f>
        <v>0</v>
      </c>
      <c r="BG41" s="577">
        <v>6000000</v>
      </c>
      <c r="BH41" s="577">
        <v>0</v>
      </c>
      <c r="BI41" s="1061">
        <f t="shared" ref="BI41" si="189">AW41-BG41</f>
        <v>-1935000</v>
      </c>
      <c r="BJ41" s="1062" t="s">
        <v>5949</v>
      </c>
      <c r="BK41" s="681" t="s">
        <v>1093</v>
      </c>
      <c r="BL41" s="681" t="s">
        <v>1225</v>
      </c>
      <c r="BM41" s="917" t="s">
        <v>1226</v>
      </c>
      <c r="BN41" s="676" t="s">
        <v>190</v>
      </c>
      <c r="BO41" s="917" t="s">
        <v>1226</v>
      </c>
      <c r="BP41" s="676" t="s">
        <v>190</v>
      </c>
      <c r="BQ41" s="582" t="s">
        <v>1093</v>
      </c>
      <c r="BR41" s="561" t="s">
        <v>971</v>
      </c>
      <c r="BS41" s="834" t="s">
        <v>1026</v>
      </c>
      <c r="BW41" s="584">
        <v>6000000</v>
      </c>
      <c r="BX41" s="875">
        <f t="shared" si="23"/>
        <v>-2000000</v>
      </c>
    </row>
    <row r="42" spans="1:76" ht="26.25" customHeight="1" thickBot="1">
      <c r="A42" s="188"/>
      <c r="B42" s="617" t="s">
        <v>180</v>
      </c>
      <c r="C42" s="189"/>
      <c r="D42" s="190"/>
      <c r="E42" s="189"/>
      <c r="F42" s="189"/>
      <c r="G42" s="155">
        <f t="shared" ref="G42:AL42" si="190">SUM(G9:G41)</f>
        <v>12000000</v>
      </c>
      <c r="H42" s="155">
        <f t="shared" si="190"/>
        <v>0</v>
      </c>
      <c r="I42" s="155">
        <f t="shared" si="190"/>
        <v>0</v>
      </c>
      <c r="J42" s="155">
        <f t="shared" si="190"/>
        <v>0</v>
      </c>
      <c r="K42" s="155">
        <f t="shared" si="190"/>
        <v>0</v>
      </c>
      <c r="L42" s="155">
        <f t="shared" si="190"/>
        <v>408000000</v>
      </c>
      <c r="M42" s="155">
        <f t="shared" si="190"/>
        <v>408000000</v>
      </c>
      <c r="N42" s="155">
        <f t="shared" si="190"/>
        <v>159300000</v>
      </c>
      <c r="O42" s="155">
        <f t="shared" si="190"/>
        <v>177300000</v>
      </c>
      <c r="P42" s="155">
        <f t="shared" si="190"/>
        <v>8000000</v>
      </c>
      <c r="Q42" s="155">
        <f t="shared" si="190"/>
        <v>12000000</v>
      </c>
      <c r="R42" s="155">
        <f t="shared" si="190"/>
        <v>17500000</v>
      </c>
      <c r="S42" s="155">
        <f t="shared" si="190"/>
        <v>21900000</v>
      </c>
      <c r="T42" s="155">
        <f t="shared" si="190"/>
        <v>51400000</v>
      </c>
      <c r="U42" s="155">
        <f t="shared" si="190"/>
        <v>713</v>
      </c>
      <c r="V42" s="155">
        <f t="shared" si="190"/>
        <v>726</v>
      </c>
      <c r="W42" s="155">
        <f t="shared" si="190"/>
        <v>66</v>
      </c>
      <c r="X42" s="155">
        <f t="shared" si="190"/>
        <v>0</v>
      </c>
      <c r="Y42" s="155">
        <f t="shared" si="190"/>
        <v>647</v>
      </c>
      <c r="Z42" s="155">
        <f t="shared" si="190"/>
        <v>0</v>
      </c>
      <c r="AA42" s="155">
        <f t="shared" si="190"/>
        <v>397636363</v>
      </c>
      <c r="AB42" s="155">
        <f t="shared" si="190"/>
        <v>12000000</v>
      </c>
      <c r="AC42" s="155">
        <f t="shared" si="190"/>
        <v>0</v>
      </c>
      <c r="AD42" s="155">
        <f t="shared" si="190"/>
        <v>385636363</v>
      </c>
      <c r="AE42" s="155">
        <f t="shared" si="190"/>
        <v>0</v>
      </c>
      <c r="AF42" s="155">
        <f t="shared" si="190"/>
        <v>-1585000</v>
      </c>
      <c r="AG42" s="155">
        <f t="shared" si="190"/>
        <v>65000</v>
      </c>
      <c r="AH42" s="155">
        <f t="shared" si="190"/>
        <v>0</v>
      </c>
      <c r="AI42" s="155">
        <f t="shared" si="190"/>
        <v>0</v>
      </c>
      <c r="AJ42" s="155">
        <f t="shared" si="190"/>
        <v>-1650000</v>
      </c>
      <c r="AK42" s="155">
        <f t="shared" si="190"/>
        <v>0</v>
      </c>
      <c r="AL42" s="155">
        <f t="shared" si="190"/>
        <v>0</v>
      </c>
      <c r="AM42" s="155">
        <f t="shared" ref="AM42:BI42" si="191">SUM(AM9:AM41)</f>
        <v>396051363</v>
      </c>
      <c r="AN42" s="155">
        <f t="shared" si="191"/>
        <v>159300000</v>
      </c>
      <c r="AO42" s="155">
        <f t="shared" si="191"/>
        <v>16726500</v>
      </c>
      <c r="AP42" s="155">
        <f t="shared" si="191"/>
        <v>34249500</v>
      </c>
      <c r="AQ42" s="155">
        <f t="shared" si="191"/>
        <v>18</v>
      </c>
      <c r="AR42" s="155">
        <f t="shared" si="191"/>
        <v>576600000</v>
      </c>
      <c r="AS42" s="155">
        <f t="shared" si="191"/>
        <v>345549544.81818181</v>
      </c>
      <c r="AT42" s="155">
        <f t="shared" si="191"/>
        <v>12812450</v>
      </c>
      <c r="AU42" s="155">
        <f t="shared" si="191"/>
        <v>400000</v>
      </c>
      <c r="AV42" s="155">
        <f t="shared" si="191"/>
        <v>40622.5</v>
      </c>
      <c r="AW42" s="155">
        <f t="shared" si="191"/>
        <v>378872000</v>
      </c>
      <c r="AX42" s="155">
        <f t="shared" si="191"/>
        <v>636112000</v>
      </c>
      <c r="AY42" s="155">
        <f t="shared" si="191"/>
        <v>8196000</v>
      </c>
      <c r="AZ42" s="155">
        <f t="shared" si="191"/>
        <v>-249044000</v>
      </c>
      <c r="BA42" s="155">
        <f t="shared" si="191"/>
        <v>430300863</v>
      </c>
      <c r="BB42" s="155">
        <f t="shared" si="191"/>
        <v>0</v>
      </c>
      <c r="BC42" s="155">
        <f t="shared" si="191"/>
        <v>-13</v>
      </c>
      <c r="BD42" s="155">
        <f t="shared" si="191"/>
        <v>-1585000</v>
      </c>
      <c r="BE42" s="155">
        <f t="shared" si="191"/>
        <v>6114657.8947368413</v>
      </c>
      <c r="BF42" s="155">
        <f t="shared" si="191"/>
        <v>49770000</v>
      </c>
      <c r="BG42" s="155">
        <f t="shared" si="191"/>
        <v>738145000</v>
      </c>
      <c r="BH42" s="155">
        <f t="shared" si="191"/>
        <v>-28.5</v>
      </c>
      <c r="BI42" s="918">
        <f t="shared" si="191"/>
        <v>-359273000</v>
      </c>
      <c r="BJ42" s="191"/>
      <c r="BK42" s="629"/>
      <c r="BL42" s="629"/>
      <c r="BM42" s="629"/>
      <c r="BN42" s="629"/>
      <c r="BO42" s="629"/>
      <c r="BP42" s="629"/>
      <c r="BQ42" s="115"/>
    </row>
    <row r="43" spans="1:76" s="631" customFormat="1" ht="37.799999999999997" customHeight="1" thickBot="1">
      <c r="A43" s="690"/>
      <c r="B43" s="690"/>
      <c r="C43" s="690"/>
      <c r="D43" s="690"/>
      <c r="E43" s="690"/>
      <c r="F43" s="690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864"/>
      <c r="R43" s="864"/>
      <c r="S43" s="864"/>
      <c r="T43" s="864"/>
      <c r="U43" s="864"/>
      <c r="V43" s="864"/>
      <c r="W43" s="864"/>
      <c r="X43" s="864"/>
      <c r="Y43" s="864"/>
      <c r="Z43" s="864"/>
      <c r="AA43" s="864"/>
      <c r="AB43" s="864"/>
      <c r="AC43" s="864"/>
      <c r="AD43" s="864"/>
      <c r="AE43" s="864"/>
      <c r="AF43" s="864"/>
      <c r="AG43" s="864"/>
      <c r="AH43" s="864"/>
      <c r="AI43" s="864"/>
      <c r="AJ43" s="864"/>
      <c r="AK43" s="864"/>
      <c r="AL43" s="864"/>
      <c r="AM43" s="864"/>
      <c r="AN43" s="864"/>
      <c r="AO43" s="864"/>
      <c r="AP43" s="864"/>
      <c r="AQ43" s="864"/>
      <c r="AR43" s="864"/>
      <c r="AS43" s="864"/>
      <c r="AT43" s="864"/>
      <c r="AU43" s="864"/>
      <c r="AV43" s="864"/>
      <c r="AW43" s="864"/>
      <c r="AX43" s="864"/>
      <c r="AY43" s="1068" t="s">
        <v>6024</v>
      </c>
      <c r="AZ43" s="864"/>
      <c r="BA43" s="864"/>
      <c r="BB43" s="690"/>
      <c r="BC43" s="690"/>
      <c r="BD43" s="744"/>
      <c r="BE43" s="690"/>
      <c r="BF43" s="744"/>
      <c r="BG43" s="744"/>
      <c r="BH43" s="206"/>
      <c r="BI43" s="745"/>
      <c r="BJ43" s="919"/>
      <c r="BK43" s="629"/>
      <c r="BL43" s="629"/>
      <c r="BM43" s="629"/>
      <c r="BN43" s="629"/>
      <c r="BO43" s="629"/>
      <c r="BP43" s="629"/>
      <c r="BR43" s="747"/>
    </row>
    <row r="44" spans="1:76" ht="18.75" customHeight="1" thickBot="1">
      <c r="A44" s="192"/>
      <c r="B44" s="1026"/>
      <c r="C44" s="1027"/>
      <c r="D44" s="1028"/>
      <c r="E44" s="192"/>
      <c r="F44" s="192"/>
      <c r="G44" s="865"/>
      <c r="H44" s="865"/>
      <c r="I44" s="865"/>
      <c r="J44" s="865"/>
      <c r="K44" s="865"/>
      <c r="L44" s="865"/>
      <c r="M44" s="865"/>
      <c r="N44" s="865"/>
      <c r="O44" s="865"/>
      <c r="P44" s="865"/>
      <c r="Q44" s="865"/>
      <c r="R44" s="865"/>
      <c r="S44" s="865"/>
      <c r="T44" s="865"/>
      <c r="U44" s="865"/>
      <c r="V44" s="865"/>
      <c r="W44" s="865"/>
      <c r="X44" s="865"/>
      <c r="Y44" s="865"/>
      <c r="Z44" s="865"/>
      <c r="AA44" s="865"/>
      <c r="AB44" s="865"/>
      <c r="AC44" s="865"/>
      <c r="AD44" s="865"/>
      <c r="AE44" s="865"/>
      <c r="AF44" s="878"/>
      <c r="AG44" s="865"/>
      <c r="AH44" s="865"/>
      <c r="AI44" s="865"/>
      <c r="AJ44" s="865"/>
      <c r="AK44" s="865"/>
      <c r="AL44" s="865"/>
      <c r="AM44" s="865"/>
      <c r="AN44" s="865"/>
      <c r="AO44" s="865"/>
      <c r="AP44" s="865"/>
      <c r="AQ44" s="865"/>
      <c r="AR44" s="865"/>
      <c r="AS44" s="865"/>
      <c r="AT44" s="865"/>
      <c r="AU44" s="865"/>
      <c r="AV44" s="865"/>
      <c r="AW44" s="1067" t="e">
        <f>AW42+#REF!+#REF!+#REF!</f>
        <v>#REF!</v>
      </c>
      <c r="AX44" s="878" t="s">
        <v>6025</v>
      </c>
      <c r="AY44" s="865"/>
      <c r="AZ44" s="1067" t="e">
        <f>AZ42+#REF!+#REF!+#REF!</f>
        <v>#REF!</v>
      </c>
      <c r="BA44" s="878" t="s">
        <v>6025</v>
      </c>
      <c r="BB44" s="619"/>
      <c r="BC44" s="192"/>
      <c r="BD44" s="192"/>
      <c r="BE44" s="577"/>
      <c r="BF44" s="192"/>
      <c r="BG44" s="920"/>
      <c r="BH44" s="808"/>
      <c r="BI44" s="607"/>
      <c r="BJ44" s="200"/>
      <c r="BK44" s="629"/>
      <c r="BL44" s="629"/>
      <c r="BM44" s="629"/>
      <c r="BN44" s="629"/>
      <c r="BO44" s="629"/>
      <c r="BP44" s="629"/>
      <c r="BQ44" s="192"/>
    </row>
    <row r="45" spans="1:76" ht="18.75" customHeight="1" thickBot="1">
      <c r="A45" s="105"/>
      <c r="B45" s="105"/>
      <c r="C45" s="105"/>
      <c r="D45" s="105"/>
      <c r="E45" s="105"/>
      <c r="F45" s="105"/>
      <c r="G45" s="731"/>
      <c r="H45" s="105"/>
      <c r="I45" s="105"/>
      <c r="J45" s="205"/>
      <c r="K45" s="192"/>
      <c r="L45" s="731"/>
      <c r="M45" s="192"/>
      <c r="N45" s="192"/>
      <c r="O45" s="192"/>
      <c r="P45" s="192"/>
      <c r="Q45" s="192"/>
      <c r="R45" s="192"/>
      <c r="S45" s="105"/>
      <c r="T45" s="105"/>
      <c r="U45" s="105"/>
      <c r="V45" s="105"/>
      <c r="W45" s="105"/>
      <c r="X45" s="105"/>
      <c r="Y45" s="105"/>
      <c r="Z45" s="105"/>
      <c r="AA45" s="743"/>
      <c r="AB45" s="105"/>
      <c r="AC45" s="105"/>
      <c r="AD45" s="105"/>
      <c r="AE45" s="206"/>
      <c r="AF45" s="633" t="e">
        <f>AF44+#REF!</f>
        <v>#REF!</v>
      </c>
      <c r="AG45" s="105"/>
      <c r="AH45" s="105"/>
      <c r="AI45" s="105"/>
      <c r="AJ45" s="105"/>
      <c r="AK45" s="105"/>
      <c r="AL45" s="105"/>
      <c r="AM45" s="105"/>
      <c r="AN45" s="886">
        <v>13880000</v>
      </c>
      <c r="AO45" s="886">
        <v>2602500</v>
      </c>
      <c r="AP45" s="886">
        <v>1735000</v>
      </c>
      <c r="AQ45" s="192"/>
      <c r="AR45" s="105"/>
      <c r="AS45" s="105"/>
      <c r="AT45" s="105"/>
      <c r="AU45" s="885"/>
      <c r="AV45" s="105"/>
      <c r="AZ45" s="923"/>
      <c r="BA45" s="619" t="s">
        <v>1068</v>
      </c>
      <c r="BB45" s="620"/>
      <c r="BC45" s="105"/>
      <c r="BD45" s="105"/>
      <c r="BE45" s="577"/>
      <c r="BF45" s="192"/>
      <c r="BG45" s="920">
        <v>6000000.120000001</v>
      </c>
      <c r="BH45" s="921" t="s">
        <v>1051</v>
      </c>
      <c r="BI45" s="208"/>
      <c r="BJ45" s="209"/>
      <c r="BK45" s="629"/>
      <c r="BL45" s="629"/>
      <c r="BM45" s="629"/>
      <c r="BN45" s="629"/>
      <c r="BO45" s="629"/>
      <c r="BP45" s="629"/>
      <c r="BQ45" s="105"/>
    </row>
    <row r="46" spans="1:76" ht="18.75" customHeight="1" thickBo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92"/>
      <c r="O46" s="192"/>
      <c r="P46" s="192"/>
      <c r="Q46" s="192"/>
      <c r="R46" s="192"/>
      <c r="S46" s="105"/>
      <c r="T46" s="105"/>
      <c r="U46" s="105"/>
      <c r="V46" s="105"/>
      <c r="W46" s="105"/>
      <c r="X46" s="105"/>
      <c r="Y46" s="105"/>
      <c r="Z46" s="105"/>
      <c r="AA46" s="743"/>
      <c r="AB46" s="105"/>
      <c r="AC46" s="105"/>
      <c r="AD46" s="105"/>
      <c r="AE46" s="206"/>
      <c r="AF46" s="105"/>
      <c r="AG46" s="105"/>
      <c r="AH46" s="105"/>
      <c r="AI46" s="105"/>
      <c r="AJ46" s="608">
        <f>AJ42-AJ22</f>
        <v>-1200000</v>
      </c>
      <c r="AK46" s="105"/>
      <c r="AL46" s="105"/>
      <c r="AM46" s="105"/>
      <c r="AN46" s="806"/>
      <c r="AO46" s="690">
        <f>AO42-AN45-AO45-AP45</f>
        <v>-1491000</v>
      </c>
      <c r="AP46" s="690"/>
      <c r="AQ46" s="192"/>
      <c r="AR46" s="105"/>
      <c r="AS46" s="105"/>
      <c r="AT46" s="105"/>
      <c r="AU46" s="608"/>
      <c r="AW46" s="1019"/>
      <c r="AX46" s="105"/>
      <c r="AZ46" s="923"/>
      <c r="BA46" s="620" t="s">
        <v>1069</v>
      </c>
      <c r="BB46" s="620"/>
      <c r="BC46" s="105"/>
      <c r="BD46" s="105"/>
      <c r="BE46" s="687"/>
      <c r="BF46" s="633"/>
      <c r="BG46" s="920">
        <v>1500000</v>
      </c>
      <c r="BH46" s="922" t="s">
        <v>108</v>
      </c>
      <c r="BI46" s="208"/>
      <c r="BJ46" s="209"/>
      <c r="BK46" s="629"/>
      <c r="BL46" s="629"/>
      <c r="BM46" s="629"/>
      <c r="BN46" s="629"/>
      <c r="BO46" s="629"/>
      <c r="BP46" s="629"/>
      <c r="BQ46" s="105"/>
    </row>
    <row r="47" spans="1:76" ht="18.75" customHeight="1">
      <c r="A47" s="105"/>
      <c r="B47" s="105"/>
      <c r="C47" s="105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05"/>
      <c r="T47" s="105"/>
      <c r="U47" s="105"/>
      <c r="V47" s="105"/>
      <c r="W47" s="105"/>
      <c r="X47" s="105"/>
      <c r="Y47" s="105"/>
      <c r="Z47" s="105"/>
      <c r="AA47" s="743"/>
      <c r="AB47" s="105"/>
      <c r="AC47" s="105"/>
      <c r="AD47" s="105"/>
      <c r="AE47" s="206"/>
      <c r="AF47" s="105"/>
      <c r="AG47" s="105"/>
      <c r="AH47" s="105"/>
      <c r="AI47" s="105"/>
      <c r="AJ47" s="105"/>
      <c r="AK47" s="105"/>
      <c r="AL47" s="105"/>
      <c r="AM47" s="105"/>
      <c r="AN47" s="806"/>
      <c r="AO47" s="690"/>
      <c r="AP47" s="690"/>
      <c r="AQ47" s="192"/>
      <c r="AR47" s="105"/>
      <c r="AS47" s="105"/>
      <c r="AT47" s="105"/>
      <c r="AU47" s="105"/>
      <c r="AV47" s="105"/>
      <c r="AW47" s="742">
        <f>AW46-AW42</f>
        <v>-378872000</v>
      </c>
      <c r="AZ47" s="619">
        <v>127718000</v>
      </c>
      <c r="BA47" s="620" t="s">
        <v>1069</v>
      </c>
      <c r="BC47" s="105"/>
      <c r="BD47" s="105"/>
      <c r="BE47" s="105"/>
      <c r="BF47" s="608"/>
      <c r="BG47" s="920">
        <v>2500000</v>
      </c>
      <c r="BH47" s="922" t="s">
        <v>241</v>
      </c>
      <c r="BI47" s="814"/>
      <c r="BJ47" s="209"/>
      <c r="BK47" s="105"/>
      <c r="BL47" s="105"/>
      <c r="BM47" s="105"/>
      <c r="BN47" s="105"/>
      <c r="BO47" s="105"/>
      <c r="BP47" s="105"/>
      <c r="BQ47" s="105"/>
    </row>
    <row r="48" spans="1:76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2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206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633"/>
      <c r="AY48" s="633"/>
      <c r="AZ48" s="105"/>
      <c r="BA48" s="105"/>
      <c r="BB48" s="105"/>
      <c r="BC48" s="105"/>
      <c r="BD48" s="105"/>
      <c r="BE48" s="105"/>
      <c r="BF48" s="105"/>
      <c r="BG48" s="206"/>
      <c r="BH48" s="206"/>
      <c r="BI48" s="208"/>
      <c r="BJ48" s="209"/>
      <c r="BK48" s="105"/>
      <c r="BL48" s="105"/>
      <c r="BM48" s="105"/>
      <c r="BN48" s="105"/>
      <c r="BO48" s="105"/>
      <c r="BP48" s="105"/>
      <c r="BQ48" s="105"/>
      <c r="BR48"/>
    </row>
    <row r="49" spans="1:70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2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206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633"/>
      <c r="AY49" s="633"/>
      <c r="AZ49" s="105"/>
      <c r="BA49" s="105"/>
      <c r="BB49" s="105"/>
      <c r="BC49" s="105"/>
      <c r="BD49" s="105"/>
      <c r="BE49" s="105"/>
      <c r="BF49" s="105"/>
      <c r="BG49" s="206"/>
      <c r="BH49" s="206"/>
      <c r="BI49" s="208"/>
      <c r="BJ49" s="209"/>
      <c r="BK49" s="105"/>
      <c r="BL49" s="105"/>
      <c r="BM49" s="105"/>
      <c r="BN49" s="105"/>
      <c r="BO49" s="105"/>
      <c r="BP49" s="105"/>
      <c r="BQ49" s="105"/>
      <c r="BR49"/>
    </row>
    <row r="50" spans="1:70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2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206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633"/>
      <c r="AY50" s="633"/>
      <c r="AZ50" s="105"/>
      <c r="BA50" s="105"/>
      <c r="BB50" s="105"/>
      <c r="BC50" s="105"/>
      <c r="BD50" s="105"/>
      <c r="BE50" s="105"/>
      <c r="BF50" s="105"/>
      <c r="BG50" s="206"/>
      <c r="BH50" s="206"/>
      <c r="BI50" s="208"/>
      <c r="BJ50" s="209"/>
      <c r="BK50" s="105"/>
      <c r="BL50" s="105"/>
      <c r="BM50" s="105"/>
      <c r="BN50" s="105"/>
      <c r="BO50" s="105"/>
      <c r="BP50" s="105"/>
      <c r="BQ50" s="105"/>
      <c r="BR50"/>
    </row>
    <row r="51" spans="1:70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2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206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633"/>
      <c r="AY51" s="633"/>
      <c r="AZ51" s="105"/>
      <c r="BA51" s="105"/>
      <c r="BB51" s="105"/>
      <c r="BC51" s="105"/>
      <c r="BD51" s="105"/>
      <c r="BE51" s="105"/>
      <c r="BF51" s="105"/>
      <c r="BG51" s="206"/>
      <c r="BH51" s="206"/>
      <c r="BI51" s="208"/>
      <c r="BJ51" s="209"/>
      <c r="BK51" s="105"/>
      <c r="BL51" s="105"/>
      <c r="BM51" s="105"/>
      <c r="BN51" s="105"/>
      <c r="BO51" s="105"/>
      <c r="BP51" s="105"/>
      <c r="BQ51" s="105"/>
      <c r="BR51"/>
    </row>
    <row r="52" spans="1:70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2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206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633"/>
      <c r="AY52" s="633"/>
      <c r="AZ52" s="105"/>
      <c r="BA52" s="105"/>
      <c r="BB52" s="105"/>
      <c r="BC52" s="105"/>
      <c r="BD52" s="105"/>
      <c r="BE52" s="105"/>
      <c r="BF52" s="105"/>
      <c r="BG52" s="206"/>
      <c r="BH52" s="206"/>
      <c r="BI52" s="208"/>
      <c r="BJ52" s="209"/>
      <c r="BK52" s="105"/>
      <c r="BL52" s="105"/>
      <c r="BM52" s="105"/>
      <c r="BN52" s="105"/>
      <c r="BO52" s="105"/>
      <c r="BP52" s="105"/>
      <c r="BQ52" s="105"/>
      <c r="BR52"/>
    </row>
    <row r="53" spans="1:70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2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206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633"/>
      <c r="AY53" s="633"/>
      <c r="AZ53" s="105"/>
      <c r="BA53" s="105"/>
      <c r="BB53" s="105"/>
      <c r="BC53" s="105"/>
      <c r="BD53" s="105"/>
      <c r="BE53" s="105"/>
      <c r="BF53" s="105"/>
      <c r="BG53" s="206"/>
      <c r="BH53" s="206"/>
      <c r="BI53" s="208"/>
      <c r="BJ53" s="209"/>
      <c r="BK53" s="105"/>
      <c r="BL53" s="105"/>
      <c r="BM53" s="105"/>
      <c r="BN53" s="105"/>
      <c r="BO53" s="105"/>
      <c r="BP53" s="105"/>
      <c r="BQ53" s="105"/>
      <c r="BR53"/>
    </row>
    <row r="54" spans="1:70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2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206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633"/>
      <c r="AY54" s="633"/>
      <c r="AZ54" s="105"/>
      <c r="BA54" s="105"/>
      <c r="BB54" s="105"/>
      <c r="BC54" s="105"/>
      <c r="BD54" s="105"/>
      <c r="BE54" s="105"/>
      <c r="BF54" s="105"/>
      <c r="BG54" s="206"/>
      <c r="BH54" s="206"/>
      <c r="BI54" s="208"/>
      <c r="BJ54" s="209"/>
      <c r="BK54" s="105"/>
      <c r="BL54" s="105"/>
      <c r="BM54" s="105"/>
      <c r="BN54" s="105"/>
      <c r="BO54" s="105"/>
      <c r="BP54" s="105"/>
      <c r="BQ54" s="105"/>
      <c r="BR54"/>
    </row>
    <row r="55" spans="1:70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2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206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633"/>
      <c r="AY55" s="633"/>
      <c r="AZ55" s="105"/>
      <c r="BA55" s="105"/>
      <c r="BB55" s="105"/>
      <c r="BC55" s="105"/>
      <c r="BD55" s="105"/>
      <c r="BE55" s="105"/>
      <c r="BF55" s="105"/>
      <c r="BG55" s="206"/>
      <c r="BH55" s="206"/>
      <c r="BI55" s="208"/>
      <c r="BJ55" s="209"/>
      <c r="BK55" s="105"/>
      <c r="BL55" s="105"/>
      <c r="BM55" s="105"/>
      <c r="BN55" s="105"/>
      <c r="BO55" s="105"/>
      <c r="BP55" s="105"/>
      <c r="BQ55" s="105"/>
      <c r="BR55"/>
    </row>
    <row r="56" spans="1:70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2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206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633"/>
      <c r="AY56" s="633"/>
      <c r="AZ56" s="105"/>
      <c r="BA56" s="105"/>
      <c r="BB56" s="105"/>
      <c r="BC56" s="105"/>
      <c r="BD56" s="105"/>
      <c r="BE56" s="105"/>
      <c r="BF56" s="105"/>
      <c r="BG56" s="206"/>
      <c r="BH56" s="206"/>
      <c r="BI56" s="208"/>
      <c r="BJ56" s="209"/>
      <c r="BK56" s="105"/>
      <c r="BL56" s="105"/>
      <c r="BM56" s="105"/>
      <c r="BN56" s="105"/>
      <c r="BO56" s="105"/>
      <c r="BP56" s="105"/>
      <c r="BQ56" s="105"/>
      <c r="BR56"/>
    </row>
    <row r="57" spans="1:70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2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206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633"/>
      <c r="AY57" s="633"/>
      <c r="AZ57" s="105"/>
      <c r="BA57" s="105"/>
      <c r="BB57" s="105"/>
      <c r="BC57" s="105"/>
      <c r="BD57" s="105"/>
      <c r="BE57" s="105"/>
      <c r="BF57" s="105"/>
      <c r="BG57" s="206"/>
      <c r="BH57" s="206"/>
      <c r="BI57" s="208"/>
      <c r="BJ57" s="209"/>
      <c r="BK57" s="105"/>
      <c r="BL57" s="105"/>
      <c r="BM57" s="105"/>
      <c r="BN57" s="105"/>
      <c r="BO57" s="105"/>
      <c r="BP57" s="105"/>
      <c r="BQ57" s="105"/>
      <c r="BR57"/>
    </row>
    <row r="58" spans="1:70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2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206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633"/>
      <c r="AY58" s="633"/>
      <c r="AZ58" s="105"/>
      <c r="BA58" s="105"/>
      <c r="BB58" s="105"/>
      <c r="BC58" s="105"/>
      <c r="BD58" s="105"/>
      <c r="BE58" s="105"/>
      <c r="BF58" s="105"/>
      <c r="BG58" s="206"/>
      <c r="BH58" s="206"/>
      <c r="BI58" s="208"/>
      <c r="BJ58" s="209"/>
      <c r="BK58" s="105"/>
      <c r="BL58" s="105"/>
      <c r="BM58" s="105"/>
      <c r="BN58" s="105"/>
      <c r="BO58" s="105"/>
      <c r="BP58" s="105"/>
      <c r="BQ58" s="105"/>
      <c r="BR58"/>
    </row>
    <row r="59" spans="1:70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2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206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633"/>
      <c r="AY59" s="633"/>
      <c r="AZ59" s="105"/>
      <c r="BA59" s="105"/>
      <c r="BB59" s="105"/>
      <c r="BC59" s="105"/>
      <c r="BD59" s="105"/>
      <c r="BE59" s="105"/>
      <c r="BF59" s="105"/>
      <c r="BG59" s="206"/>
      <c r="BH59" s="206"/>
      <c r="BI59" s="208"/>
      <c r="BJ59" s="209"/>
      <c r="BK59" s="105"/>
      <c r="BL59" s="105"/>
      <c r="BM59" s="105"/>
      <c r="BN59" s="105"/>
      <c r="BO59" s="105"/>
      <c r="BP59" s="105"/>
      <c r="BQ59" s="105"/>
      <c r="BR59"/>
    </row>
    <row r="60" spans="1:70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2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206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633"/>
      <c r="AY60" s="633"/>
      <c r="AZ60" s="105"/>
      <c r="BA60" s="105"/>
      <c r="BB60" s="105"/>
      <c r="BC60" s="105"/>
      <c r="BD60" s="105"/>
      <c r="BE60" s="105"/>
      <c r="BF60" s="105"/>
      <c r="BG60" s="206"/>
      <c r="BH60" s="206"/>
      <c r="BI60" s="208"/>
      <c r="BJ60" s="209"/>
      <c r="BK60" s="105"/>
      <c r="BL60" s="105"/>
      <c r="BM60" s="105"/>
      <c r="BN60" s="105"/>
      <c r="BO60" s="105"/>
      <c r="BP60" s="105"/>
      <c r="BQ60" s="105"/>
      <c r="BR60"/>
    </row>
    <row r="61" spans="1:70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2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206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633"/>
      <c r="AY61" s="633"/>
      <c r="AZ61" s="105"/>
      <c r="BA61" s="105"/>
      <c r="BB61" s="105"/>
      <c r="BC61" s="105"/>
      <c r="BD61" s="105"/>
      <c r="BE61" s="105"/>
      <c r="BF61" s="105"/>
      <c r="BG61" s="206"/>
      <c r="BH61" s="206"/>
      <c r="BI61" s="208"/>
      <c r="BJ61" s="209"/>
      <c r="BK61" s="105"/>
      <c r="BL61" s="105"/>
      <c r="BM61" s="105"/>
      <c r="BN61" s="105"/>
      <c r="BO61" s="105"/>
      <c r="BP61" s="105"/>
      <c r="BQ61" s="105"/>
      <c r="BR61"/>
    </row>
    <row r="62" spans="1:70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2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206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633"/>
      <c r="AY62" s="633"/>
      <c r="AZ62" s="105"/>
      <c r="BA62" s="105"/>
      <c r="BB62" s="105"/>
      <c r="BC62" s="105"/>
      <c r="BD62" s="105"/>
      <c r="BE62" s="105"/>
      <c r="BF62" s="105"/>
      <c r="BG62" s="206"/>
      <c r="BH62" s="206"/>
      <c r="BI62" s="208"/>
      <c r="BJ62" s="209"/>
      <c r="BK62" s="105"/>
      <c r="BL62" s="105"/>
      <c r="BM62" s="105"/>
      <c r="BN62" s="105"/>
      <c r="BO62" s="105"/>
      <c r="BP62" s="105"/>
      <c r="BQ62" s="105"/>
      <c r="BR62"/>
    </row>
    <row r="63" spans="1:70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2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206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633"/>
      <c r="AY63" s="633"/>
      <c r="AZ63" s="105"/>
      <c r="BA63" s="105"/>
      <c r="BB63" s="105"/>
      <c r="BC63" s="105"/>
      <c r="BD63" s="105"/>
      <c r="BE63" s="105"/>
      <c r="BF63" s="105"/>
      <c r="BG63" s="206"/>
      <c r="BH63" s="206"/>
      <c r="BI63" s="208"/>
      <c r="BJ63" s="209"/>
      <c r="BK63" s="105"/>
      <c r="BL63" s="105"/>
      <c r="BM63" s="105"/>
      <c r="BN63" s="105"/>
      <c r="BO63" s="105"/>
      <c r="BP63" s="105"/>
      <c r="BQ63" s="105"/>
      <c r="BR63"/>
    </row>
    <row r="64" spans="1:70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2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206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633"/>
      <c r="AY64" s="633"/>
      <c r="AZ64" s="105"/>
      <c r="BA64" s="105"/>
      <c r="BB64" s="105"/>
      <c r="BC64" s="105"/>
      <c r="BD64" s="105"/>
      <c r="BE64" s="105"/>
      <c r="BF64" s="105"/>
      <c r="BG64" s="206"/>
      <c r="BH64" s="206"/>
      <c r="BI64" s="208"/>
      <c r="BJ64" s="209"/>
      <c r="BK64" s="105"/>
      <c r="BL64" s="105"/>
      <c r="BM64" s="105"/>
      <c r="BN64" s="105"/>
      <c r="BO64" s="105"/>
      <c r="BP64" s="105"/>
      <c r="BQ64" s="105"/>
      <c r="BR64"/>
    </row>
    <row r="65" spans="1:70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2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206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633"/>
      <c r="AY65" s="633"/>
      <c r="AZ65" s="105"/>
      <c r="BA65" s="105"/>
      <c r="BB65" s="105"/>
      <c r="BC65" s="105"/>
      <c r="BD65" s="105"/>
      <c r="BE65" s="105"/>
      <c r="BF65" s="105"/>
      <c r="BG65" s="206"/>
      <c r="BH65" s="206"/>
      <c r="BI65" s="208"/>
      <c r="BJ65" s="209"/>
      <c r="BK65" s="105"/>
      <c r="BL65" s="105"/>
      <c r="BM65" s="105"/>
      <c r="BN65" s="105"/>
      <c r="BO65" s="105"/>
      <c r="BP65" s="105"/>
      <c r="BQ65" s="105"/>
      <c r="BR65"/>
    </row>
    <row r="66" spans="1:70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2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206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633"/>
      <c r="AY66" s="633"/>
      <c r="AZ66" s="105"/>
      <c r="BA66" s="105"/>
      <c r="BB66" s="105"/>
      <c r="BC66" s="105"/>
      <c r="BD66" s="105"/>
      <c r="BE66" s="105"/>
      <c r="BF66" s="105"/>
      <c r="BG66" s="206"/>
      <c r="BH66" s="206"/>
      <c r="BI66" s="208"/>
      <c r="BJ66" s="209"/>
      <c r="BK66" s="105"/>
      <c r="BL66" s="105"/>
      <c r="BM66" s="105"/>
      <c r="BN66" s="105"/>
      <c r="BO66" s="105"/>
      <c r="BP66" s="105"/>
      <c r="BQ66" s="105"/>
      <c r="BR66"/>
    </row>
    <row r="67" spans="1:70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2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206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633"/>
      <c r="AY67" s="633"/>
      <c r="AZ67" s="105"/>
      <c r="BA67" s="105"/>
      <c r="BB67" s="105"/>
      <c r="BC67" s="105"/>
      <c r="BD67" s="105"/>
      <c r="BE67" s="105"/>
      <c r="BF67" s="105"/>
      <c r="BG67" s="206"/>
      <c r="BH67" s="206"/>
      <c r="BI67" s="208"/>
      <c r="BJ67" s="209"/>
      <c r="BK67" s="105"/>
      <c r="BL67" s="105"/>
      <c r="BM67" s="105"/>
      <c r="BN67" s="105"/>
      <c r="BO67" s="105"/>
      <c r="BP67" s="105"/>
      <c r="BQ67" s="105"/>
      <c r="BR67"/>
    </row>
    <row r="68" spans="1:70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2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206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633"/>
      <c r="AY68" s="633"/>
      <c r="AZ68" s="105"/>
      <c r="BA68" s="105"/>
      <c r="BB68" s="105"/>
      <c r="BC68" s="105"/>
      <c r="BD68" s="105"/>
      <c r="BE68" s="105"/>
      <c r="BF68" s="105"/>
      <c r="BG68" s="206"/>
      <c r="BH68" s="206"/>
      <c r="BI68" s="208"/>
      <c r="BJ68" s="209"/>
      <c r="BK68" s="105"/>
      <c r="BL68" s="105"/>
      <c r="BM68" s="105"/>
      <c r="BN68" s="105"/>
      <c r="BO68" s="105"/>
      <c r="BP68" s="105"/>
      <c r="BQ68" s="105"/>
      <c r="BR68"/>
    </row>
    <row r="69" spans="1:70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2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206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633"/>
      <c r="AY69" s="633"/>
      <c r="AZ69" s="105"/>
      <c r="BA69" s="105"/>
      <c r="BB69" s="105"/>
      <c r="BC69" s="105"/>
      <c r="BD69" s="105"/>
      <c r="BE69" s="105"/>
      <c r="BF69" s="105"/>
      <c r="BG69" s="206"/>
      <c r="BH69" s="206"/>
      <c r="BI69" s="208"/>
      <c r="BJ69" s="209"/>
      <c r="BK69" s="105"/>
      <c r="BL69" s="105"/>
      <c r="BM69" s="105"/>
      <c r="BN69" s="105"/>
      <c r="BO69" s="105"/>
      <c r="BP69" s="105"/>
      <c r="BQ69" s="105"/>
      <c r="BR69"/>
    </row>
    <row r="70" spans="1:70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2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206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633"/>
      <c r="AY70" s="633"/>
      <c r="AZ70" s="105"/>
      <c r="BA70" s="105"/>
      <c r="BB70" s="105"/>
      <c r="BC70" s="105"/>
      <c r="BD70" s="105"/>
      <c r="BE70" s="105"/>
      <c r="BF70" s="105"/>
      <c r="BG70" s="206"/>
      <c r="BH70" s="206"/>
      <c r="BI70" s="208"/>
      <c r="BJ70" s="209"/>
      <c r="BK70" s="105"/>
      <c r="BL70" s="105"/>
      <c r="BM70" s="105"/>
      <c r="BN70" s="105"/>
      <c r="BO70" s="105"/>
      <c r="BP70" s="105"/>
      <c r="BQ70" s="105"/>
      <c r="BR70"/>
    </row>
    <row r="71" spans="1:70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2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206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633"/>
      <c r="AY71" s="633"/>
      <c r="AZ71" s="105"/>
      <c r="BA71" s="105"/>
      <c r="BB71" s="105"/>
      <c r="BC71" s="105"/>
      <c r="BD71" s="105"/>
      <c r="BE71" s="105"/>
      <c r="BF71" s="105"/>
      <c r="BG71" s="206"/>
      <c r="BH71" s="206"/>
      <c r="BI71" s="208"/>
      <c r="BJ71" s="209"/>
      <c r="BK71" s="105"/>
      <c r="BL71" s="105"/>
      <c r="BM71" s="105"/>
      <c r="BN71" s="105"/>
      <c r="BO71" s="105"/>
      <c r="BP71" s="105"/>
      <c r="BQ71" s="105"/>
      <c r="BR71"/>
    </row>
    <row r="72" spans="1:70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2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206"/>
      <c r="AF72" s="810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>
        <f>SUBTOTAL(9,AW11:AW23)</f>
        <v>158208000</v>
      </c>
      <c r="AX72" s="633"/>
      <c r="AY72" s="633"/>
      <c r="AZ72" s="105"/>
      <c r="BA72" s="105"/>
      <c r="BB72" s="105"/>
      <c r="BC72" s="105"/>
      <c r="BD72" s="105"/>
      <c r="BE72" s="105"/>
      <c r="BF72" s="105"/>
      <c r="BG72" s="206"/>
      <c r="BH72" s="206"/>
      <c r="BI72" s="208"/>
      <c r="BJ72" s="209"/>
      <c r="BK72" s="105"/>
      <c r="BL72" s="105"/>
      <c r="BM72" s="105"/>
      <c r="BN72" s="105"/>
      <c r="BO72" s="105"/>
      <c r="BP72" s="105"/>
      <c r="BQ72" s="105"/>
      <c r="BR72"/>
    </row>
    <row r="73" spans="1:70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2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633"/>
      <c r="AB73" s="608"/>
      <c r="AC73" s="105"/>
      <c r="AD73" s="105"/>
      <c r="AE73" s="206"/>
      <c r="AF73" s="810"/>
      <c r="AG73" s="105"/>
      <c r="AH73" s="105"/>
      <c r="AI73" s="105"/>
      <c r="AJ73" s="105"/>
      <c r="AK73" s="105"/>
      <c r="AL73" s="105"/>
      <c r="AM73" s="885">
        <v>854485050</v>
      </c>
      <c r="AN73" s="105"/>
      <c r="AO73" s="731">
        <f>AM18-AO18</f>
        <v>11442450</v>
      </c>
      <c r="AP73" s="105"/>
      <c r="AQ73" s="105"/>
      <c r="AR73" s="105"/>
      <c r="AS73" s="105"/>
      <c r="AT73" s="105"/>
      <c r="AU73" s="105"/>
      <c r="AV73" s="105"/>
      <c r="AW73" s="731">
        <f>AW22-AJ22</f>
        <v>10897000</v>
      </c>
      <c r="AX73" s="633"/>
      <c r="AY73" s="633"/>
      <c r="AZ73" s="105"/>
      <c r="BA73" s="105"/>
      <c r="BB73" s="105"/>
      <c r="BC73" s="105"/>
      <c r="BD73" s="105"/>
      <c r="BE73" s="105"/>
      <c r="BF73" s="105"/>
      <c r="BG73" s="206"/>
      <c r="BH73" s="206"/>
      <c r="BI73" s="208"/>
      <c r="BJ73" s="209"/>
      <c r="BK73" s="105"/>
      <c r="BL73" s="105"/>
      <c r="BM73" s="105"/>
      <c r="BN73" s="105"/>
      <c r="BO73" s="105"/>
      <c r="BP73" s="105"/>
      <c r="BQ73" s="105"/>
      <c r="BR73"/>
    </row>
    <row r="74" spans="1:70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2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633"/>
      <c r="AB74" s="105"/>
      <c r="AC74" s="105"/>
      <c r="AD74" s="105"/>
      <c r="AE74" s="206"/>
      <c r="AF74" s="810"/>
      <c r="AG74" s="105"/>
      <c r="AH74" s="105"/>
      <c r="AI74" s="105"/>
      <c r="AJ74" s="105"/>
      <c r="AK74" s="105"/>
      <c r="AL74" s="105"/>
      <c r="AM74" s="608">
        <f>AM73-AM42</f>
        <v>458433687</v>
      </c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633"/>
      <c r="AY74" s="633"/>
      <c r="AZ74" s="105"/>
      <c r="BA74" s="105"/>
      <c r="BB74" s="105"/>
      <c r="BC74" s="105"/>
      <c r="BD74" s="105"/>
      <c r="BE74" s="105"/>
      <c r="BF74" s="105"/>
      <c r="BG74" s="206"/>
      <c r="BH74" s="206"/>
      <c r="BI74" s="208"/>
      <c r="BJ74" s="209"/>
      <c r="BK74" s="105"/>
      <c r="BL74" s="105"/>
      <c r="BM74" s="105"/>
      <c r="BN74" s="105"/>
      <c r="BO74" s="105"/>
      <c r="BP74" s="105"/>
      <c r="BQ74" s="105"/>
      <c r="BR74"/>
    </row>
    <row r="75" spans="1:70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2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206"/>
      <c r="AF75" s="810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731">
        <f>AW19+AV19+AO19</f>
        <v>11999550</v>
      </c>
      <c r="AX75" s="633"/>
      <c r="AY75" s="633"/>
      <c r="AZ75" s="105"/>
      <c r="BA75" s="105"/>
      <c r="BB75" s="105"/>
      <c r="BC75" s="105"/>
      <c r="BD75" s="105"/>
      <c r="BE75" s="105"/>
      <c r="BF75" s="105"/>
      <c r="BG75" s="206"/>
      <c r="BH75" s="206"/>
      <c r="BI75" s="208"/>
      <c r="BJ75" s="209"/>
      <c r="BK75" s="105"/>
      <c r="BL75" s="105"/>
      <c r="BM75" s="105"/>
      <c r="BN75" s="105"/>
      <c r="BO75" s="105"/>
      <c r="BP75" s="105"/>
      <c r="BQ75" s="105"/>
      <c r="BR75"/>
    </row>
    <row r="76" spans="1:70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2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206"/>
      <c r="AF76" s="810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633"/>
      <c r="AY76" s="633"/>
      <c r="AZ76" s="105"/>
      <c r="BA76" s="105"/>
      <c r="BB76" s="105"/>
      <c r="BC76" s="105"/>
      <c r="BD76" s="105"/>
      <c r="BE76" s="105"/>
      <c r="BF76" s="105"/>
      <c r="BG76" s="206"/>
      <c r="BH76" s="206"/>
      <c r="BI76" s="208"/>
      <c r="BJ76" s="209"/>
      <c r="BK76" s="105"/>
      <c r="BL76" s="105"/>
      <c r="BM76" s="105"/>
      <c r="BN76" s="105"/>
      <c r="BO76" s="105"/>
      <c r="BP76" s="105"/>
      <c r="BQ76" s="105"/>
      <c r="BR76"/>
    </row>
    <row r="77" spans="1:70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2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206"/>
      <c r="AF77" s="810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633"/>
      <c r="AY77" s="633"/>
      <c r="AZ77" s="105"/>
      <c r="BA77" s="105"/>
      <c r="BB77" s="105"/>
      <c r="BC77" s="105"/>
      <c r="BD77" s="105"/>
      <c r="BE77" s="105"/>
      <c r="BF77" s="105"/>
      <c r="BG77" s="206"/>
      <c r="BH77" s="206"/>
      <c r="BI77" s="208"/>
      <c r="BJ77" s="209"/>
      <c r="BK77" s="105"/>
      <c r="BL77" s="105"/>
      <c r="BM77" s="105"/>
      <c r="BN77" s="105"/>
      <c r="BO77" s="105"/>
      <c r="BP77" s="105"/>
      <c r="BQ77" s="105"/>
      <c r="BR77"/>
    </row>
    <row r="78" spans="1:70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2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206"/>
      <c r="AF78" s="810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633"/>
      <c r="AY78" s="633"/>
      <c r="AZ78" s="105"/>
      <c r="BA78" s="105"/>
      <c r="BB78" s="105"/>
      <c r="BC78" s="105"/>
      <c r="BD78" s="105"/>
      <c r="BE78" s="105"/>
      <c r="BF78" s="105"/>
      <c r="BG78" s="206"/>
      <c r="BH78" s="206"/>
      <c r="BI78" s="208"/>
      <c r="BJ78" s="209"/>
      <c r="BK78" s="105"/>
      <c r="BL78" s="105"/>
      <c r="BM78" s="105"/>
      <c r="BN78" s="105"/>
      <c r="BO78" s="105"/>
      <c r="BP78" s="105"/>
      <c r="BQ78" s="105"/>
      <c r="BR78"/>
    </row>
    <row r="79" spans="1:70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2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206"/>
      <c r="AF79" s="810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633"/>
      <c r="AY79" s="633"/>
      <c r="AZ79" s="105"/>
      <c r="BA79" s="105"/>
      <c r="BB79" s="105"/>
      <c r="BC79" s="105"/>
      <c r="BD79" s="105"/>
      <c r="BE79" s="105"/>
      <c r="BF79" s="105"/>
      <c r="BG79" s="206"/>
      <c r="BH79" s="206"/>
      <c r="BI79" s="208"/>
      <c r="BJ79" s="209"/>
      <c r="BK79" s="105"/>
      <c r="BL79" s="105"/>
      <c r="BM79" s="105"/>
      <c r="BN79" s="105"/>
      <c r="BO79" s="105"/>
      <c r="BP79" s="105"/>
      <c r="BQ79" s="105"/>
      <c r="BR79"/>
    </row>
    <row r="80" spans="1:70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2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206"/>
      <c r="AF80" s="810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633"/>
      <c r="AY80" s="633"/>
      <c r="AZ80" s="105"/>
      <c r="BA80" s="105"/>
      <c r="BB80" s="105"/>
      <c r="BC80" s="105"/>
      <c r="BD80" s="105"/>
      <c r="BE80" s="105"/>
      <c r="BF80" s="105"/>
      <c r="BG80" s="206"/>
      <c r="BH80" s="206"/>
      <c r="BI80" s="208"/>
      <c r="BJ80" s="209"/>
      <c r="BK80" s="105"/>
      <c r="BL80" s="105"/>
      <c r="BM80" s="105"/>
      <c r="BN80" s="105"/>
      <c r="BO80" s="105"/>
      <c r="BP80" s="105"/>
      <c r="BQ80" s="105"/>
      <c r="BR80"/>
    </row>
    <row r="81" spans="1:70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2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206"/>
      <c r="AF81" s="810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633"/>
      <c r="AY81" s="633"/>
      <c r="AZ81" s="105"/>
      <c r="BA81" s="105"/>
      <c r="BB81" s="105"/>
      <c r="BC81" s="105"/>
      <c r="BD81" s="105"/>
      <c r="BE81" s="105"/>
      <c r="BF81" s="105"/>
      <c r="BG81" s="206"/>
      <c r="BH81" s="206"/>
      <c r="BI81" s="208"/>
      <c r="BJ81" s="209"/>
      <c r="BK81" s="105"/>
      <c r="BL81" s="105"/>
      <c r="BM81" s="105"/>
      <c r="BN81" s="105"/>
      <c r="BO81" s="105"/>
      <c r="BP81" s="105"/>
      <c r="BQ81" s="105"/>
      <c r="BR81"/>
    </row>
    <row r="82" spans="1:70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2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206"/>
      <c r="AF82" s="810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633"/>
      <c r="AY82" s="633"/>
      <c r="AZ82" s="105"/>
      <c r="BA82" s="105"/>
      <c r="BB82" s="105"/>
      <c r="BC82" s="105"/>
      <c r="BD82" s="105"/>
      <c r="BE82" s="105"/>
      <c r="BF82" s="105"/>
      <c r="BG82" s="206"/>
      <c r="BH82" s="206"/>
      <c r="BI82" s="208"/>
      <c r="BJ82" s="209"/>
      <c r="BK82" s="105"/>
      <c r="BL82" s="105"/>
      <c r="BM82" s="105"/>
      <c r="BN82" s="105"/>
      <c r="BO82" s="105"/>
      <c r="BP82" s="105"/>
      <c r="BQ82" s="105"/>
      <c r="BR82"/>
    </row>
    <row r="83" spans="1:70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2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206"/>
      <c r="AF83" s="810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633"/>
      <c r="AY83" s="633"/>
      <c r="AZ83" s="105"/>
      <c r="BA83" s="105"/>
      <c r="BB83" s="105"/>
      <c r="BC83" s="105"/>
      <c r="BD83" s="105"/>
      <c r="BE83" s="105"/>
      <c r="BF83" s="105"/>
      <c r="BG83" s="206"/>
      <c r="BH83" s="206"/>
      <c r="BI83" s="208"/>
      <c r="BJ83" s="209"/>
      <c r="BK83" s="105"/>
      <c r="BL83" s="105"/>
      <c r="BM83" s="105"/>
      <c r="BN83" s="105"/>
      <c r="BO83" s="105"/>
      <c r="BP83" s="105"/>
      <c r="BQ83" s="105"/>
      <c r="BR83"/>
    </row>
    <row r="84" spans="1:70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2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206"/>
      <c r="AF84" s="810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633"/>
      <c r="AY84" s="633"/>
      <c r="AZ84" s="105"/>
      <c r="BA84" s="105"/>
      <c r="BB84" s="105"/>
      <c r="BC84" s="105"/>
      <c r="BD84" s="105"/>
      <c r="BE84" s="105"/>
      <c r="BF84" s="105"/>
      <c r="BG84" s="206"/>
      <c r="BH84" s="206"/>
      <c r="BI84" s="208"/>
      <c r="BJ84" s="209"/>
      <c r="BK84" s="105"/>
      <c r="BL84" s="105"/>
      <c r="BM84" s="105"/>
      <c r="BN84" s="105"/>
      <c r="BO84" s="105"/>
      <c r="BP84" s="105"/>
      <c r="BQ84" s="105"/>
      <c r="BR84"/>
    </row>
    <row r="85" spans="1:70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2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206"/>
      <c r="AF85" s="810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633"/>
      <c r="AY85" s="633"/>
      <c r="AZ85" s="105"/>
      <c r="BA85" s="105"/>
      <c r="BB85" s="105"/>
      <c r="BC85" s="105"/>
      <c r="BD85" s="105"/>
      <c r="BE85" s="105"/>
      <c r="BF85" s="105"/>
      <c r="BG85" s="206"/>
      <c r="BH85" s="206"/>
      <c r="BI85" s="208"/>
      <c r="BJ85" s="209"/>
      <c r="BK85" s="105"/>
      <c r="BL85" s="105"/>
      <c r="BM85" s="105"/>
      <c r="BN85" s="105"/>
      <c r="BO85" s="105"/>
      <c r="BP85" s="105"/>
      <c r="BQ85" s="105"/>
      <c r="BR85"/>
    </row>
    <row r="86" spans="1:70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2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206"/>
      <c r="AF86" s="810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633"/>
      <c r="AY86" s="633"/>
      <c r="AZ86" s="105"/>
      <c r="BA86" s="105"/>
      <c r="BB86" s="105"/>
      <c r="BC86" s="105"/>
      <c r="BD86" s="105"/>
      <c r="BE86" s="105"/>
      <c r="BF86" s="105"/>
      <c r="BG86" s="206"/>
      <c r="BH86" s="206"/>
      <c r="BI86" s="208"/>
      <c r="BJ86" s="209"/>
      <c r="BK86" s="105"/>
      <c r="BL86" s="105"/>
      <c r="BM86" s="105"/>
      <c r="BN86" s="105"/>
      <c r="BO86" s="105"/>
      <c r="BP86" s="105"/>
      <c r="BQ86" s="105"/>
      <c r="BR86"/>
    </row>
    <row r="87" spans="1:70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2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206"/>
      <c r="AF87" s="810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633"/>
      <c r="AY87" s="633"/>
      <c r="AZ87" s="105"/>
      <c r="BA87" s="105"/>
      <c r="BB87" s="105"/>
      <c r="BC87" s="105"/>
      <c r="BD87" s="105"/>
      <c r="BE87" s="105"/>
      <c r="BF87" s="105"/>
      <c r="BG87" s="206"/>
      <c r="BH87" s="206"/>
      <c r="BI87" s="208"/>
      <c r="BJ87" s="209"/>
      <c r="BK87" s="105"/>
      <c r="BL87" s="105"/>
      <c r="BM87" s="105"/>
      <c r="BN87" s="105"/>
      <c r="BO87" s="105"/>
      <c r="BP87" s="105"/>
      <c r="BQ87" s="105"/>
      <c r="BR87"/>
    </row>
    <row r="88" spans="1:70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2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206"/>
      <c r="AF88" s="810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633"/>
      <c r="AY88" s="633"/>
      <c r="AZ88" s="105"/>
      <c r="BA88" s="105"/>
      <c r="BB88" s="105"/>
      <c r="BC88" s="105"/>
      <c r="BD88" s="105"/>
      <c r="BE88" s="105"/>
      <c r="BF88" s="105"/>
      <c r="BG88" s="206"/>
      <c r="BH88" s="206"/>
      <c r="BI88" s="208"/>
      <c r="BJ88" s="209"/>
      <c r="BK88" s="105"/>
      <c r="BL88" s="105"/>
      <c r="BM88" s="105"/>
      <c r="BN88" s="105"/>
      <c r="BO88" s="105"/>
      <c r="BP88" s="105"/>
      <c r="BQ88" s="105"/>
      <c r="BR88"/>
    </row>
    <row r="89" spans="1:70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2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206"/>
      <c r="AF89" s="810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633"/>
      <c r="AY89" s="633"/>
      <c r="AZ89" s="105"/>
      <c r="BA89" s="105"/>
      <c r="BB89" s="105"/>
      <c r="BC89" s="105"/>
      <c r="BD89" s="105"/>
      <c r="BE89" s="105"/>
      <c r="BF89" s="105"/>
      <c r="BG89" s="206"/>
      <c r="BH89" s="206"/>
      <c r="BI89" s="208"/>
      <c r="BJ89" s="209"/>
      <c r="BK89" s="105"/>
      <c r="BL89" s="105"/>
      <c r="BM89" s="105"/>
      <c r="BN89" s="105"/>
      <c r="BO89" s="105"/>
      <c r="BP89" s="105"/>
      <c r="BQ89" s="105"/>
      <c r="BR89"/>
    </row>
    <row r="90" spans="1:70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2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206"/>
      <c r="AF90" s="810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633"/>
      <c r="AY90" s="633"/>
      <c r="AZ90" s="105"/>
      <c r="BA90" s="105"/>
      <c r="BB90" s="105"/>
      <c r="BC90" s="105"/>
      <c r="BD90" s="105"/>
      <c r="BE90" s="105"/>
      <c r="BF90" s="105"/>
      <c r="BG90" s="206"/>
      <c r="BH90" s="206"/>
      <c r="BI90" s="208"/>
      <c r="BJ90" s="209"/>
      <c r="BK90" s="105"/>
      <c r="BL90" s="105"/>
      <c r="BM90" s="105"/>
      <c r="BN90" s="105"/>
      <c r="BO90" s="105"/>
      <c r="BP90" s="105"/>
      <c r="BQ90" s="105"/>
      <c r="BR90"/>
    </row>
    <row r="91" spans="1:70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2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206"/>
      <c r="AF91" s="810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633"/>
      <c r="AY91" s="633"/>
      <c r="AZ91" s="105"/>
      <c r="BA91" s="105"/>
      <c r="BB91" s="105"/>
      <c r="BC91" s="105"/>
      <c r="BD91" s="105"/>
      <c r="BE91" s="105"/>
      <c r="BF91" s="105"/>
      <c r="BG91" s="206"/>
      <c r="BH91" s="206"/>
      <c r="BI91" s="208"/>
      <c r="BJ91" s="209"/>
      <c r="BK91" s="105"/>
      <c r="BL91" s="105"/>
      <c r="BM91" s="105"/>
      <c r="BN91" s="105"/>
      <c r="BO91" s="105"/>
      <c r="BP91" s="105"/>
      <c r="BQ91" s="105"/>
      <c r="BR91"/>
    </row>
    <row r="92" spans="1:70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2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206"/>
      <c r="AF92" s="810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633"/>
      <c r="AY92" s="633"/>
      <c r="AZ92" s="105"/>
      <c r="BA92" s="105"/>
      <c r="BB92" s="105"/>
      <c r="BC92" s="105"/>
      <c r="BD92" s="105"/>
      <c r="BE92" s="105"/>
      <c r="BF92" s="105"/>
      <c r="BG92" s="206"/>
      <c r="BH92" s="206"/>
      <c r="BI92" s="208"/>
      <c r="BJ92" s="209"/>
      <c r="BK92" s="105"/>
      <c r="BL92" s="105"/>
      <c r="BM92" s="105"/>
      <c r="BN92" s="105"/>
      <c r="BO92" s="105"/>
      <c r="BP92" s="105"/>
      <c r="BQ92" s="105"/>
      <c r="BR92"/>
    </row>
    <row r="93" spans="1:70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2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206"/>
      <c r="AF93" s="810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633"/>
      <c r="AY93" s="633"/>
      <c r="AZ93" s="105"/>
      <c r="BA93" s="105"/>
      <c r="BB93" s="105"/>
      <c r="BC93" s="105"/>
      <c r="BD93" s="105"/>
      <c r="BE93" s="105"/>
      <c r="BF93" s="105"/>
      <c r="BG93" s="206"/>
      <c r="BH93" s="206"/>
      <c r="BI93" s="208"/>
      <c r="BJ93" s="209"/>
      <c r="BK93" s="105"/>
      <c r="BL93" s="105"/>
      <c r="BM93" s="105"/>
      <c r="BN93" s="105"/>
      <c r="BO93" s="105"/>
      <c r="BP93" s="105"/>
      <c r="BQ93" s="105"/>
      <c r="BR93"/>
    </row>
    <row r="94" spans="1:70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2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206"/>
      <c r="AF94" s="810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633"/>
      <c r="AY94" s="633"/>
      <c r="AZ94" s="105"/>
      <c r="BA94" s="105"/>
      <c r="BB94" s="105"/>
      <c r="BC94" s="105"/>
      <c r="BD94" s="105"/>
      <c r="BE94" s="105"/>
      <c r="BF94" s="105"/>
      <c r="BG94" s="206"/>
      <c r="BH94" s="206"/>
      <c r="BI94" s="208"/>
      <c r="BJ94" s="209"/>
      <c r="BK94" s="105"/>
      <c r="BL94" s="105"/>
      <c r="BM94" s="105"/>
      <c r="BN94" s="105"/>
      <c r="BO94" s="105"/>
      <c r="BP94" s="105"/>
      <c r="BQ94" s="105"/>
      <c r="BR94"/>
    </row>
    <row r="95" spans="1:70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2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206"/>
      <c r="AF95" s="810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633"/>
      <c r="AY95" s="633"/>
      <c r="AZ95" s="105"/>
      <c r="BA95" s="105"/>
      <c r="BB95" s="105"/>
      <c r="BC95" s="105"/>
      <c r="BD95" s="105"/>
      <c r="BE95" s="105"/>
      <c r="BF95" s="105"/>
      <c r="BG95" s="206"/>
      <c r="BH95" s="206"/>
      <c r="BI95" s="208"/>
      <c r="BJ95" s="209"/>
      <c r="BK95" s="105"/>
      <c r="BL95" s="105"/>
      <c r="BM95" s="105"/>
      <c r="BN95" s="105"/>
      <c r="BO95" s="105"/>
      <c r="BP95" s="105"/>
      <c r="BQ95" s="105"/>
      <c r="BR95"/>
    </row>
    <row r="96" spans="1:70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2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206"/>
      <c r="AF96" s="810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633"/>
      <c r="AY96" s="633"/>
      <c r="AZ96" s="105"/>
      <c r="BA96" s="105"/>
      <c r="BB96" s="105"/>
      <c r="BC96" s="105"/>
      <c r="BD96" s="105"/>
      <c r="BE96" s="105"/>
      <c r="BF96" s="105"/>
      <c r="BG96" s="206"/>
      <c r="BH96" s="206"/>
      <c r="BI96" s="208"/>
      <c r="BJ96" s="209"/>
      <c r="BK96" s="105"/>
      <c r="BL96" s="105"/>
      <c r="BM96" s="105"/>
      <c r="BN96" s="105"/>
      <c r="BO96" s="105"/>
      <c r="BP96" s="105"/>
      <c r="BQ96" s="105"/>
      <c r="BR96"/>
    </row>
    <row r="97" spans="1:70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2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206"/>
      <c r="AF97" s="810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633"/>
      <c r="AY97" s="633"/>
      <c r="AZ97" s="105"/>
      <c r="BA97" s="105"/>
      <c r="BB97" s="105"/>
      <c r="BC97" s="105"/>
      <c r="BD97" s="105"/>
      <c r="BE97" s="105"/>
      <c r="BF97" s="105"/>
      <c r="BG97" s="206"/>
      <c r="BH97" s="206"/>
      <c r="BI97" s="208"/>
      <c r="BJ97" s="209"/>
      <c r="BK97" s="105"/>
      <c r="BL97" s="105"/>
      <c r="BM97" s="105"/>
      <c r="BN97" s="105"/>
      <c r="BO97" s="105"/>
      <c r="BP97" s="105"/>
      <c r="BQ97" s="105"/>
      <c r="BR97"/>
    </row>
    <row r="98" spans="1:70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2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206"/>
      <c r="AF98" s="810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633"/>
      <c r="AY98" s="633"/>
      <c r="AZ98" s="105"/>
      <c r="BA98" s="105"/>
      <c r="BB98" s="105"/>
      <c r="BC98" s="105"/>
      <c r="BD98" s="105"/>
      <c r="BE98" s="105"/>
      <c r="BF98" s="105"/>
      <c r="BG98" s="206"/>
      <c r="BH98" s="206"/>
      <c r="BI98" s="208"/>
      <c r="BJ98" s="209"/>
      <c r="BK98" s="105"/>
      <c r="BL98" s="105"/>
      <c r="BM98" s="105"/>
      <c r="BN98" s="105"/>
      <c r="BO98" s="105"/>
      <c r="BP98" s="105"/>
      <c r="BQ98" s="105"/>
      <c r="BR98"/>
    </row>
    <row r="99" spans="1:70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2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206"/>
      <c r="AF99" s="810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633"/>
      <c r="AY99" s="633"/>
      <c r="AZ99" s="105"/>
      <c r="BA99" s="105"/>
      <c r="BB99" s="105"/>
      <c r="BC99" s="105"/>
      <c r="BD99" s="105"/>
      <c r="BE99" s="105"/>
      <c r="BF99" s="105"/>
      <c r="BG99" s="206"/>
      <c r="BH99" s="206"/>
      <c r="BI99" s="208"/>
      <c r="BJ99" s="209"/>
      <c r="BK99" s="105"/>
      <c r="BL99" s="105"/>
      <c r="BM99" s="105"/>
      <c r="BN99" s="105"/>
      <c r="BO99" s="105"/>
      <c r="BP99" s="105"/>
      <c r="BQ99" s="105"/>
      <c r="BR99"/>
    </row>
    <row r="100" spans="1:70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2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206"/>
      <c r="AF100" s="810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633"/>
      <c r="AY100" s="633"/>
      <c r="AZ100" s="105"/>
      <c r="BA100" s="105"/>
      <c r="BB100" s="105"/>
      <c r="BC100" s="105"/>
      <c r="BD100" s="105"/>
      <c r="BE100" s="105"/>
      <c r="BF100" s="105"/>
      <c r="BG100" s="206"/>
      <c r="BH100" s="206"/>
      <c r="BI100" s="208"/>
      <c r="BJ100" s="209"/>
      <c r="BK100" s="105"/>
      <c r="BL100" s="105"/>
      <c r="BM100" s="105"/>
      <c r="BN100" s="105"/>
      <c r="BO100" s="105"/>
      <c r="BP100" s="105"/>
      <c r="BQ100" s="105"/>
      <c r="BR100"/>
    </row>
    <row r="101" spans="1:70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2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206"/>
      <c r="AF101" s="810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633"/>
      <c r="AY101" s="633"/>
      <c r="AZ101" s="105"/>
      <c r="BA101" s="105"/>
      <c r="BB101" s="105"/>
      <c r="BC101" s="105"/>
      <c r="BD101" s="105"/>
      <c r="BE101" s="105"/>
      <c r="BF101" s="105"/>
      <c r="BG101" s="206"/>
      <c r="BH101" s="206"/>
      <c r="BI101" s="208"/>
      <c r="BJ101" s="209"/>
      <c r="BK101" s="105"/>
      <c r="BL101" s="105"/>
      <c r="BM101" s="105"/>
      <c r="BN101" s="105"/>
      <c r="BO101" s="105"/>
      <c r="BP101" s="105"/>
      <c r="BQ101" s="105"/>
      <c r="BR101"/>
    </row>
    <row r="102" spans="1:70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2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206"/>
      <c r="AF102" s="810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633"/>
      <c r="AY102" s="633"/>
      <c r="AZ102" s="105"/>
      <c r="BA102" s="105"/>
      <c r="BB102" s="105"/>
      <c r="BC102" s="105"/>
      <c r="BD102" s="105"/>
      <c r="BE102" s="105"/>
      <c r="BF102" s="105"/>
      <c r="BG102" s="206"/>
      <c r="BH102" s="206"/>
      <c r="BI102" s="208"/>
      <c r="BJ102" s="209"/>
      <c r="BK102" s="105"/>
      <c r="BL102" s="105"/>
      <c r="BM102" s="105"/>
      <c r="BN102" s="105"/>
      <c r="BO102" s="105"/>
      <c r="BP102" s="105"/>
      <c r="BQ102" s="105"/>
      <c r="BR102"/>
    </row>
    <row r="103" spans="1:70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2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206"/>
      <c r="AF103" s="810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633"/>
      <c r="AY103" s="633"/>
      <c r="AZ103" s="105"/>
      <c r="BA103" s="105"/>
      <c r="BB103" s="105"/>
      <c r="BC103" s="105"/>
      <c r="BD103" s="105"/>
      <c r="BE103" s="105"/>
      <c r="BF103" s="105"/>
      <c r="BG103" s="206"/>
      <c r="BH103" s="206"/>
      <c r="BI103" s="208"/>
      <c r="BJ103" s="209"/>
      <c r="BK103" s="105"/>
      <c r="BL103" s="105"/>
      <c r="BM103" s="105"/>
      <c r="BN103" s="105"/>
      <c r="BO103" s="105"/>
      <c r="BP103" s="105"/>
      <c r="BQ103" s="105"/>
      <c r="BR103"/>
    </row>
    <row r="104" spans="1:70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2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206"/>
      <c r="AF104" s="810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633"/>
      <c r="AY104" s="633"/>
      <c r="AZ104" s="105"/>
      <c r="BA104" s="105"/>
      <c r="BB104" s="105"/>
      <c r="BC104" s="105"/>
      <c r="BD104" s="105"/>
      <c r="BE104" s="105"/>
      <c r="BF104" s="105"/>
      <c r="BG104" s="206"/>
      <c r="BH104" s="206"/>
      <c r="BI104" s="208"/>
      <c r="BJ104" s="209"/>
      <c r="BK104" s="105"/>
      <c r="BL104" s="105"/>
      <c r="BM104" s="105"/>
      <c r="BN104" s="105"/>
      <c r="BO104" s="105"/>
      <c r="BP104" s="105"/>
      <c r="BQ104" s="105"/>
      <c r="BR104"/>
    </row>
    <row r="105" spans="1:70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2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206"/>
      <c r="AF105" s="810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633"/>
      <c r="AY105" s="633"/>
      <c r="AZ105" s="105"/>
      <c r="BA105" s="105"/>
      <c r="BB105" s="105"/>
      <c r="BC105" s="105"/>
      <c r="BD105" s="105"/>
      <c r="BE105" s="105"/>
      <c r="BF105" s="105"/>
      <c r="BG105" s="206"/>
      <c r="BH105" s="206"/>
      <c r="BI105" s="208"/>
      <c r="BJ105" s="209"/>
      <c r="BK105" s="105"/>
      <c r="BL105" s="105"/>
      <c r="BM105" s="105"/>
      <c r="BN105" s="105"/>
      <c r="BO105" s="105"/>
      <c r="BP105" s="105"/>
      <c r="BQ105" s="105"/>
      <c r="BR105"/>
    </row>
    <row r="106" spans="1:70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2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206"/>
      <c r="AF106" s="810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633"/>
      <c r="AY106" s="633"/>
      <c r="AZ106" s="105"/>
      <c r="BA106" s="105"/>
      <c r="BB106" s="105"/>
      <c r="BC106" s="105"/>
      <c r="BD106" s="105"/>
      <c r="BE106" s="105"/>
      <c r="BF106" s="105"/>
      <c r="BG106" s="206"/>
      <c r="BH106" s="206"/>
      <c r="BI106" s="208"/>
      <c r="BJ106" s="209"/>
      <c r="BK106" s="105"/>
      <c r="BL106" s="105"/>
      <c r="BM106" s="105"/>
      <c r="BN106" s="105"/>
      <c r="BO106" s="105"/>
      <c r="BP106" s="105"/>
      <c r="BQ106" s="105"/>
      <c r="BR106"/>
    </row>
    <row r="107" spans="1:70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2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206"/>
      <c r="AF107" s="810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633"/>
      <c r="AY107" s="633"/>
      <c r="AZ107" s="105"/>
      <c r="BA107" s="105"/>
      <c r="BB107" s="105"/>
      <c r="BC107" s="105"/>
      <c r="BD107" s="105"/>
      <c r="BE107" s="105"/>
      <c r="BF107" s="105"/>
      <c r="BG107" s="206"/>
      <c r="BH107" s="206"/>
      <c r="BI107" s="208"/>
      <c r="BJ107" s="209"/>
      <c r="BK107" s="105"/>
      <c r="BL107" s="105"/>
      <c r="BM107" s="105"/>
      <c r="BN107" s="105"/>
      <c r="BO107" s="105"/>
      <c r="BP107" s="105"/>
      <c r="BQ107" s="105"/>
      <c r="BR107"/>
    </row>
    <row r="108" spans="1:70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2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206"/>
      <c r="AF108" s="810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633"/>
      <c r="AY108" s="633"/>
      <c r="AZ108" s="105"/>
      <c r="BA108" s="105"/>
      <c r="BB108" s="105"/>
      <c r="BC108" s="105"/>
      <c r="BD108" s="105"/>
      <c r="BE108" s="105"/>
      <c r="BF108" s="105"/>
      <c r="BG108" s="206"/>
      <c r="BH108" s="206"/>
      <c r="BI108" s="208"/>
      <c r="BJ108" s="209"/>
      <c r="BK108" s="105"/>
      <c r="BL108" s="105"/>
      <c r="BM108" s="105"/>
      <c r="BN108" s="105"/>
      <c r="BO108" s="105"/>
      <c r="BP108" s="105"/>
      <c r="BQ108" s="105"/>
      <c r="BR108"/>
    </row>
    <row r="109" spans="1:70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2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206"/>
      <c r="AF109" s="810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633"/>
      <c r="AY109" s="633"/>
      <c r="AZ109" s="105"/>
      <c r="BA109" s="105"/>
      <c r="BB109" s="105"/>
      <c r="BC109" s="105"/>
      <c r="BD109" s="105"/>
      <c r="BE109" s="105"/>
      <c r="BF109" s="105"/>
      <c r="BG109" s="206"/>
      <c r="BH109" s="206"/>
      <c r="BI109" s="208"/>
      <c r="BJ109" s="209"/>
      <c r="BK109" s="105"/>
      <c r="BL109" s="105"/>
      <c r="BM109" s="105"/>
      <c r="BN109" s="105"/>
      <c r="BO109" s="105"/>
      <c r="BP109" s="105"/>
      <c r="BQ109" s="105"/>
      <c r="BR109"/>
    </row>
    <row r="110" spans="1:70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2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206"/>
      <c r="AF110" s="810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633"/>
      <c r="AY110" s="633"/>
      <c r="AZ110" s="105"/>
      <c r="BA110" s="105"/>
      <c r="BB110" s="105"/>
      <c r="BC110" s="105"/>
      <c r="BD110" s="105"/>
      <c r="BE110" s="105"/>
      <c r="BF110" s="105"/>
      <c r="BG110" s="206"/>
      <c r="BH110" s="206"/>
      <c r="BI110" s="208"/>
      <c r="BJ110" s="209"/>
      <c r="BK110" s="105"/>
      <c r="BL110" s="105"/>
      <c r="BM110" s="105"/>
      <c r="BN110" s="105"/>
      <c r="BO110" s="105"/>
      <c r="BP110" s="105"/>
      <c r="BQ110" s="105"/>
      <c r="BR110"/>
    </row>
    <row r="111" spans="1:70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2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206"/>
      <c r="AF111" s="810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633"/>
      <c r="AY111" s="633"/>
      <c r="AZ111" s="105"/>
      <c r="BA111" s="105"/>
      <c r="BB111" s="105"/>
      <c r="BC111" s="105"/>
      <c r="BD111" s="105"/>
      <c r="BE111" s="105"/>
      <c r="BF111" s="105"/>
      <c r="BG111" s="206"/>
      <c r="BH111" s="206"/>
      <c r="BI111" s="208"/>
      <c r="BJ111" s="209"/>
      <c r="BK111" s="105"/>
      <c r="BL111" s="105"/>
      <c r="BM111" s="105"/>
      <c r="BN111" s="105"/>
      <c r="BO111" s="105"/>
      <c r="BP111" s="105"/>
      <c r="BQ111" s="105"/>
      <c r="BR111"/>
    </row>
    <row r="112" spans="1:70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2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206"/>
      <c r="AF112" s="810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633"/>
      <c r="AY112" s="633"/>
      <c r="AZ112" s="105"/>
      <c r="BA112" s="105"/>
      <c r="BB112" s="105"/>
      <c r="BC112" s="105"/>
      <c r="BD112" s="105"/>
      <c r="BE112" s="105"/>
      <c r="BF112" s="105"/>
      <c r="BG112" s="206"/>
      <c r="BH112" s="206"/>
      <c r="BI112" s="208"/>
      <c r="BJ112" s="209"/>
      <c r="BK112" s="105"/>
      <c r="BL112" s="105"/>
      <c r="BM112" s="105"/>
      <c r="BN112" s="105"/>
      <c r="BO112" s="105"/>
      <c r="BP112" s="105"/>
      <c r="BQ112" s="105"/>
      <c r="BR112"/>
    </row>
    <row r="113" spans="1:70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2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206"/>
      <c r="AF113" s="810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633"/>
      <c r="AY113" s="633"/>
      <c r="AZ113" s="105"/>
      <c r="BA113" s="105"/>
      <c r="BB113" s="105"/>
      <c r="BC113" s="105"/>
      <c r="BD113" s="105"/>
      <c r="BE113" s="105"/>
      <c r="BF113" s="105"/>
      <c r="BG113" s="206"/>
      <c r="BH113" s="206"/>
      <c r="BI113" s="208"/>
      <c r="BJ113" s="209"/>
      <c r="BK113" s="105"/>
      <c r="BL113" s="105"/>
      <c r="BM113" s="105"/>
      <c r="BN113" s="105"/>
      <c r="BO113" s="105"/>
      <c r="BP113" s="105"/>
      <c r="BQ113" s="105"/>
      <c r="BR113"/>
    </row>
    <row r="114" spans="1:70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2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206"/>
      <c r="AF114" s="810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633"/>
      <c r="AY114" s="633"/>
      <c r="AZ114" s="105"/>
      <c r="BA114" s="105"/>
      <c r="BB114" s="105"/>
      <c r="BC114" s="105"/>
      <c r="BD114" s="105"/>
      <c r="BE114" s="105"/>
      <c r="BF114" s="105"/>
      <c r="BG114" s="206"/>
      <c r="BH114" s="206"/>
      <c r="BI114" s="208"/>
      <c r="BJ114" s="209"/>
      <c r="BK114" s="105"/>
      <c r="BL114" s="105"/>
      <c r="BM114" s="105"/>
      <c r="BN114" s="105"/>
      <c r="BO114" s="105"/>
      <c r="BP114" s="105"/>
      <c r="BQ114" s="105"/>
      <c r="BR114"/>
    </row>
    <row r="115" spans="1:70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2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206"/>
      <c r="AF115" s="810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633"/>
      <c r="AY115" s="633"/>
      <c r="AZ115" s="105"/>
      <c r="BA115" s="105"/>
      <c r="BB115" s="105"/>
      <c r="BC115" s="105"/>
      <c r="BD115" s="105"/>
      <c r="BE115" s="105"/>
      <c r="BF115" s="105"/>
      <c r="BG115" s="206"/>
      <c r="BH115" s="206"/>
      <c r="BI115" s="208"/>
      <c r="BJ115" s="209"/>
      <c r="BK115" s="105"/>
      <c r="BL115" s="105"/>
      <c r="BM115" s="105"/>
      <c r="BN115" s="105"/>
      <c r="BO115" s="105"/>
      <c r="BP115" s="105"/>
      <c r="BQ115" s="105"/>
      <c r="BR115"/>
    </row>
    <row r="116" spans="1:70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2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206"/>
      <c r="AF116" s="810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633"/>
      <c r="AY116" s="633"/>
      <c r="AZ116" s="105"/>
      <c r="BA116" s="105"/>
      <c r="BB116" s="105"/>
      <c r="BC116" s="105"/>
      <c r="BD116" s="105"/>
      <c r="BE116" s="105"/>
      <c r="BF116" s="105"/>
      <c r="BG116" s="206"/>
      <c r="BH116" s="206"/>
      <c r="BI116" s="208"/>
      <c r="BJ116" s="209"/>
      <c r="BK116" s="105"/>
      <c r="BL116" s="105"/>
      <c r="BM116" s="105"/>
      <c r="BN116" s="105"/>
      <c r="BO116" s="105"/>
      <c r="BP116" s="105"/>
      <c r="BQ116" s="105"/>
      <c r="BR116"/>
    </row>
    <row r="117" spans="1:70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2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206"/>
      <c r="AF117" s="810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633"/>
      <c r="AY117" s="633"/>
      <c r="AZ117" s="105"/>
      <c r="BA117" s="105"/>
      <c r="BB117" s="105"/>
      <c r="BC117" s="105"/>
      <c r="BD117" s="105"/>
      <c r="BE117" s="105"/>
      <c r="BF117" s="105"/>
      <c r="BG117" s="206"/>
      <c r="BH117" s="206"/>
      <c r="BI117" s="208"/>
      <c r="BJ117" s="209"/>
      <c r="BK117" s="105"/>
      <c r="BL117" s="105"/>
      <c r="BM117" s="105"/>
      <c r="BN117" s="105"/>
      <c r="BO117" s="105"/>
      <c r="BP117" s="105"/>
      <c r="BQ117" s="105"/>
      <c r="BR117"/>
    </row>
    <row r="118" spans="1:70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2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206"/>
      <c r="AF118" s="810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633"/>
      <c r="AY118" s="633"/>
      <c r="AZ118" s="105"/>
      <c r="BA118" s="105"/>
      <c r="BB118" s="105"/>
      <c r="BC118" s="105"/>
      <c r="BD118" s="105"/>
      <c r="BE118" s="105"/>
      <c r="BF118" s="105"/>
      <c r="BG118" s="206"/>
      <c r="BH118" s="206"/>
      <c r="BI118" s="208"/>
      <c r="BJ118" s="209"/>
      <c r="BK118" s="105"/>
      <c r="BL118" s="105"/>
      <c r="BM118" s="105"/>
      <c r="BN118" s="105"/>
      <c r="BO118" s="105"/>
      <c r="BP118" s="105"/>
      <c r="BQ118" s="105"/>
      <c r="BR118"/>
    </row>
    <row r="119" spans="1:70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2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206"/>
      <c r="AF119" s="810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633"/>
      <c r="AY119" s="633"/>
      <c r="AZ119" s="105"/>
      <c r="BA119" s="105"/>
      <c r="BB119" s="105"/>
      <c r="BC119" s="105"/>
      <c r="BD119" s="105"/>
      <c r="BE119" s="105"/>
      <c r="BF119" s="105"/>
      <c r="BG119" s="206"/>
      <c r="BH119" s="206"/>
      <c r="BI119" s="208"/>
      <c r="BJ119" s="209"/>
      <c r="BK119" s="105"/>
      <c r="BL119" s="105"/>
      <c r="BM119" s="105"/>
      <c r="BN119" s="105"/>
      <c r="BO119" s="105"/>
      <c r="BP119" s="105"/>
      <c r="BQ119" s="105"/>
      <c r="BR119"/>
    </row>
    <row r="120" spans="1:70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2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206"/>
      <c r="AF120" s="810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633"/>
      <c r="AY120" s="633"/>
      <c r="AZ120" s="105"/>
      <c r="BA120" s="105"/>
      <c r="BB120" s="105"/>
      <c r="BC120" s="105"/>
      <c r="BD120" s="105"/>
      <c r="BE120" s="105"/>
      <c r="BF120" s="105"/>
      <c r="BG120" s="206"/>
      <c r="BH120" s="206"/>
      <c r="BI120" s="208"/>
      <c r="BJ120" s="209"/>
      <c r="BK120" s="105"/>
      <c r="BL120" s="105"/>
      <c r="BM120" s="105"/>
      <c r="BN120" s="105"/>
      <c r="BO120" s="105"/>
      <c r="BP120" s="105"/>
      <c r="BQ120" s="105"/>
      <c r="BR120"/>
    </row>
    <row r="121" spans="1:70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2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206"/>
      <c r="AF121" s="810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633"/>
      <c r="AY121" s="633"/>
      <c r="AZ121" s="105"/>
      <c r="BA121" s="105"/>
      <c r="BB121" s="105"/>
      <c r="BC121" s="105"/>
      <c r="BD121" s="105"/>
      <c r="BE121" s="105"/>
      <c r="BF121" s="105"/>
      <c r="BG121" s="206"/>
      <c r="BH121" s="206"/>
      <c r="BI121" s="208"/>
      <c r="BJ121" s="209"/>
      <c r="BK121" s="105"/>
      <c r="BL121" s="105"/>
      <c r="BM121" s="105"/>
      <c r="BN121" s="105"/>
      <c r="BO121" s="105"/>
      <c r="BP121" s="105"/>
      <c r="BQ121" s="105"/>
      <c r="BR121"/>
    </row>
    <row r="122" spans="1:70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2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206"/>
      <c r="AF122" s="810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633"/>
      <c r="AY122" s="633"/>
      <c r="AZ122" s="105"/>
      <c r="BA122" s="105"/>
      <c r="BB122" s="105"/>
      <c r="BC122" s="105"/>
      <c r="BD122" s="105"/>
      <c r="BE122" s="105"/>
      <c r="BF122" s="105"/>
      <c r="BG122" s="206"/>
      <c r="BH122" s="206"/>
      <c r="BI122" s="208"/>
      <c r="BJ122" s="209"/>
      <c r="BK122" s="105"/>
      <c r="BL122" s="105"/>
      <c r="BM122" s="105"/>
      <c r="BN122" s="105"/>
      <c r="BO122" s="105"/>
      <c r="BP122" s="105"/>
      <c r="BQ122" s="105"/>
      <c r="BR122"/>
    </row>
    <row r="123" spans="1:70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2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206"/>
      <c r="AF123" s="810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633"/>
      <c r="AY123" s="633"/>
      <c r="AZ123" s="105"/>
      <c r="BA123" s="105"/>
      <c r="BB123" s="105"/>
      <c r="BC123" s="105"/>
      <c r="BD123" s="105"/>
      <c r="BE123" s="105"/>
      <c r="BF123" s="105"/>
      <c r="BG123" s="206"/>
      <c r="BH123" s="206"/>
      <c r="BI123" s="208"/>
      <c r="BJ123" s="209"/>
      <c r="BK123" s="105"/>
      <c r="BL123" s="105"/>
      <c r="BM123" s="105"/>
      <c r="BN123" s="105"/>
      <c r="BO123" s="105"/>
      <c r="BP123" s="105"/>
      <c r="BQ123" s="105"/>
      <c r="BR123"/>
    </row>
    <row r="124" spans="1:70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2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206"/>
      <c r="AF124" s="810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633"/>
      <c r="AY124" s="633"/>
      <c r="AZ124" s="105"/>
      <c r="BA124" s="105"/>
      <c r="BB124" s="105"/>
      <c r="BC124" s="105"/>
      <c r="BD124" s="105"/>
      <c r="BE124" s="105"/>
      <c r="BF124" s="105"/>
      <c r="BG124" s="206"/>
      <c r="BH124" s="206"/>
      <c r="BI124" s="208"/>
      <c r="BJ124" s="209"/>
      <c r="BK124" s="105"/>
      <c r="BL124" s="105"/>
      <c r="BM124" s="105"/>
      <c r="BN124" s="105"/>
      <c r="BO124" s="105"/>
      <c r="BP124" s="105"/>
      <c r="BQ124" s="105"/>
      <c r="BR124"/>
    </row>
    <row r="125" spans="1:70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2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206"/>
      <c r="AF125" s="810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633"/>
      <c r="AY125" s="633"/>
      <c r="AZ125" s="105"/>
      <c r="BA125" s="105"/>
      <c r="BB125" s="105"/>
      <c r="BC125" s="105"/>
      <c r="BD125" s="105"/>
      <c r="BE125" s="105"/>
      <c r="BF125" s="105"/>
      <c r="BG125" s="206"/>
      <c r="BH125" s="206"/>
      <c r="BI125" s="208"/>
      <c r="BJ125" s="209"/>
      <c r="BK125" s="105"/>
      <c r="BL125" s="105"/>
      <c r="BM125" s="105"/>
      <c r="BN125" s="105"/>
      <c r="BO125" s="105"/>
      <c r="BP125" s="105"/>
      <c r="BQ125" s="105"/>
      <c r="BR125"/>
    </row>
    <row r="126" spans="1:70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2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206"/>
      <c r="AF126" s="810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633"/>
      <c r="AY126" s="633"/>
      <c r="AZ126" s="105"/>
      <c r="BA126" s="105"/>
      <c r="BB126" s="105"/>
      <c r="BC126" s="105"/>
      <c r="BD126" s="105"/>
      <c r="BE126" s="105"/>
      <c r="BF126" s="105"/>
      <c r="BG126" s="206"/>
      <c r="BH126" s="206"/>
      <c r="BI126" s="208"/>
      <c r="BJ126" s="209"/>
      <c r="BK126" s="105"/>
      <c r="BL126" s="105"/>
      <c r="BM126" s="105"/>
      <c r="BN126" s="105"/>
      <c r="BO126" s="105"/>
      <c r="BP126" s="105"/>
      <c r="BQ126" s="105"/>
      <c r="BR126"/>
    </row>
    <row r="127" spans="1:70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2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206"/>
      <c r="AF127" s="810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633"/>
      <c r="AY127" s="633"/>
      <c r="AZ127" s="105"/>
      <c r="BA127" s="105"/>
      <c r="BB127" s="105"/>
      <c r="BC127" s="105"/>
      <c r="BD127" s="105"/>
      <c r="BE127" s="105"/>
      <c r="BF127" s="105"/>
      <c r="BG127" s="206"/>
      <c r="BH127" s="206"/>
      <c r="BI127" s="208"/>
      <c r="BJ127" s="209"/>
      <c r="BK127" s="105"/>
      <c r="BL127" s="105"/>
      <c r="BM127" s="105"/>
      <c r="BN127" s="105"/>
      <c r="BO127" s="105"/>
      <c r="BP127" s="105"/>
      <c r="BQ127" s="105"/>
      <c r="BR127"/>
    </row>
    <row r="128" spans="1:70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2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206"/>
      <c r="AF128" s="810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633"/>
      <c r="AY128" s="633"/>
      <c r="AZ128" s="105"/>
      <c r="BA128" s="105"/>
      <c r="BB128" s="105"/>
      <c r="BC128" s="105"/>
      <c r="BD128" s="105"/>
      <c r="BE128" s="105"/>
      <c r="BF128" s="105"/>
      <c r="BG128" s="206"/>
      <c r="BH128" s="206"/>
      <c r="BI128" s="208"/>
      <c r="BJ128" s="209"/>
      <c r="BK128" s="105"/>
      <c r="BL128" s="105"/>
      <c r="BM128" s="105"/>
      <c r="BN128" s="105"/>
      <c r="BO128" s="105"/>
      <c r="BP128" s="105"/>
      <c r="BQ128" s="105"/>
      <c r="BR128"/>
    </row>
    <row r="129" spans="1:70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2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206"/>
      <c r="AF129" s="810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633"/>
      <c r="AY129" s="633"/>
      <c r="AZ129" s="105"/>
      <c r="BA129" s="105"/>
      <c r="BB129" s="105"/>
      <c r="BC129" s="105"/>
      <c r="BD129" s="105"/>
      <c r="BE129" s="105"/>
      <c r="BF129" s="105"/>
      <c r="BG129" s="206"/>
      <c r="BH129" s="206"/>
      <c r="BI129" s="208"/>
      <c r="BJ129" s="209"/>
      <c r="BK129" s="105"/>
      <c r="BL129" s="105"/>
      <c r="BM129" s="105"/>
      <c r="BN129" s="105"/>
      <c r="BO129" s="105"/>
      <c r="BP129" s="105"/>
      <c r="BQ129" s="105"/>
      <c r="BR129"/>
    </row>
    <row r="130" spans="1:70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2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206"/>
      <c r="AF130" s="810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633"/>
      <c r="AY130" s="633"/>
      <c r="AZ130" s="105"/>
      <c r="BA130" s="105"/>
      <c r="BB130" s="105"/>
      <c r="BC130" s="105"/>
      <c r="BD130" s="105"/>
      <c r="BE130" s="105"/>
      <c r="BF130" s="105"/>
      <c r="BG130" s="206"/>
      <c r="BH130" s="206"/>
      <c r="BI130" s="208"/>
      <c r="BJ130" s="209"/>
      <c r="BK130" s="105"/>
      <c r="BL130" s="105"/>
      <c r="BM130" s="105"/>
      <c r="BN130" s="105"/>
      <c r="BO130" s="105"/>
      <c r="BP130" s="105"/>
      <c r="BQ130" s="105"/>
      <c r="BR130"/>
    </row>
    <row r="131" spans="1:70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2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206"/>
      <c r="AF131" s="810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633"/>
      <c r="AY131" s="633"/>
      <c r="AZ131" s="105"/>
      <c r="BA131" s="105"/>
      <c r="BB131" s="105"/>
      <c r="BC131" s="105"/>
      <c r="BD131" s="105"/>
      <c r="BE131" s="105"/>
      <c r="BF131" s="105"/>
      <c r="BG131" s="206"/>
      <c r="BH131" s="206"/>
      <c r="BI131" s="208"/>
      <c r="BJ131" s="209"/>
      <c r="BK131" s="105"/>
      <c r="BL131" s="105"/>
      <c r="BM131" s="105"/>
      <c r="BN131" s="105"/>
      <c r="BO131" s="105"/>
      <c r="BP131" s="105"/>
      <c r="BQ131" s="105"/>
      <c r="BR131"/>
    </row>
    <row r="132" spans="1:70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2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206"/>
      <c r="AF132" s="810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633"/>
      <c r="AY132" s="633"/>
      <c r="AZ132" s="105"/>
      <c r="BA132" s="105"/>
      <c r="BB132" s="105"/>
      <c r="BC132" s="105"/>
      <c r="BD132" s="105"/>
      <c r="BE132" s="105"/>
      <c r="BF132" s="105"/>
      <c r="BG132" s="206"/>
      <c r="BH132" s="206"/>
      <c r="BI132" s="208"/>
      <c r="BJ132" s="209"/>
      <c r="BK132" s="105"/>
      <c r="BL132" s="105"/>
      <c r="BM132" s="105"/>
      <c r="BN132" s="105"/>
      <c r="BO132" s="105"/>
      <c r="BP132" s="105"/>
      <c r="BQ132" s="105"/>
      <c r="BR132"/>
    </row>
    <row r="133" spans="1:70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2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206"/>
      <c r="AF133" s="810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633"/>
      <c r="AY133" s="633"/>
      <c r="AZ133" s="105"/>
      <c r="BA133" s="105"/>
      <c r="BB133" s="105"/>
      <c r="BC133" s="105"/>
      <c r="BD133" s="105"/>
      <c r="BE133" s="105"/>
      <c r="BF133" s="105"/>
      <c r="BG133" s="206"/>
      <c r="BH133" s="206"/>
      <c r="BI133" s="208"/>
      <c r="BJ133" s="209"/>
      <c r="BK133" s="105"/>
      <c r="BL133" s="105"/>
      <c r="BM133" s="105"/>
      <c r="BN133" s="105"/>
      <c r="BO133" s="105"/>
      <c r="BP133" s="105"/>
      <c r="BQ133" s="105"/>
      <c r="BR133"/>
    </row>
    <row r="134" spans="1:70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2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206"/>
      <c r="AF134" s="810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633"/>
      <c r="AY134" s="633"/>
      <c r="AZ134" s="105"/>
      <c r="BA134" s="105"/>
      <c r="BB134" s="105"/>
      <c r="BC134" s="105"/>
      <c r="BD134" s="105"/>
      <c r="BE134" s="105"/>
      <c r="BF134" s="105"/>
      <c r="BG134" s="206"/>
      <c r="BH134" s="206"/>
      <c r="BI134" s="208"/>
      <c r="BJ134" s="209"/>
      <c r="BK134" s="105"/>
      <c r="BL134" s="105"/>
      <c r="BM134" s="105"/>
      <c r="BN134" s="105"/>
      <c r="BO134" s="105"/>
      <c r="BP134" s="105"/>
      <c r="BQ134" s="105"/>
      <c r="BR134"/>
    </row>
    <row r="135" spans="1:70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2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206"/>
      <c r="AF135" s="810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633"/>
      <c r="AY135" s="633"/>
      <c r="AZ135" s="105"/>
      <c r="BA135" s="105"/>
      <c r="BB135" s="105"/>
      <c r="BC135" s="105"/>
      <c r="BD135" s="105"/>
      <c r="BE135" s="105"/>
      <c r="BF135" s="105"/>
      <c r="BG135" s="206"/>
      <c r="BH135" s="206"/>
      <c r="BI135" s="208"/>
      <c r="BJ135" s="209"/>
      <c r="BK135" s="105"/>
      <c r="BL135" s="105"/>
      <c r="BM135" s="105"/>
      <c r="BN135" s="105"/>
      <c r="BO135" s="105"/>
      <c r="BP135" s="105"/>
      <c r="BQ135" s="105"/>
      <c r="BR135"/>
    </row>
    <row r="136" spans="1:70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2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206"/>
      <c r="AF136" s="810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633"/>
      <c r="AY136" s="633"/>
      <c r="AZ136" s="105"/>
      <c r="BA136" s="105"/>
      <c r="BB136" s="105"/>
      <c r="BC136" s="105"/>
      <c r="BD136" s="105"/>
      <c r="BE136" s="105"/>
      <c r="BF136" s="105"/>
      <c r="BG136" s="206"/>
      <c r="BH136" s="206"/>
      <c r="BI136" s="208"/>
      <c r="BJ136" s="209"/>
      <c r="BK136" s="105"/>
      <c r="BL136" s="105"/>
      <c r="BM136" s="105"/>
      <c r="BN136" s="105"/>
      <c r="BO136" s="105"/>
      <c r="BP136" s="105"/>
      <c r="BQ136" s="105"/>
      <c r="BR136"/>
    </row>
    <row r="137" spans="1:70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2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206"/>
      <c r="AF137" s="810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633"/>
      <c r="AY137" s="633"/>
      <c r="AZ137" s="105"/>
      <c r="BA137" s="105"/>
      <c r="BB137" s="105"/>
      <c r="BC137" s="105"/>
      <c r="BD137" s="105"/>
      <c r="BE137" s="105"/>
      <c r="BF137" s="105"/>
      <c r="BG137" s="206"/>
      <c r="BH137" s="206"/>
      <c r="BI137" s="208"/>
      <c r="BJ137" s="209"/>
      <c r="BK137" s="105"/>
      <c r="BL137" s="105"/>
      <c r="BM137" s="105"/>
      <c r="BN137" s="105"/>
      <c r="BO137" s="105"/>
      <c r="BP137" s="105"/>
      <c r="BQ137" s="105"/>
      <c r="BR137"/>
    </row>
    <row r="138" spans="1:70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2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206"/>
      <c r="AF138" s="810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633"/>
      <c r="AY138" s="633"/>
      <c r="AZ138" s="105"/>
      <c r="BA138" s="105"/>
      <c r="BB138" s="105"/>
      <c r="BC138" s="105"/>
      <c r="BD138" s="105"/>
      <c r="BE138" s="105"/>
      <c r="BF138" s="105"/>
      <c r="BG138" s="206"/>
      <c r="BH138" s="206"/>
      <c r="BI138" s="208"/>
      <c r="BJ138" s="209"/>
      <c r="BK138" s="105"/>
      <c r="BL138" s="105"/>
      <c r="BM138" s="105"/>
      <c r="BN138" s="105"/>
      <c r="BO138" s="105"/>
      <c r="BP138" s="105"/>
      <c r="BQ138" s="105"/>
      <c r="BR138"/>
    </row>
    <row r="139" spans="1:70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2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206"/>
      <c r="AF139" s="810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633"/>
      <c r="AY139" s="633"/>
      <c r="AZ139" s="105"/>
      <c r="BA139" s="105"/>
      <c r="BB139" s="105"/>
      <c r="BC139" s="105"/>
      <c r="BD139" s="105"/>
      <c r="BE139" s="105"/>
      <c r="BF139" s="105"/>
      <c r="BG139" s="206"/>
      <c r="BH139" s="206"/>
      <c r="BI139" s="208"/>
      <c r="BJ139" s="209"/>
      <c r="BK139" s="105"/>
      <c r="BL139" s="105"/>
      <c r="BM139" s="105"/>
      <c r="BN139" s="105"/>
      <c r="BO139" s="105"/>
      <c r="BP139" s="105"/>
      <c r="BQ139" s="105"/>
      <c r="BR139"/>
    </row>
    <row r="140" spans="1:70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2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206"/>
      <c r="AF140" s="810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633"/>
      <c r="AY140" s="633"/>
      <c r="AZ140" s="105"/>
      <c r="BA140" s="105"/>
      <c r="BB140" s="105"/>
      <c r="BC140" s="105"/>
      <c r="BD140" s="105"/>
      <c r="BE140" s="105"/>
      <c r="BF140" s="105"/>
      <c r="BG140" s="206"/>
      <c r="BH140" s="206"/>
      <c r="BI140" s="208"/>
      <c r="BJ140" s="209"/>
      <c r="BK140" s="105"/>
      <c r="BL140" s="105"/>
      <c r="BM140" s="105"/>
      <c r="BN140" s="105"/>
      <c r="BO140" s="105"/>
      <c r="BP140" s="105"/>
      <c r="BQ140" s="105"/>
      <c r="BR140"/>
    </row>
    <row r="141" spans="1:70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2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206"/>
      <c r="AF141" s="810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633"/>
      <c r="AY141" s="633"/>
      <c r="AZ141" s="105"/>
      <c r="BA141" s="105"/>
      <c r="BB141" s="105"/>
      <c r="BC141" s="105"/>
      <c r="BD141" s="105"/>
      <c r="BE141" s="105"/>
      <c r="BF141" s="105"/>
      <c r="BG141" s="206"/>
      <c r="BH141" s="206"/>
      <c r="BI141" s="208"/>
      <c r="BJ141" s="209"/>
      <c r="BK141" s="105"/>
      <c r="BL141" s="105"/>
      <c r="BM141" s="105"/>
      <c r="BN141" s="105"/>
      <c r="BO141" s="105"/>
      <c r="BP141" s="105"/>
      <c r="BQ141" s="105"/>
      <c r="BR141"/>
    </row>
    <row r="142" spans="1:70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2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206"/>
      <c r="AF142" s="810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633"/>
      <c r="AY142" s="633"/>
      <c r="AZ142" s="105"/>
      <c r="BA142" s="105"/>
      <c r="BB142" s="105"/>
      <c r="BC142" s="105"/>
      <c r="BD142" s="105"/>
      <c r="BE142" s="105"/>
      <c r="BF142" s="105"/>
      <c r="BG142" s="206"/>
      <c r="BH142" s="206"/>
      <c r="BI142" s="208"/>
      <c r="BJ142" s="209"/>
      <c r="BK142" s="105"/>
      <c r="BL142" s="105"/>
      <c r="BM142" s="105"/>
      <c r="BN142" s="105"/>
      <c r="BO142" s="105"/>
      <c r="BP142" s="105"/>
      <c r="BQ142" s="105"/>
      <c r="BR142"/>
    </row>
    <row r="143" spans="1:70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2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206"/>
      <c r="AF143" s="810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633"/>
      <c r="AY143" s="633"/>
      <c r="AZ143" s="105"/>
      <c r="BA143" s="105"/>
      <c r="BB143" s="105"/>
      <c r="BC143" s="105"/>
      <c r="BD143" s="105"/>
      <c r="BE143" s="105"/>
      <c r="BF143" s="105"/>
      <c r="BG143" s="206"/>
      <c r="BH143" s="206"/>
      <c r="BI143" s="208"/>
      <c r="BJ143" s="209"/>
      <c r="BK143" s="105"/>
      <c r="BL143" s="105"/>
      <c r="BM143" s="105"/>
      <c r="BN143" s="105"/>
      <c r="BO143" s="105"/>
      <c r="BP143" s="105"/>
      <c r="BQ143" s="105"/>
      <c r="BR143"/>
    </row>
    <row r="144" spans="1:70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2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206"/>
      <c r="AF144" s="810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633"/>
      <c r="AY144" s="633"/>
      <c r="AZ144" s="105"/>
      <c r="BA144" s="105"/>
      <c r="BB144" s="105"/>
      <c r="BC144" s="105"/>
      <c r="BD144" s="105"/>
      <c r="BE144" s="105"/>
      <c r="BF144" s="105"/>
      <c r="BG144" s="206"/>
      <c r="BH144" s="206"/>
      <c r="BI144" s="208"/>
      <c r="BJ144" s="209"/>
      <c r="BK144" s="105"/>
      <c r="BL144" s="105"/>
      <c r="BM144" s="105"/>
      <c r="BN144" s="105"/>
      <c r="BO144" s="105"/>
      <c r="BP144" s="105"/>
      <c r="BQ144" s="105"/>
      <c r="BR144"/>
    </row>
    <row r="145" spans="1:70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2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206"/>
      <c r="AF145" s="810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633"/>
      <c r="AY145" s="633"/>
      <c r="AZ145" s="105"/>
      <c r="BA145" s="105"/>
      <c r="BB145" s="105"/>
      <c r="BC145" s="105"/>
      <c r="BD145" s="105"/>
      <c r="BE145" s="105"/>
      <c r="BF145" s="105"/>
      <c r="BG145" s="206"/>
      <c r="BH145" s="206"/>
      <c r="BI145" s="208"/>
      <c r="BJ145" s="209"/>
      <c r="BK145" s="105"/>
      <c r="BL145" s="105"/>
      <c r="BM145" s="105"/>
      <c r="BN145" s="105"/>
      <c r="BO145" s="105"/>
      <c r="BP145" s="105"/>
      <c r="BQ145" s="105"/>
      <c r="BR145"/>
    </row>
    <row r="146" spans="1:70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2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206"/>
      <c r="AF146" s="810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633"/>
      <c r="AY146" s="633"/>
      <c r="AZ146" s="105"/>
      <c r="BA146" s="105"/>
      <c r="BB146" s="105"/>
      <c r="BC146" s="105"/>
      <c r="BD146" s="105"/>
      <c r="BE146" s="105"/>
      <c r="BF146" s="105"/>
      <c r="BG146" s="206"/>
      <c r="BH146" s="206"/>
      <c r="BI146" s="208"/>
      <c r="BJ146" s="209"/>
      <c r="BK146" s="105"/>
      <c r="BL146" s="105"/>
      <c r="BM146" s="105"/>
      <c r="BN146" s="105"/>
      <c r="BO146" s="105"/>
      <c r="BP146" s="105"/>
      <c r="BQ146" s="105"/>
      <c r="BR146"/>
    </row>
    <row r="147" spans="1:70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2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206"/>
      <c r="AF147" s="810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633"/>
      <c r="AY147" s="633"/>
      <c r="AZ147" s="105"/>
      <c r="BA147" s="105"/>
      <c r="BB147" s="105"/>
      <c r="BC147" s="105"/>
      <c r="BD147" s="105"/>
      <c r="BE147" s="105"/>
      <c r="BF147" s="105"/>
      <c r="BG147" s="206"/>
      <c r="BH147" s="206"/>
      <c r="BI147" s="208"/>
      <c r="BJ147" s="209"/>
      <c r="BK147" s="105"/>
      <c r="BL147" s="105"/>
      <c r="BM147" s="105"/>
      <c r="BN147" s="105"/>
      <c r="BO147" s="105"/>
      <c r="BP147" s="105"/>
      <c r="BQ147" s="105"/>
      <c r="BR147"/>
    </row>
    <row r="148" spans="1:70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2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206"/>
      <c r="AF148" s="810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633"/>
      <c r="AY148" s="633"/>
      <c r="AZ148" s="105"/>
      <c r="BA148" s="105"/>
      <c r="BB148" s="105"/>
      <c r="BC148" s="105"/>
      <c r="BD148" s="105"/>
      <c r="BE148" s="105"/>
      <c r="BF148" s="105"/>
      <c r="BG148" s="206"/>
      <c r="BH148" s="206"/>
      <c r="BI148" s="208"/>
      <c r="BJ148" s="209"/>
      <c r="BK148" s="105"/>
      <c r="BL148" s="105"/>
      <c r="BM148" s="105"/>
      <c r="BN148" s="105"/>
      <c r="BO148" s="105"/>
      <c r="BP148" s="105"/>
      <c r="BQ148" s="105"/>
      <c r="BR148"/>
    </row>
    <row r="149" spans="1:70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2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206"/>
      <c r="AF149" s="810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633"/>
      <c r="AY149" s="633"/>
      <c r="AZ149" s="105"/>
      <c r="BA149" s="105"/>
      <c r="BB149" s="105"/>
      <c r="BC149" s="105"/>
      <c r="BD149" s="105"/>
      <c r="BE149" s="105"/>
      <c r="BF149" s="105"/>
      <c r="BG149" s="206"/>
      <c r="BH149" s="206"/>
      <c r="BI149" s="208"/>
      <c r="BJ149" s="209"/>
      <c r="BK149" s="105"/>
      <c r="BL149" s="105"/>
      <c r="BM149" s="105"/>
      <c r="BN149" s="105"/>
      <c r="BO149" s="105"/>
      <c r="BP149" s="105"/>
      <c r="BQ149" s="105"/>
      <c r="BR149"/>
    </row>
    <row r="150" spans="1:70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2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206"/>
      <c r="AF150" s="810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633"/>
      <c r="AY150" s="633"/>
      <c r="AZ150" s="105"/>
      <c r="BA150" s="105"/>
      <c r="BB150" s="105"/>
      <c r="BC150" s="105"/>
      <c r="BD150" s="105"/>
      <c r="BE150" s="105"/>
      <c r="BF150" s="105"/>
      <c r="BG150" s="206"/>
      <c r="BH150" s="206"/>
      <c r="BI150" s="208"/>
      <c r="BJ150" s="209"/>
      <c r="BK150" s="105"/>
      <c r="BL150" s="105"/>
      <c r="BM150" s="105"/>
      <c r="BN150" s="105"/>
      <c r="BO150" s="105"/>
      <c r="BP150" s="105"/>
      <c r="BQ150" s="105"/>
      <c r="BR150"/>
    </row>
    <row r="151" spans="1:70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2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206"/>
      <c r="AF151" s="810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633"/>
      <c r="AY151" s="633"/>
      <c r="AZ151" s="105"/>
      <c r="BA151" s="105"/>
      <c r="BB151" s="105"/>
      <c r="BC151" s="105"/>
      <c r="BD151" s="105"/>
      <c r="BE151" s="105"/>
      <c r="BF151" s="105"/>
      <c r="BG151" s="206"/>
      <c r="BH151" s="206"/>
      <c r="BI151" s="208"/>
      <c r="BJ151" s="209"/>
      <c r="BK151" s="105"/>
      <c r="BL151" s="105"/>
      <c r="BM151" s="105"/>
      <c r="BN151" s="105"/>
      <c r="BO151" s="105"/>
      <c r="BP151" s="105"/>
      <c r="BQ151" s="105"/>
      <c r="BR151"/>
    </row>
    <row r="152" spans="1:70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2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206"/>
      <c r="AF152" s="810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633"/>
      <c r="AY152" s="633"/>
      <c r="AZ152" s="105"/>
      <c r="BA152" s="105"/>
      <c r="BB152" s="105"/>
      <c r="BC152" s="105"/>
      <c r="BD152" s="105"/>
      <c r="BE152" s="105"/>
      <c r="BF152" s="105"/>
      <c r="BG152" s="206"/>
      <c r="BH152" s="206"/>
      <c r="BI152" s="208"/>
      <c r="BJ152" s="209"/>
      <c r="BK152" s="105"/>
      <c r="BL152" s="105"/>
      <c r="BM152" s="105"/>
      <c r="BN152" s="105"/>
      <c r="BO152" s="105"/>
      <c r="BP152" s="105"/>
      <c r="BQ152" s="105"/>
      <c r="BR152"/>
    </row>
    <row r="153" spans="1:70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2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206"/>
      <c r="AF153" s="810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633"/>
      <c r="AY153" s="633"/>
      <c r="AZ153" s="105"/>
      <c r="BA153" s="105"/>
      <c r="BB153" s="105"/>
      <c r="BC153" s="105"/>
      <c r="BD153" s="105"/>
      <c r="BE153" s="105"/>
      <c r="BF153" s="105"/>
      <c r="BG153" s="206"/>
      <c r="BH153" s="206"/>
      <c r="BI153" s="208"/>
      <c r="BJ153" s="209"/>
      <c r="BK153" s="105"/>
      <c r="BL153" s="105"/>
      <c r="BM153" s="105"/>
      <c r="BN153" s="105"/>
      <c r="BO153" s="105"/>
      <c r="BP153" s="105"/>
      <c r="BQ153" s="105"/>
      <c r="BR153"/>
    </row>
    <row r="154" spans="1:70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2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206"/>
      <c r="AF154" s="810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633"/>
      <c r="AY154" s="633"/>
      <c r="AZ154" s="105"/>
      <c r="BA154" s="105"/>
      <c r="BB154" s="105"/>
      <c r="BC154" s="105"/>
      <c r="BD154" s="105"/>
      <c r="BE154" s="105"/>
      <c r="BF154" s="105"/>
      <c r="BG154" s="206"/>
      <c r="BH154" s="206"/>
      <c r="BI154" s="208"/>
      <c r="BJ154" s="209"/>
      <c r="BK154" s="105"/>
      <c r="BL154" s="105"/>
      <c r="BM154" s="105"/>
      <c r="BN154" s="105"/>
      <c r="BO154" s="105"/>
      <c r="BP154" s="105"/>
      <c r="BQ154" s="105"/>
      <c r="BR154"/>
    </row>
    <row r="155" spans="1:70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2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206"/>
      <c r="AF155" s="810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633"/>
      <c r="AY155" s="633"/>
      <c r="AZ155" s="105"/>
      <c r="BA155" s="105"/>
      <c r="BB155" s="105"/>
      <c r="BC155" s="105"/>
      <c r="BD155" s="105"/>
      <c r="BE155" s="105"/>
      <c r="BF155" s="105"/>
      <c r="BG155" s="206"/>
      <c r="BH155" s="206"/>
      <c r="BI155" s="208"/>
      <c r="BJ155" s="209"/>
      <c r="BK155" s="105"/>
      <c r="BL155" s="105"/>
      <c r="BM155" s="105"/>
      <c r="BN155" s="105"/>
      <c r="BO155" s="105"/>
      <c r="BP155" s="105"/>
      <c r="BQ155" s="105"/>
      <c r="BR155"/>
    </row>
    <row r="156" spans="1:70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2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206"/>
      <c r="AF156" s="810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633"/>
      <c r="AY156" s="633"/>
      <c r="AZ156" s="105"/>
      <c r="BA156" s="105"/>
      <c r="BB156" s="105"/>
      <c r="BC156" s="105"/>
      <c r="BD156" s="105"/>
      <c r="BE156" s="105"/>
      <c r="BF156" s="105"/>
      <c r="BG156" s="206"/>
      <c r="BH156" s="206"/>
      <c r="BI156" s="208"/>
      <c r="BJ156" s="209"/>
      <c r="BK156" s="105"/>
      <c r="BL156" s="105"/>
      <c r="BM156" s="105"/>
      <c r="BN156" s="105"/>
      <c r="BO156" s="105"/>
      <c r="BP156" s="105"/>
      <c r="BQ156" s="105"/>
      <c r="BR156"/>
    </row>
    <row r="157" spans="1:70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2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206"/>
      <c r="AF157" s="810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633"/>
      <c r="AY157" s="633"/>
      <c r="AZ157" s="105"/>
      <c r="BA157" s="105"/>
      <c r="BB157" s="105"/>
      <c r="BC157" s="105"/>
      <c r="BD157" s="105"/>
      <c r="BE157" s="105"/>
      <c r="BF157" s="105"/>
      <c r="BG157" s="206"/>
      <c r="BH157" s="206"/>
      <c r="BI157" s="208"/>
      <c r="BJ157" s="209"/>
      <c r="BK157" s="105"/>
      <c r="BL157" s="105"/>
      <c r="BM157" s="105"/>
      <c r="BN157" s="105"/>
      <c r="BO157" s="105"/>
      <c r="BP157" s="105"/>
      <c r="BQ157" s="105"/>
      <c r="BR157"/>
    </row>
    <row r="158" spans="1:70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2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206"/>
      <c r="AF158" s="810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633"/>
      <c r="AY158" s="633"/>
      <c r="AZ158" s="105"/>
      <c r="BA158" s="105"/>
      <c r="BB158" s="105"/>
      <c r="BC158" s="105"/>
      <c r="BD158" s="105"/>
      <c r="BE158" s="105"/>
      <c r="BF158" s="105"/>
      <c r="BG158" s="206"/>
      <c r="BH158" s="206"/>
      <c r="BI158" s="208"/>
      <c r="BJ158" s="209"/>
      <c r="BK158" s="105"/>
      <c r="BL158" s="105"/>
      <c r="BM158" s="105"/>
      <c r="BN158" s="105"/>
      <c r="BO158" s="105"/>
      <c r="BP158" s="105"/>
      <c r="BQ158" s="105"/>
      <c r="BR158"/>
    </row>
    <row r="159" spans="1:70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2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206"/>
      <c r="AF159" s="810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633"/>
      <c r="AY159" s="633"/>
      <c r="AZ159" s="105"/>
      <c r="BA159" s="105"/>
      <c r="BB159" s="105"/>
      <c r="BC159" s="105"/>
      <c r="BD159" s="105"/>
      <c r="BE159" s="105"/>
      <c r="BF159" s="105"/>
      <c r="BG159" s="206"/>
      <c r="BH159" s="206"/>
      <c r="BI159" s="208"/>
      <c r="BJ159" s="209"/>
      <c r="BK159" s="105"/>
      <c r="BL159" s="105"/>
      <c r="BM159" s="105"/>
      <c r="BN159" s="105"/>
      <c r="BO159" s="105"/>
      <c r="BP159" s="105"/>
      <c r="BQ159" s="105"/>
      <c r="BR159"/>
    </row>
    <row r="160" spans="1:70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2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206"/>
      <c r="AF160" s="810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633"/>
      <c r="AY160" s="633"/>
      <c r="AZ160" s="105"/>
      <c r="BA160" s="105"/>
      <c r="BB160" s="105"/>
      <c r="BC160" s="105"/>
      <c r="BD160" s="105"/>
      <c r="BE160" s="105"/>
      <c r="BF160" s="105"/>
      <c r="BG160" s="206"/>
      <c r="BH160" s="206"/>
      <c r="BI160" s="208"/>
      <c r="BJ160" s="209"/>
      <c r="BK160" s="105"/>
      <c r="BL160" s="105"/>
      <c r="BM160" s="105"/>
      <c r="BN160" s="105"/>
      <c r="BO160" s="105"/>
      <c r="BP160" s="105"/>
      <c r="BQ160" s="105"/>
      <c r="BR160"/>
    </row>
    <row r="161" spans="1:70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2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206"/>
      <c r="AF161" s="810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633"/>
      <c r="AY161" s="633"/>
      <c r="AZ161" s="105"/>
      <c r="BA161" s="105"/>
      <c r="BB161" s="105"/>
      <c r="BC161" s="105"/>
      <c r="BD161" s="105"/>
      <c r="BE161" s="105"/>
      <c r="BF161" s="105"/>
      <c r="BG161" s="206"/>
      <c r="BH161" s="206"/>
      <c r="BI161" s="208"/>
      <c r="BJ161" s="209"/>
      <c r="BK161" s="105"/>
      <c r="BL161" s="105"/>
      <c r="BM161" s="105"/>
      <c r="BN161" s="105"/>
      <c r="BO161" s="105"/>
      <c r="BP161" s="105"/>
      <c r="BQ161" s="105"/>
      <c r="BR161"/>
    </row>
    <row r="162" spans="1:70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2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206"/>
      <c r="AF162" s="810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633"/>
      <c r="AY162" s="633"/>
      <c r="AZ162" s="105"/>
      <c r="BA162" s="105"/>
      <c r="BB162" s="105"/>
      <c r="BC162" s="105"/>
      <c r="BD162" s="105"/>
      <c r="BE162" s="105"/>
      <c r="BF162" s="105"/>
      <c r="BG162" s="206"/>
      <c r="BH162" s="206"/>
      <c r="BI162" s="208"/>
      <c r="BJ162" s="209"/>
      <c r="BK162" s="105"/>
      <c r="BL162" s="105"/>
      <c r="BM162" s="105"/>
      <c r="BN162" s="105"/>
      <c r="BO162" s="105"/>
      <c r="BP162" s="105"/>
      <c r="BQ162" s="105"/>
      <c r="BR162"/>
    </row>
    <row r="163" spans="1:70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2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206"/>
      <c r="AF163" s="810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633"/>
      <c r="AY163" s="633"/>
      <c r="AZ163" s="105"/>
      <c r="BA163" s="105"/>
      <c r="BB163" s="105"/>
      <c r="BC163" s="105"/>
      <c r="BD163" s="105"/>
      <c r="BE163" s="105"/>
      <c r="BF163" s="105"/>
      <c r="BG163" s="206"/>
      <c r="BH163" s="206"/>
      <c r="BI163" s="208"/>
      <c r="BJ163" s="209"/>
      <c r="BK163" s="105"/>
      <c r="BL163" s="105"/>
      <c r="BM163" s="105"/>
      <c r="BN163" s="105"/>
      <c r="BO163" s="105"/>
      <c r="BP163" s="105"/>
      <c r="BQ163" s="105"/>
      <c r="BR163"/>
    </row>
    <row r="164" spans="1:70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2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206"/>
      <c r="AF164" s="810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633"/>
      <c r="AY164" s="633"/>
      <c r="AZ164" s="105"/>
      <c r="BA164" s="105"/>
      <c r="BB164" s="105"/>
      <c r="BC164" s="105"/>
      <c r="BD164" s="105"/>
      <c r="BE164" s="105"/>
      <c r="BF164" s="105"/>
      <c r="BG164" s="206"/>
      <c r="BH164" s="206"/>
      <c r="BI164" s="208"/>
      <c r="BJ164" s="209"/>
      <c r="BK164" s="105"/>
      <c r="BL164" s="105"/>
      <c r="BM164" s="105"/>
      <c r="BN164" s="105"/>
      <c r="BO164" s="105"/>
      <c r="BP164" s="105"/>
      <c r="BQ164" s="105"/>
      <c r="BR164"/>
    </row>
    <row r="165" spans="1:70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2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206"/>
      <c r="AF165" s="810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633"/>
      <c r="AY165" s="633"/>
      <c r="AZ165" s="105"/>
      <c r="BA165" s="105"/>
      <c r="BB165" s="105"/>
      <c r="BC165" s="105"/>
      <c r="BD165" s="105"/>
      <c r="BE165" s="105"/>
      <c r="BF165" s="105"/>
      <c r="BG165" s="206"/>
      <c r="BH165" s="206"/>
      <c r="BI165" s="208"/>
      <c r="BJ165" s="209"/>
      <c r="BK165" s="105"/>
      <c r="BL165" s="105"/>
      <c r="BM165" s="105"/>
      <c r="BN165" s="105"/>
      <c r="BO165" s="105"/>
      <c r="BP165" s="105"/>
      <c r="BQ165" s="105"/>
      <c r="BR165"/>
    </row>
    <row r="166" spans="1:70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2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206"/>
      <c r="AF166" s="810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633"/>
      <c r="AY166" s="633"/>
      <c r="AZ166" s="105"/>
      <c r="BA166" s="105"/>
      <c r="BB166" s="105"/>
      <c r="BC166" s="105"/>
      <c r="BD166" s="105"/>
      <c r="BE166" s="105"/>
      <c r="BF166" s="105"/>
      <c r="BG166" s="206"/>
      <c r="BH166" s="206"/>
      <c r="BI166" s="208"/>
      <c r="BJ166" s="209"/>
      <c r="BK166" s="105"/>
      <c r="BL166" s="105"/>
      <c r="BM166" s="105"/>
      <c r="BN166" s="105"/>
      <c r="BO166" s="105"/>
      <c r="BP166" s="105"/>
      <c r="BQ166" s="105"/>
      <c r="BR166"/>
    </row>
    <row r="167" spans="1:70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2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206"/>
      <c r="AF167" s="810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633"/>
      <c r="AY167" s="633"/>
      <c r="AZ167" s="105"/>
      <c r="BA167" s="105"/>
      <c r="BB167" s="105"/>
      <c r="BC167" s="105"/>
      <c r="BD167" s="105"/>
      <c r="BE167" s="105"/>
      <c r="BF167" s="105"/>
      <c r="BG167" s="206"/>
      <c r="BH167" s="206"/>
      <c r="BI167" s="208"/>
      <c r="BJ167" s="209"/>
      <c r="BK167" s="105"/>
      <c r="BL167" s="105"/>
      <c r="BM167" s="105"/>
      <c r="BN167" s="105"/>
      <c r="BO167" s="105"/>
      <c r="BP167" s="105"/>
      <c r="BQ167" s="105"/>
      <c r="BR167"/>
    </row>
    <row r="168" spans="1:70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2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206"/>
      <c r="AF168" s="810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633"/>
      <c r="AY168" s="633"/>
      <c r="AZ168" s="105"/>
      <c r="BA168" s="105"/>
      <c r="BB168" s="105"/>
      <c r="BC168" s="105"/>
      <c r="BD168" s="105"/>
      <c r="BE168" s="105"/>
      <c r="BF168" s="105"/>
      <c r="BG168" s="206"/>
      <c r="BH168" s="206"/>
      <c r="BI168" s="208"/>
      <c r="BJ168" s="209"/>
      <c r="BK168" s="105"/>
      <c r="BL168" s="105"/>
      <c r="BM168" s="105"/>
      <c r="BN168" s="105"/>
      <c r="BO168" s="105"/>
      <c r="BP168" s="105"/>
      <c r="BQ168" s="105"/>
      <c r="BR168"/>
    </row>
    <row r="169" spans="1:70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2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206"/>
      <c r="AF169" s="810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633"/>
      <c r="AY169" s="633"/>
      <c r="AZ169" s="105"/>
      <c r="BA169" s="105"/>
      <c r="BB169" s="105"/>
      <c r="BC169" s="105"/>
      <c r="BD169" s="105"/>
      <c r="BE169" s="105"/>
      <c r="BF169" s="105"/>
      <c r="BG169" s="206"/>
      <c r="BH169" s="206"/>
      <c r="BI169" s="208"/>
      <c r="BJ169" s="209"/>
      <c r="BK169" s="105"/>
      <c r="BL169" s="105"/>
      <c r="BM169" s="105"/>
      <c r="BN169" s="105"/>
      <c r="BO169" s="105"/>
      <c r="BP169" s="105"/>
      <c r="BQ169" s="105"/>
      <c r="BR169"/>
    </row>
    <row r="170" spans="1:70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2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206"/>
      <c r="AF170" s="810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633"/>
      <c r="AY170" s="633"/>
      <c r="AZ170" s="105"/>
      <c r="BA170" s="105"/>
      <c r="BB170" s="105"/>
      <c r="BC170" s="105"/>
      <c r="BD170" s="105"/>
      <c r="BE170" s="105"/>
      <c r="BF170" s="105"/>
      <c r="BG170" s="206"/>
      <c r="BH170" s="206"/>
      <c r="BI170" s="208"/>
      <c r="BJ170" s="209"/>
      <c r="BK170" s="105"/>
      <c r="BL170" s="105"/>
      <c r="BM170" s="105"/>
      <c r="BN170" s="105"/>
      <c r="BO170" s="105"/>
      <c r="BP170" s="105"/>
      <c r="BQ170" s="105"/>
      <c r="BR170"/>
    </row>
    <row r="171" spans="1:70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2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206"/>
      <c r="AF171" s="810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633"/>
      <c r="AY171" s="633"/>
      <c r="AZ171" s="105"/>
      <c r="BA171" s="105"/>
      <c r="BB171" s="105"/>
      <c r="BC171" s="105"/>
      <c r="BD171" s="105"/>
      <c r="BE171" s="105"/>
      <c r="BF171" s="105"/>
      <c r="BG171" s="206"/>
      <c r="BH171" s="206"/>
      <c r="BI171" s="208"/>
      <c r="BJ171" s="209"/>
      <c r="BK171" s="105"/>
      <c r="BL171" s="105"/>
      <c r="BM171" s="105"/>
      <c r="BN171" s="105"/>
      <c r="BO171" s="105"/>
      <c r="BP171" s="105"/>
      <c r="BQ171" s="105"/>
      <c r="BR171"/>
    </row>
    <row r="172" spans="1:70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2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206"/>
      <c r="AF172" s="810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633"/>
      <c r="AY172" s="633"/>
      <c r="AZ172" s="105"/>
      <c r="BA172" s="105"/>
      <c r="BB172" s="105"/>
      <c r="BC172" s="105"/>
      <c r="BD172" s="105"/>
      <c r="BE172" s="105"/>
      <c r="BF172" s="105"/>
      <c r="BG172" s="206"/>
      <c r="BH172" s="206"/>
      <c r="BI172" s="208"/>
      <c r="BJ172" s="209"/>
      <c r="BK172" s="105"/>
      <c r="BL172" s="105"/>
      <c r="BM172" s="105"/>
      <c r="BN172" s="105"/>
      <c r="BO172" s="105"/>
      <c r="BP172" s="105"/>
      <c r="BQ172" s="105"/>
      <c r="BR172"/>
    </row>
    <row r="173" spans="1:70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2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206"/>
      <c r="AF173" s="810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633"/>
      <c r="AY173" s="633"/>
      <c r="AZ173" s="105"/>
      <c r="BA173" s="105"/>
      <c r="BB173" s="105"/>
      <c r="BC173" s="105"/>
      <c r="BD173" s="105"/>
      <c r="BE173" s="105"/>
      <c r="BF173" s="105"/>
      <c r="BG173" s="206"/>
      <c r="BH173" s="206"/>
      <c r="BI173" s="208"/>
      <c r="BJ173" s="209"/>
      <c r="BK173" s="105"/>
      <c r="BL173" s="105"/>
      <c r="BM173" s="105"/>
      <c r="BN173" s="105"/>
      <c r="BO173" s="105"/>
      <c r="BP173" s="105"/>
      <c r="BQ173" s="105"/>
      <c r="BR173"/>
    </row>
    <row r="174" spans="1:70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2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206"/>
      <c r="AF174" s="810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633"/>
      <c r="AY174" s="633"/>
      <c r="AZ174" s="105"/>
      <c r="BA174" s="105"/>
      <c r="BB174" s="105"/>
      <c r="BC174" s="105"/>
      <c r="BD174" s="105"/>
      <c r="BE174" s="105"/>
      <c r="BF174" s="105"/>
      <c r="BG174" s="206"/>
      <c r="BH174" s="206"/>
      <c r="BI174" s="208"/>
      <c r="BJ174" s="209"/>
      <c r="BK174" s="105"/>
      <c r="BL174" s="105"/>
      <c r="BM174" s="105"/>
      <c r="BN174" s="105"/>
      <c r="BO174" s="105"/>
      <c r="BP174" s="105"/>
      <c r="BQ174" s="105"/>
      <c r="BR174"/>
    </row>
    <row r="175" spans="1:70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2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206"/>
      <c r="AF175" s="810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633"/>
      <c r="AY175" s="633"/>
      <c r="AZ175" s="105"/>
      <c r="BA175" s="105"/>
      <c r="BB175" s="105"/>
      <c r="BC175" s="105"/>
      <c r="BD175" s="105"/>
      <c r="BE175" s="105"/>
      <c r="BF175" s="105"/>
      <c r="BG175" s="206"/>
      <c r="BH175" s="206"/>
      <c r="BI175" s="208"/>
      <c r="BJ175" s="209"/>
      <c r="BK175" s="105"/>
      <c r="BL175" s="105"/>
      <c r="BM175" s="105"/>
      <c r="BN175" s="105"/>
      <c r="BO175" s="105"/>
      <c r="BP175" s="105"/>
      <c r="BQ175" s="105"/>
      <c r="BR175"/>
    </row>
    <row r="176" spans="1:70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2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206"/>
      <c r="AF176" s="810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633"/>
      <c r="AY176" s="633"/>
      <c r="AZ176" s="105"/>
      <c r="BA176" s="105"/>
      <c r="BB176" s="105"/>
      <c r="BC176" s="105"/>
      <c r="BD176" s="105"/>
      <c r="BE176" s="105"/>
      <c r="BF176" s="105"/>
      <c r="BG176" s="206"/>
      <c r="BH176" s="206"/>
      <c r="BI176" s="208"/>
      <c r="BJ176" s="209"/>
      <c r="BK176" s="105"/>
      <c r="BL176" s="105"/>
      <c r="BM176" s="105"/>
      <c r="BN176" s="105"/>
      <c r="BO176" s="105"/>
      <c r="BP176" s="105"/>
      <c r="BQ176" s="105"/>
      <c r="BR176"/>
    </row>
    <row r="177" spans="1:70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2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206"/>
      <c r="AF177" s="810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633"/>
      <c r="AY177" s="633"/>
      <c r="AZ177" s="105"/>
      <c r="BA177" s="105"/>
      <c r="BB177" s="105"/>
      <c r="BC177" s="105"/>
      <c r="BD177" s="105"/>
      <c r="BE177" s="105"/>
      <c r="BF177" s="105"/>
      <c r="BG177" s="206"/>
      <c r="BH177" s="206"/>
      <c r="BI177" s="208"/>
      <c r="BJ177" s="209"/>
      <c r="BK177" s="105"/>
      <c r="BL177" s="105"/>
      <c r="BM177" s="105"/>
      <c r="BN177" s="105"/>
      <c r="BO177" s="105"/>
      <c r="BP177" s="105"/>
      <c r="BQ177" s="105"/>
      <c r="BR177"/>
    </row>
    <row r="178" spans="1:70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2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206"/>
      <c r="AF178" s="810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633"/>
      <c r="AY178" s="633"/>
      <c r="AZ178" s="105"/>
      <c r="BA178" s="105"/>
      <c r="BB178" s="105"/>
      <c r="BC178" s="105"/>
      <c r="BD178" s="105"/>
      <c r="BE178" s="105"/>
      <c r="BF178" s="105"/>
      <c r="BG178" s="206"/>
      <c r="BH178" s="206"/>
      <c r="BI178" s="208"/>
      <c r="BJ178" s="209"/>
      <c r="BK178" s="105"/>
      <c r="BL178" s="105"/>
      <c r="BM178" s="105"/>
      <c r="BN178" s="105"/>
      <c r="BO178" s="105"/>
      <c r="BP178" s="105"/>
      <c r="BQ178" s="105"/>
      <c r="BR178"/>
    </row>
    <row r="179" spans="1:70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2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206"/>
      <c r="AF179" s="810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633"/>
      <c r="AY179" s="633"/>
      <c r="AZ179" s="105"/>
      <c r="BA179" s="105"/>
      <c r="BB179" s="105"/>
      <c r="BC179" s="105"/>
      <c r="BD179" s="105"/>
      <c r="BE179" s="105"/>
      <c r="BF179" s="105"/>
      <c r="BG179" s="206"/>
      <c r="BH179" s="206"/>
      <c r="BI179" s="208"/>
      <c r="BJ179" s="209"/>
      <c r="BK179" s="105"/>
      <c r="BL179" s="105"/>
      <c r="BM179" s="105"/>
      <c r="BN179" s="105"/>
      <c r="BO179" s="105"/>
      <c r="BP179" s="105"/>
      <c r="BQ179" s="105"/>
      <c r="BR179"/>
    </row>
    <row r="180" spans="1:70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2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206"/>
      <c r="AF180" s="810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633"/>
      <c r="AY180" s="633"/>
      <c r="AZ180" s="105"/>
      <c r="BA180" s="105"/>
      <c r="BB180" s="105"/>
      <c r="BC180" s="105"/>
      <c r="BD180" s="105"/>
      <c r="BE180" s="105"/>
      <c r="BF180" s="105"/>
      <c r="BG180" s="206"/>
      <c r="BH180" s="206"/>
      <c r="BI180" s="208"/>
      <c r="BJ180" s="209"/>
      <c r="BK180" s="105"/>
      <c r="BL180" s="105"/>
      <c r="BM180" s="105"/>
      <c r="BN180" s="105"/>
      <c r="BO180" s="105"/>
      <c r="BP180" s="105"/>
      <c r="BQ180" s="105"/>
      <c r="BR180"/>
    </row>
    <row r="181" spans="1:70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2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206"/>
      <c r="AF181" s="810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633"/>
      <c r="AY181" s="633"/>
      <c r="AZ181" s="105"/>
      <c r="BA181" s="105"/>
      <c r="BB181" s="105"/>
      <c r="BC181" s="105"/>
      <c r="BD181" s="105"/>
      <c r="BE181" s="105"/>
      <c r="BF181" s="105"/>
      <c r="BG181" s="206"/>
      <c r="BH181" s="206"/>
      <c r="BI181" s="208"/>
      <c r="BJ181" s="209"/>
      <c r="BK181" s="105"/>
      <c r="BL181" s="105"/>
      <c r="BM181" s="105"/>
      <c r="BN181" s="105"/>
      <c r="BO181" s="105"/>
      <c r="BP181" s="105"/>
      <c r="BQ181" s="105"/>
      <c r="BR181"/>
    </row>
    <row r="182" spans="1:70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2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206"/>
      <c r="AF182" s="810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633"/>
      <c r="AY182" s="633"/>
      <c r="AZ182" s="105"/>
      <c r="BA182" s="105"/>
      <c r="BB182" s="105"/>
      <c r="BC182" s="105"/>
      <c r="BD182" s="105"/>
      <c r="BE182" s="105"/>
      <c r="BF182" s="105"/>
      <c r="BG182" s="206"/>
      <c r="BH182" s="206"/>
      <c r="BI182" s="208"/>
      <c r="BJ182" s="209"/>
      <c r="BK182" s="105"/>
      <c r="BL182" s="105"/>
      <c r="BM182" s="105"/>
      <c r="BN182" s="105"/>
      <c r="BO182" s="105"/>
      <c r="BP182" s="105"/>
      <c r="BQ182" s="105"/>
      <c r="BR182"/>
    </row>
    <row r="183" spans="1:70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2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206"/>
      <c r="AF183" s="810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633"/>
      <c r="AY183" s="633"/>
      <c r="AZ183" s="105"/>
      <c r="BA183" s="105"/>
      <c r="BB183" s="105"/>
      <c r="BC183" s="105"/>
      <c r="BD183" s="105"/>
      <c r="BE183" s="105"/>
      <c r="BF183" s="105"/>
      <c r="BG183" s="206"/>
      <c r="BH183" s="206"/>
      <c r="BI183" s="208"/>
      <c r="BJ183" s="209"/>
      <c r="BK183" s="105"/>
      <c r="BL183" s="105"/>
      <c r="BM183" s="105"/>
      <c r="BN183" s="105"/>
      <c r="BO183" s="105"/>
      <c r="BP183" s="105"/>
      <c r="BQ183" s="105"/>
      <c r="BR183"/>
    </row>
    <row r="184" spans="1:70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2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206"/>
      <c r="AF184" s="810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633"/>
      <c r="AY184" s="633"/>
      <c r="AZ184" s="105"/>
      <c r="BA184" s="105"/>
      <c r="BB184" s="105"/>
      <c r="BC184" s="105"/>
      <c r="BD184" s="105"/>
      <c r="BE184" s="105"/>
      <c r="BF184" s="105"/>
      <c r="BG184" s="206"/>
      <c r="BH184" s="206"/>
      <c r="BI184" s="208"/>
      <c r="BJ184" s="209"/>
      <c r="BK184" s="105"/>
      <c r="BL184" s="105"/>
      <c r="BM184" s="105"/>
      <c r="BN184" s="105"/>
      <c r="BO184" s="105"/>
      <c r="BP184" s="105"/>
      <c r="BQ184" s="105"/>
      <c r="BR184"/>
    </row>
    <row r="185" spans="1:70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2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206"/>
      <c r="AF185" s="810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633"/>
      <c r="AY185" s="633"/>
      <c r="AZ185" s="105"/>
      <c r="BA185" s="105"/>
      <c r="BB185" s="105"/>
      <c r="BC185" s="105"/>
      <c r="BD185" s="105"/>
      <c r="BE185" s="105"/>
      <c r="BF185" s="105"/>
      <c r="BG185" s="206"/>
      <c r="BH185" s="206"/>
      <c r="BI185" s="208"/>
      <c r="BJ185" s="209"/>
      <c r="BK185" s="105"/>
      <c r="BL185" s="105"/>
      <c r="BM185" s="105"/>
      <c r="BN185" s="105"/>
      <c r="BO185" s="105"/>
      <c r="BP185" s="105"/>
      <c r="BQ185" s="105"/>
      <c r="BR185"/>
    </row>
    <row r="186" spans="1:70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2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206"/>
      <c r="AF186" s="810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633"/>
      <c r="AY186" s="633"/>
      <c r="AZ186" s="105"/>
      <c r="BA186" s="105"/>
      <c r="BB186" s="105"/>
      <c r="BC186" s="105"/>
      <c r="BD186" s="105"/>
      <c r="BE186" s="105"/>
      <c r="BF186" s="105"/>
      <c r="BG186" s="206"/>
      <c r="BH186" s="206"/>
      <c r="BI186" s="208"/>
      <c r="BJ186" s="209"/>
      <c r="BK186" s="105"/>
      <c r="BL186" s="105"/>
      <c r="BM186" s="105"/>
      <c r="BN186" s="105"/>
      <c r="BO186" s="105"/>
      <c r="BP186" s="105"/>
      <c r="BQ186" s="105"/>
      <c r="BR186"/>
    </row>
    <row r="187" spans="1:70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2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206"/>
      <c r="AF187" s="810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633"/>
      <c r="AY187" s="633"/>
      <c r="AZ187" s="105"/>
      <c r="BA187" s="105"/>
      <c r="BB187" s="105"/>
      <c r="BC187" s="105"/>
      <c r="BD187" s="105"/>
      <c r="BE187" s="105"/>
      <c r="BF187" s="105"/>
      <c r="BG187" s="206"/>
      <c r="BH187" s="206"/>
      <c r="BI187" s="208"/>
      <c r="BJ187" s="209"/>
      <c r="BK187" s="105"/>
      <c r="BL187" s="105"/>
      <c r="BM187" s="105"/>
      <c r="BN187" s="105"/>
      <c r="BO187" s="105"/>
      <c r="BP187" s="105"/>
      <c r="BQ187" s="105"/>
      <c r="BR187"/>
    </row>
    <row r="188" spans="1:70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2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206"/>
      <c r="AF188" s="810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633"/>
      <c r="AY188" s="633"/>
      <c r="AZ188" s="105"/>
      <c r="BA188" s="105"/>
      <c r="BB188" s="105"/>
      <c r="BC188" s="105"/>
      <c r="BD188" s="105"/>
      <c r="BE188" s="105"/>
      <c r="BF188" s="105"/>
      <c r="BG188" s="206"/>
      <c r="BH188" s="206"/>
      <c r="BI188" s="208"/>
      <c r="BJ188" s="209"/>
      <c r="BK188" s="105"/>
      <c r="BL188" s="105"/>
      <c r="BM188" s="105"/>
      <c r="BN188" s="105"/>
      <c r="BO188" s="105"/>
      <c r="BP188" s="105"/>
      <c r="BQ188" s="105"/>
      <c r="BR188"/>
    </row>
    <row r="189" spans="1:70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2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206"/>
      <c r="AF189" s="810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633"/>
      <c r="AY189" s="633"/>
      <c r="AZ189" s="105"/>
      <c r="BA189" s="105"/>
      <c r="BB189" s="105"/>
      <c r="BC189" s="105"/>
      <c r="BD189" s="105"/>
      <c r="BE189" s="105"/>
      <c r="BF189" s="105"/>
      <c r="BG189" s="206"/>
      <c r="BH189" s="206"/>
      <c r="BI189" s="208"/>
      <c r="BJ189" s="209"/>
      <c r="BK189" s="105"/>
      <c r="BL189" s="105"/>
      <c r="BM189" s="105"/>
      <c r="BN189" s="105"/>
      <c r="BO189" s="105"/>
      <c r="BP189" s="105"/>
      <c r="BQ189" s="105"/>
      <c r="BR189"/>
    </row>
    <row r="190" spans="1:70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2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206"/>
      <c r="AF190" s="810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633"/>
      <c r="AY190" s="633"/>
      <c r="AZ190" s="105"/>
      <c r="BA190" s="105"/>
      <c r="BB190" s="105"/>
      <c r="BC190" s="105"/>
      <c r="BD190" s="105"/>
      <c r="BE190" s="105"/>
      <c r="BF190" s="105"/>
      <c r="BG190" s="206"/>
      <c r="BH190" s="206"/>
      <c r="BI190" s="208"/>
      <c r="BJ190" s="209"/>
      <c r="BK190" s="105"/>
      <c r="BL190" s="105"/>
      <c r="BM190" s="105"/>
      <c r="BN190" s="105"/>
      <c r="BO190" s="105"/>
      <c r="BP190" s="105"/>
      <c r="BQ190" s="105"/>
      <c r="BR190"/>
    </row>
    <row r="191" spans="1:70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2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206"/>
      <c r="AF191" s="810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633"/>
      <c r="AY191" s="633"/>
      <c r="AZ191" s="105"/>
      <c r="BA191" s="105"/>
      <c r="BB191" s="105"/>
      <c r="BC191" s="105"/>
      <c r="BD191" s="105"/>
      <c r="BE191" s="105"/>
      <c r="BF191" s="105"/>
      <c r="BG191" s="206"/>
      <c r="BH191" s="206"/>
      <c r="BI191" s="208"/>
      <c r="BJ191" s="209"/>
      <c r="BK191" s="105"/>
      <c r="BL191" s="105"/>
      <c r="BM191" s="105"/>
      <c r="BN191" s="105"/>
      <c r="BO191" s="105"/>
      <c r="BP191" s="105"/>
      <c r="BQ191" s="105"/>
      <c r="BR191"/>
    </row>
    <row r="192" spans="1:70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2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206"/>
      <c r="AF192" s="810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633"/>
      <c r="AY192" s="633"/>
      <c r="AZ192" s="105"/>
      <c r="BA192" s="105"/>
      <c r="BB192" s="105"/>
      <c r="BC192" s="105"/>
      <c r="BD192" s="105"/>
      <c r="BE192" s="105"/>
      <c r="BF192" s="105"/>
      <c r="BG192" s="206"/>
      <c r="BH192" s="206"/>
      <c r="BI192" s="208"/>
      <c r="BJ192" s="209"/>
      <c r="BK192" s="105"/>
      <c r="BL192" s="105"/>
      <c r="BM192" s="105"/>
      <c r="BN192" s="105"/>
      <c r="BO192" s="105"/>
      <c r="BP192" s="105"/>
      <c r="BQ192" s="105"/>
      <c r="BR192"/>
    </row>
    <row r="193" spans="1:70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2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206"/>
      <c r="AF193" s="810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633"/>
      <c r="AY193" s="633"/>
      <c r="AZ193" s="105"/>
      <c r="BA193" s="105"/>
      <c r="BB193" s="105"/>
      <c r="BC193" s="105"/>
      <c r="BD193" s="105"/>
      <c r="BE193" s="105"/>
      <c r="BF193" s="105"/>
      <c r="BG193" s="206"/>
      <c r="BH193" s="206"/>
      <c r="BI193" s="208"/>
      <c r="BJ193" s="209"/>
      <c r="BK193" s="105"/>
      <c r="BL193" s="105"/>
      <c r="BM193" s="105"/>
      <c r="BN193" s="105"/>
      <c r="BO193" s="105"/>
      <c r="BP193" s="105"/>
      <c r="BQ193" s="105"/>
      <c r="BR193"/>
    </row>
    <row r="194" spans="1:70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2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206"/>
      <c r="AF194" s="810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633"/>
      <c r="AY194" s="633"/>
      <c r="AZ194" s="105"/>
      <c r="BA194" s="105"/>
      <c r="BB194" s="105"/>
      <c r="BC194" s="105"/>
      <c r="BD194" s="105"/>
      <c r="BE194" s="105"/>
      <c r="BF194" s="105"/>
      <c r="BG194" s="206"/>
      <c r="BH194" s="206"/>
      <c r="BI194" s="208"/>
      <c r="BJ194" s="209"/>
      <c r="BK194" s="105"/>
      <c r="BL194" s="105"/>
      <c r="BM194" s="105"/>
      <c r="BN194" s="105"/>
      <c r="BO194" s="105"/>
      <c r="BP194" s="105"/>
      <c r="BQ194" s="105"/>
      <c r="BR194"/>
    </row>
    <row r="195" spans="1:70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2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206"/>
      <c r="AF195" s="810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633"/>
      <c r="AY195" s="633"/>
      <c r="AZ195" s="105"/>
      <c r="BA195" s="105"/>
      <c r="BB195" s="105"/>
      <c r="BC195" s="105"/>
      <c r="BD195" s="105"/>
      <c r="BE195" s="105"/>
      <c r="BF195" s="105"/>
      <c r="BG195" s="206"/>
      <c r="BH195" s="206"/>
      <c r="BI195" s="208"/>
      <c r="BJ195" s="209"/>
      <c r="BL195" s="105"/>
      <c r="BM195" s="105"/>
      <c r="BN195" s="105"/>
      <c r="BO195" s="105"/>
      <c r="BP195" s="105"/>
      <c r="BQ195" s="105"/>
      <c r="BR195"/>
    </row>
    <row r="196" spans="1:70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2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206"/>
      <c r="AF196" s="810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633"/>
      <c r="AY196" s="633"/>
      <c r="AZ196" s="105"/>
      <c r="BA196" s="105"/>
      <c r="BB196" s="105"/>
      <c r="BC196" s="105"/>
      <c r="BD196" s="105"/>
      <c r="BE196" s="105"/>
      <c r="BF196" s="105"/>
      <c r="BG196" s="206"/>
      <c r="BH196" s="206"/>
      <c r="BI196" s="208"/>
      <c r="BJ196" s="209"/>
      <c r="BL196" s="105"/>
      <c r="BM196" s="105"/>
      <c r="BN196" s="105"/>
      <c r="BO196" s="105"/>
      <c r="BP196" s="105"/>
      <c r="BQ196" s="105"/>
      <c r="BR196"/>
    </row>
    <row r="197" spans="1:70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2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206"/>
      <c r="AF197" s="810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633"/>
      <c r="AY197" s="633"/>
      <c r="AZ197" s="105"/>
      <c r="BA197" s="105"/>
      <c r="BB197" s="105"/>
      <c r="BC197" s="105"/>
      <c r="BD197" s="105"/>
      <c r="BE197" s="105"/>
      <c r="BF197" s="105"/>
      <c r="BG197" s="206"/>
      <c r="BH197" s="206"/>
      <c r="BI197" s="208"/>
      <c r="BJ197" s="209"/>
      <c r="BL197" s="105"/>
      <c r="BM197" s="105"/>
      <c r="BN197" s="105"/>
      <c r="BO197" s="105"/>
      <c r="BP197" s="105"/>
      <c r="BQ197" s="105"/>
      <c r="BR197"/>
    </row>
    <row r="198" spans="1:70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2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206"/>
      <c r="AF198" s="810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633"/>
      <c r="AY198" s="633"/>
      <c r="AZ198" s="105"/>
      <c r="BA198" s="105"/>
      <c r="BB198" s="105"/>
      <c r="BC198" s="105"/>
      <c r="BD198" s="105"/>
      <c r="BE198" s="105"/>
      <c r="BF198" s="105"/>
      <c r="BG198" s="206"/>
      <c r="BH198" s="206"/>
      <c r="BI198" s="208"/>
      <c r="BJ198" s="209"/>
      <c r="BL198" s="105"/>
      <c r="BM198" s="105"/>
      <c r="BN198" s="105"/>
      <c r="BO198" s="105"/>
      <c r="BP198" s="105"/>
      <c r="BQ198" s="105"/>
      <c r="BR198"/>
    </row>
    <row r="199" spans="1:70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2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206"/>
      <c r="AF199" s="810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633"/>
      <c r="AY199" s="633"/>
      <c r="AZ199" s="105"/>
      <c r="BA199" s="105"/>
      <c r="BB199" s="105"/>
      <c r="BC199" s="105"/>
      <c r="BD199" s="105"/>
      <c r="BE199" s="105"/>
      <c r="BF199" s="105"/>
      <c r="BG199" s="206"/>
      <c r="BH199" s="206"/>
      <c r="BI199" s="208"/>
      <c r="BJ199" s="209"/>
      <c r="BL199" s="105"/>
      <c r="BM199" s="105"/>
      <c r="BN199" s="105"/>
      <c r="BO199" s="105"/>
      <c r="BP199" s="105"/>
      <c r="BQ199" s="105"/>
      <c r="BR199"/>
    </row>
    <row r="200" spans="1:70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2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206"/>
      <c r="AF200" s="810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633"/>
      <c r="AY200" s="633"/>
      <c r="AZ200" s="105"/>
      <c r="BA200" s="105"/>
      <c r="BB200" s="105"/>
      <c r="BC200" s="105"/>
      <c r="BD200" s="105"/>
      <c r="BE200" s="105"/>
      <c r="BF200" s="105"/>
      <c r="BG200" s="206"/>
      <c r="BH200" s="206"/>
      <c r="BI200" s="208"/>
      <c r="BJ200" s="209"/>
      <c r="BP200" s="105"/>
      <c r="BQ200" s="105"/>
      <c r="BR200"/>
    </row>
    <row r="201" spans="1:70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2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206"/>
      <c r="AF201" s="810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633"/>
      <c r="AY201" s="633"/>
      <c r="AZ201" s="105"/>
      <c r="BA201" s="105"/>
      <c r="BB201" s="105"/>
      <c r="BC201" s="105"/>
      <c r="BD201" s="105"/>
      <c r="BE201" s="105"/>
      <c r="BF201" s="105"/>
      <c r="BG201" s="206"/>
      <c r="BH201" s="206"/>
      <c r="BI201" s="208"/>
      <c r="BJ201" s="209"/>
      <c r="BP201" s="105"/>
      <c r="BQ201" s="105"/>
      <c r="BR201"/>
    </row>
    <row r="202" spans="1:70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2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206"/>
      <c r="AF202" s="810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633"/>
      <c r="AY202" s="633"/>
      <c r="AZ202" s="105"/>
      <c r="BA202" s="105"/>
      <c r="BB202" s="105"/>
      <c r="BC202" s="105"/>
      <c r="BD202" s="105"/>
      <c r="BE202" s="105"/>
      <c r="BF202" s="105"/>
      <c r="BG202" s="206"/>
      <c r="BH202" s="206"/>
      <c r="BI202" s="208"/>
      <c r="BJ202" s="209"/>
      <c r="BP202" s="105"/>
      <c r="BQ202" s="105"/>
      <c r="BR202"/>
    </row>
    <row r="203" spans="1:70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2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206"/>
      <c r="AF203" s="810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633"/>
      <c r="AY203" s="633"/>
      <c r="AZ203" s="105"/>
      <c r="BA203" s="105"/>
      <c r="BB203" s="105"/>
      <c r="BC203" s="105"/>
      <c r="BD203" s="105"/>
      <c r="BE203" s="105"/>
      <c r="BF203" s="105"/>
      <c r="BG203" s="206"/>
      <c r="BH203" s="206"/>
      <c r="BI203" s="208"/>
      <c r="BJ203" s="209"/>
      <c r="BP203" s="105"/>
      <c r="BQ203" s="105"/>
      <c r="BR203"/>
    </row>
    <row r="204" spans="1:70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2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206"/>
      <c r="AF204" s="810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633"/>
      <c r="AY204" s="633"/>
      <c r="AZ204" s="105"/>
      <c r="BA204" s="105"/>
      <c r="BB204" s="105"/>
      <c r="BC204" s="105"/>
      <c r="BD204" s="105"/>
      <c r="BE204" s="105"/>
      <c r="BF204" s="105"/>
      <c r="BG204" s="206"/>
      <c r="BH204" s="206"/>
      <c r="BI204" s="208"/>
      <c r="BJ204" s="209"/>
      <c r="BP204" s="105"/>
      <c r="BQ204" s="105"/>
      <c r="BR204"/>
    </row>
    <row r="205" spans="1:70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2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206"/>
      <c r="AF205" s="810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633"/>
      <c r="AY205" s="633"/>
      <c r="AZ205" s="105"/>
      <c r="BA205" s="105"/>
      <c r="BB205" s="105"/>
      <c r="BC205" s="105"/>
      <c r="BD205" s="105"/>
      <c r="BE205" s="105"/>
      <c r="BF205" s="105"/>
      <c r="BG205" s="206"/>
      <c r="BH205" s="206"/>
      <c r="BI205" s="208"/>
      <c r="BJ205" s="209"/>
      <c r="BQ205" s="105"/>
      <c r="BR205"/>
    </row>
    <row r="206" spans="1:70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2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206"/>
      <c r="AF206" s="810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633"/>
      <c r="AY206" s="633"/>
      <c r="AZ206" s="105"/>
      <c r="BA206" s="105"/>
      <c r="BB206" s="105"/>
      <c r="BC206" s="105"/>
      <c r="BD206" s="105"/>
      <c r="BE206" s="105"/>
      <c r="BF206" s="105"/>
      <c r="BG206" s="206"/>
      <c r="BH206" s="206"/>
      <c r="BI206" s="208"/>
      <c r="BJ206" s="209"/>
      <c r="BR206"/>
    </row>
    <row r="207" spans="1:70" ht="15.75" customHeight="1">
      <c r="J207" s="211"/>
      <c r="AY207" s="633"/>
      <c r="AZ207" s="105"/>
      <c r="BA207" s="105"/>
      <c r="BF207" s="105"/>
      <c r="BG207" s="206"/>
      <c r="BH207" s="206"/>
      <c r="BI207" s="208"/>
      <c r="BJ207" s="214"/>
      <c r="BR207"/>
    </row>
    <row r="208" spans="1:70" ht="15.75" customHeight="1">
      <c r="J208" s="211"/>
      <c r="AZ208" s="105"/>
      <c r="BA208" s="105"/>
      <c r="BF208" s="105"/>
      <c r="BG208" s="206"/>
      <c r="BH208" s="206"/>
      <c r="BI208" s="208"/>
      <c r="BJ208" s="214"/>
      <c r="BR208"/>
    </row>
    <row r="209" spans="10:70" ht="15.75" customHeight="1">
      <c r="J209" s="211"/>
      <c r="BG209" s="206"/>
      <c r="BH209" s="206"/>
      <c r="BI209" s="208"/>
      <c r="BJ209" s="214"/>
      <c r="BR209"/>
    </row>
    <row r="210" spans="10:70" ht="15.75" customHeight="1">
      <c r="J210" s="211"/>
      <c r="BG210" s="206"/>
      <c r="BH210" s="206"/>
      <c r="BI210" s="208"/>
      <c r="BJ210" s="214"/>
      <c r="BR210"/>
    </row>
    <row r="211" spans="10:70" ht="15.75" customHeight="1">
      <c r="J211" s="211"/>
      <c r="BG211" s="206"/>
      <c r="BH211" s="206"/>
      <c r="BI211" s="208"/>
      <c r="BJ211" s="214"/>
      <c r="BR211"/>
    </row>
    <row r="212" spans="10:70" ht="15.75" customHeight="1">
      <c r="BG212" s="206"/>
      <c r="BH212" s="206"/>
      <c r="BI212" s="213"/>
      <c r="BR212"/>
    </row>
    <row r="213" spans="10:70" ht="15.75" customHeight="1">
      <c r="BG213" s="206"/>
      <c r="BH213" s="212"/>
      <c r="BI213" s="213"/>
      <c r="BR213"/>
    </row>
    <row r="214" spans="10:70" ht="15.75" customHeight="1">
      <c r="BG214" s="206"/>
      <c r="BH214" s="212"/>
      <c r="BI214" s="213"/>
      <c r="BR214"/>
    </row>
    <row r="215" spans="10:70" ht="15.75" customHeight="1">
      <c r="BG215" s="206"/>
      <c r="BH215" s="212"/>
      <c r="BI215" s="213"/>
      <c r="BR215"/>
    </row>
    <row r="216" spans="10:70" ht="15.75" customHeight="1">
      <c r="BG216" s="206"/>
      <c r="BH216" s="212"/>
      <c r="BI216" s="213"/>
      <c r="BR216"/>
    </row>
    <row r="217" spans="10:70" ht="15.75" customHeight="1">
      <c r="BG217" s="212"/>
      <c r="BH217" s="212"/>
      <c r="BR217"/>
    </row>
    <row r="218" spans="10:70" ht="15.75" customHeight="1">
      <c r="BG218" s="212"/>
      <c r="BR218"/>
    </row>
    <row r="219" spans="10:70" ht="15.75" customHeight="1">
      <c r="BR219"/>
    </row>
    <row r="220" spans="10:70" ht="15.75" customHeight="1">
      <c r="BR220"/>
    </row>
    <row r="221" spans="10:70" ht="15.75" customHeight="1">
      <c r="AE221"/>
      <c r="AF221"/>
      <c r="AX221"/>
      <c r="AY221"/>
      <c r="BI221"/>
      <c r="BJ221"/>
      <c r="BM221"/>
      <c r="BR221"/>
    </row>
    <row r="222" spans="10:70" ht="15.75" customHeight="1">
      <c r="AE222"/>
      <c r="AF222"/>
      <c r="AX222"/>
      <c r="AY222"/>
      <c r="BI222"/>
      <c r="BJ222"/>
      <c r="BM222"/>
      <c r="BR222"/>
    </row>
    <row r="223" spans="10:70" ht="15.75" customHeight="1">
      <c r="AE223"/>
      <c r="AF223"/>
      <c r="AX223"/>
      <c r="AY223"/>
      <c r="BI223"/>
      <c r="BJ223"/>
      <c r="BM223"/>
      <c r="BR223"/>
    </row>
    <row r="224" spans="10:70" ht="15.75" customHeight="1">
      <c r="AE224"/>
      <c r="AF224"/>
      <c r="AX224"/>
      <c r="AY224"/>
      <c r="BI224"/>
      <c r="BJ224"/>
      <c r="BM224"/>
      <c r="BR224"/>
    </row>
    <row r="225" spans="31:70" ht="15.75" customHeight="1">
      <c r="AE225"/>
      <c r="AF225"/>
      <c r="AX225"/>
      <c r="AY225"/>
      <c r="BI225"/>
      <c r="BJ225"/>
      <c r="BM225"/>
      <c r="BR225"/>
    </row>
    <row r="226" spans="31:70" ht="15.75" customHeight="1">
      <c r="AE226"/>
      <c r="AF226"/>
      <c r="AX226"/>
      <c r="AY226"/>
      <c r="BI226"/>
      <c r="BJ226"/>
      <c r="BM226"/>
      <c r="BR226"/>
    </row>
    <row r="227" spans="31:70" ht="15.75" customHeight="1">
      <c r="AE227"/>
      <c r="AF227"/>
      <c r="AX227"/>
      <c r="AY227"/>
      <c r="BI227"/>
      <c r="BJ227"/>
      <c r="BM227"/>
      <c r="BR227"/>
    </row>
    <row r="228" spans="31:70" ht="15.75" customHeight="1">
      <c r="AE228"/>
      <c r="AF228"/>
      <c r="AX228"/>
      <c r="AY228"/>
      <c r="BI228"/>
      <c r="BJ228"/>
      <c r="BM228"/>
      <c r="BR228"/>
    </row>
    <row r="229" spans="31:70" ht="15.75" customHeight="1">
      <c r="AE229"/>
      <c r="AF229"/>
      <c r="AX229"/>
      <c r="AY229"/>
      <c r="BI229"/>
      <c r="BJ229"/>
      <c r="BM229"/>
      <c r="BR229"/>
    </row>
    <row r="230" spans="31:70" ht="15.75" customHeight="1">
      <c r="AE230"/>
      <c r="AF230"/>
      <c r="AX230"/>
      <c r="AY230"/>
      <c r="BI230"/>
      <c r="BJ230"/>
      <c r="BM230"/>
      <c r="BR230"/>
    </row>
    <row r="231" spans="31:70" ht="15.75" customHeight="1">
      <c r="AE231"/>
      <c r="AF231"/>
      <c r="AX231"/>
      <c r="AY231"/>
      <c r="BI231"/>
      <c r="BJ231"/>
      <c r="BM231"/>
      <c r="BR231"/>
    </row>
    <row r="232" spans="31:70" ht="15.75" customHeight="1">
      <c r="AE232"/>
      <c r="AF232"/>
      <c r="AX232"/>
      <c r="AY232"/>
      <c r="BI232"/>
      <c r="BJ232"/>
      <c r="BM232"/>
      <c r="BR232"/>
    </row>
    <row r="233" spans="31:70" ht="15.75" customHeight="1">
      <c r="AE233"/>
      <c r="AF233"/>
      <c r="AX233"/>
      <c r="AY233"/>
      <c r="BI233"/>
      <c r="BJ233"/>
      <c r="BM233"/>
      <c r="BR233"/>
    </row>
    <row r="234" spans="31:70" ht="15.75" customHeight="1">
      <c r="AE234"/>
      <c r="AF234"/>
      <c r="AX234"/>
      <c r="AY234"/>
      <c r="BI234"/>
      <c r="BJ234"/>
      <c r="BM234"/>
      <c r="BR234"/>
    </row>
    <row r="235" spans="31:70" ht="15.75" customHeight="1">
      <c r="AE235"/>
      <c r="AF235"/>
      <c r="AX235"/>
      <c r="AY235"/>
      <c r="BI235"/>
      <c r="BJ235"/>
      <c r="BM235"/>
      <c r="BR235"/>
    </row>
    <row r="236" spans="31:70" ht="15.75" customHeight="1">
      <c r="AE236"/>
      <c r="AF236"/>
      <c r="AX236"/>
      <c r="AY236"/>
      <c r="BI236"/>
      <c r="BJ236"/>
      <c r="BM236"/>
      <c r="BR236"/>
    </row>
    <row r="237" spans="31:70" ht="15.75" customHeight="1">
      <c r="AE237"/>
      <c r="AF237"/>
      <c r="AX237"/>
      <c r="AY237"/>
      <c r="BI237"/>
      <c r="BJ237"/>
      <c r="BM237"/>
      <c r="BR237"/>
    </row>
    <row r="238" spans="31:70" ht="15.75" customHeight="1">
      <c r="AE238"/>
      <c r="AF238"/>
      <c r="AX238"/>
      <c r="AY238"/>
      <c r="BI238"/>
      <c r="BJ238"/>
      <c r="BM238"/>
      <c r="BR238"/>
    </row>
    <row r="239" spans="31:70" ht="15.75" customHeight="1">
      <c r="AE239"/>
      <c r="AF239"/>
      <c r="AX239"/>
      <c r="AY239"/>
      <c r="BI239"/>
      <c r="BJ239"/>
      <c r="BM239"/>
      <c r="BR239"/>
    </row>
    <row r="240" spans="31:70" ht="15.75" customHeight="1">
      <c r="AE240"/>
      <c r="AF240"/>
      <c r="AX240"/>
      <c r="AY240"/>
      <c r="BI240"/>
      <c r="BJ240"/>
      <c r="BM240"/>
      <c r="BR240"/>
    </row>
    <row r="241" spans="31:70" ht="15.75" customHeight="1">
      <c r="AE241"/>
      <c r="AF241"/>
      <c r="AX241"/>
      <c r="AY241"/>
      <c r="BI241"/>
      <c r="BJ241"/>
      <c r="BM241"/>
      <c r="BR241"/>
    </row>
    <row r="242" spans="31:70" ht="15.75" customHeight="1">
      <c r="AE242"/>
      <c r="AF242"/>
      <c r="AX242"/>
      <c r="AY242"/>
      <c r="BI242"/>
      <c r="BJ242"/>
      <c r="BM242"/>
      <c r="BR242"/>
    </row>
    <row r="243" spans="31:70" ht="15.75" customHeight="1">
      <c r="AE243"/>
      <c r="AF243"/>
      <c r="AX243"/>
      <c r="AY243"/>
      <c r="BI243"/>
      <c r="BJ243"/>
      <c r="BM243"/>
      <c r="BR243"/>
    </row>
    <row r="244" spans="31:70" ht="15.75" customHeight="1">
      <c r="AE244"/>
      <c r="AF244"/>
      <c r="AX244"/>
      <c r="AY244"/>
      <c r="BI244"/>
      <c r="BJ244"/>
      <c r="BM244"/>
      <c r="BR244"/>
    </row>
    <row r="245" spans="31:70" ht="15.75" customHeight="1">
      <c r="AE245"/>
      <c r="AF245"/>
      <c r="AX245"/>
      <c r="AY245"/>
      <c r="BI245"/>
      <c r="BJ245"/>
      <c r="BM245"/>
      <c r="BR245"/>
    </row>
    <row r="246" spans="31:70" ht="15.75" customHeight="1">
      <c r="AE246"/>
      <c r="AF246"/>
      <c r="AX246"/>
      <c r="AY246"/>
      <c r="BI246"/>
      <c r="BJ246"/>
      <c r="BM246"/>
      <c r="BR246"/>
    </row>
    <row r="247" spans="31:70" ht="15.75" customHeight="1">
      <c r="AE247"/>
      <c r="AF247"/>
      <c r="AX247"/>
      <c r="AY247"/>
      <c r="BI247"/>
      <c r="BJ247"/>
      <c r="BM247"/>
      <c r="BR247"/>
    </row>
    <row r="248" spans="31:70" ht="15.75" customHeight="1">
      <c r="AE248"/>
      <c r="AF248"/>
      <c r="AX248"/>
      <c r="AY248"/>
      <c r="BI248"/>
      <c r="BJ248"/>
      <c r="BM248"/>
      <c r="BR248"/>
    </row>
    <row r="249" spans="31:70" ht="15.75" customHeight="1">
      <c r="AE249"/>
      <c r="AF249"/>
      <c r="AX249"/>
      <c r="AY249"/>
      <c r="BI249"/>
      <c r="BJ249"/>
      <c r="BM249"/>
      <c r="BR249"/>
    </row>
    <row r="250" spans="31:70" ht="15.75" customHeight="1">
      <c r="AE250"/>
      <c r="AF250"/>
      <c r="AX250"/>
      <c r="AY250"/>
      <c r="BI250"/>
      <c r="BJ250"/>
      <c r="BM250"/>
      <c r="BR250"/>
    </row>
    <row r="251" spans="31:70" ht="15.75" customHeight="1">
      <c r="AE251"/>
      <c r="AF251"/>
      <c r="AX251"/>
      <c r="AY251"/>
      <c r="BI251"/>
      <c r="BJ251"/>
      <c r="BM251"/>
      <c r="BR251"/>
    </row>
    <row r="252" spans="31:70" ht="15.75" customHeight="1">
      <c r="AE252"/>
      <c r="AF252"/>
      <c r="AX252"/>
      <c r="AY252"/>
      <c r="BI252"/>
      <c r="BJ252"/>
      <c r="BM252"/>
      <c r="BR252"/>
    </row>
    <row r="253" spans="31:70" ht="15.75" customHeight="1">
      <c r="AE253"/>
      <c r="AF253"/>
      <c r="AX253"/>
      <c r="AY253"/>
      <c r="BI253"/>
      <c r="BJ253"/>
      <c r="BM253"/>
      <c r="BR253"/>
    </row>
    <row r="254" spans="31:70" ht="15.75" customHeight="1">
      <c r="AE254"/>
      <c r="AF254"/>
      <c r="AX254"/>
      <c r="AY254"/>
      <c r="BI254"/>
      <c r="BJ254"/>
      <c r="BM254"/>
      <c r="BR254"/>
    </row>
    <row r="255" spans="31:70" ht="15.75" customHeight="1">
      <c r="AE255"/>
      <c r="AF255"/>
      <c r="AX255"/>
      <c r="AY255"/>
      <c r="BI255"/>
      <c r="BJ255"/>
      <c r="BM255"/>
      <c r="BR255"/>
    </row>
    <row r="256" spans="31:70" ht="15.75" customHeight="1">
      <c r="AE256"/>
      <c r="AF256"/>
      <c r="AX256"/>
      <c r="AY256"/>
      <c r="BI256"/>
      <c r="BJ256"/>
      <c r="BM256"/>
      <c r="BR256"/>
    </row>
    <row r="257" spans="31:70" ht="15.75" customHeight="1">
      <c r="AE257"/>
      <c r="AF257"/>
      <c r="AX257"/>
      <c r="AY257"/>
      <c r="BI257"/>
      <c r="BJ257"/>
      <c r="BM257"/>
      <c r="BR257"/>
    </row>
    <row r="258" spans="31:70" ht="15.75" customHeight="1">
      <c r="AE258"/>
      <c r="AF258"/>
      <c r="AX258"/>
      <c r="AY258"/>
      <c r="BI258"/>
      <c r="BJ258"/>
      <c r="BM258"/>
      <c r="BR258"/>
    </row>
    <row r="259" spans="31:70" ht="15.75" customHeight="1">
      <c r="AE259"/>
      <c r="AF259"/>
      <c r="AX259"/>
      <c r="AY259"/>
      <c r="BI259"/>
      <c r="BJ259"/>
      <c r="BM259"/>
      <c r="BR259"/>
    </row>
    <row r="260" spans="31:70" ht="15.75" customHeight="1">
      <c r="AE260"/>
      <c r="AF260"/>
      <c r="AX260"/>
      <c r="AY260"/>
      <c r="BI260"/>
      <c r="BJ260"/>
      <c r="BM260"/>
      <c r="BR260"/>
    </row>
    <row r="261" spans="31:70" ht="15.75" customHeight="1">
      <c r="AE261"/>
      <c r="AF261"/>
      <c r="AX261"/>
      <c r="AY261"/>
      <c r="BI261"/>
      <c r="BJ261"/>
      <c r="BM261"/>
      <c r="BR261"/>
    </row>
    <row r="262" spans="31:70" ht="15.75" customHeight="1">
      <c r="AE262"/>
      <c r="AF262"/>
      <c r="AX262"/>
      <c r="AY262"/>
      <c r="BI262"/>
      <c r="BJ262"/>
      <c r="BM262"/>
      <c r="BR262"/>
    </row>
    <row r="263" spans="31:70" ht="15.75" customHeight="1">
      <c r="AE263"/>
      <c r="AF263"/>
      <c r="AX263"/>
      <c r="AY263"/>
      <c r="BI263"/>
      <c r="BJ263"/>
      <c r="BM263"/>
      <c r="BR263"/>
    </row>
    <row r="264" spans="31:70" ht="15.75" customHeight="1">
      <c r="AE264"/>
      <c r="AF264"/>
      <c r="AX264"/>
      <c r="AY264"/>
      <c r="BI264"/>
      <c r="BJ264"/>
      <c r="BM264"/>
      <c r="BR264"/>
    </row>
    <row r="265" spans="31:70" ht="15.75" customHeight="1">
      <c r="AE265"/>
      <c r="AF265"/>
      <c r="AX265"/>
      <c r="AY265"/>
      <c r="BI265"/>
      <c r="BJ265"/>
      <c r="BM265"/>
      <c r="BR265"/>
    </row>
    <row r="266" spans="31:70" ht="15.75" customHeight="1">
      <c r="AE266"/>
      <c r="AF266"/>
      <c r="AX266"/>
      <c r="AY266"/>
      <c r="BI266"/>
      <c r="BJ266"/>
      <c r="BM266"/>
      <c r="BR266"/>
    </row>
    <row r="267" spans="31:70" ht="15.75" customHeight="1">
      <c r="AE267"/>
      <c r="AF267"/>
      <c r="AX267"/>
      <c r="AY267"/>
      <c r="BI267"/>
      <c r="BJ267"/>
      <c r="BM267"/>
      <c r="BR267"/>
    </row>
    <row r="268" spans="31:70" ht="15.75" customHeight="1">
      <c r="AE268"/>
      <c r="AF268"/>
      <c r="AX268"/>
      <c r="AY268"/>
      <c r="BI268"/>
      <c r="BJ268"/>
      <c r="BM268"/>
      <c r="BR268"/>
    </row>
    <row r="269" spans="31:70" ht="15.75" customHeight="1">
      <c r="AE269"/>
      <c r="AF269"/>
      <c r="AX269"/>
      <c r="AY269"/>
      <c r="BI269"/>
      <c r="BJ269"/>
      <c r="BM269"/>
      <c r="BR269"/>
    </row>
    <row r="270" spans="31:70" ht="15.75" customHeight="1">
      <c r="AE270"/>
      <c r="AF270"/>
      <c r="AX270"/>
      <c r="AY270"/>
      <c r="BI270"/>
      <c r="BJ270"/>
      <c r="BM270"/>
      <c r="BR270"/>
    </row>
    <row r="271" spans="31:70" ht="15.75" customHeight="1">
      <c r="AE271"/>
      <c r="AF271"/>
      <c r="AX271"/>
      <c r="AY271"/>
      <c r="BI271"/>
      <c r="BJ271"/>
      <c r="BM271"/>
      <c r="BR271"/>
    </row>
    <row r="272" spans="31:70" ht="15.75" customHeight="1">
      <c r="AE272"/>
      <c r="AF272"/>
      <c r="AX272"/>
      <c r="AY272"/>
      <c r="BI272"/>
      <c r="BJ272"/>
      <c r="BM272"/>
      <c r="BR272"/>
    </row>
    <row r="273" spans="31:70" ht="15.75" customHeight="1">
      <c r="AE273"/>
      <c r="AF273"/>
      <c r="AX273"/>
      <c r="AY273"/>
      <c r="BI273"/>
      <c r="BJ273"/>
      <c r="BM273"/>
      <c r="BR273"/>
    </row>
    <row r="274" spans="31:70" ht="15.75" customHeight="1">
      <c r="AE274"/>
      <c r="AF274"/>
      <c r="AX274"/>
      <c r="AY274"/>
      <c r="BI274"/>
      <c r="BJ274"/>
      <c r="BM274"/>
      <c r="BR274"/>
    </row>
    <row r="275" spans="31:70" ht="15.75" customHeight="1">
      <c r="AE275"/>
      <c r="AF275"/>
      <c r="AX275"/>
      <c r="AY275"/>
      <c r="BI275"/>
      <c r="BJ275"/>
      <c r="BM275"/>
      <c r="BR275"/>
    </row>
    <row r="276" spans="31:70" ht="15.75" customHeight="1">
      <c r="AE276"/>
      <c r="AF276"/>
      <c r="AX276"/>
      <c r="AY276"/>
      <c r="BI276"/>
      <c r="BJ276"/>
      <c r="BM276"/>
      <c r="BR276"/>
    </row>
    <row r="277" spans="31:70" ht="15.75" customHeight="1">
      <c r="AE277"/>
      <c r="AF277"/>
      <c r="AX277"/>
      <c r="AY277"/>
      <c r="BI277"/>
      <c r="BJ277"/>
      <c r="BM277"/>
      <c r="BR277"/>
    </row>
    <row r="278" spans="31:70" ht="15.75" customHeight="1">
      <c r="AE278"/>
      <c r="AF278"/>
      <c r="AX278"/>
      <c r="AY278"/>
      <c r="BI278"/>
      <c r="BJ278"/>
      <c r="BM278"/>
      <c r="BR278"/>
    </row>
    <row r="279" spans="31:70" ht="15.75" customHeight="1">
      <c r="AE279"/>
      <c r="AF279"/>
      <c r="AX279"/>
      <c r="AY279"/>
      <c r="BI279"/>
      <c r="BJ279"/>
      <c r="BM279"/>
      <c r="BR279"/>
    </row>
    <row r="280" spans="31:70" ht="15.75" customHeight="1">
      <c r="AE280"/>
      <c r="AF280"/>
      <c r="AX280"/>
      <c r="AY280"/>
      <c r="BI280"/>
      <c r="BJ280"/>
      <c r="BM280"/>
      <c r="BR280"/>
    </row>
    <row r="281" spans="31:70" ht="15.75" customHeight="1">
      <c r="AE281"/>
      <c r="AF281"/>
      <c r="AX281"/>
      <c r="AY281"/>
      <c r="BI281"/>
      <c r="BJ281"/>
      <c r="BM281"/>
      <c r="BR281"/>
    </row>
    <row r="282" spans="31:70" ht="15.75" customHeight="1">
      <c r="AE282"/>
      <c r="AF282"/>
      <c r="AX282"/>
      <c r="AY282"/>
      <c r="BI282"/>
      <c r="BJ282"/>
      <c r="BM282"/>
      <c r="BR282"/>
    </row>
    <row r="283" spans="31:70" ht="15.75" customHeight="1">
      <c r="AE283"/>
      <c r="AF283"/>
      <c r="AX283"/>
      <c r="AY283"/>
      <c r="BI283"/>
      <c r="BJ283"/>
      <c r="BM283"/>
      <c r="BR283"/>
    </row>
    <row r="284" spans="31:70" ht="15.75" customHeight="1">
      <c r="AE284"/>
      <c r="AF284"/>
      <c r="AX284"/>
      <c r="AY284"/>
      <c r="BI284"/>
      <c r="BJ284"/>
      <c r="BM284"/>
      <c r="BR284"/>
    </row>
    <row r="285" spans="31:70" ht="15.75" customHeight="1">
      <c r="AE285"/>
      <c r="AF285"/>
      <c r="AX285"/>
      <c r="AY285"/>
      <c r="BI285"/>
      <c r="BJ285"/>
      <c r="BM285"/>
      <c r="BR285"/>
    </row>
    <row r="286" spans="31:70" ht="15.75" customHeight="1">
      <c r="AE286"/>
      <c r="AF286"/>
      <c r="AX286"/>
      <c r="AY286"/>
      <c r="BI286"/>
      <c r="BJ286"/>
      <c r="BM286"/>
      <c r="BR286"/>
    </row>
    <row r="287" spans="31:70" ht="15.75" customHeight="1">
      <c r="AE287"/>
      <c r="AF287"/>
      <c r="AX287"/>
      <c r="AY287"/>
      <c r="BI287"/>
      <c r="BJ287"/>
      <c r="BM287"/>
      <c r="BR287"/>
    </row>
    <row r="288" spans="31:70" ht="15.75" customHeight="1">
      <c r="AE288"/>
      <c r="AF288"/>
      <c r="AX288"/>
      <c r="AY288"/>
      <c r="BI288"/>
      <c r="BJ288"/>
      <c r="BM288"/>
      <c r="BR288"/>
    </row>
    <row r="289" spans="31:70" ht="15.75" customHeight="1">
      <c r="AE289"/>
      <c r="AF289"/>
      <c r="AX289"/>
      <c r="AY289"/>
      <c r="BI289"/>
      <c r="BJ289"/>
      <c r="BM289"/>
      <c r="BR289"/>
    </row>
    <row r="290" spans="31:70" ht="15.75" customHeight="1">
      <c r="AE290"/>
      <c r="AF290"/>
      <c r="AX290"/>
      <c r="AY290"/>
      <c r="BI290"/>
      <c r="BJ290"/>
      <c r="BM290"/>
      <c r="BR290"/>
    </row>
    <row r="291" spans="31:70" ht="15.75" customHeight="1">
      <c r="AE291"/>
      <c r="AF291"/>
      <c r="AX291"/>
      <c r="AY291"/>
      <c r="BI291"/>
      <c r="BJ291"/>
      <c r="BM291"/>
      <c r="BR291"/>
    </row>
    <row r="292" spans="31:70" ht="15.75" customHeight="1">
      <c r="AE292"/>
      <c r="AF292"/>
      <c r="AX292"/>
      <c r="AY292"/>
      <c r="BI292"/>
      <c r="BJ292"/>
      <c r="BM292"/>
      <c r="BR292"/>
    </row>
    <row r="293" spans="31:70" ht="15.75" customHeight="1">
      <c r="AE293"/>
      <c r="AF293"/>
      <c r="AX293"/>
      <c r="AY293"/>
      <c r="BI293"/>
      <c r="BJ293"/>
      <c r="BM293"/>
      <c r="BR293"/>
    </row>
    <row r="294" spans="31:70" ht="15.75" customHeight="1">
      <c r="AE294"/>
      <c r="AF294"/>
      <c r="AX294"/>
      <c r="AY294"/>
      <c r="BI294"/>
      <c r="BJ294"/>
      <c r="BM294"/>
      <c r="BR294"/>
    </row>
    <row r="295" spans="31:70" ht="15.75" customHeight="1">
      <c r="AE295"/>
      <c r="AF295"/>
      <c r="AX295"/>
      <c r="AY295"/>
      <c r="BI295"/>
      <c r="BJ295"/>
      <c r="BM295"/>
      <c r="BR295"/>
    </row>
    <row r="296" spans="31:70" ht="15.75" customHeight="1">
      <c r="AE296"/>
      <c r="AF296"/>
      <c r="AX296"/>
      <c r="AY296"/>
      <c r="BI296"/>
      <c r="BJ296"/>
      <c r="BM296"/>
      <c r="BR296"/>
    </row>
    <row r="297" spans="31:70" ht="15.75" customHeight="1">
      <c r="AE297"/>
      <c r="AF297"/>
      <c r="AX297"/>
      <c r="AY297"/>
      <c r="BI297"/>
      <c r="BJ297"/>
      <c r="BM297"/>
      <c r="BR297"/>
    </row>
    <row r="298" spans="31:70" ht="15.75" customHeight="1">
      <c r="AE298"/>
      <c r="AF298"/>
      <c r="AX298"/>
      <c r="AY298"/>
      <c r="BI298"/>
      <c r="BJ298"/>
      <c r="BM298"/>
      <c r="BR298"/>
    </row>
    <row r="299" spans="31:70" ht="15.75" customHeight="1">
      <c r="AE299"/>
      <c r="AF299"/>
      <c r="AX299"/>
      <c r="AY299"/>
      <c r="BI299"/>
      <c r="BJ299"/>
      <c r="BM299"/>
      <c r="BR299"/>
    </row>
    <row r="300" spans="31:70" ht="15.75" customHeight="1">
      <c r="AE300"/>
      <c r="AF300"/>
      <c r="AX300"/>
      <c r="AY300"/>
      <c r="BI300"/>
      <c r="BJ300"/>
      <c r="BM300"/>
      <c r="BR300"/>
    </row>
    <row r="301" spans="31:70" ht="15.75" customHeight="1">
      <c r="AE301"/>
      <c r="AF301"/>
      <c r="AX301"/>
      <c r="AY301"/>
      <c r="BI301"/>
      <c r="BJ301"/>
      <c r="BM301"/>
      <c r="BR301"/>
    </row>
    <row r="302" spans="31:70" ht="15.75" customHeight="1">
      <c r="AE302"/>
      <c r="AF302"/>
      <c r="AX302"/>
      <c r="AY302"/>
      <c r="BI302"/>
      <c r="BJ302"/>
      <c r="BM302"/>
      <c r="BR302"/>
    </row>
    <row r="303" spans="31:70" ht="15.75" customHeight="1">
      <c r="AE303"/>
      <c r="AF303"/>
      <c r="AX303"/>
      <c r="AY303"/>
      <c r="BI303"/>
      <c r="BJ303"/>
      <c r="BM303"/>
      <c r="BR303"/>
    </row>
    <row r="304" spans="31:70" ht="15.75" customHeight="1">
      <c r="AE304"/>
      <c r="AF304"/>
      <c r="AX304"/>
      <c r="AY304"/>
      <c r="BI304"/>
      <c r="BJ304"/>
      <c r="BM304"/>
      <c r="BR304"/>
    </row>
    <row r="305" spans="31:70" ht="15.75" customHeight="1">
      <c r="AE305"/>
      <c r="AF305"/>
      <c r="AX305"/>
      <c r="AY305"/>
      <c r="BI305"/>
      <c r="BJ305"/>
      <c r="BM305"/>
      <c r="BR305"/>
    </row>
    <row r="306" spans="31:70" ht="15.75" customHeight="1">
      <c r="AE306"/>
      <c r="AF306"/>
      <c r="AX306"/>
      <c r="AY306"/>
      <c r="BI306"/>
      <c r="BJ306"/>
      <c r="BM306"/>
      <c r="BR306"/>
    </row>
    <row r="307" spans="31:70" ht="15.75" customHeight="1">
      <c r="AE307"/>
      <c r="AF307"/>
      <c r="AX307"/>
      <c r="AY307"/>
      <c r="BI307"/>
      <c r="BJ307"/>
      <c r="BM307"/>
      <c r="BR307"/>
    </row>
    <row r="308" spans="31:70" ht="15.75" customHeight="1">
      <c r="AE308"/>
      <c r="AF308"/>
      <c r="AX308"/>
      <c r="AY308"/>
      <c r="BI308"/>
      <c r="BJ308"/>
      <c r="BM308"/>
      <c r="BR308"/>
    </row>
    <row r="309" spans="31:70" ht="15.75" customHeight="1">
      <c r="AE309"/>
      <c r="AF309"/>
      <c r="AX309"/>
      <c r="AY309"/>
      <c r="BI309"/>
      <c r="BJ309"/>
      <c r="BM309"/>
      <c r="BR309"/>
    </row>
    <row r="310" spans="31:70" ht="15.75" customHeight="1">
      <c r="AE310"/>
      <c r="AF310"/>
      <c r="AX310"/>
      <c r="AY310"/>
      <c r="BI310"/>
      <c r="BJ310"/>
      <c r="BM310"/>
      <c r="BR310"/>
    </row>
    <row r="311" spans="31:70" ht="15.75" customHeight="1">
      <c r="AE311"/>
      <c r="AF311"/>
      <c r="AX311"/>
      <c r="AY311"/>
      <c r="BI311"/>
      <c r="BJ311"/>
      <c r="BM311"/>
      <c r="BR311"/>
    </row>
    <row r="312" spans="31:70" ht="15.75" customHeight="1">
      <c r="AE312"/>
      <c r="AF312"/>
      <c r="AX312"/>
      <c r="AY312"/>
      <c r="BI312"/>
      <c r="BJ312"/>
      <c r="BM312"/>
      <c r="BR312"/>
    </row>
    <row r="313" spans="31:70" ht="15.75" customHeight="1">
      <c r="AE313"/>
      <c r="AF313"/>
      <c r="AX313"/>
      <c r="AY313"/>
      <c r="BI313"/>
      <c r="BJ313"/>
      <c r="BM313"/>
      <c r="BR313"/>
    </row>
    <row r="314" spans="31:70" ht="15.75" customHeight="1">
      <c r="AE314"/>
      <c r="AF314"/>
      <c r="AX314"/>
      <c r="AY314"/>
      <c r="BI314"/>
      <c r="BJ314"/>
      <c r="BM314"/>
      <c r="BR314"/>
    </row>
    <row r="315" spans="31:70" ht="15.75" customHeight="1">
      <c r="AE315"/>
      <c r="AF315"/>
      <c r="AX315"/>
      <c r="AY315"/>
      <c r="BI315"/>
      <c r="BJ315"/>
      <c r="BM315"/>
      <c r="BR315"/>
    </row>
    <row r="316" spans="31:70" ht="15.75" customHeight="1">
      <c r="AE316"/>
      <c r="AF316"/>
      <c r="AX316"/>
      <c r="AY316"/>
      <c r="BI316"/>
      <c r="BJ316"/>
      <c r="BM316"/>
      <c r="BR316"/>
    </row>
    <row r="317" spans="31:70" ht="15.75" customHeight="1">
      <c r="AE317"/>
      <c r="AF317"/>
      <c r="AX317"/>
      <c r="AY317"/>
      <c r="BI317"/>
      <c r="BJ317"/>
      <c r="BM317"/>
      <c r="BR317"/>
    </row>
    <row r="318" spans="31:70" ht="15.75" customHeight="1">
      <c r="AE318"/>
      <c r="AF318"/>
      <c r="AX318"/>
      <c r="AY318"/>
      <c r="BI318"/>
      <c r="BJ318"/>
      <c r="BM318"/>
      <c r="BR318"/>
    </row>
    <row r="319" spans="31:70" ht="15.75" customHeight="1">
      <c r="AE319"/>
      <c r="AF319"/>
      <c r="AX319"/>
      <c r="AY319"/>
      <c r="BI319"/>
      <c r="BJ319"/>
      <c r="BM319"/>
      <c r="BR319"/>
    </row>
    <row r="320" spans="31:70" ht="15.75" customHeight="1">
      <c r="AE320"/>
      <c r="AF320"/>
      <c r="AX320"/>
      <c r="AY320"/>
      <c r="BI320"/>
      <c r="BJ320"/>
      <c r="BM320"/>
      <c r="BR320"/>
    </row>
    <row r="321" spans="31:70" ht="15.75" customHeight="1">
      <c r="AE321"/>
      <c r="AF321"/>
      <c r="AX321"/>
      <c r="AY321"/>
      <c r="BI321"/>
      <c r="BJ321"/>
      <c r="BM321"/>
      <c r="BR321"/>
    </row>
    <row r="322" spans="31:70" ht="15.75" customHeight="1">
      <c r="AE322"/>
      <c r="AF322"/>
      <c r="AX322"/>
      <c r="AY322"/>
      <c r="BI322"/>
      <c r="BJ322"/>
      <c r="BM322"/>
      <c r="BR322"/>
    </row>
    <row r="323" spans="31:70" ht="15.75" customHeight="1">
      <c r="AE323"/>
      <c r="AF323"/>
      <c r="AX323"/>
      <c r="AY323"/>
      <c r="BI323"/>
      <c r="BJ323"/>
      <c r="BM323"/>
      <c r="BR323"/>
    </row>
    <row r="324" spans="31:70" ht="15.75" customHeight="1">
      <c r="AE324"/>
      <c r="AF324"/>
      <c r="AX324"/>
      <c r="AY324"/>
      <c r="BI324"/>
      <c r="BJ324"/>
      <c r="BM324"/>
      <c r="BR324"/>
    </row>
    <row r="325" spans="31:70" ht="15.75" customHeight="1">
      <c r="AE325"/>
      <c r="AF325"/>
      <c r="AX325"/>
      <c r="AY325"/>
      <c r="BI325"/>
      <c r="BJ325"/>
      <c r="BM325"/>
      <c r="BR325"/>
    </row>
    <row r="326" spans="31:70" ht="15.75" customHeight="1">
      <c r="AE326"/>
      <c r="AF326"/>
      <c r="AX326"/>
      <c r="AY326"/>
      <c r="BI326"/>
      <c r="BJ326"/>
      <c r="BM326"/>
      <c r="BR326"/>
    </row>
    <row r="327" spans="31:70" ht="15.75" customHeight="1">
      <c r="AE327"/>
      <c r="AF327"/>
      <c r="AX327"/>
      <c r="AY327"/>
      <c r="BI327"/>
      <c r="BJ327"/>
      <c r="BM327"/>
      <c r="BR327"/>
    </row>
    <row r="328" spans="31:70" ht="15.75" customHeight="1">
      <c r="AE328"/>
      <c r="AF328"/>
      <c r="AX328"/>
      <c r="AY328"/>
      <c r="BI328"/>
      <c r="BJ328"/>
      <c r="BM328"/>
      <c r="BR328"/>
    </row>
    <row r="329" spans="31:70" ht="15.75" customHeight="1">
      <c r="AE329"/>
      <c r="AF329"/>
      <c r="AX329"/>
      <c r="AY329"/>
      <c r="BI329"/>
      <c r="BJ329"/>
      <c r="BM329"/>
      <c r="BR329"/>
    </row>
    <row r="330" spans="31:70" ht="15.75" customHeight="1">
      <c r="AE330"/>
      <c r="AF330"/>
      <c r="AX330"/>
      <c r="AY330"/>
      <c r="BI330"/>
      <c r="BJ330"/>
      <c r="BM330"/>
      <c r="BR330"/>
    </row>
    <row r="331" spans="31:70" ht="15.75" customHeight="1">
      <c r="AE331"/>
      <c r="AF331"/>
      <c r="AX331"/>
      <c r="AY331"/>
      <c r="BI331"/>
      <c r="BJ331"/>
      <c r="BM331"/>
      <c r="BR331"/>
    </row>
    <row r="332" spans="31:70" ht="15.75" customHeight="1">
      <c r="AE332"/>
      <c r="AF332"/>
      <c r="AX332"/>
      <c r="AY332"/>
      <c r="BI332"/>
      <c r="BJ332"/>
      <c r="BM332"/>
      <c r="BR332"/>
    </row>
    <row r="333" spans="31:70" ht="15.75" customHeight="1">
      <c r="AE333"/>
      <c r="AF333"/>
      <c r="AX333"/>
      <c r="AY333"/>
      <c r="BI333"/>
      <c r="BJ333"/>
      <c r="BM333"/>
      <c r="BR333"/>
    </row>
    <row r="334" spans="31:70" ht="15.75" customHeight="1">
      <c r="AE334"/>
      <c r="AF334"/>
      <c r="AX334"/>
      <c r="AY334"/>
      <c r="BI334"/>
      <c r="BJ334"/>
      <c r="BM334"/>
      <c r="BR334"/>
    </row>
    <row r="335" spans="31:70" ht="15.75" customHeight="1">
      <c r="AE335"/>
      <c r="AF335"/>
      <c r="AX335"/>
      <c r="AY335"/>
      <c r="BI335"/>
      <c r="BJ335"/>
      <c r="BM335"/>
      <c r="BR335"/>
    </row>
    <row r="336" spans="31:70" ht="15.75" customHeight="1">
      <c r="AE336"/>
      <c r="AF336"/>
      <c r="AX336"/>
      <c r="AY336"/>
      <c r="BI336"/>
      <c r="BJ336"/>
      <c r="BM336"/>
      <c r="BR336"/>
    </row>
    <row r="337" spans="31:70" ht="15.75" customHeight="1">
      <c r="AE337"/>
      <c r="AF337"/>
      <c r="AX337"/>
      <c r="AY337"/>
      <c r="BI337"/>
      <c r="BJ337"/>
      <c r="BM337"/>
      <c r="BR337"/>
    </row>
    <row r="338" spans="31:70" ht="15.75" customHeight="1">
      <c r="AE338"/>
      <c r="AF338"/>
      <c r="AX338"/>
      <c r="AY338"/>
      <c r="BI338"/>
      <c r="BJ338"/>
      <c r="BM338"/>
      <c r="BR338"/>
    </row>
    <row r="339" spans="31:70" ht="15.75" customHeight="1">
      <c r="AE339"/>
      <c r="AF339"/>
      <c r="AX339"/>
      <c r="AY339"/>
      <c r="BI339"/>
      <c r="BJ339"/>
      <c r="BM339"/>
      <c r="BR339"/>
    </row>
    <row r="340" spans="31:70" ht="15.75" customHeight="1">
      <c r="AE340"/>
      <c r="AF340"/>
      <c r="AX340"/>
      <c r="AY340"/>
      <c r="BI340"/>
      <c r="BJ340"/>
      <c r="BM340"/>
      <c r="BR340"/>
    </row>
    <row r="341" spans="31:70" ht="15.75" customHeight="1">
      <c r="AE341"/>
      <c r="AF341"/>
      <c r="AX341"/>
      <c r="AY341"/>
      <c r="BI341"/>
      <c r="BJ341"/>
      <c r="BM341"/>
      <c r="BR341"/>
    </row>
    <row r="342" spans="31:70" ht="15.75" customHeight="1">
      <c r="AE342"/>
      <c r="AF342"/>
      <c r="AX342"/>
      <c r="AY342"/>
      <c r="BI342"/>
      <c r="BJ342"/>
      <c r="BM342"/>
      <c r="BR342"/>
    </row>
    <row r="343" spans="31:70" ht="15.75" customHeight="1">
      <c r="AE343"/>
      <c r="AF343"/>
      <c r="AX343"/>
      <c r="AY343"/>
      <c r="BI343"/>
      <c r="BJ343"/>
      <c r="BM343"/>
      <c r="BR343"/>
    </row>
    <row r="344" spans="31:70" ht="15.75" customHeight="1">
      <c r="AE344"/>
      <c r="AF344"/>
      <c r="AX344"/>
      <c r="AY344"/>
      <c r="BI344"/>
      <c r="BJ344"/>
      <c r="BM344"/>
      <c r="BR344"/>
    </row>
    <row r="345" spans="31:70" ht="15.75" customHeight="1">
      <c r="AE345"/>
      <c r="AF345"/>
      <c r="AX345"/>
      <c r="AY345"/>
      <c r="BI345"/>
      <c r="BJ345"/>
      <c r="BM345"/>
      <c r="BR345"/>
    </row>
    <row r="346" spans="31:70" ht="15.75" customHeight="1">
      <c r="AE346"/>
      <c r="AF346"/>
      <c r="AX346"/>
      <c r="AY346"/>
      <c r="BI346"/>
      <c r="BJ346"/>
      <c r="BM346"/>
      <c r="BR346"/>
    </row>
    <row r="347" spans="31:70" ht="15.75" customHeight="1">
      <c r="AE347"/>
      <c r="AF347"/>
      <c r="AX347"/>
      <c r="AY347"/>
      <c r="BI347"/>
      <c r="BJ347"/>
      <c r="BM347"/>
      <c r="BR347"/>
    </row>
    <row r="348" spans="31:70" ht="15.75" customHeight="1">
      <c r="AE348"/>
      <c r="AF348"/>
      <c r="AX348"/>
      <c r="AY348"/>
      <c r="BI348"/>
      <c r="BJ348"/>
      <c r="BM348"/>
      <c r="BR348"/>
    </row>
    <row r="349" spans="31:70" ht="15.75" customHeight="1">
      <c r="AE349"/>
      <c r="AF349"/>
      <c r="AX349"/>
      <c r="AY349"/>
      <c r="BI349"/>
      <c r="BJ349"/>
      <c r="BM349"/>
      <c r="BR349"/>
    </row>
    <row r="350" spans="31:70" ht="15.75" customHeight="1">
      <c r="AE350"/>
      <c r="AF350"/>
      <c r="AX350"/>
      <c r="AY350"/>
      <c r="BI350"/>
      <c r="BJ350"/>
      <c r="BM350"/>
      <c r="BR350"/>
    </row>
    <row r="351" spans="31:70" ht="15.75" customHeight="1">
      <c r="AE351"/>
      <c r="AF351"/>
      <c r="AX351"/>
      <c r="AY351"/>
      <c r="BI351"/>
      <c r="BJ351"/>
      <c r="BM351"/>
      <c r="BR351"/>
    </row>
    <row r="352" spans="31:70" ht="15.75" customHeight="1">
      <c r="AE352"/>
      <c r="AF352"/>
      <c r="AX352"/>
      <c r="AY352"/>
      <c r="BI352"/>
      <c r="BJ352"/>
      <c r="BM352"/>
      <c r="BR352"/>
    </row>
    <row r="353" spans="31:70" ht="15.75" customHeight="1">
      <c r="AE353"/>
      <c r="AF353"/>
      <c r="AX353"/>
      <c r="AY353"/>
      <c r="BI353"/>
      <c r="BJ353"/>
      <c r="BM353"/>
      <c r="BR353"/>
    </row>
    <row r="354" spans="31:70" ht="15.75" customHeight="1">
      <c r="AE354"/>
      <c r="AF354"/>
      <c r="AX354"/>
      <c r="AY354"/>
      <c r="BI354"/>
      <c r="BJ354"/>
      <c r="BM354"/>
      <c r="BR354"/>
    </row>
    <row r="355" spans="31:70" ht="15.75" customHeight="1">
      <c r="AE355"/>
      <c r="AF355"/>
      <c r="AX355"/>
      <c r="AY355"/>
      <c r="BI355"/>
      <c r="BJ355"/>
      <c r="BM355"/>
      <c r="BR355"/>
    </row>
    <row r="356" spans="31:70" ht="15.75" customHeight="1">
      <c r="AE356"/>
      <c r="AF356"/>
      <c r="AX356"/>
      <c r="AY356"/>
      <c r="BI356"/>
      <c r="BJ356"/>
      <c r="BM356"/>
      <c r="BR356"/>
    </row>
    <row r="357" spans="31:70" ht="15.75" customHeight="1">
      <c r="AE357"/>
      <c r="AF357"/>
      <c r="AX357"/>
      <c r="AY357"/>
      <c r="BI357"/>
      <c r="BJ357"/>
      <c r="BM357"/>
      <c r="BR357"/>
    </row>
    <row r="358" spans="31:70" ht="15.75" customHeight="1">
      <c r="AE358"/>
      <c r="AF358"/>
      <c r="AX358"/>
      <c r="AY358"/>
      <c r="BI358"/>
      <c r="BJ358"/>
      <c r="BM358"/>
      <c r="BR358"/>
    </row>
    <row r="359" spans="31:70" ht="15.75" customHeight="1">
      <c r="AE359"/>
      <c r="AF359"/>
      <c r="AX359"/>
      <c r="AY359"/>
      <c r="BI359"/>
      <c r="BJ359"/>
      <c r="BM359"/>
      <c r="BR359"/>
    </row>
    <row r="360" spans="31:70" ht="15.75" customHeight="1">
      <c r="AE360"/>
      <c r="AF360"/>
      <c r="AX360"/>
      <c r="AY360"/>
      <c r="BI360"/>
      <c r="BJ360"/>
      <c r="BM360"/>
      <c r="BR360"/>
    </row>
    <row r="361" spans="31:70" ht="15.75" customHeight="1">
      <c r="AE361"/>
      <c r="AF361"/>
      <c r="AX361"/>
      <c r="AY361"/>
      <c r="BI361"/>
      <c r="BJ361"/>
      <c r="BM361"/>
      <c r="BR361"/>
    </row>
    <row r="362" spans="31:70" ht="15.75" customHeight="1">
      <c r="AE362"/>
      <c r="AF362"/>
      <c r="AX362"/>
      <c r="AY362"/>
      <c r="BI362"/>
      <c r="BJ362"/>
      <c r="BM362"/>
      <c r="BR362"/>
    </row>
    <row r="363" spans="31:70" ht="15.75" customHeight="1">
      <c r="AE363"/>
      <c r="AF363"/>
      <c r="AX363"/>
      <c r="AY363"/>
      <c r="BI363"/>
      <c r="BJ363"/>
      <c r="BM363"/>
      <c r="BR363"/>
    </row>
    <row r="364" spans="31:70" ht="15.75" customHeight="1">
      <c r="AE364"/>
      <c r="AF364"/>
      <c r="AX364"/>
      <c r="AY364"/>
      <c r="BI364"/>
      <c r="BJ364"/>
      <c r="BM364"/>
      <c r="BR364"/>
    </row>
    <row r="365" spans="31:70" ht="15.75" customHeight="1">
      <c r="AE365"/>
      <c r="AF365"/>
      <c r="AX365"/>
      <c r="AY365"/>
      <c r="BI365"/>
      <c r="BJ365"/>
      <c r="BM365"/>
      <c r="BR365"/>
    </row>
    <row r="366" spans="31:70" ht="15.75" customHeight="1">
      <c r="AE366"/>
      <c r="AF366"/>
      <c r="AX366"/>
      <c r="AY366"/>
      <c r="BI366"/>
      <c r="BJ366"/>
      <c r="BM366"/>
      <c r="BR366"/>
    </row>
    <row r="367" spans="31:70" ht="15.75" customHeight="1">
      <c r="AE367"/>
      <c r="AF367"/>
      <c r="AX367"/>
      <c r="AY367"/>
      <c r="BI367"/>
      <c r="BJ367"/>
      <c r="BM367"/>
      <c r="BR367"/>
    </row>
    <row r="368" spans="31:70" ht="15.75" customHeight="1">
      <c r="AE368"/>
      <c r="AF368"/>
      <c r="AX368"/>
      <c r="AY368"/>
      <c r="BI368"/>
      <c r="BJ368"/>
      <c r="BM368"/>
      <c r="BR368"/>
    </row>
    <row r="369" spans="31:70" ht="15.75" customHeight="1">
      <c r="AE369"/>
      <c r="AF369"/>
      <c r="AX369"/>
      <c r="AY369"/>
      <c r="BI369"/>
      <c r="BJ369"/>
      <c r="BM369"/>
      <c r="BR369"/>
    </row>
    <row r="370" spans="31:70" ht="15.75" customHeight="1">
      <c r="AE370"/>
      <c r="AF370"/>
      <c r="AX370"/>
      <c r="AY370"/>
      <c r="BI370"/>
      <c r="BJ370"/>
      <c r="BM370"/>
      <c r="BR370"/>
    </row>
    <row r="371" spans="31:70" ht="15.75" customHeight="1">
      <c r="AE371"/>
      <c r="AF371"/>
      <c r="AX371"/>
      <c r="AY371"/>
      <c r="BI371"/>
      <c r="BJ371"/>
      <c r="BM371"/>
      <c r="BR371"/>
    </row>
    <row r="372" spans="31:70" ht="15.75" customHeight="1">
      <c r="AE372"/>
      <c r="AF372"/>
      <c r="AX372"/>
      <c r="AY372"/>
      <c r="BI372"/>
      <c r="BJ372"/>
      <c r="BM372"/>
      <c r="BR372"/>
    </row>
    <row r="373" spans="31:70" ht="15.75" customHeight="1">
      <c r="AE373"/>
      <c r="AF373"/>
      <c r="AX373"/>
      <c r="AY373"/>
      <c r="BI373"/>
      <c r="BJ373"/>
      <c r="BM373"/>
      <c r="BR373"/>
    </row>
    <row r="374" spans="31:70" ht="15.75" customHeight="1">
      <c r="AE374"/>
      <c r="AF374"/>
      <c r="AX374"/>
      <c r="AY374"/>
      <c r="BI374"/>
      <c r="BJ374"/>
      <c r="BM374"/>
      <c r="BR374"/>
    </row>
    <row r="375" spans="31:70" ht="15.75" customHeight="1">
      <c r="AE375"/>
      <c r="AF375"/>
      <c r="AX375"/>
      <c r="AY375"/>
      <c r="BI375"/>
      <c r="BJ375"/>
      <c r="BM375"/>
      <c r="BR375"/>
    </row>
    <row r="376" spans="31:70" ht="15.75" customHeight="1">
      <c r="AE376"/>
      <c r="AF376"/>
      <c r="AX376"/>
      <c r="AY376"/>
      <c r="BI376"/>
      <c r="BJ376"/>
      <c r="BM376"/>
      <c r="BR376"/>
    </row>
    <row r="377" spans="31:70" ht="15.75" customHeight="1">
      <c r="AE377"/>
      <c r="AF377"/>
      <c r="AX377"/>
      <c r="AY377"/>
      <c r="BI377"/>
      <c r="BJ377"/>
      <c r="BM377"/>
      <c r="BR377"/>
    </row>
    <row r="378" spans="31:70" ht="15.75" customHeight="1">
      <c r="AE378"/>
      <c r="AF378"/>
      <c r="AX378"/>
      <c r="AY378"/>
      <c r="BI378"/>
      <c r="BJ378"/>
      <c r="BM378"/>
      <c r="BR378"/>
    </row>
    <row r="379" spans="31:70" ht="15.75" customHeight="1">
      <c r="AE379"/>
      <c r="AF379"/>
      <c r="AX379"/>
      <c r="AY379"/>
      <c r="BI379"/>
      <c r="BJ379"/>
      <c r="BM379"/>
      <c r="BR379"/>
    </row>
    <row r="380" spans="31:70" ht="15.75" customHeight="1">
      <c r="AE380"/>
      <c r="AF380"/>
      <c r="AX380"/>
      <c r="AY380"/>
      <c r="BI380"/>
      <c r="BJ380"/>
      <c r="BM380"/>
      <c r="BR380"/>
    </row>
    <row r="381" spans="31:70" ht="15.75" customHeight="1">
      <c r="AE381"/>
      <c r="AF381"/>
      <c r="AX381"/>
      <c r="AY381"/>
      <c r="BI381"/>
      <c r="BJ381"/>
      <c r="BM381"/>
      <c r="BR381"/>
    </row>
    <row r="382" spans="31:70" ht="15.75" customHeight="1">
      <c r="AE382"/>
      <c r="AF382"/>
      <c r="AX382"/>
      <c r="AY382"/>
      <c r="BI382"/>
      <c r="BJ382"/>
      <c r="BM382"/>
      <c r="BR382"/>
    </row>
    <row r="383" spans="31:70" ht="15.75" customHeight="1">
      <c r="AE383"/>
      <c r="AF383"/>
      <c r="AX383"/>
      <c r="AY383"/>
      <c r="BI383"/>
      <c r="BJ383"/>
      <c r="BM383"/>
      <c r="BR383"/>
    </row>
    <row r="384" spans="31:70" ht="15.75" customHeight="1">
      <c r="AE384"/>
      <c r="AF384"/>
      <c r="AX384"/>
      <c r="AY384"/>
      <c r="BI384"/>
      <c r="BJ384"/>
      <c r="BM384"/>
      <c r="BR384"/>
    </row>
    <row r="385" spans="31:70" ht="15.75" customHeight="1">
      <c r="AE385"/>
      <c r="AF385"/>
      <c r="AX385"/>
      <c r="AY385"/>
      <c r="BI385"/>
      <c r="BJ385"/>
      <c r="BM385"/>
      <c r="BR385"/>
    </row>
    <row r="386" spans="31:70" ht="15.75" customHeight="1">
      <c r="AE386"/>
      <c r="AF386"/>
      <c r="AX386"/>
      <c r="AY386"/>
      <c r="BI386"/>
      <c r="BJ386"/>
      <c r="BM386"/>
      <c r="BR386"/>
    </row>
    <row r="387" spans="31:70" ht="15.75" customHeight="1">
      <c r="AE387"/>
      <c r="AF387"/>
      <c r="AX387"/>
      <c r="AY387"/>
      <c r="BI387"/>
      <c r="BJ387"/>
      <c r="BM387"/>
      <c r="BR387"/>
    </row>
    <row r="388" spans="31:70" ht="15.75" customHeight="1">
      <c r="AE388"/>
      <c r="AF388"/>
      <c r="AX388"/>
      <c r="AY388"/>
      <c r="BI388"/>
      <c r="BJ388"/>
      <c r="BM388"/>
      <c r="BR388"/>
    </row>
    <row r="389" spans="31:70" ht="15.75" customHeight="1">
      <c r="AE389"/>
      <c r="AF389"/>
      <c r="AX389"/>
      <c r="AY389"/>
      <c r="BI389"/>
      <c r="BJ389"/>
      <c r="BM389"/>
      <c r="BR389"/>
    </row>
    <row r="390" spans="31:70" ht="15.75" customHeight="1">
      <c r="AE390"/>
      <c r="AF390"/>
      <c r="AX390"/>
      <c r="AY390"/>
      <c r="BI390"/>
      <c r="BJ390"/>
      <c r="BM390"/>
      <c r="BR390"/>
    </row>
    <row r="391" spans="31:70" ht="15.75" customHeight="1">
      <c r="AE391"/>
      <c r="AF391"/>
      <c r="AX391"/>
      <c r="AY391"/>
      <c r="BI391"/>
      <c r="BJ391"/>
      <c r="BM391"/>
      <c r="BR391"/>
    </row>
    <row r="392" spans="31:70" ht="15.75" customHeight="1">
      <c r="AE392"/>
      <c r="AF392"/>
      <c r="AX392"/>
      <c r="AY392"/>
      <c r="BI392"/>
      <c r="BJ392"/>
      <c r="BM392"/>
      <c r="BR392"/>
    </row>
    <row r="393" spans="31:70" ht="15.75" customHeight="1">
      <c r="AE393"/>
      <c r="AF393"/>
      <c r="AX393"/>
      <c r="AY393"/>
      <c r="BI393"/>
      <c r="BJ393"/>
      <c r="BM393"/>
      <c r="BR393"/>
    </row>
    <row r="394" spans="31:70" ht="15.75" customHeight="1">
      <c r="AE394"/>
      <c r="AF394"/>
      <c r="AX394"/>
      <c r="AY394"/>
      <c r="BI394"/>
      <c r="BJ394"/>
      <c r="BM394"/>
      <c r="BR394"/>
    </row>
    <row r="395" spans="31:70" ht="15.75" customHeight="1">
      <c r="AE395"/>
      <c r="AF395"/>
      <c r="AX395"/>
      <c r="AY395"/>
      <c r="BI395"/>
      <c r="BJ395"/>
      <c r="BM395"/>
      <c r="BR395"/>
    </row>
    <row r="396" spans="31:70" ht="15.75" customHeight="1">
      <c r="AE396"/>
      <c r="AF396"/>
      <c r="AX396"/>
      <c r="AY396"/>
      <c r="BI396"/>
      <c r="BJ396"/>
      <c r="BM396"/>
      <c r="BR396"/>
    </row>
    <row r="397" spans="31:70" ht="15.75" customHeight="1">
      <c r="AE397"/>
      <c r="AF397"/>
      <c r="AX397"/>
      <c r="AY397"/>
      <c r="BI397"/>
      <c r="BJ397"/>
      <c r="BM397"/>
      <c r="BR397"/>
    </row>
    <row r="398" spans="31:70" ht="15.75" customHeight="1">
      <c r="AE398"/>
      <c r="AF398"/>
      <c r="AX398"/>
      <c r="AY398"/>
      <c r="BI398"/>
      <c r="BJ398"/>
      <c r="BM398"/>
      <c r="BR398"/>
    </row>
    <row r="399" spans="31:70" ht="15.75" customHeight="1">
      <c r="AE399"/>
      <c r="AF399"/>
      <c r="AX399"/>
      <c r="AY399"/>
      <c r="BI399"/>
      <c r="BJ399"/>
      <c r="BM399"/>
      <c r="BR399"/>
    </row>
    <row r="400" spans="31:70" ht="15.75" customHeight="1">
      <c r="AE400"/>
      <c r="AF400"/>
      <c r="AX400"/>
      <c r="AY400"/>
      <c r="BI400"/>
      <c r="BJ400"/>
      <c r="BM400"/>
      <c r="BR400"/>
    </row>
    <row r="401" spans="31:70" ht="15.75" customHeight="1">
      <c r="AE401"/>
      <c r="AF401"/>
      <c r="AX401"/>
      <c r="AY401"/>
      <c r="BI401"/>
      <c r="BJ401"/>
      <c r="BM401"/>
      <c r="BR401"/>
    </row>
    <row r="402" spans="31:70" ht="15.75" customHeight="1">
      <c r="AE402"/>
      <c r="AF402"/>
      <c r="AX402"/>
      <c r="AY402"/>
      <c r="BI402"/>
      <c r="BJ402"/>
      <c r="BM402"/>
      <c r="BR402"/>
    </row>
    <row r="403" spans="31:70" ht="15.75" customHeight="1">
      <c r="AE403"/>
      <c r="AF403"/>
      <c r="AX403"/>
      <c r="AY403"/>
      <c r="BI403"/>
      <c r="BJ403"/>
      <c r="BM403"/>
      <c r="BR403"/>
    </row>
    <row r="404" spans="31:70" ht="15.75" customHeight="1">
      <c r="AE404"/>
      <c r="AF404"/>
      <c r="AX404"/>
      <c r="AY404"/>
      <c r="BI404"/>
      <c r="BJ404"/>
      <c r="BM404"/>
      <c r="BR404"/>
    </row>
    <row r="405" spans="31:70" ht="15.75" customHeight="1">
      <c r="AE405"/>
      <c r="AF405"/>
      <c r="AX405"/>
      <c r="AY405"/>
      <c r="BI405"/>
      <c r="BJ405"/>
      <c r="BM405"/>
      <c r="BR405"/>
    </row>
    <row r="406" spans="31:70" ht="15.75" customHeight="1">
      <c r="AE406"/>
      <c r="AF406"/>
      <c r="AX406"/>
      <c r="AY406"/>
      <c r="BI406"/>
      <c r="BJ406"/>
      <c r="BM406"/>
      <c r="BR406"/>
    </row>
    <row r="407" spans="31:70" ht="15.75" customHeight="1">
      <c r="AE407"/>
      <c r="AF407"/>
      <c r="AX407"/>
      <c r="AY407"/>
      <c r="BI407"/>
      <c r="BJ407"/>
      <c r="BM407"/>
      <c r="BR407"/>
    </row>
    <row r="408" spans="31:70" ht="15.75" customHeight="1">
      <c r="AE408"/>
      <c r="AF408"/>
      <c r="AX408"/>
      <c r="AY408"/>
      <c r="BI408"/>
      <c r="BJ408"/>
      <c r="BM408"/>
      <c r="BR408"/>
    </row>
    <row r="409" spans="31:70" ht="15.75" customHeight="1">
      <c r="AE409"/>
      <c r="AF409"/>
      <c r="AX409"/>
      <c r="AY409"/>
      <c r="BI409"/>
      <c r="BJ409"/>
      <c r="BM409"/>
      <c r="BR409"/>
    </row>
    <row r="410" spans="31:70" ht="15.75" customHeight="1">
      <c r="AE410"/>
      <c r="AF410"/>
      <c r="AX410"/>
      <c r="AY410"/>
      <c r="BI410"/>
      <c r="BJ410"/>
      <c r="BM410"/>
      <c r="BR410"/>
    </row>
    <row r="411" spans="31:70" ht="15.75" customHeight="1">
      <c r="AE411"/>
      <c r="AF411"/>
      <c r="AX411"/>
      <c r="AY411"/>
      <c r="BI411"/>
      <c r="BJ411"/>
      <c r="BM411"/>
      <c r="BR411"/>
    </row>
    <row r="412" spans="31:70" ht="15.75" customHeight="1">
      <c r="AE412"/>
      <c r="AF412"/>
      <c r="AX412"/>
      <c r="AY412"/>
      <c r="BI412"/>
      <c r="BJ412"/>
      <c r="BM412"/>
      <c r="BR412"/>
    </row>
    <row r="413" spans="31:70" ht="15.75" customHeight="1">
      <c r="AE413"/>
      <c r="AF413"/>
      <c r="AX413"/>
      <c r="AY413"/>
      <c r="BI413"/>
      <c r="BJ413"/>
      <c r="BM413"/>
      <c r="BR413"/>
    </row>
    <row r="414" spans="31:70" ht="15.75" customHeight="1">
      <c r="AE414"/>
      <c r="AF414"/>
      <c r="AX414"/>
      <c r="AY414"/>
      <c r="BI414"/>
      <c r="BJ414"/>
      <c r="BM414"/>
      <c r="BR414"/>
    </row>
    <row r="415" spans="31:70" ht="15.75" customHeight="1">
      <c r="AE415"/>
      <c r="AF415"/>
      <c r="AX415"/>
      <c r="AY415"/>
      <c r="BI415"/>
      <c r="BJ415"/>
      <c r="BM415"/>
      <c r="BR415"/>
    </row>
    <row r="416" spans="31:70" ht="15.75" customHeight="1">
      <c r="AE416"/>
      <c r="AF416"/>
      <c r="AX416"/>
      <c r="AY416"/>
      <c r="BI416"/>
      <c r="BJ416"/>
      <c r="BM416"/>
      <c r="BR416"/>
    </row>
    <row r="417" spans="31:70" ht="15.75" customHeight="1">
      <c r="AE417"/>
      <c r="AF417"/>
      <c r="AX417"/>
      <c r="AY417"/>
      <c r="BI417"/>
      <c r="BJ417"/>
      <c r="BM417"/>
      <c r="BR417"/>
    </row>
    <row r="418" spans="31:70" ht="15.75" customHeight="1">
      <c r="AE418"/>
      <c r="AF418"/>
      <c r="AX418"/>
      <c r="AY418"/>
      <c r="BI418"/>
      <c r="BJ418"/>
      <c r="BM418"/>
      <c r="BR418"/>
    </row>
    <row r="419" spans="31:70" ht="15.75" customHeight="1">
      <c r="AE419"/>
      <c r="AF419"/>
      <c r="AX419"/>
      <c r="AY419"/>
      <c r="BI419"/>
      <c r="BJ419"/>
      <c r="BM419"/>
      <c r="BR419"/>
    </row>
    <row r="420" spans="31:70" ht="15.75" customHeight="1">
      <c r="AE420"/>
      <c r="AF420"/>
      <c r="AX420"/>
      <c r="AY420"/>
      <c r="BI420"/>
      <c r="BJ420"/>
      <c r="BM420"/>
      <c r="BR420"/>
    </row>
    <row r="421" spans="31:70" ht="15.75" customHeight="1">
      <c r="AE421"/>
      <c r="AF421"/>
      <c r="AX421"/>
      <c r="AY421"/>
      <c r="BI421"/>
      <c r="BJ421"/>
      <c r="BM421"/>
      <c r="BR421"/>
    </row>
    <row r="422" spans="31:70" ht="15.75" customHeight="1">
      <c r="AE422"/>
      <c r="AF422"/>
      <c r="AX422"/>
      <c r="AY422"/>
      <c r="BI422"/>
      <c r="BJ422"/>
      <c r="BM422"/>
      <c r="BR422"/>
    </row>
    <row r="423" spans="31:70" ht="15.75" customHeight="1">
      <c r="AE423"/>
      <c r="AF423"/>
      <c r="AX423"/>
      <c r="AY423"/>
      <c r="BI423"/>
      <c r="BJ423"/>
      <c r="BM423"/>
      <c r="BR423"/>
    </row>
    <row r="424" spans="31:70" ht="15.75" customHeight="1">
      <c r="AE424"/>
      <c r="AF424"/>
      <c r="AX424"/>
      <c r="AY424"/>
      <c r="BI424"/>
      <c r="BJ424"/>
      <c r="BM424"/>
      <c r="BR424"/>
    </row>
    <row r="425" spans="31:70" ht="15.75" customHeight="1">
      <c r="AE425"/>
      <c r="AF425"/>
      <c r="AX425"/>
      <c r="AY425"/>
      <c r="BI425"/>
      <c r="BJ425"/>
      <c r="BM425"/>
      <c r="BR425"/>
    </row>
    <row r="426" spans="31:70" ht="15.75" customHeight="1">
      <c r="AE426"/>
      <c r="AF426"/>
      <c r="AX426"/>
      <c r="AY426"/>
      <c r="BI426"/>
      <c r="BJ426"/>
      <c r="BM426"/>
      <c r="BR426"/>
    </row>
    <row r="427" spans="31:70" ht="15.75" customHeight="1">
      <c r="AE427"/>
      <c r="AF427"/>
      <c r="AX427"/>
      <c r="AY427"/>
      <c r="BI427"/>
      <c r="BJ427"/>
      <c r="BM427"/>
      <c r="BR427"/>
    </row>
    <row r="428" spans="31:70" ht="15.75" customHeight="1">
      <c r="AE428"/>
      <c r="AF428"/>
      <c r="AX428"/>
      <c r="AY428"/>
      <c r="BI428"/>
      <c r="BJ428"/>
      <c r="BM428"/>
      <c r="BR428"/>
    </row>
    <row r="429" spans="31:70" ht="15.75" customHeight="1">
      <c r="AE429"/>
      <c r="AF429"/>
      <c r="AX429"/>
      <c r="AY429"/>
      <c r="BI429"/>
      <c r="BJ429"/>
      <c r="BM429"/>
      <c r="BR429"/>
    </row>
    <row r="430" spans="31:70" ht="15.75" customHeight="1">
      <c r="AE430"/>
      <c r="AF430"/>
      <c r="AX430"/>
      <c r="AY430"/>
      <c r="BI430"/>
      <c r="BJ430"/>
      <c r="BM430"/>
      <c r="BR430"/>
    </row>
    <row r="431" spans="31:70" ht="15.75" customHeight="1">
      <c r="AE431"/>
      <c r="AF431"/>
      <c r="AX431"/>
      <c r="AY431"/>
      <c r="BI431"/>
      <c r="BJ431"/>
      <c r="BM431"/>
      <c r="BR431"/>
    </row>
    <row r="432" spans="31:70" ht="15.75" customHeight="1">
      <c r="AE432"/>
      <c r="AF432"/>
      <c r="AX432"/>
      <c r="AY432"/>
      <c r="BI432"/>
      <c r="BJ432"/>
      <c r="BM432"/>
      <c r="BR432"/>
    </row>
    <row r="433" spans="31:70" ht="15.75" customHeight="1">
      <c r="AE433"/>
      <c r="AF433"/>
      <c r="AX433"/>
      <c r="AY433"/>
      <c r="BI433"/>
      <c r="BJ433"/>
      <c r="BM433"/>
      <c r="BR433"/>
    </row>
    <row r="434" spans="31:70" ht="15.75" customHeight="1">
      <c r="AE434"/>
      <c r="AF434"/>
      <c r="AX434"/>
      <c r="AY434"/>
      <c r="BI434"/>
      <c r="BJ434"/>
      <c r="BM434"/>
      <c r="BR434"/>
    </row>
    <row r="435" spans="31:70" ht="15.75" customHeight="1">
      <c r="AE435"/>
      <c r="AF435"/>
      <c r="AX435"/>
      <c r="AY435"/>
      <c r="BI435"/>
      <c r="BJ435"/>
      <c r="BM435"/>
      <c r="BR435"/>
    </row>
    <row r="436" spans="31:70" ht="15.75" customHeight="1">
      <c r="AE436"/>
      <c r="AF436"/>
      <c r="AX436"/>
      <c r="AY436"/>
      <c r="BI436"/>
      <c r="BJ436"/>
      <c r="BM436"/>
      <c r="BR436"/>
    </row>
    <row r="437" spans="31:70" ht="15.75" customHeight="1">
      <c r="AE437"/>
      <c r="AF437"/>
      <c r="AX437"/>
      <c r="AY437"/>
      <c r="BI437"/>
      <c r="BJ437"/>
      <c r="BM437"/>
      <c r="BR437"/>
    </row>
    <row r="438" spans="31:70" ht="15.75" customHeight="1">
      <c r="AE438"/>
      <c r="AF438"/>
      <c r="AX438"/>
      <c r="AY438"/>
      <c r="BI438"/>
      <c r="BJ438"/>
      <c r="BM438"/>
      <c r="BR438"/>
    </row>
    <row r="439" spans="31:70" ht="15.75" customHeight="1">
      <c r="AE439"/>
      <c r="AF439"/>
      <c r="AX439"/>
      <c r="AY439"/>
      <c r="BI439"/>
      <c r="BJ439"/>
      <c r="BM439"/>
      <c r="BR439"/>
    </row>
    <row r="440" spans="31:70" ht="15.75" customHeight="1">
      <c r="AE440"/>
      <c r="AF440"/>
      <c r="AX440"/>
      <c r="AY440"/>
      <c r="BI440"/>
      <c r="BJ440"/>
      <c r="BM440"/>
      <c r="BR440"/>
    </row>
    <row r="441" spans="31:70" ht="15.75" customHeight="1">
      <c r="AE441"/>
      <c r="AF441"/>
      <c r="AX441"/>
      <c r="AY441"/>
      <c r="BI441"/>
      <c r="BJ441"/>
      <c r="BM441"/>
      <c r="BR441"/>
    </row>
    <row r="442" spans="31:70" ht="15.75" customHeight="1">
      <c r="AE442"/>
      <c r="AF442"/>
      <c r="AX442"/>
      <c r="AY442"/>
      <c r="BI442"/>
      <c r="BJ442"/>
      <c r="BM442"/>
      <c r="BR442"/>
    </row>
    <row r="443" spans="31:70" ht="15.75" customHeight="1">
      <c r="AE443"/>
      <c r="AF443"/>
      <c r="AX443"/>
      <c r="AY443"/>
      <c r="BI443"/>
      <c r="BJ443"/>
      <c r="BM443"/>
      <c r="BR443"/>
    </row>
    <row r="444" spans="31:70" ht="15.75" customHeight="1">
      <c r="AE444"/>
      <c r="AF444"/>
      <c r="AX444"/>
      <c r="AY444"/>
      <c r="BI444"/>
      <c r="BJ444"/>
      <c r="BM444"/>
      <c r="BR444"/>
    </row>
    <row r="445" spans="31:70" ht="15.75" customHeight="1">
      <c r="AE445"/>
      <c r="AF445"/>
      <c r="AX445"/>
      <c r="AY445"/>
      <c r="BI445"/>
      <c r="BJ445"/>
      <c r="BM445"/>
      <c r="BR445"/>
    </row>
    <row r="446" spans="31:70" ht="15.75" customHeight="1">
      <c r="AE446"/>
      <c r="AF446"/>
      <c r="AX446"/>
      <c r="AY446"/>
      <c r="BI446"/>
      <c r="BJ446"/>
      <c r="BM446"/>
      <c r="BR446"/>
    </row>
    <row r="447" spans="31:70" ht="15.75" customHeight="1">
      <c r="AE447"/>
      <c r="AF447"/>
      <c r="AX447"/>
      <c r="AY447"/>
      <c r="BI447"/>
      <c r="BJ447"/>
      <c r="BM447"/>
      <c r="BR447"/>
    </row>
    <row r="448" spans="31:70" ht="15.75" customHeight="1">
      <c r="AE448"/>
      <c r="AF448"/>
      <c r="AX448"/>
      <c r="AY448"/>
      <c r="BI448"/>
      <c r="BJ448"/>
      <c r="BM448"/>
      <c r="BR448"/>
    </row>
    <row r="449" spans="31:70" ht="15.75" customHeight="1">
      <c r="AE449"/>
      <c r="AF449"/>
      <c r="AX449"/>
      <c r="AY449"/>
      <c r="BI449"/>
      <c r="BJ449"/>
      <c r="BM449"/>
      <c r="BR449"/>
    </row>
    <row r="450" spans="31:70" ht="15.75" customHeight="1">
      <c r="AE450"/>
      <c r="AF450"/>
      <c r="AX450"/>
      <c r="AY450"/>
      <c r="BI450"/>
      <c r="BJ450"/>
      <c r="BM450"/>
      <c r="BR450"/>
    </row>
    <row r="451" spans="31:70" ht="15.75" customHeight="1">
      <c r="AE451"/>
      <c r="AF451"/>
      <c r="AX451"/>
      <c r="AY451"/>
      <c r="BI451"/>
      <c r="BJ451"/>
      <c r="BM451"/>
      <c r="BR451"/>
    </row>
    <row r="452" spans="31:70" ht="15.75" customHeight="1">
      <c r="AE452"/>
      <c r="AF452"/>
      <c r="AX452"/>
      <c r="AY452"/>
      <c r="BI452"/>
      <c r="BJ452"/>
      <c r="BM452"/>
      <c r="BR452"/>
    </row>
    <row r="453" spans="31:70" ht="15.75" customHeight="1">
      <c r="AE453"/>
      <c r="AF453"/>
      <c r="AX453"/>
      <c r="AY453"/>
      <c r="BI453"/>
      <c r="BJ453"/>
      <c r="BM453"/>
      <c r="BR453"/>
    </row>
    <row r="454" spans="31:70" ht="15.75" customHeight="1">
      <c r="AE454"/>
      <c r="AF454"/>
      <c r="AX454"/>
      <c r="AY454"/>
      <c r="BI454"/>
      <c r="BJ454"/>
      <c r="BM454"/>
      <c r="BR454"/>
    </row>
    <row r="455" spans="31:70" ht="15.75" customHeight="1">
      <c r="AE455"/>
      <c r="AF455"/>
      <c r="AX455"/>
      <c r="AY455"/>
      <c r="BI455"/>
      <c r="BJ455"/>
      <c r="BM455"/>
      <c r="BR455"/>
    </row>
    <row r="456" spans="31:70" ht="15.75" customHeight="1">
      <c r="AE456"/>
      <c r="AF456"/>
      <c r="AX456"/>
      <c r="AY456"/>
      <c r="BI456"/>
      <c r="BJ456"/>
      <c r="BM456"/>
      <c r="BR456"/>
    </row>
    <row r="457" spans="31:70" ht="15.75" customHeight="1">
      <c r="AE457"/>
      <c r="AF457"/>
      <c r="AX457"/>
      <c r="AY457"/>
      <c r="BI457"/>
      <c r="BJ457"/>
      <c r="BM457"/>
      <c r="BR457"/>
    </row>
    <row r="458" spans="31:70" ht="15.75" customHeight="1">
      <c r="AE458"/>
      <c r="AF458"/>
      <c r="AX458"/>
      <c r="AY458"/>
      <c r="BI458"/>
      <c r="BJ458"/>
      <c r="BM458"/>
      <c r="BR458"/>
    </row>
    <row r="459" spans="31:70" ht="15.75" customHeight="1">
      <c r="AE459"/>
      <c r="AF459"/>
      <c r="AX459"/>
      <c r="AY459"/>
      <c r="BI459"/>
      <c r="BJ459"/>
      <c r="BM459"/>
      <c r="BR459"/>
    </row>
    <row r="460" spans="31:70" ht="15.75" customHeight="1">
      <c r="AE460"/>
      <c r="AF460"/>
      <c r="AX460"/>
      <c r="AY460"/>
      <c r="BI460"/>
      <c r="BJ460"/>
      <c r="BM460"/>
      <c r="BR460"/>
    </row>
    <row r="461" spans="31:70" ht="15.75" customHeight="1">
      <c r="AE461"/>
      <c r="AF461"/>
      <c r="AX461"/>
      <c r="AY461"/>
      <c r="BI461"/>
      <c r="BJ461"/>
      <c r="BM461"/>
      <c r="BR461"/>
    </row>
    <row r="462" spans="31:70" ht="15.75" customHeight="1">
      <c r="AE462"/>
      <c r="AF462"/>
      <c r="AX462"/>
      <c r="AY462"/>
      <c r="BI462"/>
      <c r="BJ462"/>
      <c r="BM462"/>
      <c r="BR462"/>
    </row>
    <row r="463" spans="31:70" ht="15.75" customHeight="1">
      <c r="AE463"/>
      <c r="AF463"/>
      <c r="AX463"/>
      <c r="AY463"/>
      <c r="BI463"/>
      <c r="BJ463"/>
      <c r="BM463"/>
      <c r="BR463"/>
    </row>
    <row r="464" spans="31:70" ht="15.75" customHeight="1">
      <c r="AE464"/>
      <c r="AF464"/>
      <c r="AX464"/>
      <c r="AY464"/>
      <c r="BI464"/>
      <c r="BJ464"/>
      <c r="BM464"/>
      <c r="BR464"/>
    </row>
    <row r="465" spans="31:70" ht="15.75" customHeight="1">
      <c r="AE465"/>
      <c r="AF465"/>
      <c r="AX465"/>
      <c r="AY465"/>
      <c r="BI465"/>
      <c r="BJ465"/>
      <c r="BM465"/>
      <c r="BR465"/>
    </row>
    <row r="466" spans="31:70" ht="15.75" customHeight="1">
      <c r="AE466"/>
      <c r="AF466"/>
      <c r="AX466"/>
      <c r="AY466"/>
      <c r="BI466"/>
      <c r="BJ466"/>
      <c r="BM466"/>
      <c r="BR466"/>
    </row>
    <row r="467" spans="31:70" ht="15.75" customHeight="1">
      <c r="AE467"/>
      <c r="AF467"/>
      <c r="AX467"/>
      <c r="AY467"/>
      <c r="BI467"/>
      <c r="BJ467"/>
      <c r="BM467"/>
      <c r="BR467"/>
    </row>
    <row r="468" spans="31:70" ht="15.75" customHeight="1">
      <c r="AE468"/>
      <c r="AF468"/>
      <c r="AX468"/>
      <c r="AY468"/>
      <c r="BI468"/>
      <c r="BJ468"/>
      <c r="BM468"/>
      <c r="BR468"/>
    </row>
    <row r="469" spans="31:70" ht="15.75" customHeight="1">
      <c r="AE469"/>
      <c r="AF469"/>
      <c r="AX469"/>
      <c r="AY469"/>
      <c r="BI469"/>
      <c r="BJ469"/>
      <c r="BM469"/>
      <c r="BR469"/>
    </row>
    <row r="470" spans="31:70" ht="15.75" customHeight="1">
      <c r="AE470"/>
      <c r="AF470"/>
      <c r="AX470"/>
      <c r="AY470"/>
      <c r="BI470"/>
      <c r="BJ470"/>
      <c r="BM470"/>
      <c r="BR470"/>
    </row>
    <row r="471" spans="31:70" ht="15.75" customHeight="1">
      <c r="AE471"/>
      <c r="AF471"/>
      <c r="AX471"/>
      <c r="AY471"/>
      <c r="BI471"/>
      <c r="BJ471"/>
      <c r="BM471"/>
      <c r="BR471"/>
    </row>
    <row r="472" spans="31:70" ht="15.75" customHeight="1">
      <c r="AE472"/>
      <c r="AF472"/>
      <c r="AX472"/>
      <c r="AY472"/>
      <c r="BI472"/>
      <c r="BJ472"/>
      <c r="BM472"/>
      <c r="BR472"/>
    </row>
    <row r="473" spans="31:70" ht="15.75" customHeight="1">
      <c r="AE473"/>
      <c r="AF473"/>
      <c r="AX473"/>
      <c r="AY473"/>
      <c r="BI473"/>
      <c r="BJ473"/>
      <c r="BM473"/>
      <c r="BR473"/>
    </row>
    <row r="474" spans="31:70" ht="15.75" customHeight="1">
      <c r="AE474"/>
      <c r="AF474"/>
      <c r="AX474"/>
      <c r="AY474"/>
      <c r="BI474"/>
      <c r="BJ474"/>
      <c r="BM474"/>
      <c r="BR474"/>
    </row>
    <row r="475" spans="31:70" ht="15.75" customHeight="1">
      <c r="AE475"/>
      <c r="AF475"/>
      <c r="AX475"/>
      <c r="AY475"/>
      <c r="BI475"/>
      <c r="BJ475"/>
      <c r="BM475"/>
      <c r="BR475"/>
    </row>
    <row r="476" spans="31:70" ht="15.75" customHeight="1">
      <c r="AE476"/>
      <c r="AF476"/>
      <c r="AX476"/>
      <c r="AY476"/>
      <c r="BI476"/>
      <c r="BJ476"/>
      <c r="BM476"/>
      <c r="BR476"/>
    </row>
    <row r="477" spans="31:70" ht="15.75" customHeight="1">
      <c r="AE477"/>
      <c r="AF477"/>
      <c r="AX477"/>
      <c r="AY477"/>
      <c r="BI477"/>
      <c r="BJ477"/>
      <c r="BM477"/>
      <c r="BR477"/>
    </row>
    <row r="478" spans="31:70" ht="15.75" customHeight="1">
      <c r="AE478"/>
      <c r="AF478"/>
      <c r="AX478"/>
      <c r="AY478"/>
      <c r="BI478"/>
      <c r="BJ478"/>
      <c r="BM478"/>
      <c r="BR478"/>
    </row>
    <row r="479" spans="31:70" ht="15.75" customHeight="1">
      <c r="AE479"/>
      <c r="AF479"/>
      <c r="AX479"/>
      <c r="AY479"/>
      <c r="BI479"/>
      <c r="BJ479"/>
      <c r="BM479"/>
      <c r="BR479"/>
    </row>
    <row r="480" spans="31:70" ht="15.75" customHeight="1">
      <c r="AE480"/>
      <c r="AF480"/>
      <c r="AX480"/>
      <c r="AY480"/>
      <c r="BI480"/>
      <c r="BJ480"/>
      <c r="BM480"/>
      <c r="BR480"/>
    </row>
    <row r="481" spans="31:70" ht="15.75" customHeight="1">
      <c r="AE481"/>
      <c r="AF481"/>
      <c r="AX481"/>
      <c r="AY481"/>
      <c r="BI481"/>
      <c r="BJ481"/>
      <c r="BM481"/>
      <c r="BR481"/>
    </row>
    <row r="482" spans="31:70" ht="15.75" customHeight="1">
      <c r="AE482"/>
      <c r="AF482"/>
      <c r="AX482"/>
      <c r="AY482"/>
      <c r="BI482"/>
      <c r="BJ482"/>
      <c r="BM482"/>
      <c r="BR482"/>
    </row>
    <row r="483" spans="31:70" ht="15.75" customHeight="1">
      <c r="AE483"/>
      <c r="AF483"/>
      <c r="AX483"/>
      <c r="AY483"/>
      <c r="BI483"/>
      <c r="BJ483"/>
      <c r="BM483"/>
      <c r="BR483"/>
    </row>
    <row r="484" spans="31:70" ht="15.75" customHeight="1">
      <c r="AE484"/>
      <c r="AF484"/>
      <c r="AX484"/>
      <c r="AY484"/>
      <c r="BI484"/>
      <c r="BJ484"/>
      <c r="BM484"/>
      <c r="BR484"/>
    </row>
    <row r="485" spans="31:70" ht="15.75" customHeight="1">
      <c r="AE485"/>
      <c r="AF485"/>
      <c r="AX485"/>
      <c r="AY485"/>
      <c r="BI485"/>
      <c r="BJ485"/>
      <c r="BM485"/>
      <c r="BR485"/>
    </row>
    <row r="486" spans="31:70" ht="15.75" customHeight="1">
      <c r="AE486"/>
      <c r="AF486"/>
      <c r="AX486"/>
      <c r="AY486"/>
      <c r="BI486"/>
      <c r="BJ486"/>
      <c r="BM486"/>
      <c r="BR486"/>
    </row>
    <row r="487" spans="31:70" ht="15.75" customHeight="1">
      <c r="AE487"/>
      <c r="AF487"/>
      <c r="AX487"/>
      <c r="AY487"/>
      <c r="BI487"/>
      <c r="BJ487"/>
      <c r="BM487"/>
      <c r="BR487"/>
    </row>
    <row r="488" spans="31:70" ht="15.75" customHeight="1">
      <c r="AE488"/>
      <c r="AF488"/>
      <c r="AX488"/>
      <c r="AY488"/>
      <c r="BI488"/>
      <c r="BJ488"/>
      <c r="BM488"/>
      <c r="BR488"/>
    </row>
    <row r="489" spans="31:70" ht="15.75" customHeight="1">
      <c r="AE489"/>
      <c r="AF489"/>
      <c r="AX489"/>
      <c r="AY489"/>
      <c r="BI489"/>
      <c r="BJ489"/>
      <c r="BM489"/>
      <c r="BR489"/>
    </row>
    <row r="490" spans="31:70" ht="15.75" customHeight="1">
      <c r="AE490"/>
      <c r="AF490"/>
      <c r="AX490"/>
      <c r="AY490"/>
      <c r="BI490"/>
      <c r="BJ490"/>
      <c r="BM490"/>
      <c r="BR490"/>
    </row>
    <row r="491" spans="31:70" ht="15.75" customHeight="1">
      <c r="AE491"/>
      <c r="AF491"/>
      <c r="AX491"/>
      <c r="AY491"/>
      <c r="BI491"/>
      <c r="BJ491"/>
      <c r="BM491"/>
      <c r="BR491"/>
    </row>
    <row r="492" spans="31:70" ht="15.75" customHeight="1">
      <c r="AE492"/>
      <c r="AF492"/>
      <c r="AX492"/>
      <c r="AY492"/>
      <c r="BI492"/>
      <c r="BJ492"/>
      <c r="BM492"/>
      <c r="BR492"/>
    </row>
    <row r="493" spans="31:70" ht="15.75" customHeight="1">
      <c r="AE493"/>
      <c r="AF493"/>
      <c r="AX493"/>
      <c r="AY493"/>
      <c r="BI493"/>
      <c r="BJ493"/>
      <c r="BM493"/>
      <c r="BR493"/>
    </row>
    <row r="494" spans="31:70" ht="15.75" customHeight="1">
      <c r="AE494"/>
      <c r="AF494"/>
      <c r="AX494"/>
      <c r="AY494"/>
      <c r="BI494"/>
      <c r="BJ494"/>
      <c r="BM494"/>
      <c r="BR494"/>
    </row>
    <row r="495" spans="31:70" ht="15.75" customHeight="1">
      <c r="AE495"/>
      <c r="AF495"/>
      <c r="AX495"/>
      <c r="AY495"/>
      <c r="BI495"/>
      <c r="BJ495"/>
      <c r="BM495"/>
      <c r="BR495"/>
    </row>
    <row r="496" spans="31:70" ht="15.75" customHeight="1">
      <c r="AE496"/>
      <c r="AF496"/>
      <c r="AX496"/>
      <c r="AY496"/>
      <c r="BI496"/>
      <c r="BJ496"/>
      <c r="BM496"/>
      <c r="BR496"/>
    </row>
    <row r="497" spans="31:70" ht="15.75" customHeight="1">
      <c r="AE497"/>
      <c r="AF497"/>
      <c r="AX497"/>
      <c r="AY497"/>
      <c r="BI497"/>
      <c r="BJ497"/>
      <c r="BM497"/>
      <c r="BR497"/>
    </row>
    <row r="498" spans="31:70" ht="15.75" customHeight="1">
      <c r="AE498"/>
      <c r="AF498"/>
      <c r="AX498"/>
      <c r="AY498"/>
      <c r="BI498"/>
      <c r="BJ498"/>
      <c r="BM498"/>
      <c r="BR498"/>
    </row>
    <row r="499" spans="31:70" ht="15.75" customHeight="1">
      <c r="AE499"/>
      <c r="AF499"/>
      <c r="AX499"/>
      <c r="AY499"/>
      <c r="BI499"/>
      <c r="BJ499"/>
      <c r="BM499"/>
      <c r="BR499"/>
    </row>
    <row r="500" spans="31:70" ht="15.75" customHeight="1">
      <c r="AE500"/>
      <c r="AF500"/>
      <c r="AX500"/>
      <c r="AY500"/>
      <c r="BI500"/>
      <c r="BJ500"/>
      <c r="BM500"/>
      <c r="BR500"/>
    </row>
    <row r="501" spans="31:70" ht="15.75" customHeight="1">
      <c r="AE501"/>
      <c r="AF501"/>
      <c r="AX501"/>
      <c r="AY501"/>
      <c r="BI501"/>
      <c r="BJ501"/>
      <c r="BM501"/>
      <c r="BR501"/>
    </row>
    <row r="502" spans="31:70" ht="15.75" customHeight="1">
      <c r="AE502"/>
      <c r="AF502"/>
      <c r="AX502"/>
      <c r="AY502"/>
      <c r="BI502"/>
      <c r="BJ502"/>
      <c r="BM502"/>
      <c r="BR502"/>
    </row>
    <row r="503" spans="31:70" ht="15.75" customHeight="1">
      <c r="AE503"/>
      <c r="AF503"/>
      <c r="AX503"/>
      <c r="AY503"/>
      <c r="BI503"/>
      <c r="BJ503"/>
      <c r="BM503"/>
      <c r="BR503"/>
    </row>
    <row r="504" spans="31:70" ht="15.75" customHeight="1">
      <c r="AE504"/>
      <c r="AF504"/>
      <c r="AX504"/>
      <c r="AY504"/>
      <c r="BI504"/>
      <c r="BJ504"/>
      <c r="BM504"/>
      <c r="BR504"/>
    </row>
    <row r="505" spans="31:70" ht="15.75" customHeight="1">
      <c r="AE505"/>
      <c r="AF505"/>
      <c r="AX505"/>
      <c r="AY505"/>
      <c r="BI505"/>
      <c r="BJ505"/>
      <c r="BM505"/>
      <c r="BR505"/>
    </row>
    <row r="506" spans="31:70" ht="15.75" customHeight="1">
      <c r="AE506"/>
      <c r="AF506"/>
      <c r="AX506"/>
      <c r="AY506"/>
      <c r="BI506"/>
      <c r="BJ506"/>
      <c r="BM506"/>
      <c r="BR506"/>
    </row>
    <row r="507" spans="31:70" ht="15.75" customHeight="1">
      <c r="AE507"/>
      <c r="AF507"/>
      <c r="AX507"/>
      <c r="AY507"/>
      <c r="BI507"/>
      <c r="BJ507"/>
      <c r="BM507"/>
      <c r="BR507"/>
    </row>
    <row r="508" spans="31:70" ht="15.75" customHeight="1">
      <c r="AE508"/>
      <c r="AF508"/>
      <c r="AX508"/>
      <c r="AY508"/>
      <c r="BI508"/>
      <c r="BJ508"/>
      <c r="BM508"/>
      <c r="BR508"/>
    </row>
    <row r="509" spans="31:70" ht="15.75" customHeight="1">
      <c r="AE509"/>
      <c r="AF509"/>
      <c r="AX509"/>
      <c r="AY509"/>
      <c r="BI509"/>
      <c r="BJ509"/>
      <c r="BM509"/>
      <c r="BR509"/>
    </row>
    <row r="510" spans="31:70" ht="15.75" customHeight="1">
      <c r="AE510"/>
      <c r="AF510"/>
      <c r="AX510"/>
      <c r="AY510"/>
      <c r="BI510"/>
      <c r="BJ510"/>
      <c r="BM510"/>
      <c r="BR510"/>
    </row>
    <row r="511" spans="31:70" ht="15.75" customHeight="1">
      <c r="AE511"/>
      <c r="AF511"/>
      <c r="AX511"/>
      <c r="AY511"/>
      <c r="BI511"/>
      <c r="BJ511"/>
      <c r="BM511"/>
      <c r="BR511"/>
    </row>
    <row r="512" spans="31:70" ht="15.75" customHeight="1">
      <c r="AE512"/>
      <c r="AF512"/>
      <c r="AX512"/>
      <c r="AY512"/>
      <c r="BI512"/>
      <c r="BJ512"/>
      <c r="BM512"/>
      <c r="BR512"/>
    </row>
    <row r="513" spans="31:70" ht="15.75" customHeight="1">
      <c r="AE513"/>
      <c r="AF513"/>
      <c r="AX513"/>
      <c r="AY513"/>
      <c r="BI513"/>
      <c r="BJ513"/>
      <c r="BM513"/>
      <c r="BR513"/>
    </row>
    <row r="514" spans="31:70" ht="15.75" customHeight="1">
      <c r="AE514"/>
      <c r="AF514"/>
      <c r="AX514"/>
      <c r="AY514"/>
      <c r="BI514"/>
      <c r="BJ514"/>
      <c r="BM514"/>
      <c r="BR514"/>
    </row>
    <row r="515" spans="31:70" ht="15.75" customHeight="1">
      <c r="AE515"/>
      <c r="AF515"/>
      <c r="AX515"/>
      <c r="AY515"/>
      <c r="BI515"/>
      <c r="BJ515"/>
      <c r="BM515"/>
      <c r="BR515"/>
    </row>
    <row r="516" spans="31:70" ht="15.75" customHeight="1">
      <c r="AE516"/>
      <c r="AF516"/>
      <c r="AX516"/>
      <c r="AY516"/>
      <c r="BI516"/>
      <c r="BJ516"/>
      <c r="BM516"/>
      <c r="BR516"/>
    </row>
    <row r="517" spans="31:70" ht="15.75" customHeight="1">
      <c r="AE517"/>
      <c r="AF517"/>
      <c r="AX517"/>
      <c r="AY517"/>
      <c r="BI517"/>
      <c r="BJ517"/>
      <c r="BM517"/>
      <c r="BR517"/>
    </row>
    <row r="518" spans="31:70" ht="15.75" customHeight="1">
      <c r="AE518"/>
      <c r="AF518"/>
      <c r="AX518"/>
      <c r="AY518"/>
      <c r="BI518"/>
      <c r="BJ518"/>
      <c r="BM518"/>
      <c r="BR518"/>
    </row>
    <row r="519" spans="31:70" ht="15.75" customHeight="1">
      <c r="AE519"/>
      <c r="AF519"/>
      <c r="AX519"/>
      <c r="AY519"/>
      <c r="BI519"/>
      <c r="BJ519"/>
      <c r="BM519"/>
      <c r="BR519"/>
    </row>
    <row r="520" spans="31:70" ht="15.75" customHeight="1">
      <c r="AE520"/>
      <c r="AF520"/>
      <c r="AX520"/>
      <c r="AY520"/>
      <c r="BI520"/>
      <c r="BJ520"/>
      <c r="BM520"/>
      <c r="BR520"/>
    </row>
    <row r="521" spans="31:70" ht="15.75" customHeight="1">
      <c r="AE521"/>
      <c r="AF521"/>
      <c r="AX521"/>
      <c r="AY521"/>
      <c r="BI521"/>
      <c r="BJ521"/>
      <c r="BM521"/>
      <c r="BR521"/>
    </row>
    <row r="522" spans="31:70" ht="15.75" customHeight="1">
      <c r="AE522"/>
      <c r="AF522"/>
      <c r="AX522"/>
      <c r="AY522"/>
      <c r="BI522"/>
      <c r="BJ522"/>
      <c r="BM522"/>
      <c r="BR522"/>
    </row>
    <row r="523" spans="31:70" ht="15.75" customHeight="1">
      <c r="AE523"/>
      <c r="AF523"/>
      <c r="AX523"/>
      <c r="AY523"/>
      <c r="BI523"/>
      <c r="BJ523"/>
      <c r="BM523"/>
      <c r="BR523"/>
    </row>
    <row r="524" spans="31:70" ht="15.75" customHeight="1">
      <c r="AE524"/>
      <c r="AF524"/>
      <c r="AX524"/>
      <c r="AY524"/>
      <c r="BI524"/>
      <c r="BJ524"/>
      <c r="BM524"/>
      <c r="BR524"/>
    </row>
    <row r="525" spans="31:70" ht="15.75" customHeight="1">
      <c r="AE525"/>
      <c r="AF525"/>
      <c r="AX525"/>
      <c r="AY525"/>
      <c r="BI525"/>
      <c r="BJ525"/>
      <c r="BM525"/>
      <c r="BR525"/>
    </row>
    <row r="526" spans="31:70" ht="15.75" customHeight="1">
      <c r="AE526"/>
      <c r="AF526"/>
      <c r="AX526"/>
      <c r="AY526"/>
      <c r="BI526"/>
      <c r="BJ526"/>
      <c r="BM526"/>
      <c r="BR526"/>
    </row>
    <row r="527" spans="31:70" ht="15.75" customHeight="1">
      <c r="AE527"/>
      <c r="AF527"/>
      <c r="AX527"/>
      <c r="AY527"/>
      <c r="BI527"/>
      <c r="BJ527"/>
      <c r="BM527"/>
      <c r="BR527"/>
    </row>
    <row r="528" spans="31:70" ht="15.75" customHeight="1">
      <c r="AE528"/>
      <c r="AF528"/>
      <c r="AX528"/>
      <c r="AY528"/>
      <c r="BI528"/>
      <c r="BJ528"/>
      <c r="BM528"/>
      <c r="BR528"/>
    </row>
    <row r="529" spans="31:70" ht="15.75" customHeight="1">
      <c r="AE529"/>
      <c r="AF529"/>
      <c r="AX529"/>
      <c r="AY529"/>
      <c r="BI529"/>
      <c r="BJ529"/>
      <c r="BM529"/>
      <c r="BR529"/>
    </row>
    <row r="530" spans="31:70" ht="15.75" customHeight="1">
      <c r="AE530"/>
      <c r="AF530"/>
      <c r="AX530"/>
      <c r="AY530"/>
      <c r="BI530"/>
      <c r="BJ530"/>
      <c r="BM530"/>
      <c r="BR530"/>
    </row>
    <row r="531" spans="31:70" ht="15.75" customHeight="1">
      <c r="AE531"/>
      <c r="AF531"/>
      <c r="AX531"/>
      <c r="AY531"/>
      <c r="BI531"/>
      <c r="BJ531"/>
      <c r="BM531"/>
      <c r="BR531"/>
    </row>
    <row r="532" spans="31:70" ht="15.75" customHeight="1">
      <c r="AE532"/>
      <c r="AF532"/>
      <c r="AX532"/>
      <c r="AY532"/>
      <c r="BI532"/>
      <c r="BJ532"/>
      <c r="BM532"/>
      <c r="BR532"/>
    </row>
    <row r="533" spans="31:70" ht="15.75" customHeight="1">
      <c r="AE533"/>
      <c r="AF533"/>
      <c r="AX533"/>
      <c r="AY533"/>
      <c r="BI533"/>
      <c r="BJ533"/>
      <c r="BM533"/>
      <c r="BR533"/>
    </row>
    <row r="534" spans="31:70" ht="15.75" customHeight="1">
      <c r="AE534"/>
      <c r="AF534"/>
      <c r="AX534"/>
      <c r="AY534"/>
      <c r="BI534"/>
      <c r="BJ534"/>
      <c r="BM534"/>
      <c r="BR534"/>
    </row>
    <row r="535" spans="31:70" ht="15.75" customHeight="1">
      <c r="AE535"/>
      <c r="AF535"/>
      <c r="AX535"/>
      <c r="AY535"/>
      <c r="BI535"/>
      <c r="BJ535"/>
      <c r="BM535"/>
      <c r="BR535"/>
    </row>
    <row r="536" spans="31:70" ht="15.75" customHeight="1">
      <c r="AE536"/>
      <c r="AF536"/>
      <c r="AX536"/>
      <c r="AY536"/>
      <c r="BI536"/>
      <c r="BJ536"/>
      <c r="BM536"/>
      <c r="BR536"/>
    </row>
    <row r="537" spans="31:70" ht="15.75" customHeight="1">
      <c r="AE537"/>
      <c r="AF537"/>
      <c r="AX537"/>
      <c r="AY537"/>
      <c r="BI537"/>
      <c r="BJ537"/>
      <c r="BM537"/>
      <c r="BR537"/>
    </row>
    <row r="538" spans="31:70" ht="15.75" customHeight="1">
      <c r="AE538"/>
      <c r="AF538"/>
      <c r="AX538"/>
      <c r="AY538"/>
      <c r="BI538"/>
      <c r="BJ538"/>
      <c r="BM538"/>
      <c r="BR538"/>
    </row>
    <row r="539" spans="31:70" ht="15.75" customHeight="1">
      <c r="AE539"/>
      <c r="AF539"/>
      <c r="AX539"/>
      <c r="AY539"/>
      <c r="BI539"/>
      <c r="BJ539"/>
      <c r="BM539"/>
      <c r="BR539"/>
    </row>
    <row r="540" spans="31:70" ht="15.75" customHeight="1">
      <c r="AE540"/>
      <c r="AF540"/>
      <c r="AX540"/>
      <c r="AY540"/>
      <c r="BI540"/>
      <c r="BJ540"/>
      <c r="BM540"/>
      <c r="BR540"/>
    </row>
    <row r="541" spans="31:70" ht="15.75" customHeight="1">
      <c r="AE541"/>
      <c r="AF541"/>
      <c r="AX541"/>
      <c r="AY541"/>
      <c r="BI541"/>
      <c r="BJ541"/>
      <c r="BM541"/>
      <c r="BR541"/>
    </row>
    <row r="542" spans="31:70" ht="15.75" customHeight="1">
      <c r="AE542"/>
      <c r="AF542"/>
      <c r="AX542"/>
      <c r="AY542"/>
      <c r="BI542"/>
      <c r="BJ542"/>
      <c r="BM542"/>
      <c r="BR542"/>
    </row>
    <row r="543" spans="31:70" ht="15.75" customHeight="1">
      <c r="AE543"/>
      <c r="AF543"/>
      <c r="AX543"/>
      <c r="AY543"/>
      <c r="BI543"/>
      <c r="BJ543"/>
      <c r="BM543"/>
      <c r="BR543"/>
    </row>
    <row r="544" spans="31:70" ht="15.75" customHeight="1">
      <c r="AE544"/>
      <c r="AF544"/>
      <c r="AX544"/>
      <c r="AY544"/>
      <c r="BI544"/>
      <c r="BJ544"/>
      <c r="BM544"/>
      <c r="BR544"/>
    </row>
    <row r="545" spans="31:70" ht="15.75" customHeight="1">
      <c r="AE545"/>
      <c r="AF545"/>
      <c r="AX545"/>
      <c r="AY545"/>
      <c r="BI545"/>
      <c r="BJ545"/>
      <c r="BM545"/>
      <c r="BR545"/>
    </row>
    <row r="546" spans="31:70" ht="15.75" customHeight="1">
      <c r="AE546"/>
      <c r="AF546"/>
      <c r="AX546"/>
      <c r="AY546"/>
      <c r="BI546"/>
      <c r="BJ546"/>
      <c r="BM546"/>
      <c r="BR546"/>
    </row>
    <row r="547" spans="31:70" ht="15.75" customHeight="1">
      <c r="AE547"/>
      <c r="AF547"/>
      <c r="AX547"/>
      <c r="AY547"/>
      <c r="BI547"/>
      <c r="BJ547"/>
      <c r="BM547"/>
      <c r="BR547"/>
    </row>
    <row r="548" spans="31:70" ht="15.75" customHeight="1">
      <c r="AE548"/>
      <c r="AF548"/>
      <c r="AX548"/>
      <c r="AY548"/>
      <c r="BI548"/>
      <c r="BJ548"/>
      <c r="BM548"/>
      <c r="BR548"/>
    </row>
    <row r="549" spans="31:70" ht="15.75" customHeight="1">
      <c r="AE549"/>
      <c r="AF549"/>
      <c r="AX549"/>
      <c r="AY549"/>
      <c r="BI549"/>
      <c r="BJ549"/>
      <c r="BM549"/>
      <c r="BR549"/>
    </row>
    <row r="550" spans="31:70" ht="15.75" customHeight="1">
      <c r="AE550"/>
      <c r="AF550"/>
      <c r="AX550"/>
      <c r="AY550"/>
      <c r="BI550"/>
      <c r="BJ550"/>
      <c r="BM550"/>
      <c r="BR550"/>
    </row>
    <row r="551" spans="31:70" ht="15.75" customHeight="1">
      <c r="AE551"/>
      <c r="AF551"/>
      <c r="AX551"/>
      <c r="AY551"/>
      <c r="BI551"/>
      <c r="BJ551"/>
      <c r="BM551"/>
      <c r="BR551"/>
    </row>
    <row r="552" spans="31:70" ht="15.75" customHeight="1">
      <c r="AE552"/>
      <c r="AF552"/>
      <c r="AX552"/>
      <c r="AY552"/>
      <c r="BI552"/>
      <c r="BJ552"/>
      <c r="BM552"/>
      <c r="BR552"/>
    </row>
    <row r="553" spans="31:70" ht="15.75" customHeight="1">
      <c r="AE553"/>
      <c r="AF553"/>
      <c r="AX553"/>
      <c r="AY553"/>
      <c r="BI553"/>
      <c r="BJ553"/>
      <c r="BM553"/>
      <c r="BR553"/>
    </row>
    <row r="554" spans="31:70" ht="15.75" customHeight="1">
      <c r="AE554"/>
      <c r="AF554"/>
      <c r="AX554"/>
      <c r="AY554"/>
      <c r="BI554"/>
      <c r="BJ554"/>
      <c r="BM554"/>
      <c r="BR554"/>
    </row>
    <row r="555" spans="31:70" ht="15.75" customHeight="1">
      <c r="AE555"/>
      <c r="AF555"/>
      <c r="AX555"/>
      <c r="AY555"/>
      <c r="BI555"/>
      <c r="BJ555"/>
      <c r="BM555"/>
      <c r="BR555"/>
    </row>
    <row r="556" spans="31:70" ht="15.75" customHeight="1">
      <c r="AE556"/>
      <c r="AF556"/>
      <c r="AX556"/>
      <c r="AY556"/>
      <c r="BI556"/>
      <c r="BJ556"/>
      <c r="BM556"/>
      <c r="BR556"/>
    </row>
    <row r="557" spans="31:70" ht="15.75" customHeight="1">
      <c r="AE557"/>
      <c r="AF557"/>
      <c r="AX557"/>
      <c r="AY557"/>
      <c r="BI557"/>
      <c r="BJ557"/>
      <c r="BM557"/>
      <c r="BR557"/>
    </row>
    <row r="558" spans="31:70" ht="15.75" customHeight="1">
      <c r="AE558"/>
      <c r="AF558"/>
      <c r="AX558"/>
      <c r="AY558"/>
      <c r="BI558"/>
      <c r="BJ558"/>
      <c r="BM558"/>
      <c r="BR558"/>
    </row>
    <row r="559" spans="31:70" ht="15.75" customHeight="1">
      <c r="AE559"/>
      <c r="AF559"/>
      <c r="AX559"/>
      <c r="AY559"/>
      <c r="BI559"/>
      <c r="BJ559"/>
      <c r="BM559"/>
      <c r="BR559"/>
    </row>
    <row r="560" spans="31:70" ht="15.75" customHeight="1">
      <c r="AE560"/>
      <c r="AF560"/>
      <c r="AX560"/>
      <c r="AY560"/>
      <c r="BI560"/>
      <c r="BJ560"/>
      <c r="BM560"/>
      <c r="BR560"/>
    </row>
    <row r="561" spans="31:70" ht="15.75" customHeight="1">
      <c r="AE561"/>
      <c r="AF561"/>
      <c r="AX561"/>
      <c r="AY561"/>
      <c r="BI561"/>
      <c r="BJ561"/>
      <c r="BM561"/>
      <c r="BR561"/>
    </row>
    <row r="562" spans="31:70" ht="15.75" customHeight="1">
      <c r="AE562"/>
      <c r="AF562"/>
      <c r="AX562"/>
      <c r="AY562"/>
      <c r="BI562"/>
      <c r="BJ562"/>
      <c r="BM562"/>
      <c r="BR562"/>
    </row>
    <row r="563" spans="31:70" ht="15.75" customHeight="1">
      <c r="AE563"/>
      <c r="AF563"/>
      <c r="AX563"/>
      <c r="AY563"/>
      <c r="BI563"/>
      <c r="BJ563"/>
      <c r="BM563"/>
      <c r="BR563"/>
    </row>
    <row r="564" spans="31:70" ht="15.75" customHeight="1">
      <c r="AE564"/>
      <c r="AF564"/>
      <c r="AX564"/>
      <c r="AY564"/>
      <c r="BI564"/>
      <c r="BJ564"/>
      <c r="BM564"/>
      <c r="BR564"/>
    </row>
    <row r="565" spans="31:70" ht="15.75" customHeight="1">
      <c r="AE565"/>
      <c r="AF565"/>
      <c r="AX565"/>
      <c r="AY565"/>
      <c r="BI565"/>
      <c r="BJ565"/>
      <c r="BM565"/>
      <c r="BR565"/>
    </row>
    <row r="566" spans="31:70" ht="15.75" customHeight="1">
      <c r="AE566"/>
      <c r="AF566"/>
      <c r="AX566"/>
      <c r="AY566"/>
      <c r="BI566"/>
      <c r="BJ566"/>
      <c r="BM566"/>
      <c r="BR566"/>
    </row>
    <row r="567" spans="31:70" ht="15.75" customHeight="1">
      <c r="AE567"/>
      <c r="AF567"/>
      <c r="AX567"/>
      <c r="AY567"/>
      <c r="BI567"/>
      <c r="BJ567"/>
      <c r="BM567"/>
      <c r="BR567"/>
    </row>
    <row r="568" spans="31:70" ht="15.75" customHeight="1">
      <c r="AE568"/>
      <c r="AF568"/>
      <c r="AX568"/>
      <c r="AY568"/>
      <c r="BI568"/>
      <c r="BJ568"/>
      <c r="BM568"/>
      <c r="BR568"/>
    </row>
    <row r="569" spans="31:70" ht="15.75" customHeight="1">
      <c r="AE569"/>
      <c r="AF569"/>
      <c r="AX569"/>
      <c r="AY569"/>
      <c r="BI569"/>
      <c r="BJ569"/>
      <c r="BM569"/>
      <c r="BR569"/>
    </row>
    <row r="570" spans="31:70" ht="15.75" customHeight="1">
      <c r="AE570"/>
      <c r="AF570"/>
      <c r="AX570"/>
      <c r="AY570"/>
      <c r="BI570"/>
      <c r="BJ570"/>
      <c r="BM570"/>
      <c r="BR570"/>
    </row>
    <row r="571" spans="31:70" ht="15.75" customHeight="1">
      <c r="AE571"/>
      <c r="AF571"/>
      <c r="AX571"/>
      <c r="AY571"/>
      <c r="BI571"/>
      <c r="BJ571"/>
      <c r="BM571"/>
      <c r="BR571"/>
    </row>
    <row r="572" spans="31:70" ht="15.75" customHeight="1">
      <c r="AE572"/>
      <c r="AF572"/>
      <c r="AX572"/>
      <c r="AY572"/>
      <c r="BI572"/>
      <c r="BJ572"/>
      <c r="BM572"/>
      <c r="BR572"/>
    </row>
    <row r="573" spans="31:70" ht="15.75" customHeight="1">
      <c r="AE573"/>
      <c r="AF573"/>
      <c r="AX573"/>
      <c r="AY573"/>
      <c r="BI573"/>
      <c r="BJ573"/>
      <c r="BM573"/>
      <c r="BR573"/>
    </row>
    <row r="574" spans="31:70" ht="15.75" customHeight="1">
      <c r="AE574"/>
      <c r="AF574"/>
      <c r="AX574"/>
      <c r="AY574"/>
      <c r="BI574"/>
      <c r="BJ574"/>
      <c r="BM574"/>
      <c r="BR574"/>
    </row>
    <row r="575" spans="31:70" ht="15.75" customHeight="1">
      <c r="AE575"/>
      <c r="AF575"/>
      <c r="AX575"/>
      <c r="AY575"/>
      <c r="BI575"/>
      <c r="BJ575"/>
      <c r="BM575"/>
      <c r="BR575"/>
    </row>
    <row r="576" spans="31:70" ht="15.75" customHeight="1">
      <c r="AE576"/>
      <c r="AF576"/>
      <c r="AX576"/>
      <c r="AY576"/>
      <c r="BI576"/>
      <c r="BJ576"/>
      <c r="BM576"/>
      <c r="BR576"/>
    </row>
    <row r="577" spans="31:70" ht="15.75" customHeight="1">
      <c r="AE577"/>
      <c r="AF577"/>
      <c r="AX577"/>
      <c r="AY577"/>
      <c r="BI577"/>
      <c r="BJ577"/>
      <c r="BM577"/>
      <c r="BR577"/>
    </row>
    <row r="578" spans="31:70" ht="15.75" customHeight="1">
      <c r="AE578"/>
      <c r="AF578"/>
      <c r="AX578"/>
      <c r="AY578"/>
      <c r="BI578"/>
      <c r="BJ578"/>
      <c r="BM578"/>
      <c r="BR578"/>
    </row>
    <row r="579" spans="31:70" ht="15.75" customHeight="1">
      <c r="AE579"/>
      <c r="AF579"/>
      <c r="AX579"/>
      <c r="AY579"/>
      <c r="BI579"/>
      <c r="BJ579"/>
      <c r="BM579"/>
      <c r="BR579"/>
    </row>
    <row r="580" spans="31:70" ht="15.75" customHeight="1">
      <c r="AE580"/>
      <c r="AF580"/>
      <c r="AX580"/>
      <c r="AY580"/>
      <c r="BI580"/>
      <c r="BJ580"/>
      <c r="BM580"/>
      <c r="BR580"/>
    </row>
    <row r="581" spans="31:70" ht="15.75" customHeight="1">
      <c r="AE581"/>
      <c r="AF581"/>
      <c r="AX581"/>
      <c r="AY581"/>
      <c r="BI581"/>
      <c r="BJ581"/>
      <c r="BM581"/>
      <c r="BR581"/>
    </row>
    <row r="582" spans="31:70" ht="15.75" customHeight="1">
      <c r="AE582"/>
      <c r="AF582"/>
      <c r="AX582"/>
      <c r="AY582"/>
      <c r="BI582"/>
      <c r="BJ582"/>
      <c r="BM582"/>
      <c r="BR582"/>
    </row>
    <row r="583" spans="31:70" ht="15.75" customHeight="1">
      <c r="AE583"/>
      <c r="AF583"/>
      <c r="AX583"/>
      <c r="AY583"/>
      <c r="BI583"/>
      <c r="BJ583"/>
      <c r="BM583"/>
      <c r="BR583"/>
    </row>
    <row r="584" spans="31:70" ht="15.75" customHeight="1">
      <c r="AE584"/>
      <c r="AF584"/>
      <c r="AX584"/>
      <c r="AY584"/>
      <c r="BI584"/>
      <c r="BJ584"/>
      <c r="BM584"/>
      <c r="BR584"/>
    </row>
    <row r="585" spans="31:70" ht="15.75" customHeight="1">
      <c r="AE585"/>
      <c r="AF585"/>
      <c r="AX585"/>
      <c r="AY585"/>
      <c r="BI585"/>
      <c r="BJ585"/>
      <c r="BM585"/>
      <c r="BR585"/>
    </row>
    <row r="586" spans="31:70" ht="15.75" customHeight="1">
      <c r="AE586"/>
      <c r="AF586"/>
      <c r="AX586"/>
      <c r="AY586"/>
      <c r="BI586"/>
      <c r="BJ586"/>
      <c r="BM586"/>
      <c r="BR586"/>
    </row>
    <row r="587" spans="31:70" ht="15.75" customHeight="1">
      <c r="AE587"/>
      <c r="AF587"/>
      <c r="AX587"/>
      <c r="AY587"/>
      <c r="BI587"/>
      <c r="BJ587"/>
      <c r="BM587"/>
      <c r="BR587"/>
    </row>
    <row r="588" spans="31:70" ht="15.75" customHeight="1">
      <c r="AE588"/>
      <c r="AF588"/>
      <c r="AX588"/>
      <c r="AY588"/>
      <c r="BI588"/>
      <c r="BJ588"/>
      <c r="BM588"/>
      <c r="BR588"/>
    </row>
    <row r="589" spans="31:70" ht="15.75" customHeight="1">
      <c r="AE589"/>
      <c r="AF589"/>
      <c r="AX589"/>
      <c r="AY589"/>
      <c r="BI589"/>
      <c r="BJ589"/>
      <c r="BM589"/>
      <c r="BR589"/>
    </row>
    <row r="590" spans="31:70" ht="15.75" customHeight="1">
      <c r="AE590"/>
      <c r="AF590"/>
      <c r="AX590"/>
      <c r="AY590"/>
      <c r="BI590"/>
      <c r="BJ590"/>
      <c r="BM590"/>
      <c r="BR590"/>
    </row>
    <row r="591" spans="31:70" ht="15.75" customHeight="1">
      <c r="AE591"/>
      <c r="AF591"/>
      <c r="AX591"/>
      <c r="AY591"/>
      <c r="BI591"/>
      <c r="BJ591"/>
      <c r="BM591"/>
      <c r="BR591"/>
    </row>
    <row r="592" spans="31:70" ht="15.75" customHeight="1">
      <c r="AE592"/>
      <c r="AF592"/>
      <c r="AX592"/>
      <c r="AY592"/>
      <c r="BI592"/>
      <c r="BJ592"/>
      <c r="BM592"/>
      <c r="BR592"/>
    </row>
    <row r="593" spans="31:70" ht="15.75" customHeight="1">
      <c r="AE593"/>
      <c r="AF593"/>
      <c r="AX593"/>
      <c r="AY593"/>
      <c r="BI593"/>
      <c r="BJ593"/>
      <c r="BM593"/>
      <c r="BR593"/>
    </row>
    <row r="594" spans="31:70" ht="15.75" customHeight="1">
      <c r="AE594"/>
      <c r="AF594"/>
      <c r="AX594"/>
      <c r="AY594"/>
      <c r="BI594"/>
      <c r="BJ594"/>
      <c r="BM594"/>
      <c r="BR594"/>
    </row>
    <row r="595" spans="31:70" ht="15.75" customHeight="1">
      <c r="AE595"/>
      <c r="AF595"/>
      <c r="AX595"/>
      <c r="AY595"/>
      <c r="BI595"/>
      <c r="BJ595"/>
      <c r="BM595"/>
      <c r="BR595"/>
    </row>
    <row r="596" spans="31:70" ht="15.75" customHeight="1">
      <c r="AE596"/>
      <c r="AF596"/>
      <c r="AX596"/>
      <c r="AY596"/>
      <c r="BI596"/>
      <c r="BJ596"/>
      <c r="BM596"/>
      <c r="BR596"/>
    </row>
    <row r="597" spans="31:70" ht="15.75" customHeight="1">
      <c r="AE597"/>
      <c r="AF597"/>
      <c r="AX597"/>
      <c r="AY597"/>
      <c r="BI597"/>
      <c r="BJ597"/>
      <c r="BM597"/>
      <c r="BR597"/>
    </row>
    <row r="598" spans="31:70" ht="15.75" customHeight="1">
      <c r="AE598"/>
      <c r="AF598"/>
      <c r="AX598"/>
      <c r="AY598"/>
      <c r="BI598"/>
      <c r="BJ598"/>
      <c r="BM598"/>
      <c r="BR598"/>
    </row>
    <row r="599" spans="31:70" ht="15.75" customHeight="1">
      <c r="AE599"/>
      <c r="AF599"/>
      <c r="AX599"/>
      <c r="AY599"/>
      <c r="BI599"/>
      <c r="BJ599"/>
      <c r="BM599"/>
      <c r="BR599"/>
    </row>
    <row r="600" spans="31:70" ht="15.75" customHeight="1">
      <c r="AE600"/>
      <c r="AF600"/>
      <c r="AX600"/>
      <c r="AY600"/>
      <c r="BI600"/>
      <c r="BJ600"/>
      <c r="BM600"/>
      <c r="BR600"/>
    </row>
    <row r="601" spans="31:70" ht="15.75" customHeight="1">
      <c r="AE601"/>
      <c r="AF601"/>
      <c r="AX601"/>
      <c r="AY601"/>
      <c r="BI601"/>
      <c r="BJ601"/>
      <c r="BM601"/>
      <c r="BR601"/>
    </row>
    <row r="602" spans="31:70" ht="15.75" customHeight="1">
      <c r="AE602"/>
      <c r="AF602"/>
      <c r="AX602"/>
      <c r="AY602"/>
      <c r="BI602"/>
      <c r="BJ602"/>
      <c r="BM602"/>
      <c r="BR602"/>
    </row>
    <row r="603" spans="31:70" ht="15.75" customHeight="1">
      <c r="AE603"/>
      <c r="AF603"/>
      <c r="AX603"/>
      <c r="AY603"/>
      <c r="BI603"/>
      <c r="BJ603"/>
      <c r="BM603"/>
      <c r="BR603"/>
    </row>
    <row r="604" spans="31:70" ht="15.75" customHeight="1">
      <c r="AE604"/>
      <c r="AF604"/>
      <c r="AX604"/>
      <c r="AY604"/>
      <c r="BI604"/>
      <c r="BJ604"/>
      <c r="BM604"/>
      <c r="BR604"/>
    </row>
    <row r="605" spans="31:70" ht="15.75" customHeight="1">
      <c r="AE605"/>
      <c r="AF605"/>
      <c r="AX605"/>
      <c r="AY605"/>
      <c r="BI605"/>
      <c r="BJ605"/>
      <c r="BM605"/>
      <c r="BR605"/>
    </row>
    <row r="606" spans="31:70" ht="15.75" customHeight="1">
      <c r="AE606"/>
      <c r="AF606"/>
      <c r="AX606"/>
      <c r="AY606"/>
      <c r="BI606"/>
      <c r="BJ606"/>
      <c r="BM606"/>
      <c r="BR606"/>
    </row>
    <row r="607" spans="31:70" ht="15.75" customHeight="1">
      <c r="AE607"/>
      <c r="AF607"/>
      <c r="AX607"/>
      <c r="AY607"/>
      <c r="BI607"/>
      <c r="BJ607"/>
      <c r="BM607"/>
      <c r="BR607"/>
    </row>
    <row r="608" spans="31:70" ht="15.75" customHeight="1">
      <c r="AE608"/>
      <c r="AF608"/>
      <c r="AX608"/>
      <c r="AY608"/>
      <c r="BI608"/>
      <c r="BJ608"/>
      <c r="BM608"/>
      <c r="BR608"/>
    </row>
    <row r="609" spans="31:70" ht="15.75" customHeight="1">
      <c r="AE609"/>
      <c r="AF609"/>
      <c r="AX609"/>
      <c r="AY609"/>
      <c r="BI609"/>
      <c r="BJ609"/>
      <c r="BM609"/>
      <c r="BR609"/>
    </row>
    <row r="610" spans="31:70" ht="15.75" customHeight="1">
      <c r="AE610"/>
      <c r="AF610"/>
      <c r="AX610"/>
      <c r="AY610"/>
      <c r="BI610"/>
      <c r="BJ610"/>
      <c r="BM610"/>
      <c r="BR610"/>
    </row>
    <row r="611" spans="31:70" ht="15.75" customHeight="1">
      <c r="AE611"/>
      <c r="AF611"/>
      <c r="AX611"/>
      <c r="AY611"/>
      <c r="BI611"/>
      <c r="BJ611"/>
      <c r="BM611"/>
      <c r="BR611"/>
    </row>
    <row r="612" spans="31:70" ht="15.75" customHeight="1">
      <c r="AE612"/>
      <c r="AF612"/>
      <c r="AX612"/>
      <c r="AY612"/>
      <c r="BI612"/>
      <c r="BJ612"/>
      <c r="BM612"/>
      <c r="BR612"/>
    </row>
    <row r="613" spans="31:70" ht="15.75" customHeight="1">
      <c r="AE613"/>
      <c r="AF613"/>
      <c r="AX613"/>
      <c r="AY613"/>
      <c r="BI613"/>
      <c r="BJ613"/>
      <c r="BM613"/>
      <c r="BR613"/>
    </row>
    <row r="614" spans="31:70" ht="15.75" customHeight="1">
      <c r="AE614"/>
      <c r="AF614"/>
      <c r="AX614"/>
      <c r="AY614"/>
      <c r="BI614"/>
      <c r="BJ614"/>
      <c r="BM614"/>
      <c r="BR614"/>
    </row>
    <row r="615" spans="31:70" ht="15.75" customHeight="1">
      <c r="AE615"/>
      <c r="AF615"/>
      <c r="AX615"/>
      <c r="AY615"/>
      <c r="BI615"/>
      <c r="BJ615"/>
      <c r="BM615"/>
      <c r="BR615"/>
    </row>
    <row r="616" spans="31:70" ht="15.75" customHeight="1">
      <c r="AE616"/>
      <c r="AF616"/>
      <c r="AX616"/>
      <c r="AY616"/>
      <c r="BI616"/>
      <c r="BJ616"/>
      <c r="BM616"/>
      <c r="BR616"/>
    </row>
    <row r="617" spans="31:70" ht="15.75" customHeight="1">
      <c r="AE617"/>
      <c r="AF617"/>
      <c r="AX617"/>
      <c r="AY617"/>
      <c r="BI617"/>
      <c r="BJ617"/>
      <c r="BM617"/>
      <c r="BR617"/>
    </row>
    <row r="618" spans="31:70" ht="15.75" customHeight="1">
      <c r="AE618"/>
      <c r="AF618"/>
      <c r="AX618"/>
      <c r="AY618"/>
      <c r="BI618"/>
      <c r="BJ618"/>
      <c r="BM618"/>
      <c r="BR618"/>
    </row>
    <row r="619" spans="31:70" ht="15.75" customHeight="1">
      <c r="AE619"/>
      <c r="AF619"/>
      <c r="AX619"/>
      <c r="AY619"/>
      <c r="BI619"/>
      <c r="BJ619"/>
      <c r="BM619"/>
      <c r="BR619"/>
    </row>
    <row r="620" spans="31:70" ht="15.75" customHeight="1">
      <c r="AE620"/>
      <c r="AF620"/>
      <c r="AX620"/>
      <c r="AY620"/>
      <c r="BI620"/>
      <c r="BJ620"/>
      <c r="BM620"/>
      <c r="BR620"/>
    </row>
    <row r="621" spans="31:70" ht="15.75" customHeight="1">
      <c r="AE621"/>
      <c r="AF621"/>
      <c r="AX621"/>
      <c r="AY621"/>
      <c r="BI621"/>
      <c r="BJ621"/>
      <c r="BM621"/>
      <c r="BR621"/>
    </row>
    <row r="622" spans="31:70" ht="15.75" customHeight="1">
      <c r="AE622"/>
      <c r="AF622"/>
      <c r="AX622"/>
      <c r="AY622"/>
      <c r="BI622"/>
      <c r="BJ622"/>
      <c r="BM622"/>
      <c r="BR622"/>
    </row>
    <row r="623" spans="31:70" ht="15.75" customHeight="1">
      <c r="AE623"/>
      <c r="AF623"/>
      <c r="AX623"/>
      <c r="AY623"/>
      <c r="BI623"/>
      <c r="BJ623"/>
      <c r="BM623"/>
      <c r="BR623"/>
    </row>
    <row r="624" spans="31:70" ht="15.75" customHeight="1">
      <c r="AE624"/>
      <c r="AF624"/>
      <c r="AX624"/>
      <c r="AY624"/>
      <c r="BI624"/>
      <c r="BJ624"/>
      <c r="BM624"/>
      <c r="BR624"/>
    </row>
    <row r="625" spans="31:70" ht="15.75" customHeight="1">
      <c r="AE625"/>
      <c r="AF625"/>
      <c r="AX625"/>
      <c r="AY625"/>
      <c r="BI625"/>
      <c r="BJ625"/>
      <c r="BM625"/>
      <c r="BR625"/>
    </row>
    <row r="626" spans="31:70" ht="15.75" customHeight="1">
      <c r="AE626"/>
      <c r="AF626"/>
      <c r="AX626"/>
      <c r="AY626"/>
      <c r="BI626"/>
      <c r="BJ626"/>
      <c r="BM626"/>
      <c r="BR626"/>
    </row>
    <row r="627" spans="31:70" ht="15.75" customHeight="1">
      <c r="AE627"/>
      <c r="AF627"/>
      <c r="AX627"/>
      <c r="AY627"/>
      <c r="BI627"/>
      <c r="BJ627"/>
      <c r="BM627"/>
      <c r="BR627"/>
    </row>
    <row r="628" spans="31:70" ht="15.75" customHeight="1">
      <c r="AE628"/>
      <c r="AF628"/>
      <c r="AX628"/>
      <c r="AY628"/>
      <c r="BI628"/>
      <c r="BJ628"/>
      <c r="BM628"/>
      <c r="BR628"/>
    </row>
    <row r="629" spans="31:70" ht="15.75" customHeight="1">
      <c r="AE629"/>
      <c r="AF629"/>
      <c r="AX629"/>
      <c r="AY629"/>
      <c r="BI629"/>
      <c r="BJ629"/>
      <c r="BM629"/>
      <c r="BR629"/>
    </row>
    <row r="630" spans="31:70" ht="15.75" customHeight="1">
      <c r="AE630"/>
      <c r="AF630"/>
      <c r="AX630"/>
      <c r="AY630"/>
      <c r="BI630"/>
      <c r="BJ630"/>
      <c r="BM630"/>
      <c r="BR630"/>
    </row>
    <row r="631" spans="31:70" ht="15.75" customHeight="1">
      <c r="AE631"/>
      <c r="AF631"/>
      <c r="AX631"/>
      <c r="AY631"/>
      <c r="BI631"/>
      <c r="BJ631"/>
      <c r="BM631"/>
      <c r="BR631"/>
    </row>
    <row r="632" spans="31:70" ht="15.75" customHeight="1">
      <c r="AE632"/>
      <c r="AF632"/>
      <c r="AX632"/>
      <c r="AY632"/>
      <c r="BI632"/>
      <c r="BJ632"/>
      <c r="BM632"/>
      <c r="BR632"/>
    </row>
    <row r="633" spans="31:70" ht="15.75" customHeight="1">
      <c r="AE633"/>
      <c r="AF633"/>
      <c r="AX633"/>
      <c r="AY633"/>
      <c r="BI633"/>
      <c r="BJ633"/>
      <c r="BM633"/>
      <c r="BR633"/>
    </row>
    <row r="634" spans="31:70" ht="15.75" customHeight="1">
      <c r="AE634"/>
      <c r="AF634"/>
      <c r="AX634"/>
      <c r="AY634"/>
      <c r="BI634"/>
      <c r="BJ634"/>
      <c r="BM634"/>
      <c r="BR634"/>
    </row>
    <row r="635" spans="31:70" ht="15.75" customHeight="1">
      <c r="AE635"/>
      <c r="AF635"/>
      <c r="AX635"/>
      <c r="AY635"/>
      <c r="BI635"/>
      <c r="BJ635"/>
      <c r="BM635"/>
      <c r="BR635"/>
    </row>
    <row r="636" spans="31:70" ht="15.75" customHeight="1">
      <c r="AE636"/>
      <c r="AF636"/>
      <c r="AX636"/>
      <c r="AY636"/>
      <c r="BI636"/>
      <c r="BJ636"/>
      <c r="BM636"/>
      <c r="BR636"/>
    </row>
    <row r="637" spans="31:70" ht="15.75" customHeight="1">
      <c r="AE637"/>
      <c r="AF637"/>
      <c r="AX637"/>
      <c r="AY637"/>
      <c r="BI637"/>
      <c r="BJ637"/>
      <c r="BM637"/>
      <c r="BR637"/>
    </row>
    <row r="638" spans="31:70" ht="15.75" customHeight="1">
      <c r="AE638"/>
      <c r="AF638"/>
      <c r="AX638"/>
      <c r="AY638"/>
      <c r="BI638"/>
      <c r="BJ638"/>
      <c r="BM638"/>
      <c r="BR638"/>
    </row>
    <row r="639" spans="31:70" ht="15.75" customHeight="1">
      <c r="AE639"/>
      <c r="AF639"/>
      <c r="AX639"/>
      <c r="AY639"/>
      <c r="BI639"/>
      <c r="BJ639"/>
      <c r="BM639"/>
      <c r="BR639"/>
    </row>
    <row r="640" spans="31:70" ht="15.75" customHeight="1">
      <c r="AE640"/>
      <c r="AF640"/>
      <c r="AX640"/>
      <c r="AY640"/>
      <c r="BI640"/>
      <c r="BJ640"/>
      <c r="BM640"/>
      <c r="BR640"/>
    </row>
    <row r="641" spans="31:70" ht="15.75" customHeight="1">
      <c r="AE641"/>
      <c r="AF641"/>
      <c r="AX641"/>
      <c r="AY641"/>
      <c r="BI641"/>
      <c r="BJ641"/>
      <c r="BM641"/>
      <c r="BR641"/>
    </row>
    <row r="642" spans="31:70" ht="15.75" customHeight="1">
      <c r="AE642"/>
      <c r="AF642"/>
      <c r="AX642"/>
      <c r="AY642"/>
      <c r="BI642"/>
      <c r="BJ642"/>
      <c r="BM642"/>
      <c r="BR642"/>
    </row>
    <row r="643" spans="31:70" ht="15.75" customHeight="1">
      <c r="AE643"/>
      <c r="AF643"/>
      <c r="AX643"/>
      <c r="AY643"/>
      <c r="BI643"/>
      <c r="BJ643"/>
      <c r="BM643"/>
      <c r="BR643"/>
    </row>
    <row r="644" spans="31:70" ht="15.75" customHeight="1">
      <c r="AE644"/>
      <c r="AF644"/>
      <c r="AX644"/>
      <c r="AY644"/>
      <c r="BI644"/>
      <c r="BJ644"/>
      <c r="BM644"/>
      <c r="BR644"/>
    </row>
    <row r="645" spans="31:70" ht="15.75" customHeight="1">
      <c r="AE645"/>
      <c r="AF645"/>
      <c r="AX645"/>
      <c r="AY645"/>
      <c r="BI645"/>
      <c r="BJ645"/>
      <c r="BM645"/>
      <c r="BR645"/>
    </row>
    <row r="646" spans="31:70" ht="15.75" customHeight="1">
      <c r="AE646"/>
      <c r="AF646"/>
      <c r="AX646"/>
      <c r="AY646"/>
      <c r="BI646"/>
      <c r="BJ646"/>
      <c r="BM646"/>
      <c r="BR646"/>
    </row>
    <row r="647" spans="31:70" ht="15.75" customHeight="1">
      <c r="AE647"/>
      <c r="AF647"/>
      <c r="AX647"/>
      <c r="AY647"/>
      <c r="BI647"/>
      <c r="BJ647"/>
      <c r="BM647"/>
      <c r="BR647"/>
    </row>
    <row r="648" spans="31:70" ht="15.75" customHeight="1">
      <c r="AE648"/>
      <c r="AF648"/>
      <c r="AX648"/>
      <c r="AY648"/>
      <c r="BI648"/>
      <c r="BJ648"/>
      <c r="BM648"/>
      <c r="BR648"/>
    </row>
    <row r="649" spans="31:70" ht="15.75" customHeight="1">
      <c r="AE649"/>
      <c r="AF649"/>
      <c r="AX649"/>
      <c r="AY649"/>
      <c r="BI649"/>
      <c r="BJ649"/>
      <c r="BM649"/>
      <c r="BR649"/>
    </row>
    <row r="650" spans="31:70" ht="15.75" customHeight="1">
      <c r="AE650"/>
      <c r="AF650"/>
      <c r="AX650"/>
      <c r="AY650"/>
      <c r="BI650"/>
      <c r="BJ650"/>
      <c r="BM650"/>
      <c r="BR650"/>
    </row>
    <row r="651" spans="31:70" ht="15.75" customHeight="1">
      <c r="AE651"/>
      <c r="AF651"/>
      <c r="AX651"/>
      <c r="AY651"/>
      <c r="BI651"/>
      <c r="BJ651"/>
      <c r="BM651"/>
      <c r="BR651"/>
    </row>
    <row r="652" spans="31:70" ht="15.75" customHeight="1">
      <c r="AE652"/>
      <c r="AF652"/>
      <c r="AX652"/>
      <c r="AY652"/>
      <c r="BI652"/>
      <c r="BJ652"/>
      <c r="BM652"/>
      <c r="BR652"/>
    </row>
    <row r="653" spans="31:70" ht="15.75" customHeight="1">
      <c r="AE653"/>
      <c r="AF653"/>
      <c r="AX653"/>
      <c r="AY653"/>
      <c r="BI653"/>
      <c r="BJ653"/>
      <c r="BM653"/>
      <c r="BR653"/>
    </row>
    <row r="654" spans="31:70" ht="15.75" customHeight="1">
      <c r="AE654"/>
      <c r="AF654"/>
      <c r="AX654"/>
      <c r="AY654"/>
      <c r="BI654"/>
      <c r="BJ654"/>
      <c r="BM654"/>
      <c r="BR654"/>
    </row>
    <row r="655" spans="31:70" ht="15.75" customHeight="1">
      <c r="AE655"/>
      <c r="AF655"/>
      <c r="AX655"/>
      <c r="AY655"/>
      <c r="BI655"/>
      <c r="BJ655"/>
      <c r="BM655"/>
      <c r="BR655"/>
    </row>
    <row r="656" spans="31:70" ht="15.75" customHeight="1">
      <c r="AE656"/>
      <c r="AF656"/>
      <c r="AX656"/>
      <c r="AY656"/>
      <c r="BI656"/>
      <c r="BJ656"/>
      <c r="BM656"/>
      <c r="BR656"/>
    </row>
    <row r="657" spans="31:70" ht="15.75" customHeight="1">
      <c r="AE657"/>
      <c r="AF657"/>
      <c r="AX657"/>
      <c r="AY657"/>
      <c r="BI657"/>
      <c r="BJ657"/>
      <c r="BM657"/>
      <c r="BR657"/>
    </row>
    <row r="658" spans="31:70" ht="15.75" customHeight="1">
      <c r="AE658"/>
      <c r="AF658"/>
      <c r="AX658"/>
      <c r="AY658"/>
      <c r="BI658"/>
      <c r="BJ658"/>
      <c r="BM658"/>
      <c r="BR658"/>
    </row>
    <row r="659" spans="31:70" ht="15.75" customHeight="1">
      <c r="AE659"/>
      <c r="AF659"/>
      <c r="AX659"/>
      <c r="AY659"/>
      <c r="BI659"/>
      <c r="BJ659"/>
      <c r="BM659"/>
      <c r="BR659"/>
    </row>
    <row r="660" spans="31:70" ht="15.75" customHeight="1">
      <c r="AE660"/>
      <c r="AF660"/>
      <c r="AX660"/>
      <c r="AY660"/>
      <c r="BI660"/>
      <c r="BJ660"/>
      <c r="BM660"/>
      <c r="BR660"/>
    </row>
    <row r="661" spans="31:70" ht="15.75" customHeight="1">
      <c r="AE661"/>
      <c r="AF661"/>
      <c r="AX661"/>
      <c r="AY661"/>
      <c r="BI661"/>
      <c r="BJ661"/>
      <c r="BM661"/>
      <c r="BR661"/>
    </row>
    <row r="662" spans="31:70" ht="15.75" customHeight="1">
      <c r="AE662"/>
      <c r="AF662"/>
      <c r="AX662"/>
      <c r="AY662"/>
      <c r="BI662"/>
      <c r="BJ662"/>
      <c r="BM662"/>
      <c r="BR662"/>
    </row>
    <row r="663" spans="31:70" ht="15.75" customHeight="1">
      <c r="AE663"/>
      <c r="AF663"/>
      <c r="AX663"/>
      <c r="AY663"/>
      <c r="BI663"/>
      <c r="BJ663"/>
      <c r="BM663"/>
      <c r="BR663"/>
    </row>
    <row r="664" spans="31:70" ht="15.75" customHeight="1">
      <c r="AE664"/>
      <c r="AF664"/>
      <c r="AX664"/>
      <c r="AY664"/>
      <c r="BI664"/>
      <c r="BJ664"/>
      <c r="BM664"/>
      <c r="BR664"/>
    </row>
    <row r="665" spans="31:70" ht="15.75" customHeight="1">
      <c r="AE665"/>
      <c r="AF665"/>
      <c r="AX665"/>
      <c r="AY665"/>
      <c r="BI665"/>
      <c r="BJ665"/>
      <c r="BM665"/>
      <c r="BR665"/>
    </row>
    <row r="666" spans="31:70" ht="15.75" customHeight="1">
      <c r="AE666"/>
      <c r="AF666"/>
      <c r="AX666"/>
      <c r="AY666"/>
      <c r="BI666"/>
      <c r="BJ666"/>
      <c r="BM666"/>
      <c r="BR666"/>
    </row>
    <row r="667" spans="31:70" ht="15.75" customHeight="1">
      <c r="AE667"/>
      <c r="AF667"/>
      <c r="AX667"/>
      <c r="AY667"/>
      <c r="BI667"/>
      <c r="BJ667"/>
      <c r="BM667"/>
      <c r="BR667"/>
    </row>
    <row r="668" spans="31:70" ht="15.75" customHeight="1">
      <c r="AE668"/>
      <c r="AF668"/>
      <c r="AX668"/>
      <c r="AY668"/>
      <c r="BI668"/>
      <c r="BJ668"/>
      <c r="BM668"/>
      <c r="BR668"/>
    </row>
    <row r="669" spans="31:70" ht="15.75" customHeight="1">
      <c r="AE669"/>
      <c r="AF669"/>
      <c r="AX669"/>
      <c r="AY669"/>
      <c r="BI669"/>
      <c r="BJ669"/>
      <c r="BM669"/>
      <c r="BR669"/>
    </row>
    <row r="670" spans="31:70" ht="15.75" customHeight="1">
      <c r="AE670"/>
      <c r="AF670"/>
      <c r="AX670"/>
      <c r="AY670"/>
      <c r="BI670"/>
      <c r="BJ670"/>
      <c r="BM670"/>
      <c r="BR670"/>
    </row>
    <row r="671" spans="31:70" ht="15.75" customHeight="1">
      <c r="AE671"/>
      <c r="AF671"/>
      <c r="AX671"/>
      <c r="AY671"/>
      <c r="BI671"/>
      <c r="BJ671"/>
      <c r="BM671"/>
      <c r="BR671"/>
    </row>
    <row r="672" spans="31:70" ht="15.75" customHeight="1">
      <c r="AE672"/>
      <c r="AF672"/>
      <c r="AX672"/>
      <c r="AY672"/>
      <c r="BI672"/>
      <c r="BJ672"/>
      <c r="BM672"/>
      <c r="BR672"/>
    </row>
    <row r="673" spans="31:70" ht="15.75" customHeight="1">
      <c r="AE673"/>
      <c r="AF673"/>
      <c r="AX673"/>
      <c r="AY673"/>
      <c r="BI673"/>
      <c r="BJ673"/>
      <c r="BM673"/>
      <c r="BR673"/>
    </row>
    <row r="674" spans="31:70" ht="15.75" customHeight="1">
      <c r="AE674"/>
      <c r="AF674"/>
      <c r="AX674"/>
      <c r="AY674"/>
      <c r="BI674"/>
      <c r="BJ674"/>
      <c r="BM674"/>
      <c r="BR674"/>
    </row>
    <row r="675" spans="31:70" ht="15.75" customHeight="1">
      <c r="AE675"/>
      <c r="AF675"/>
      <c r="AX675"/>
      <c r="AY675"/>
      <c r="BI675"/>
      <c r="BJ675"/>
      <c r="BM675"/>
      <c r="BR675"/>
    </row>
    <row r="676" spans="31:70" ht="15.75" customHeight="1">
      <c r="AE676"/>
      <c r="AF676"/>
      <c r="AX676"/>
      <c r="AY676"/>
      <c r="BI676"/>
      <c r="BJ676"/>
      <c r="BM676"/>
      <c r="BR676"/>
    </row>
    <row r="677" spans="31:70" ht="15.75" customHeight="1">
      <c r="AE677"/>
      <c r="AF677"/>
      <c r="AX677"/>
      <c r="AY677"/>
      <c r="BI677"/>
      <c r="BJ677"/>
      <c r="BM677"/>
      <c r="BR677"/>
    </row>
    <row r="678" spans="31:70" ht="15.75" customHeight="1">
      <c r="AE678"/>
      <c r="AF678"/>
      <c r="AX678"/>
      <c r="AY678"/>
      <c r="BI678"/>
      <c r="BJ678"/>
      <c r="BM678"/>
      <c r="BR678"/>
    </row>
    <row r="679" spans="31:70" ht="15.75" customHeight="1">
      <c r="AE679"/>
      <c r="AF679"/>
      <c r="AX679"/>
      <c r="AY679"/>
      <c r="BI679"/>
      <c r="BJ679"/>
      <c r="BM679"/>
      <c r="BR679"/>
    </row>
    <row r="680" spans="31:70" ht="15.75" customHeight="1">
      <c r="AE680"/>
      <c r="AF680"/>
      <c r="AX680"/>
      <c r="AY680"/>
      <c r="BI680"/>
      <c r="BJ680"/>
      <c r="BM680"/>
      <c r="BR680"/>
    </row>
    <row r="681" spans="31:70" ht="15.75" customHeight="1">
      <c r="AE681"/>
      <c r="AF681"/>
      <c r="AX681"/>
      <c r="AY681"/>
      <c r="BI681"/>
      <c r="BJ681"/>
      <c r="BM681"/>
      <c r="BR681"/>
    </row>
    <row r="682" spans="31:70" ht="15.75" customHeight="1">
      <c r="AE682"/>
      <c r="AF682"/>
      <c r="AX682"/>
      <c r="AY682"/>
      <c r="BI682"/>
      <c r="BJ682"/>
      <c r="BM682"/>
      <c r="BR682"/>
    </row>
    <row r="683" spans="31:70" ht="15.75" customHeight="1">
      <c r="AE683"/>
      <c r="AF683"/>
      <c r="AX683"/>
      <c r="AY683"/>
      <c r="BI683"/>
      <c r="BJ683"/>
      <c r="BM683"/>
      <c r="BR683"/>
    </row>
    <row r="684" spans="31:70" ht="15.75" customHeight="1">
      <c r="AE684"/>
      <c r="AF684"/>
      <c r="AX684"/>
      <c r="AY684"/>
      <c r="BI684"/>
      <c r="BJ684"/>
      <c r="BM684"/>
      <c r="BR684"/>
    </row>
    <row r="685" spans="31:70" ht="15.75" customHeight="1">
      <c r="AE685"/>
      <c r="AF685"/>
      <c r="AX685"/>
      <c r="AY685"/>
      <c r="BI685"/>
      <c r="BJ685"/>
      <c r="BM685"/>
      <c r="BR685"/>
    </row>
    <row r="686" spans="31:70" ht="15.75" customHeight="1">
      <c r="AE686"/>
      <c r="AF686"/>
      <c r="AX686"/>
      <c r="AY686"/>
      <c r="BI686"/>
      <c r="BJ686"/>
      <c r="BM686"/>
      <c r="BR686"/>
    </row>
    <row r="687" spans="31:70" ht="15.75" customHeight="1">
      <c r="AE687"/>
      <c r="AF687"/>
      <c r="AX687"/>
      <c r="AY687"/>
      <c r="BI687"/>
      <c r="BJ687"/>
      <c r="BM687"/>
      <c r="BR687"/>
    </row>
    <row r="688" spans="31:70" ht="15.75" customHeight="1">
      <c r="AE688"/>
      <c r="AF688"/>
      <c r="AX688"/>
      <c r="AY688"/>
      <c r="BI688"/>
      <c r="BJ688"/>
      <c r="BM688"/>
      <c r="BR688"/>
    </row>
    <row r="689" spans="31:70" ht="15.75" customHeight="1">
      <c r="AE689"/>
      <c r="AF689"/>
      <c r="AX689"/>
      <c r="AY689"/>
      <c r="BI689"/>
      <c r="BJ689"/>
      <c r="BM689"/>
      <c r="BR689"/>
    </row>
    <row r="690" spans="31:70" ht="15.75" customHeight="1">
      <c r="AE690"/>
      <c r="AF690"/>
      <c r="AX690"/>
      <c r="AY690"/>
      <c r="BI690"/>
      <c r="BJ690"/>
      <c r="BM690"/>
      <c r="BR690"/>
    </row>
    <row r="691" spans="31:70" ht="15.75" customHeight="1">
      <c r="AE691"/>
      <c r="AF691"/>
      <c r="AX691"/>
      <c r="AY691"/>
      <c r="BI691"/>
      <c r="BJ691"/>
      <c r="BM691"/>
      <c r="BR691"/>
    </row>
    <row r="692" spans="31:70" ht="15.75" customHeight="1">
      <c r="AE692"/>
      <c r="AF692"/>
      <c r="AX692"/>
      <c r="AY692"/>
      <c r="BI692"/>
      <c r="BJ692"/>
      <c r="BM692"/>
      <c r="BR692"/>
    </row>
    <row r="693" spans="31:70" ht="15.75" customHeight="1">
      <c r="AE693"/>
      <c r="AF693"/>
      <c r="AX693"/>
      <c r="AY693"/>
      <c r="BI693"/>
      <c r="BJ693"/>
      <c r="BM693"/>
      <c r="BR693"/>
    </row>
    <row r="694" spans="31:70" ht="15.75" customHeight="1">
      <c r="AE694"/>
      <c r="AF694"/>
      <c r="AX694"/>
      <c r="AY694"/>
      <c r="BI694"/>
      <c r="BJ694"/>
      <c r="BM694"/>
      <c r="BR694"/>
    </row>
    <row r="695" spans="31:70" ht="15.75" customHeight="1">
      <c r="AE695"/>
      <c r="AF695"/>
      <c r="AX695"/>
      <c r="AY695"/>
      <c r="BI695"/>
      <c r="BJ695"/>
      <c r="BM695"/>
      <c r="BR695"/>
    </row>
    <row r="696" spans="31:70" ht="15.75" customHeight="1">
      <c r="AE696"/>
      <c r="AF696"/>
      <c r="AX696"/>
      <c r="AY696"/>
      <c r="BI696"/>
      <c r="BJ696"/>
      <c r="BM696"/>
      <c r="BR696"/>
    </row>
    <row r="697" spans="31:70" ht="15.75" customHeight="1">
      <c r="AE697"/>
      <c r="AF697"/>
      <c r="AX697"/>
      <c r="AY697"/>
      <c r="BI697"/>
      <c r="BJ697"/>
      <c r="BM697"/>
      <c r="BR697"/>
    </row>
    <row r="698" spans="31:70" ht="15.75" customHeight="1">
      <c r="AE698"/>
      <c r="AF698"/>
      <c r="AX698"/>
      <c r="AY698"/>
      <c r="BI698"/>
      <c r="BJ698"/>
      <c r="BM698"/>
      <c r="BR698"/>
    </row>
    <row r="699" spans="31:70" ht="15.75" customHeight="1">
      <c r="AE699"/>
      <c r="AF699"/>
      <c r="AX699"/>
      <c r="AY699"/>
      <c r="BI699"/>
      <c r="BJ699"/>
      <c r="BM699"/>
      <c r="BR699"/>
    </row>
    <row r="700" spans="31:70" ht="15.75" customHeight="1">
      <c r="AE700"/>
      <c r="AF700"/>
      <c r="AX700"/>
      <c r="AY700"/>
      <c r="BI700"/>
      <c r="BJ700"/>
      <c r="BM700"/>
      <c r="BR700"/>
    </row>
    <row r="701" spans="31:70" ht="15.75" customHeight="1">
      <c r="AE701"/>
      <c r="AF701"/>
      <c r="AX701"/>
      <c r="AY701"/>
      <c r="BI701"/>
      <c r="BJ701"/>
      <c r="BM701"/>
      <c r="BR701"/>
    </row>
    <row r="702" spans="31:70" ht="15.75" customHeight="1">
      <c r="AE702"/>
      <c r="AF702"/>
      <c r="AX702"/>
      <c r="AY702"/>
      <c r="BI702"/>
      <c r="BJ702"/>
      <c r="BM702"/>
      <c r="BR702"/>
    </row>
    <row r="703" spans="31:70" ht="15.75" customHeight="1">
      <c r="AE703"/>
      <c r="AF703"/>
      <c r="AX703"/>
      <c r="AY703"/>
      <c r="BI703"/>
      <c r="BJ703"/>
      <c r="BM703"/>
      <c r="BR703"/>
    </row>
    <row r="704" spans="31:70" ht="15.75" customHeight="1">
      <c r="AE704"/>
      <c r="AF704"/>
      <c r="AX704"/>
      <c r="AY704"/>
      <c r="BI704"/>
      <c r="BJ704"/>
      <c r="BM704"/>
      <c r="BR704"/>
    </row>
    <row r="705" spans="31:70" ht="15.75" customHeight="1">
      <c r="AE705"/>
      <c r="AF705"/>
      <c r="AX705"/>
      <c r="AY705"/>
      <c r="BI705"/>
      <c r="BJ705"/>
      <c r="BM705"/>
      <c r="BR705"/>
    </row>
    <row r="706" spans="31:70" ht="15.75" customHeight="1">
      <c r="AE706"/>
      <c r="AF706"/>
      <c r="AX706"/>
      <c r="AY706"/>
      <c r="BI706"/>
      <c r="BJ706"/>
      <c r="BM706"/>
      <c r="BR706"/>
    </row>
    <row r="707" spans="31:70" ht="15.75" customHeight="1">
      <c r="AE707"/>
      <c r="AF707"/>
      <c r="AX707"/>
      <c r="AY707"/>
      <c r="BI707"/>
      <c r="BJ707"/>
      <c r="BM707"/>
      <c r="BR707"/>
    </row>
    <row r="708" spans="31:70" ht="15.75" customHeight="1">
      <c r="AE708"/>
      <c r="AF708"/>
      <c r="AX708"/>
      <c r="AY708"/>
      <c r="BI708"/>
      <c r="BJ708"/>
      <c r="BM708"/>
      <c r="BR708"/>
    </row>
    <row r="709" spans="31:70" ht="15.75" customHeight="1">
      <c r="AE709"/>
      <c r="AF709"/>
      <c r="AX709"/>
      <c r="AY709"/>
      <c r="BI709"/>
      <c r="BJ709"/>
      <c r="BM709"/>
      <c r="BR709"/>
    </row>
    <row r="710" spans="31:70" ht="15.75" customHeight="1">
      <c r="AE710"/>
      <c r="AF710"/>
      <c r="AX710"/>
      <c r="AY710"/>
      <c r="BI710"/>
      <c r="BJ710"/>
      <c r="BM710"/>
      <c r="BR710"/>
    </row>
    <row r="711" spans="31:70" ht="15.75" customHeight="1">
      <c r="AE711"/>
      <c r="AF711"/>
      <c r="AX711"/>
      <c r="AY711"/>
      <c r="BI711"/>
      <c r="BJ711"/>
      <c r="BM711"/>
      <c r="BR711"/>
    </row>
    <row r="712" spans="31:70" ht="15.75" customHeight="1">
      <c r="AE712"/>
      <c r="AF712"/>
      <c r="AX712"/>
      <c r="AY712"/>
      <c r="BI712"/>
      <c r="BJ712"/>
      <c r="BM712"/>
      <c r="BR712"/>
    </row>
    <row r="713" spans="31:70" ht="15.75" customHeight="1">
      <c r="AE713"/>
      <c r="AF713"/>
      <c r="AX713"/>
      <c r="AY713"/>
      <c r="BI713"/>
      <c r="BJ713"/>
      <c r="BM713"/>
      <c r="BR713"/>
    </row>
    <row r="714" spans="31:70" ht="15.75" customHeight="1">
      <c r="AE714"/>
      <c r="AF714"/>
      <c r="AX714"/>
      <c r="AY714"/>
      <c r="BI714"/>
      <c r="BJ714"/>
      <c r="BM714"/>
      <c r="BR714"/>
    </row>
    <row r="715" spans="31:70" ht="15.75" customHeight="1">
      <c r="AE715"/>
      <c r="AF715"/>
      <c r="AX715"/>
      <c r="AY715"/>
      <c r="BI715"/>
      <c r="BJ715"/>
      <c r="BM715"/>
      <c r="BR715"/>
    </row>
    <row r="716" spans="31:70" ht="15.75" customHeight="1">
      <c r="AE716"/>
      <c r="AF716"/>
      <c r="AX716"/>
      <c r="AY716"/>
      <c r="BI716"/>
      <c r="BJ716"/>
      <c r="BM716"/>
      <c r="BR716"/>
    </row>
    <row r="717" spans="31:70" ht="15.75" customHeight="1">
      <c r="AE717"/>
      <c r="AF717"/>
      <c r="AX717"/>
      <c r="AY717"/>
      <c r="BI717"/>
      <c r="BJ717"/>
      <c r="BM717"/>
      <c r="BR717"/>
    </row>
    <row r="718" spans="31:70" ht="15.75" customHeight="1">
      <c r="AE718"/>
      <c r="AF718"/>
      <c r="AX718"/>
      <c r="AY718"/>
      <c r="BI718"/>
      <c r="BJ718"/>
      <c r="BM718"/>
      <c r="BR718"/>
    </row>
    <row r="719" spans="31:70" ht="15.75" customHeight="1">
      <c r="AE719"/>
      <c r="AF719"/>
      <c r="AX719"/>
      <c r="AY719"/>
      <c r="BI719"/>
      <c r="BJ719"/>
      <c r="BM719"/>
      <c r="BR719"/>
    </row>
    <row r="720" spans="31:70" ht="15.75" customHeight="1">
      <c r="AE720"/>
      <c r="AF720"/>
      <c r="AX720"/>
      <c r="AY720"/>
      <c r="BI720"/>
      <c r="BJ720"/>
      <c r="BM720"/>
      <c r="BR720"/>
    </row>
    <row r="721" spans="31:70" ht="15.75" customHeight="1">
      <c r="AE721"/>
      <c r="AF721"/>
      <c r="AX721"/>
      <c r="AY721"/>
      <c r="BI721"/>
      <c r="BJ721"/>
      <c r="BM721"/>
      <c r="BR721"/>
    </row>
    <row r="722" spans="31:70" ht="15.75" customHeight="1">
      <c r="AE722"/>
      <c r="AF722"/>
      <c r="AX722"/>
      <c r="AY722"/>
      <c r="BI722"/>
      <c r="BJ722"/>
      <c r="BM722"/>
      <c r="BR722"/>
    </row>
    <row r="723" spans="31:70" ht="15.75" customHeight="1">
      <c r="AE723"/>
      <c r="AF723"/>
      <c r="AX723"/>
      <c r="AY723"/>
      <c r="BI723"/>
      <c r="BJ723"/>
      <c r="BM723"/>
      <c r="BR723"/>
    </row>
    <row r="724" spans="31:70" ht="15.75" customHeight="1">
      <c r="AE724"/>
      <c r="AF724"/>
      <c r="AX724"/>
      <c r="AY724"/>
      <c r="BI724"/>
      <c r="BJ724"/>
      <c r="BM724"/>
      <c r="BR724"/>
    </row>
    <row r="725" spans="31:70" ht="15.75" customHeight="1">
      <c r="AE725"/>
      <c r="AF725"/>
      <c r="AX725"/>
      <c r="AY725"/>
      <c r="BI725"/>
      <c r="BJ725"/>
      <c r="BM725"/>
      <c r="BR725"/>
    </row>
    <row r="726" spans="31:70" ht="15.75" customHeight="1">
      <c r="AE726"/>
      <c r="AF726"/>
      <c r="AX726"/>
      <c r="AY726"/>
      <c r="BI726"/>
      <c r="BJ726"/>
      <c r="BM726"/>
      <c r="BR726"/>
    </row>
    <row r="727" spans="31:70" ht="15.75" customHeight="1">
      <c r="AE727"/>
      <c r="AF727"/>
      <c r="AX727"/>
      <c r="AY727"/>
      <c r="BI727"/>
      <c r="BJ727"/>
      <c r="BM727"/>
      <c r="BR727"/>
    </row>
    <row r="728" spans="31:70" ht="15.75" customHeight="1">
      <c r="AE728"/>
      <c r="AF728"/>
      <c r="AX728"/>
      <c r="AY728"/>
      <c r="BI728"/>
      <c r="BJ728"/>
      <c r="BM728"/>
      <c r="BR728"/>
    </row>
    <row r="729" spans="31:70" ht="15.75" customHeight="1">
      <c r="AE729"/>
      <c r="AF729"/>
      <c r="AX729"/>
      <c r="AY729"/>
      <c r="BI729"/>
      <c r="BJ729"/>
      <c r="BM729"/>
      <c r="BR729"/>
    </row>
    <row r="730" spans="31:70" ht="15.75" customHeight="1">
      <c r="AE730"/>
      <c r="AF730"/>
      <c r="AX730"/>
      <c r="AY730"/>
      <c r="BI730"/>
      <c r="BJ730"/>
      <c r="BM730"/>
      <c r="BR730"/>
    </row>
    <row r="731" spans="31:70" ht="15.75" customHeight="1">
      <c r="AE731"/>
      <c r="AF731"/>
      <c r="AX731"/>
      <c r="AY731"/>
      <c r="BI731"/>
      <c r="BJ731"/>
      <c r="BM731"/>
      <c r="BR731"/>
    </row>
    <row r="732" spans="31:70" ht="15.75" customHeight="1">
      <c r="AE732"/>
      <c r="AF732"/>
      <c r="AX732"/>
      <c r="AY732"/>
      <c r="BI732"/>
      <c r="BJ732"/>
      <c r="BM732"/>
      <c r="BR732"/>
    </row>
    <row r="733" spans="31:70" ht="15.75" customHeight="1">
      <c r="AE733"/>
      <c r="AF733"/>
      <c r="AX733"/>
      <c r="AY733"/>
      <c r="BI733"/>
      <c r="BJ733"/>
      <c r="BM733"/>
      <c r="BR733"/>
    </row>
    <row r="734" spans="31:70" ht="15.75" customHeight="1">
      <c r="AE734"/>
      <c r="AF734"/>
      <c r="AX734"/>
      <c r="AY734"/>
      <c r="BI734"/>
      <c r="BJ734"/>
      <c r="BM734"/>
      <c r="BR734"/>
    </row>
    <row r="735" spans="31:70" ht="15.75" customHeight="1">
      <c r="AE735"/>
      <c r="AF735"/>
      <c r="AX735"/>
      <c r="AY735"/>
      <c r="BI735"/>
      <c r="BJ735"/>
      <c r="BM735"/>
      <c r="BR735"/>
    </row>
    <row r="736" spans="31:70" ht="15.75" customHeight="1">
      <c r="AE736"/>
      <c r="AF736"/>
      <c r="AX736"/>
      <c r="AY736"/>
      <c r="BI736"/>
      <c r="BJ736"/>
      <c r="BM736"/>
      <c r="BR736"/>
    </row>
    <row r="737" spans="31:70" ht="15.75" customHeight="1">
      <c r="AE737"/>
      <c r="AF737"/>
      <c r="AX737"/>
      <c r="AY737"/>
      <c r="BI737"/>
      <c r="BJ737"/>
      <c r="BM737"/>
      <c r="BR737"/>
    </row>
    <row r="738" spans="31:70" ht="15.75" customHeight="1">
      <c r="AE738"/>
      <c r="AF738"/>
      <c r="AX738"/>
      <c r="AY738"/>
      <c r="BI738"/>
      <c r="BJ738"/>
      <c r="BM738"/>
      <c r="BR738"/>
    </row>
    <row r="739" spans="31:70" ht="15.75" customHeight="1">
      <c r="AE739"/>
      <c r="AF739"/>
      <c r="AX739"/>
      <c r="AY739"/>
      <c r="BI739"/>
      <c r="BJ739"/>
      <c r="BM739"/>
      <c r="BR739"/>
    </row>
    <row r="740" spans="31:70" ht="15.75" customHeight="1">
      <c r="AE740"/>
      <c r="AF740"/>
      <c r="AX740"/>
      <c r="AY740"/>
      <c r="BI740"/>
      <c r="BJ740"/>
      <c r="BM740"/>
      <c r="BR740"/>
    </row>
    <row r="741" spans="31:70" ht="15.75" customHeight="1">
      <c r="AE741"/>
      <c r="AF741"/>
      <c r="AX741"/>
      <c r="AY741"/>
      <c r="BI741"/>
      <c r="BJ741"/>
      <c r="BM741"/>
      <c r="BR741"/>
    </row>
    <row r="742" spans="31:70" ht="15.75" customHeight="1">
      <c r="AE742"/>
      <c r="AF742"/>
      <c r="AX742"/>
      <c r="AY742"/>
      <c r="BI742"/>
      <c r="BJ742"/>
      <c r="BM742"/>
      <c r="BR742"/>
    </row>
    <row r="743" spans="31:70" ht="15.75" customHeight="1">
      <c r="AE743"/>
      <c r="AF743"/>
      <c r="AX743"/>
      <c r="AY743"/>
      <c r="BI743"/>
      <c r="BJ743"/>
      <c r="BM743"/>
      <c r="BR743"/>
    </row>
    <row r="744" spans="31:70" ht="15.75" customHeight="1">
      <c r="AE744"/>
      <c r="AF744"/>
      <c r="AX744"/>
      <c r="AY744"/>
      <c r="BI744"/>
      <c r="BJ744"/>
      <c r="BM744"/>
      <c r="BR744"/>
    </row>
    <row r="745" spans="31:70" ht="15.75" customHeight="1">
      <c r="AE745"/>
      <c r="AF745"/>
      <c r="AX745"/>
      <c r="AY745"/>
      <c r="BI745"/>
      <c r="BJ745"/>
      <c r="BM745"/>
      <c r="BR745"/>
    </row>
    <row r="746" spans="31:70" ht="15.75" customHeight="1">
      <c r="AE746"/>
      <c r="AF746"/>
      <c r="AX746"/>
      <c r="AY746"/>
      <c r="BI746"/>
      <c r="BJ746"/>
      <c r="BM746"/>
      <c r="BR746"/>
    </row>
    <row r="747" spans="31:70" ht="15.75" customHeight="1">
      <c r="AE747"/>
      <c r="AF747"/>
      <c r="AX747"/>
      <c r="AY747"/>
      <c r="BI747"/>
      <c r="BJ747"/>
      <c r="BM747"/>
      <c r="BR747"/>
    </row>
    <row r="748" spans="31:70" ht="15.75" customHeight="1">
      <c r="AE748"/>
      <c r="AF748"/>
      <c r="AX748"/>
      <c r="AY748"/>
      <c r="BI748"/>
      <c r="BJ748"/>
      <c r="BM748"/>
      <c r="BR748"/>
    </row>
    <row r="749" spans="31:70" ht="15.75" customHeight="1">
      <c r="AE749"/>
      <c r="AF749"/>
      <c r="AX749"/>
      <c r="AY749"/>
      <c r="BI749"/>
      <c r="BJ749"/>
      <c r="BM749"/>
      <c r="BR749"/>
    </row>
    <row r="750" spans="31:70" ht="15.75" customHeight="1">
      <c r="AE750"/>
      <c r="AF750"/>
      <c r="AX750"/>
      <c r="AY750"/>
      <c r="BI750"/>
      <c r="BJ750"/>
      <c r="BM750"/>
      <c r="BR750"/>
    </row>
    <row r="751" spans="31:70" ht="15.75" customHeight="1">
      <c r="AE751"/>
      <c r="AF751"/>
      <c r="AX751"/>
      <c r="AY751"/>
      <c r="BI751"/>
      <c r="BJ751"/>
      <c r="BM751"/>
      <c r="BR751"/>
    </row>
    <row r="752" spans="31:70" ht="15.75" customHeight="1">
      <c r="AE752"/>
      <c r="AF752"/>
      <c r="AX752"/>
      <c r="AY752"/>
      <c r="BI752"/>
      <c r="BJ752"/>
      <c r="BM752"/>
      <c r="BR752"/>
    </row>
    <row r="753" spans="31:70" ht="15.75" customHeight="1">
      <c r="AE753"/>
      <c r="AF753"/>
      <c r="AX753"/>
      <c r="AY753"/>
      <c r="BI753"/>
      <c r="BJ753"/>
      <c r="BM753"/>
      <c r="BR753"/>
    </row>
    <row r="754" spans="31:70" ht="15.75" customHeight="1">
      <c r="AE754"/>
      <c r="AF754"/>
      <c r="AX754"/>
      <c r="AY754"/>
      <c r="BI754"/>
      <c r="BJ754"/>
      <c r="BM754"/>
      <c r="BR754"/>
    </row>
    <row r="755" spans="31:70" ht="15.75" customHeight="1">
      <c r="AE755"/>
      <c r="AF755"/>
      <c r="AX755"/>
      <c r="AY755"/>
      <c r="BI755"/>
      <c r="BJ755"/>
      <c r="BM755"/>
      <c r="BR755"/>
    </row>
    <row r="756" spans="31:70" ht="15.75" customHeight="1">
      <c r="AE756"/>
      <c r="AF756"/>
      <c r="AX756"/>
      <c r="AY756"/>
      <c r="BI756"/>
      <c r="BJ756"/>
      <c r="BM756"/>
      <c r="BR756"/>
    </row>
    <row r="757" spans="31:70" ht="15.75" customHeight="1">
      <c r="AE757"/>
      <c r="AF757"/>
      <c r="AX757"/>
      <c r="AY757"/>
      <c r="BI757"/>
      <c r="BJ757"/>
      <c r="BM757"/>
      <c r="BR757"/>
    </row>
    <row r="758" spans="31:70" ht="15.75" customHeight="1">
      <c r="AE758"/>
      <c r="AF758"/>
      <c r="AX758"/>
      <c r="AY758"/>
      <c r="BI758"/>
      <c r="BJ758"/>
      <c r="BM758"/>
      <c r="BR758"/>
    </row>
    <row r="759" spans="31:70" ht="15.75" customHeight="1">
      <c r="AE759"/>
      <c r="AF759"/>
      <c r="AX759"/>
      <c r="AY759"/>
      <c r="BI759"/>
      <c r="BJ759"/>
      <c r="BM759"/>
      <c r="BR759"/>
    </row>
    <row r="760" spans="31:70" ht="15.75" customHeight="1">
      <c r="AE760"/>
      <c r="AF760"/>
      <c r="AX760"/>
      <c r="AY760"/>
      <c r="BI760"/>
      <c r="BJ760"/>
      <c r="BM760"/>
      <c r="BR760"/>
    </row>
    <row r="761" spans="31:70" ht="15.75" customHeight="1">
      <c r="AE761"/>
      <c r="AF761"/>
      <c r="AX761"/>
      <c r="AY761"/>
      <c r="BI761"/>
      <c r="BJ761"/>
      <c r="BM761"/>
      <c r="BR761"/>
    </row>
    <row r="762" spans="31:70" ht="15.75" customHeight="1">
      <c r="AE762"/>
      <c r="AF762"/>
      <c r="AX762"/>
      <c r="AY762"/>
      <c r="BI762"/>
      <c r="BJ762"/>
      <c r="BM762"/>
      <c r="BR762"/>
    </row>
    <row r="763" spans="31:70" ht="15.75" customHeight="1">
      <c r="AE763"/>
      <c r="AF763"/>
      <c r="AX763"/>
      <c r="AY763"/>
      <c r="BI763"/>
      <c r="BJ763"/>
      <c r="BM763"/>
      <c r="BR763"/>
    </row>
    <row r="764" spans="31:70" ht="15.75" customHeight="1">
      <c r="AE764"/>
      <c r="AF764"/>
      <c r="AX764"/>
      <c r="AY764"/>
      <c r="BI764"/>
      <c r="BJ764"/>
      <c r="BM764"/>
      <c r="BR764"/>
    </row>
    <row r="765" spans="31:70" ht="15.75" customHeight="1">
      <c r="AE765"/>
      <c r="AF765"/>
      <c r="AX765"/>
      <c r="AY765"/>
      <c r="BI765"/>
      <c r="BJ765"/>
      <c r="BM765"/>
      <c r="BR765"/>
    </row>
    <row r="766" spans="31:70" ht="15.75" customHeight="1">
      <c r="AE766"/>
      <c r="AF766"/>
      <c r="AX766"/>
      <c r="AY766"/>
      <c r="BI766"/>
      <c r="BJ766"/>
      <c r="BM766"/>
      <c r="BR766"/>
    </row>
    <row r="767" spans="31:70" ht="15.75" customHeight="1">
      <c r="AE767"/>
      <c r="AF767"/>
      <c r="AX767"/>
      <c r="AY767"/>
      <c r="BI767"/>
      <c r="BJ767"/>
      <c r="BM767"/>
      <c r="BR767"/>
    </row>
    <row r="768" spans="31:70" ht="15.75" customHeight="1">
      <c r="AE768"/>
      <c r="AF768"/>
      <c r="AX768"/>
      <c r="AY768"/>
      <c r="BI768"/>
      <c r="BJ768"/>
      <c r="BM768"/>
      <c r="BR768"/>
    </row>
    <row r="769" spans="31:70" ht="15.75" customHeight="1">
      <c r="AE769"/>
      <c r="AF769"/>
      <c r="AX769"/>
      <c r="AY769"/>
      <c r="BI769"/>
      <c r="BJ769"/>
      <c r="BM769"/>
      <c r="BR769"/>
    </row>
    <row r="770" spans="31:70" ht="15.75" customHeight="1">
      <c r="AE770"/>
      <c r="AF770"/>
      <c r="AX770"/>
      <c r="AY770"/>
      <c r="BI770"/>
      <c r="BJ770"/>
      <c r="BM770"/>
      <c r="BR770"/>
    </row>
    <row r="771" spans="31:70" ht="15.75" customHeight="1">
      <c r="AE771"/>
      <c r="AF771"/>
      <c r="AX771"/>
      <c r="AY771"/>
      <c r="BI771"/>
      <c r="BJ771"/>
      <c r="BM771"/>
      <c r="BR771"/>
    </row>
    <row r="772" spans="31:70" ht="15.75" customHeight="1">
      <c r="AE772"/>
      <c r="AF772"/>
      <c r="AX772"/>
      <c r="AY772"/>
      <c r="BI772"/>
      <c r="BJ772"/>
      <c r="BM772"/>
      <c r="BR772"/>
    </row>
    <row r="773" spans="31:70" ht="15.75" customHeight="1">
      <c r="AE773"/>
      <c r="AF773"/>
      <c r="AX773"/>
      <c r="AY773"/>
      <c r="BI773"/>
      <c r="BJ773"/>
      <c r="BM773"/>
      <c r="BR773"/>
    </row>
    <row r="774" spans="31:70" ht="15.75" customHeight="1">
      <c r="AE774"/>
      <c r="AF774"/>
      <c r="AX774"/>
      <c r="AY774"/>
      <c r="BI774"/>
      <c r="BJ774"/>
      <c r="BM774"/>
      <c r="BR774"/>
    </row>
    <row r="775" spans="31:70" ht="15.75" customHeight="1">
      <c r="AE775"/>
      <c r="AF775"/>
      <c r="AX775"/>
      <c r="AY775"/>
      <c r="BI775"/>
      <c r="BJ775"/>
      <c r="BM775"/>
      <c r="BR775"/>
    </row>
    <row r="776" spans="31:70" ht="15.75" customHeight="1">
      <c r="AE776"/>
      <c r="AF776"/>
      <c r="AX776"/>
      <c r="AY776"/>
      <c r="BI776"/>
      <c r="BJ776"/>
      <c r="BM776"/>
      <c r="BR776"/>
    </row>
    <row r="777" spans="31:70" ht="15.75" customHeight="1">
      <c r="AE777"/>
      <c r="AF777"/>
      <c r="AX777"/>
      <c r="AY777"/>
      <c r="BI777"/>
      <c r="BJ777"/>
      <c r="BM777"/>
      <c r="BR777"/>
    </row>
    <row r="778" spans="31:70" ht="15.75" customHeight="1">
      <c r="AE778"/>
      <c r="AF778"/>
      <c r="AX778"/>
      <c r="AY778"/>
      <c r="BI778"/>
      <c r="BJ778"/>
      <c r="BM778"/>
      <c r="BR778"/>
    </row>
    <row r="779" spans="31:70" ht="15.75" customHeight="1">
      <c r="AE779"/>
      <c r="AF779"/>
      <c r="AX779"/>
      <c r="AY779"/>
      <c r="BI779"/>
      <c r="BJ779"/>
      <c r="BM779"/>
      <c r="BR779"/>
    </row>
    <row r="780" spans="31:70" ht="15.75" customHeight="1">
      <c r="AE780"/>
      <c r="AF780"/>
      <c r="AX780"/>
      <c r="AY780"/>
      <c r="BI780"/>
      <c r="BJ780"/>
      <c r="BM780"/>
      <c r="BR780"/>
    </row>
    <row r="781" spans="31:70" ht="15.75" customHeight="1">
      <c r="AE781"/>
      <c r="AF781"/>
      <c r="AX781"/>
      <c r="AY781"/>
      <c r="BI781"/>
      <c r="BJ781"/>
      <c r="BM781"/>
      <c r="BR781"/>
    </row>
    <row r="782" spans="31:70" ht="15.75" customHeight="1">
      <c r="AE782"/>
      <c r="AF782"/>
      <c r="AX782"/>
      <c r="AY782"/>
      <c r="BI782"/>
      <c r="BJ782"/>
      <c r="BM782"/>
      <c r="BR782"/>
    </row>
    <row r="783" spans="31:70" ht="15.75" customHeight="1">
      <c r="AE783"/>
      <c r="AF783"/>
      <c r="AX783"/>
      <c r="AY783"/>
      <c r="BI783"/>
      <c r="BJ783"/>
      <c r="BM783"/>
      <c r="BR783"/>
    </row>
    <row r="784" spans="31:70" ht="15.75" customHeight="1">
      <c r="AE784"/>
      <c r="AF784"/>
      <c r="AX784"/>
      <c r="AY784"/>
      <c r="BI784"/>
      <c r="BJ784"/>
      <c r="BM784"/>
      <c r="BR784"/>
    </row>
    <row r="785" spans="31:70" ht="15.75" customHeight="1">
      <c r="AE785"/>
      <c r="AF785"/>
      <c r="AX785"/>
      <c r="AY785"/>
      <c r="BI785"/>
      <c r="BJ785"/>
      <c r="BM785"/>
      <c r="BR785"/>
    </row>
    <row r="786" spans="31:70" ht="15.75" customHeight="1">
      <c r="AE786"/>
      <c r="AF786"/>
      <c r="AX786"/>
      <c r="AY786"/>
      <c r="BI786"/>
      <c r="BJ786"/>
      <c r="BM786"/>
      <c r="BR786"/>
    </row>
    <row r="787" spans="31:70" ht="15.75" customHeight="1">
      <c r="AE787"/>
      <c r="AF787"/>
      <c r="AX787"/>
      <c r="AY787"/>
      <c r="BI787"/>
      <c r="BJ787"/>
      <c r="BM787"/>
      <c r="BR787"/>
    </row>
    <row r="788" spans="31:70" ht="15.75" customHeight="1">
      <c r="AE788"/>
      <c r="AF788"/>
      <c r="AX788"/>
      <c r="AY788"/>
      <c r="BI788"/>
      <c r="BJ788"/>
      <c r="BM788"/>
      <c r="BR788"/>
    </row>
    <row r="789" spans="31:70" ht="15.75" customHeight="1">
      <c r="AE789"/>
      <c r="AF789"/>
      <c r="AX789"/>
      <c r="AY789"/>
      <c r="BI789"/>
      <c r="BJ789"/>
      <c r="BM789"/>
      <c r="BR789"/>
    </row>
    <row r="790" spans="31:70" ht="15.75" customHeight="1">
      <c r="AE790"/>
      <c r="AF790"/>
      <c r="AX790"/>
      <c r="AY790"/>
      <c r="BI790"/>
      <c r="BJ790"/>
      <c r="BM790"/>
      <c r="BR790"/>
    </row>
    <row r="791" spans="31:70" ht="15.75" customHeight="1">
      <c r="AE791"/>
      <c r="AF791"/>
      <c r="AX791"/>
      <c r="AY791"/>
      <c r="BI791"/>
      <c r="BJ791"/>
      <c r="BM791"/>
      <c r="BR791"/>
    </row>
    <row r="792" spans="31:70" ht="15.75" customHeight="1">
      <c r="AE792"/>
      <c r="AF792"/>
      <c r="AX792"/>
      <c r="AY792"/>
      <c r="BI792"/>
      <c r="BJ792"/>
      <c r="BM792"/>
      <c r="BR792"/>
    </row>
    <row r="793" spans="31:70" ht="15.75" customHeight="1">
      <c r="AE793"/>
      <c r="AF793"/>
      <c r="AX793"/>
      <c r="AY793"/>
      <c r="BI793"/>
      <c r="BJ793"/>
      <c r="BM793"/>
      <c r="BR793"/>
    </row>
    <row r="794" spans="31:70" ht="15.75" customHeight="1">
      <c r="AE794"/>
      <c r="AF794"/>
      <c r="AX794"/>
      <c r="AY794"/>
      <c r="BI794"/>
      <c r="BJ794"/>
      <c r="BM794"/>
      <c r="BR794"/>
    </row>
    <row r="795" spans="31:70" ht="15.75" customHeight="1">
      <c r="AE795"/>
      <c r="AF795"/>
      <c r="AX795"/>
      <c r="AY795"/>
      <c r="BI795"/>
      <c r="BJ795"/>
      <c r="BM795"/>
      <c r="BR795"/>
    </row>
    <row r="796" spans="31:70" ht="15.75" customHeight="1">
      <c r="AE796"/>
      <c r="AF796"/>
      <c r="AX796"/>
      <c r="AY796"/>
      <c r="BI796"/>
      <c r="BJ796"/>
      <c r="BM796"/>
      <c r="BR796"/>
    </row>
    <row r="797" spans="31:70" ht="15.75" customHeight="1">
      <c r="AE797"/>
      <c r="AF797"/>
      <c r="AX797"/>
      <c r="AY797"/>
      <c r="BI797"/>
      <c r="BJ797"/>
      <c r="BM797"/>
      <c r="BR797"/>
    </row>
    <row r="798" spans="31:70" ht="15.75" customHeight="1">
      <c r="AE798"/>
      <c r="AF798"/>
      <c r="AX798"/>
      <c r="AY798"/>
      <c r="BI798"/>
      <c r="BJ798"/>
      <c r="BM798"/>
      <c r="BR798"/>
    </row>
    <row r="799" spans="31:70" ht="15.75" customHeight="1">
      <c r="AE799"/>
      <c r="AF799"/>
      <c r="AX799"/>
      <c r="AY799"/>
      <c r="BI799"/>
      <c r="BJ799"/>
      <c r="BM799"/>
      <c r="BR799"/>
    </row>
    <row r="800" spans="31:70" ht="15.75" customHeight="1">
      <c r="AE800"/>
      <c r="AF800"/>
      <c r="AX800"/>
      <c r="AY800"/>
      <c r="BI800"/>
      <c r="BJ800"/>
      <c r="BM800"/>
      <c r="BR800"/>
    </row>
    <row r="801" spans="31:70" ht="15.75" customHeight="1">
      <c r="AE801"/>
      <c r="AF801"/>
      <c r="AX801"/>
      <c r="AY801"/>
      <c r="BI801"/>
      <c r="BJ801"/>
      <c r="BM801"/>
      <c r="BR801"/>
    </row>
    <row r="802" spans="31:70" ht="15.75" customHeight="1">
      <c r="AE802"/>
      <c r="AF802"/>
      <c r="AX802"/>
      <c r="AY802"/>
      <c r="BI802"/>
      <c r="BJ802"/>
      <c r="BM802"/>
      <c r="BR802"/>
    </row>
    <row r="803" spans="31:70" ht="15.75" customHeight="1">
      <c r="AE803"/>
      <c r="AF803"/>
      <c r="AX803"/>
      <c r="AY803"/>
      <c r="BI803"/>
      <c r="BJ803"/>
      <c r="BM803"/>
      <c r="BR803"/>
    </row>
    <row r="804" spans="31:70" ht="15.75" customHeight="1">
      <c r="AE804"/>
      <c r="AF804"/>
      <c r="AX804"/>
      <c r="AY804"/>
      <c r="BI804"/>
      <c r="BJ804"/>
      <c r="BM804"/>
      <c r="BR804"/>
    </row>
    <row r="805" spans="31:70" ht="15.75" customHeight="1">
      <c r="AE805"/>
      <c r="AF805"/>
      <c r="AX805"/>
      <c r="AY805"/>
      <c r="BI805"/>
      <c r="BJ805"/>
      <c r="BM805"/>
      <c r="BR805"/>
    </row>
    <row r="806" spans="31:70" ht="15.75" customHeight="1">
      <c r="AE806"/>
      <c r="AF806"/>
      <c r="AX806"/>
      <c r="AY806"/>
      <c r="BI806"/>
      <c r="BJ806"/>
      <c r="BM806"/>
      <c r="BR806"/>
    </row>
    <row r="807" spans="31:70" ht="15.75" customHeight="1">
      <c r="AE807"/>
      <c r="AF807"/>
      <c r="AX807"/>
      <c r="AY807"/>
      <c r="BI807"/>
      <c r="BJ807"/>
      <c r="BM807"/>
      <c r="BR807"/>
    </row>
    <row r="808" spans="31:70" ht="15.75" customHeight="1">
      <c r="AE808"/>
      <c r="AF808"/>
      <c r="AX808"/>
      <c r="AY808"/>
      <c r="BI808"/>
      <c r="BJ808"/>
      <c r="BM808"/>
      <c r="BR808"/>
    </row>
    <row r="809" spans="31:70" ht="15.75" customHeight="1">
      <c r="AE809"/>
      <c r="AF809"/>
      <c r="AX809"/>
      <c r="AY809"/>
      <c r="BI809"/>
      <c r="BJ809"/>
      <c r="BM809"/>
      <c r="BR809"/>
    </row>
    <row r="810" spans="31:70" ht="15.75" customHeight="1">
      <c r="AE810"/>
      <c r="AF810"/>
      <c r="AX810"/>
      <c r="AY810"/>
      <c r="BI810"/>
      <c r="BJ810"/>
      <c r="BM810"/>
      <c r="BR810"/>
    </row>
    <row r="811" spans="31:70" ht="15.75" customHeight="1">
      <c r="AE811"/>
      <c r="AF811"/>
      <c r="AX811"/>
      <c r="AY811"/>
      <c r="BI811"/>
      <c r="BJ811"/>
      <c r="BM811"/>
      <c r="BR811"/>
    </row>
    <row r="812" spans="31:70" ht="15.75" customHeight="1">
      <c r="AE812"/>
      <c r="AF812"/>
      <c r="AX812"/>
      <c r="AY812"/>
      <c r="BI812"/>
      <c r="BJ812"/>
      <c r="BM812"/>
      <c r="BR812"/>
    </row>
    <row r="813" spans="31:70" ht="15.75" customHeight="1">
      <c r="AE813"/>
      <c r="AF813"/>
      <c r="AX813"/>
      <c r="AY813"/>
      <c r="BI813"/>
      <c r="BJ813"/>
      <c r="BM813"/>
      <c r="BR813"/>
    </row>
    <row r="814" spans="31:70" ht="15.75" customHeight="1">
      <c r="AE814"/>
      <c r="AF814"/>
      <c r="AX814"/>
      <c r="AY814"/>
      <c r="BI814"/>
      <c r="BJ814"/>
      <c r="BM814"/>
      <c r="BR814"/>
    </row>
    <row r="815" spans="31:70" ht="15.75" customHeight="1">
      <c r="AE815"/>
      <c r="AF815"/>
      <c r="AX815"/>
      <c r="AY815"/>
      <c r="BI815"/>
      <c r="BJ815"/>
      <c r="BM815"/>
      <c r="BR815"/>
    </row>
    <row r="816" spans="31:70" ht="15.75" customHeight="1">
      <c r="AE816"/>
      <c r="AF816"/>
      <c r="AX816"/>
      <c r="AY816"/>
      <c r="BI816"/>
      <c r="BJ816"/>
      <c r="BM816"/>
      <c r="BR816"/>
    </row>
    <row r="817" spans="31:70" ht="15.75" customHeight="1">
      <c r="AE817"/>
      <c r="AF817"/>
      <c r="AX817"/>
      <c r="AY817"/>
      <c r="BI817"/>
      <c r="BJ817"/>
      <c r="BM817"/>
      <c r="BR817"/>
    </row>
    <row r="818" spans="31:70" ht="15.75" customHeight="1">
      <c r="AE818"/>
      <c r="AF818"/>
      <c r="AX818"/>
      <c r="AY818"/>
      <c r="BI818"/>
      <c r="BJ818"/>
      <c r="BM818"/>
      <c r="BR818"/>
    </row>
    <row r="819" spans="31:70" ht="15.75" customHeight="1">
      <c r="AE819"/>
      <c r="AF819"/>
      <c r="AX819"/>
      <c r="AY819"/>
      <c r="BI819"/>
      <c r="BJ819"/>
      <c r="BM819"/>
      <c r="BR819"/>
    </row>
    <row r="820" spans="31:70" ht="15.75" customHeight="1">
      <c r="AE820"/>
      <c r="AF820"/>
      <c r="AX820"/>
      <c r="AY820"/>
      <c r="BI820"/>
      <c r="BJ820"/>
      <c r="BM820"/>
      <c r="BR820"/>
    </row>
    <row r="821" spans="31:70" ht="15.75" customHeight="1">
      <c r="AE821"/>
      <c r="AF821"/>
      <c r="AX821"/>
      <c r="AY821"/>
      <c r="BI821"/>
      <c r="BJ821"/>
      <c r="BM821"/>
      <c r="BR821"/>
    </row>
    <row r="822" spans="31:70" ht="15.75" customHeight="1">
      <c r="AE822"/>
      <c r="AF822"/>
      <c r="AX822"/>
      <c r="AY822"/>
      <c r="BI822"/>
      <c r="BJ822"/>
      <c r="BM822"/>
      <c r="BR822"/>
    </row>
    <row r="823" spans="31:70" ht="15.75" customHeight="1">
      <c r="AE823"/>
      <c r="AF823"/>
      <c r="AX823"/>
      <c r="AY823"/>
      <c r="BI823"/>
      <c r="BJ823"/>
      <c r="BM823"/>
      <c r="BR823"/>
    </row>
    <row r="824" spans="31:70" ht="15.75" customHeight="1">
      <c r="AE824"/>
      <c r="AF824"/>
      <c r="AX824"/>
      <c r="AY824"/>
      <c r="BI824"/>
      <c r="BJ824"/>
      <c r="BM824"/>
      <c r="BR824"/>
    </row>
    <row r="825" spans="31:70" ht="15.75" customHeight="1">
      <c r="AE825"/>
      <c r="AF825"/>
      <c r="AX825"/>
      <c r="AY825"/>
      <c r="BI825"/>
      <c r="BJ825"/>
      <c r="BM825"/>
      <c r="BR825"/>
    </row>
    <row r="826" spans="31:70" ht="15.75" customHeight="1">
      <c r="AE826"/>
      <c r="AF826"/>
      <c r="AX826"/>
      <c r="AY826"/>
      <c r="BI826"/>
      <c r="BJ826"/>
      <c r="BM826"/>
      <c r="BR826"/>
    </row>
    <row r="827" spans="31:70" ht="15.75" customHeight="1">
      <c r="AE827"/>
      <c r="AF827"/>
      <c r="AX827"/>
      <c r="AY827"/>
      <c r="BI827"/>
      <c r="BJ827"/>
      <c r="BM827"/>
      <c r="BR827"/>
    </row>
    <row r="828" spans="31:70" ht="15.75" customHeight="1">
      <c r="AE828"/>
      <c r="AF828"/>
      <c r="AX828"/>
      <c r="AY828"/>
      <c r="BI828"/>
      <c r="BJ828"/>
      <c r="BM828"/>
      <c r="BR828"/>
    </row>
    <row r="829" spans="31:70" ht="15.75" customHeight="1">
      <c r="AE829"/>
      <c r="AF829"/>
      <c r="AX829"/>
      <c r="AY829"/>
      <c r="BI829"/>
      <c r="BJ829"/>
      <c r="BM829"/>
      <c r="BR829"/>
    </row>
    <row r="830" spans="31:70" ht="15.75" customHeight="1">
      <c r="AE830"/>
      <c r="AF830"/>
      <c r="AX830"/>
      <c r="AY830"/>
      <c r="BI830"/>
      <c r="BJ830"/>
      <c r="BM830"/>
      <c r="BR830"/>
    </row>
    <row r="831" spans="31:70" ht="15.75" customHeight="1">
      <c r="AE831"/>
      <c r="AF831"/>
      <c r="AX831"/>
      <c r="AY831"/>
      <c r="BI831"/>
      <c r="BJ831"/>
      <c r="BM831"/>
      <c r="BR831"/>
    </row>
    <row r="832" spans="31:70" ht="15.75" customHeight="1">
      <c r="AE832"/>
      <c r="AF832"/>
      <c r="AX832"/>
      <c r="AY832"/>
      <c r="BI832"/>
      <c r="BJ832"/>
      <c r="BM832"/>
      <c r="BR832"/>
    </row>
    <row r="833" spans="31:70" ht="15.75" customHeight="1">
      <c r="AE833"/>
      <c r="AF833"/>
      <c r="AX833"/>
      <c r="AY833"/>
      <c r="BI833"/>
      <c r="BJ833"/>
      <c r="BM833"/>
      <c r="BR833"/>
    </row>
    <row r="834" spans="31:70" ht="15.75" customHeight="1">
      <c r="AE834"/>
      <c r="AF834"/>
      <c r="AX834"/>
      <c r="AY834"/>
      <c r="BI834"/>
      <c r="BJ834"/>
      <c r="BM834"/>
      <c r="BR834"/>
    </row>
    <row r="835" spans="31:70" ht="15.75" customHeight="1">
      <c r="AE835"/>
      <c r="AF835"/>
      <c r="AX835"/>
      <c r="AY835"/>
      <c r="BI835"/>
      <c r="BJ835"/>
      <c r="BM835"/>
      <c r="BR835"/>
    </row>
    <row r="836" spans="31:70" ht="15.75" customHeight="1">
      <c r="AE836"/>
      <c r="AF836"/>
      <c r="AX836"/>
      <c r="AY836"/>
      <c r="BI836"/>
      <c r="BJ836"/>
      <c r="BM836"/>
      <c r="BR836"/>
    </row>
    <row r="837" spans="31:70" ht="15.75" customHeight="1">
      <c r="AE837"/>
      <c r="AF837"/>
      <c r="AX837"/>
      <c r="AY837"/>
      <c r="BI837"/>
      <c r="BJ837"/>
      <c r="BM837"/>
      <c r="BR837"/>
    </row>
    <row r="838" spans="31:70" ht="15.75" customHeight="1">
      <c r="AE838"/>
      <c r="AF838"/>
      <c r="AX838"/>
      <c r="AY838"/>
      <c r="BI838"/>
      <c r="BJ838"/>
      <c r="BM838"/>
      <c r="BR838"/>
    </row>
    <row r="839" spans="31:70" ht="15.75" customHeight="1">
      <c r="AE839"/>
      <c r="AF839"/>
      <c r="AX839"/>
      <c r="AY839"/>
      <c r="BI839"/>
      <c r="BJ839"/>
      <c r="BM839"/>
      <c r="BR839"/>
    </row>
    <row r="840" spans="31:70" ht="15.75" customHeight="1">
      <c r="AE840"/>
      <c r="AF840"/>
      <c r="AX840"/>
      <c r="AY840"/>
      <c r="BI840"/>
      <c r="BJ840"/>
      <c r="BM840"/>
      <c r="BR840"/>
    </row>
    <row r="841" spans="31:70" ht="15.75" customHeight="1">
      <c r="AE841"/>
      <c r="AF841"/>
      <c r="AX841"/>
      <c r="AY841"/>
      <c r="BI841"/>
      <c r="BJ841"/>
      <c r="BM841"/>
      <c r="BR841"/>
    </row>
    <row r="842" spans="31:70" ht="15.75" customHeight="1">
      <c r="AE842"/>
      <c r="AF842"/>
      <c r="AX842"/>
      <c r="AY842"/>
      <c r="BI842"/>
      <c r="BJ842"/>
      <c r="BM842"/>
      <c r="BR842"/>
    </row>
    <row r="843" spans="31:70" ht="15.75" customHeight="1">
      <c r="AE843"/>
      <c r="AF843"/>
      <c r="AX843"/>
      <c r="AY843"/>
      <c r="BI843"/>
      <c r="BJ843"/>
      <c r="BM843"/>
      <c r="BR843"/>
    </row>
    <row r="844" spans="31:70" ht="15.75" customHeight="1">
      <c r="AE844"/>
      <c r="AF844"/>
      <c r="AX844"/>
      <c r="AY844"/>
      <c r="BI844"/>
      <c r="BJ844"/>
      <c r="BM844"/>
      <c r="BR844"/>
    </row>
    <row r="845" spans="31:70" ht="15.75" customHeight="1">
      <c r="AE845"/>
      <c r="AF845"/>
      <c r="AX845"/>
      <c r="AY845"/>
      <c r="BI845"/>
      <c r="BJ845"/>
      <c r="BM845"/>
      <c r="BR845"/>
    </row>
    <row r="846" spans="31:70" ht="15.75" customHeight="1">
      <c r="AE846"/>
      <c r="AF846"/>
      <c r="AX846"/>
      <c r="AY846"/>
      <c r="BI846"/>
      <c r="BJ846"/>
      <c r="BM846"/>
      <c r="BR846"/>
    </row>
    <row r="847" spans="31:70" ht="15.75" customHeight="1">
      <c r="AE847"/>
      <c r="AF847"/>
      <c r="AX847"/>
      <c r="AY847"/>
      <c r="BI847"/>
      <c r="BJ847"/>
      <c r="BM847"/>
      <c r="BR847"/>
    </row>
    <row r="848" spans="31:70" ht="15.75" customHeight="1">
      <c r="AE848"/>
      <c r="AF848"/>
      <c r="AX848"/>
      <c r="AY848"/>
      <c r="BI848"/>
      <c r="BJ848"/>
      <c r="BM848"/>
      <c r="BR848"/>
    </row>
    <row r="849" spans="31:70" ht="15.75" customHeight="1">
      <c r="AE849"/>
      <c r="AF849"/>
      <c r="AX849"/>
      <c r="AY849"/>
      <c r="BI849"/>
      <c r="BJ849"/>
      <c r="BM849"/>
      <c r="BR849"/>
    </row>
    <row r="850" spans="31:70" ht="15.75" customHeight="1">
      <c r="AE850"/>
      <c r="AF850"/>
      <c r="AX850"/>
      <c r="AY850"/>
      <c r="BI850"/>
      <c r="BJ850"/>
      <c r="BM850"/>
      <c r="BR850"/>
    </row>
    <row r="851" spans="31:70" ht="15.75" customHeight="1">
      <c r="AE851"/>
      <c r="AF851"/>
      <c r="AX851"/>
      <c r="AY851"/>
      <c r="BI851"/>
      <c r="BJ851"/>
      <c r="BM851"/>
      <c r="BR851"/>
    </row>
    <row r="852" spans="31:70" ht="15.75" customHeight="1">
      <c r="AE852"/>
      <c r="AF852"/>
      <c r="AX852"/>
      <c r="AY852"/>
      <c r="BI852"/>
      <c r="BJ852"/>
      <c r="BM852"/>
      <c r="BR852"/>
    </row>
    <row r="853" spans="31:70" ht="15.75" customHeight="1">
      <c r="AE853"/>
      <c r="AF853"/>
      <c r="AX853"/>
      <c r="AY853"/>
      <c r="BI853"/>
      <c r="BJ853"/>
      <c r="BM853"/>
      <c r="BR853"/>
    </row>
    <row r="854" spans="31:70" ht="15.75" customHeight="1">
      <c r="AE854"/>
      <c r="AF854"/>
      <c r="AX854"/>
      <c r="AY854"/>
      <c r="BI854"/>
      <c r="BJ854"/>
      <c r="BM854"/>
      <c r="BR854"/>
    </row>
    <row r="855" spans="31:70" ht="15.75" customHeight="1">
      <c r="AE855"/>
      <c r="AF855"/>
      <c r="AX855"/>
      <c r="AY855"/>
      <c r="BI855"/>
      <c r="BJ855"/>
      <c r="BM855"/>
      <c r="BR855"/>
    </row>
    <row r="856" spans="31:70" ht="15.75" customHeight="1">
      <c r="AE856"/>
      <c r="AF856"/>
      <c r="AX856"/>
      <c r="AY856"/>
      <c r="BI856"/>
      <c r="BJ856"/>
      <c r="BM856"/>
      <c r="BR856"/>
    </row>
    <row r="857" spans="31:70" ht="15.75" customHeight="1">
      <c r="AE857"/>
      <c r="AF857"/>
      <c r="AX857"/>
      <c r="AY857"/>
      <c r="BI857"/>
      <c r="BJ857"/>
      <c r="BM857"/>
      <c r="BR857"/>
    </row>
    <row r="858" spans="31:70" ht="15.75" customHeight="1">
      <c r="AE858"/>
      <c r="AF858"/>
      <c r="AX858"/>
      <c r="AY858"/>
      <c r="BI858"/>
      <c r="BJ858"/>
      <c r="BM858"/>
      <c r="BR858"/>
    </row>
    <row r="859" spans="31:70" ht="15.75" customHeight="1">
      <c r="AE859"/>
      <c r="AF859"/>
      <c r="AX859"/>
      <c r="AY859"/>
      <c r="BI859"/>
      <c r="BJ859"/>
      <c r="BM859"/>
      <c r="BR859"/>
    </row>
    <row r="860" spans="31:70" ht="15.75" customHeight="1">
      <c r="AE860"/>
      <c r="AF860"/>
      <c r="AX860"/>
      <c r="AY860"/>
      <c r="BI860"/>
      <c r="BJ860"/>
      <c r="BM860"/>
      <c r="BR860"/>
    </row>
    <row r="861" spans="31:70" ht="15.75" customHeight="1">
      <c r="AE861"/>
      <c r="AF861"/>
      <c r="AX861"/>
      <c r="AY861"/>
      <c r="BI861"/>
      <c r="BJ861"/>
      <c r="BM861"/>
      <c r="BR861"/>
    </row>
    <row r="862" spans="31:70" ht="15.75" customHeight="1">
      <c r="AE862"/>
      <c r="AF862"/>
      <c r="AX862"/>
      <c r="AY862"/>
      <c r="BI862"/>
      <c r="BJ862"/>
      <c r="BM862"/>
      <c r="BR862"/>
    </row>
    <row r="863" spans="31:70" ht="15.75" customHeight="1">
      <c r="AE863"/>
      <c r="AF863"/>
      <c r="AX863"/>
      <c r="AY863"/>
      <c r="BI863"/>
      <c r="BJ863"/>
      <c r="BM863"/>
      <c r="BR863"/>
    </row>
    <row r="864" spans="31:70" ht="15.75" customHeight="1">
      <c r="AE864"/>
      <c r="AF864"/>
      <c r="AX864"/>
      <c r="AY864"/>
      <c r="BI864"/>
      <c r="BJ864"/>
      <c r="BM864"/>
      <c r="BR864"/>
    </row>
    <row r="865" spans="31:70" ht="15.75" customHeight="1">
      <c r="AE865"/>
      <c r="AF865"/>
      <c r="AX865"/>
      <c r="AY865"/>
      <c r="BI865"/>
      <c r="BJ865"/>
      <c r="BM865"/>
      <c r="BR865"/>
    </row>
    <row r="866" spans="31:70" ht="15.75" customHeight="1">
      <c r="AE866"/>
      <c r="AF866"/>
      <c r="AX866"/>
      <c r="AY866"/>
      <c r="BI866"/>
      <c r="BJ866"/>
      <c r="BM866"/>
      <c r="BR866"/>
    </row>
    <row r="867" spans="31:70" ht="15.75" customHeight="1">
      <c r="AE867"/>
      <c r="AF867"/>
      <c r="AX867"/>
      <c r="AY867"/>
      <c r="BI867"/>
      <c r="BJ867"/>
      <c r="BM867"/>
      <c r="BR867"/>
    </row>
    <row r="868" spans="31:70" ht="15.75" customHeight="1">
      <c r="AE868"/>
      <c r="AF868"/>
      <c r="AX868"/>
      <c r="AY868"/>
      <c r="BI868"/>
      <c r="BJ868"/>
      <c r="BM868"/>
      <c r="BR868"/>
    </row>
    <row r="869" spans="31:70" ht="15.75" customHeight="1">
      <c r="AE869"/>
      <c r="AF869"/>
      <c r="AX869"/>
      <c r="AY869"/>
      <c r="BI869"/>
      <c r="BJ869"/>
      <c r="BM869"/>
      <c r="BR869"/>
    </row>
    <row r="870" spans="31:70" ht="15.75" customHeight="1">
      <c r="AE870"/>
      <c r="AF870"/>
      <c r="AX870"/>
      <c r="AY870"/>
      <c r="BI870"/>
      <c r="BJ870"/>
      <c r="BM870"/>
      <c r="BR870"/>
    </row>
    <row r="871" spans="31:70" ht="15.75" customHeight="1">
      <c r="AE871"/>
      <c r="AF871"/>
      <c r="AX871"/>
      <c r="AY871"/>
      <c r="BI871"/>
      <c r="BJ871"/>
      <c r="BM871"/>
      <c r="BR871"/>
    </row>
    <row r="872" spans="31:70" ht="15.75" customHeight="1">
      <c r="AE872"/>
      <c r="AF872"/>
      <c r="AX872"/>
      <c r="AY872"/>
      <c r="BI872"/>
      <c r="BJ872"/>
      <c r="BM872"/>
      <c r="BR872"/>
    </row>
    <row r="873" spans="31:70" ht="15.75" customHeight="1">
      <c r="AE873"/>
      <c r="AF873"/>
      <c r="AX873"/>
      <c r="AY873"/>
      <c r="BI873"/>
      <c r="BJ873"/>
      <c r="BM873"/>
      <c r="BR873"/>
    </row>
    <row r="874" spans="31:70" ht="15.75" customHeight="1">
      <c r="AE874"/>
      <c r="AF874"/>
      <c r="AX874"/>
      <c r="AY874"/>
      <c r="BI874"/>
      <c r="BJ874"/>
      <c r="BM874"/>
      <c r="BR874"/>
    </row>
    <row r="875" spans="31:70" ht="15.75" customHeight="1">
      <c r="AE875"/>
      <c r="AF875"/>
      <c r="AX875"/>
      <c r="AY875"/>
      <c r="BI875"/>
      <c r="BJ875"/>
      <c r="BM875"/>
      <c r="BR875"/>
    </row>
    <row r="876" spans="31:70" ht="15.75" customHeight="1">
      <c r="AE876"/>
      <c r="AF876"/>
      <c r="AX876"/>
      <c r="AY876"/>
      <c r="BI876"/>
      <c r="BJ876"/>
      <c r="BM876"/>
      <c r="BR876"/>
    </row>
    <row r="877" spans="31:70" ht="15.75" customHeight="1">
      <c r="AE877"/>
      <c r="AF877"/>
      <c r="AX877"/>
      <c r="AY877"/>
      <c r="BI877"/>
      <c r="BJ877"/>
      <c r="BM877"/>
      <c r="BR877"/>
    </row>
    <row r="878" spans="31:70" ht="15.75" customHeight="1">
      <c r="AE878"/>
      <c r="AF878"/>
      <c r="AX878"/>
      <c r="AY878"/>
      <c r="BI878"/>
      <c r="BJ878"/>
      <c r="BM878"/>
      <c r="BR878"/>
    </row>
    <row r="879" spans="31:70" ht="15.75" customHeight="1">
      <c r="AE879"/>
      <c r="AF879"/>
      <c r="AX879"/>
      <c r="AY879"/>
      <c r="BI879"/>
      <c r="BJ879"/>
      <c r="BM879"/>
      <c r="BR879"/>
    </row>
    <row r="880" spans="31:70" ht="15.75" customHeight="1">
      <c r="AE880"/>
      <c r="AF880"/>
      <c r="AX880"/>
      <c r="AY880"/>
      <c r="BI880"/>
      <c r="BJ880"/>
      <c r="BM880"/>
      <c r="BR880"/>
    </row>
    <row r="881" spans="31:70" ht="15.75" customHeight="1">
      <c r="AE881"/>
      <c r="AF881"/>
      <c r="AX881"/>
      <c r="AY881"/>
      <c r="BI881"/>
      <c r="BJ881"/>
      <c r="BM881"/>
      <c r="BR881"/>
    </row>
    <row r="882" spans="31:70" ht="15.75" customHeight="1">
      <c r="AE882"/>
      <c r="AF882"/>
      <c r="AX882"/>
      <c r="AY882"/>
      <c r="BI882"/>
      <c r="BJ882"/>
      <c r="BM882"/>
      <c r="BR882"/>
    </row>
    <row r="883" spans="31:70" ht="15.75" customHeight="1">
      <c r="AE883"/>
      <c r="AF883"/>
      <c r="AX883"/>
      <c r="AY883"/>
      <c r="BI883"/>
      <c r="BJ883"/>
      <c r="BM883"/>
      <c r="BR883"/>
    </row>
    <row r="884" spans="31:70" ht="15.75" customHeight="1">
      <c r="AE884"/>
      <c r="AF884"/>
      <c r="AX884"/>
      <c r="AY884"/>
      <c r="BI884"/>
      <c r="BJ884"/>
      <c r="BM884"/>
      <c r="BR884"/>
    </row>
    <row r="885" spans="31:70" ht="15.75" customHeight="1">
      <c r="AE885"/>
      <c r="AF885"/>
      <c r="AX885"/>
      <c r="AY885"/>
      <c r="BI885"/>
      <c r="BJ885"/>
      <c r="BM885"/>
      <c r="BR885"/>
    </row>
    <row r="886" spans="31:70" ht="15.75" customHeight="1">
      <c r="AE886"/>
      <c r="AF886"/>
      <c r="AX886"/>
      <c r="AY886"/>
      <c r="BI886"/>
      <c r="BJ886"/>
      <c r="BM886"/>
      <c r="BR886"/>
    </row>
    <row r="887" spans="31:70" ht="15.75" customHeight="1">
      <c r="AE887"/>
      <c r="AF887"/>
      <c r="AX887"/>
      <c r="AY887"/>
      <c r="BI887"/>
      <c r="BJ887"/>
      <c r="BM887"/>
      <c r="BR887"/>
    </row>
    <row r="888" spans="31:70" ht="15.75" customHeight="1">
      <c r="AE888"/>
      <c r="AF888"/>
      <c r="AX888"/>
      <c r="AY888"/>
      <c r="BI888"/>
      <c r="BJ888"/>
      <c r="BM888"/>
      <c r="BR888"/>
    </row>
    <row r="889" spans="31:70" ht="15.75" customHeight="1">
      <c r="AE889"/>
      <c r="AF889"/>
      <c r="AX889"/>
      <c r="AY889"/>
      <c r="BI889"/>
      <c r="BJ889"/>
      <c r="BM889"/>
      <c r="BR889"/>
    </row>
    <row r="890" spans="31:70" ht="15.75" customHeight="1">
      <c r="AE890"/>
      <c r="AF890"/>
      <c r="AX890"/>
      <c r="AY890"/>
      <c r="BI890"/>
      <c r="BJ890"/>
      <c r="BM890"/>
      <c r="BR890"/>
    </row>
    <row r="891" spans="31:70" ht="15.75" customHeight="1">
      <c r="AE891"/>
      <c r="AF891"/>
      <c r="AX891"/>
      <c r="AY891"/>
      <c r="BI891"/>
      <c r="BJ891"/>
      <c r="BM891"/>
      <c r="BR891"/>
    </row>
    <row r="892" spans="31:70" ht="15.75" customHeight="1">
      <c r="AE892"/>
      <c r="AF892"/>
      <c r="AX892"/>
      <c r="AY892"/>
      <c r="BI892"/>
      <c r="BJ892"/>
      <c r="BM892"/>
      <c r="BR892"/>
    </row>
    <row r="893" spans="31:70" ht="15.75" customHeight="1">
      <c r="AE893"/>
      <c r="AF893"/>
      <c r="AX893"/>
      <c r="AY893"/>
      <c r="BI893"/>
      <c r="BJ893"/>
      <c r="BM893"/>
      <c r="BR893"/>
    </row>
    <row r="894" spans="31:70" ht="15.75" customHeight="1">
      <c r="AE894"/>
      <c r="AF894"/>
      <c r="AX894"/>
      <c r="AY894"/>
      <c r="BI894"/>
      <c r="BJ894"/>
      <c r="BM894"/>
      <c r="BR894"/>
    </row>
    <row r="895" spans="31:70" ht="15.75" customHeight="1">
      <c r="AE895"/>
      <c r="AF895"/>
      <c r="AX895"/>
      <c r="AY895"/>
      <c r="BI895"/>
      <c r="BJ895"/>
      <c r="BM895"/>
      <c r="BR895"/>
    </row>
    <row r="896" spans="31:70" ht="15.75" customHeight="1">
      <c r="AE896"/>
      <c r="AF896"/>
      <c r="AX896"/>
      <c r="AY896"/>
      <c r="BI896"/>
      <c r="BJ896"/>
      <c r="BM896"/>
      <c r="BR896"/>
    </row>
    <row r="897" spans="31:70" ht="15.75" customHeight="1">
      <c r="AE897"/>
      <c r="AF897"/>
      <c r="AX897"/>
      <c r="AY897"/>
      <c r="BI897"/>
      <c r="BJ897"/>
      <c r="BM897"/>
      <c r="BR897"/>
    </row>
    <row r="898" spans="31:70" ht="15.75" customHeight="1">
      <c r="AE898"/>
      <c r="AF898"/>
      <c r="AX898"/>
      <c r="AY898"/>
      <c r="BI898"/>
      <c r="BJ898"/>
      <c r="BM898"/>
      <c r="BR898"/>
    </row>
    <row r="899" spans="31:70" ht="15.75" customHeight="1">
      <c r="AE899"/>
      <c r="AF899"/>
      <c r="AX899"/>
      <c r="AY899"/>
      <c r="BI899"/>
      <c r="BJ899"/>
      <c r="BM899"/>
      <c r="BR899"/>
    </row>
    <row r="900" spans="31:70" ht="15.75" customHeight="1">
      <c r="AE900"/>
      <c r="AF900"/>
      <c r="AX900"/>
      <c r="AY900"/>
      <c r="BI900"/>
      <c r="BJ900"/>
      <c r="BM900"/>
      <c r="BR900"/>
    </row>
    <row r="901" spans="31:70" ht="15.75" customHeight="1">
      <c r="AE901"/>
      <c r="AF901"/>
      <c r="AX901"/>
      <c r="AY901"/>
      <c r="BI901"/>
      <c r="BJ901"/>
      <c r="BM901"/>
      <c r="BR901"/>
    </row>
    <row r="902" spans="31:70" ht="15.75" customHeight="1">
      <c r="AE902"/>
      <c r="AF902"/>
      <c r="AX902"/>
      <c r="AY902"/>
      <c r="BI902"/>
      <c r="BJ902"/>
      <c r="BM902"/>
      <c r="BR902"/>
    </row>
    <row r="903" spans="31:70" ht="15.75" customHeight="1">
      <c r="AE903"/>
      <c r="AF903"/>
      <c r="AX903"/>
      <c r="AY903"/>
      <c r="BI903"/>
      <c r="BJ903"/>
      <c r="BM903"/>
      <c r="BR903"/>
    </row>
    <row r="904" spans="31:70" ht="15.75" customHeight="1">
      <c r="AE904"/>
      <c r="AF904"/>
      <c r="AX904"/>
      <c r="AY904"/>
      <c r="BI904"/>
      <c r="BJ904"/>
      <c r="BM904"/>
      <c r="BR904"/>
    </row>
    <row r="905" spans="31:70" ht="15.75" customHeight="1">
      <c r="AE905"/>
      <c r="AF905"/>
      <c r="AX905"/>
      <c r="AY905"/>
      <c r="BI905"/>
      <c r="BJ905"/>
      <c r="BM905"/>
      <c r="BR905"/>
    </row>
    <row r="906" spans="31:70" ht="15.75" customHeight="1">
      <c r="AE906"/>
      <c r="AF906"/>
      <c r="AX906"/>
      <c r="AY906"/>
      <c r="BI906"/>
      <c r="BJ906"/>
      <c r="BM906"/>
      <c r="BR906"/>
    </row>
    <row r="907" spans="31:70" ht="15.75" customHeight="1">
      <c r="AE907"/>
      <c r="AF907"/>
      <c r="AX907"/>
      <c r="AY907"/>
      <c r="BI907"/>
      <c r="BJ907"/>
      <c r="BM907"/>
      <c r="BR907"/>
    </row>
    <row r="908" spans="31:70" ht="15.75" customHeight="1">
      <c r="AE908"/>
      <c r="AF908"/>
      <c r="AX908"/>
      <c r="AY908"/>
      <c r="BI908"/>
      <c r="BJ908"/>
      <c r="BM908"/>
      <c r="BR908"/>
    </row>
    <row r="909" spans="31:70" ht="15.75" customHeight="1">
      <c r="AE909"/>
      <c r="AF909"/>
      <c r="AX909"/>
      <c r="AY909"/>
      <c r="BI909"/>
      <c r="BJ909"/>
      <c r="BM909"/>
      <c r="BR909"/>
    </row>
    <row r="910" spans="31:70" ht="15.75" customHeight="1">
      <c r="AE910"/>
      <c r="AF910"/>
      <c r="AX910"/>
      <c r="AY910"/>
      <c r="BI910"/>
      <c r="BJ910"/>
      <c r="BM910"/>
      <c r="BR910"/>
    </row>
    <row r="911" spans="31:70" ht="15.75" customHeight="1">
      <c r="AE911"/>
      <c r="AF911"/>
      <c r="AX911"/>
      <c r="AY911"/>
      <c r="BI911"/>
      <c r="BJ911"/>
      <c r="BM911"/>
      <c r="BR911"/>
    </row>
    <row r="912" spans="31:70" ht="15.75" customHeight="1">
      <c r="AE912"/>
      <c r="AF912"/>
      <c r="AX912"/>
      <c r="AY912"/>
      <c r="BI912"/>
      <c r="BJ912"/>
      <c r="BM912"/>
      <c r="BR912"/>
    </row>
    <row r="913" spans="31:70" ht="15.75" customHeight="1">
      <c r="AE913"/>
      <c r="AF913"/>
      <c r="AX913"/>
      <c r="AY913"/>
      <c r="BI913"/>
      <c r="BJ913"/>
      <c r="BM913"/>
      <c r="BR913"/>
    </row>
    <row r="914" spans="31:70" ht="15.75" customHeight="1">
      <c r="AE914"/>
      <c r="AF914"/>
      <c r="AX914"/>
      <c r="AY914"/>
      <c r="BI914"/>
      <c r="BJ914"/>
      <c r="BM914"/>
      <c r="BR914"/>
    </row>
    <row r="915" spans="31:70" ht="15.75" customHeight="1">
      <c r="AE915"/>
      <c r="AF915"/>
      <c r="AX915"/>
      <c r="AY915"/>
      <c r="BI915"/>
      <c r="BJ915"/>
      <c r="BM915"/>
      <c r="BR915"/>
    </row>
    <row r="916" spans="31:70" ht="15.75" customHeight="1">
      <c r="AE916"/>
      <c r="AF916"/>
      <c r="AX916"/>
      <c r="AY916"/>
      <c r="BI916"/>
      <c r="BJ916"/>
      <c r="BM916"/>
      <c r="BR916"/>
    </row>
    <row r="917" spans="31:70" ht="15.75" customHeight="1">
      <c r="AE917"/>
      <c r="AF917"/>
      <c r="AX917"/>
      <c r="AY917"/>
      <c r="BI917"/>
      <c r="BJ917"/>
      <c r="BM917"/>
      <c r="BR917"/>
    </row>
    <row r="918" spans="31:70" ht="15.75" customHeight="1">
      <c r="AE918"/>
      <c r="AF918"/>
      <c r="AX918"/>
      <c r="AY918"/>
      <c r="BI918"/>
      <c r="BJ918"/>
      <c r="BM918"/>
      <c r="BR918"/>
    </row>
    <row r="919" spans="31:70" ht="15.75" customHeight="1">
      <c r="AE919"/>
      <c r="AF919"/>
      <c r="AX919"/>
      <c r="AY919"/>
      <c r="BI919"/>
      <c r="BJ919"/>
      <c r="BM919"/>
      <c r="BR919"/>
    </row>
    <row r="920" spans="31:70" ht="15.75" customHeight="1">
      <c r="AE920"/>
      <c r="AF920"/>
      <c r="AX920"/>
      <c r="AY920"/>
      <c r="BI920"/>
      <c r="BJ920"/>
      <c r="BM920"/>
      <c r="BR920"/>
    </row>
    <row r="921" spans="31:70" ht="15.75" customHeight="1">
      <c r="AE921"/>
      <c r="AF921"/>
      <c r="AX921"/>
      <c r="AY921"/>
      <c r="BI921"/>
      <c r="BJ921"/>
      <c r="BM921"/>
      <c r="BR921"/>
    </row>
    <row r="922" spans="31:70" ht="15.75" customHeight="1">
      <c r="AE922"/>
      <c r="AF922"/>
      <c r="AX922"/>
      <c r="AY922"/>
      <c r="BI922"/>
      <c r="BJ922"/>
      <c r="BM922"/>
      <c r="BR922"/>
    </row>
    <row r="923" spans="31:70" ht="15.75" customHeight="1">
      <c r="AE923"/>
      <c r="AF923"/>
      <c r="AX923"/>
      <c r="AY923"/>
      <c r="BI923"/>
      <c r="BJ923"/>
      <c r="BM923"/>
      <c r="BR923"/>
    </row>
    <row r="924" spans="31:70" ht="15.75" customHeight="1">
      <c r="AE924"/>
      <c r="AF924"/>
      <c r="AX924"/>
      <c r="AY924"/>
      <c r="BI924"/>
      <c r="BJ924"/>
      <c r="BM924"/>
      <c r="BR924"/>
    </row>
    <row r="925" spans="31:70" ht="15.75" customHeight="1">
      <c r="AE925"/>
      <c r="AF925"/>
      <c r="AX925"/>
      <c r="AY925"/>
      <c r="BI925"/>
      <c r="BJ925"/>
      <c r="BM925"/>
      <c r="BR925"/>
    </row>
    <row r="926" spans="31:70" ht="15.75" customHeight="1">
      <c r="AE926"/>
      <c r="AF926"/>
      <c r="AX926"/>
      <c r="AY926"/>
      <c r="BI926"/>
      <c r="BJ926"/>
      <c r="BM926"/>
      <c r="BR926"/>
    </row>
    <row r="927" spans="31:70" ht="15.75" customHeight="1">
      <c r="AE927"/>
      <c r="AF927"/>
      <c r="AX927"/>
      <c r="AY927"/>
      <c r="BI927"/>
      <c r="BJ927"/>
      <c r="BM927"/>
      <c r="BR927"/>
    </row>
    <row r="928" spans="31:70" ht="15.75" customHeight="1">
      <c r="AE928"/>
      <c r="AF928"/>
      <c r="AX928"/>
      <c r="AY928"/>
      <c r="BI928"/>
      <c r="BJ928"/>
      <c r="BM928"/>
      <c r="BR928"/>
    </row>
    <row r="929" spans="31:70" ht="15.75" customHeight="1">
      <c r="AE929"/>
      <c r="AF929"/>
      <c r="AX929"/>
      <c r="AY929"/>
      <c r="BI929"/>
      <c r="BJ929"/>
      <c r="BM929"/>
      <c r="BR929"/>
    </row>
    <row r="930" spans="31:70" ht="15.75" customHeight="1">
      <c r="AE930"/>
      <c r="AF930"/>
      <c r="AX930"/>
      <c r="AY930"/>
      <c r="BI930"/>
      <c r="BJ930"/>
      <c r="BM930"/>
      <c r="BR930"/>
    </row>
    <row r="931" spans="31:70" ht="15.75" customHeight="1">
      <c r="AE931"/>
      <c r="AF931"/>
      <c r="AX931"/>
      <c r="AY931"/>
      <c r="BI931"/>
      <c r="BJ931"/>
      <c r="BM931"/>
      <c r="BR931"/>
    </row>
    <row r="932" spans="31:70" ht="15.75" customHeight="1">
      <c r="AE932"/>
      <c r="AF932"/>
      <c r="AX932"/>
      <c r="AY932"/>
      <c r="BI932"/>
      <c r="BJ932"/>
      <c r="BM932"/>
      <c r="BR932"/>
    </row>
    <row r="933" spans="31:70" ht="15.75" customHeight="1">
      <c r="AE933"/>
      <c r="AF933"/>
      <c r="AX933"/>
      <c r="AY933"/>
      <c r="BI933"/>
      <c r="BJ933"/>
      <c r="BM933"/>
      <c r="BR933"/>
    </row>
    <row r="934" spans="31:70" ht="15.75" customHeight="1">
      <c r="AE934"/>
      <c r="AF934"/>
      <c r="AX934"/>
      <c r="AY934"/>
      <c r="BI934"/>
      <c r="BJ934"/>
      <c r="BM934"/>
      <c r="BR934"/>
    </row>
    <row r="935" spans="31:70" ht="15.75" customHeight="1">
      <c r="AE935"/>
      <c r="AF935"/>
      <c r="AX935"/>
      <c r="AY935"/>
      <c r="BI935"/>
      <c r="BJ935"/>
      <c r="BM935"/>
      <c r="BR935"/>
    </row>
    <row r="936" spans="31:70" ht="15.75" customHeight="1">
      <c r="AE936"/>
      <c r="AF936"/>
      <c r="AX936"/>
      <c r="AY936"/>
      <c r="BI936"/>
      <c r="BJ936"/>
      <c r="BM936"/>
      <c r="BR936"/>
    </row>
    <row r="937" spans="31:70" ht="15.75" customHeight="1">
      <c r="AE937"/>
      <c r="AF937"/>
      <c r="AX937"/>
      <c r="AY937"/>
      <c r="BI937"/>
      <c r="BJ937"/>
      <c r="BM937"/>
      <c r="BR937"/>
    </row>
    <row r="938" spans="31:70" ht="15.75" customHeight="1">
      <c r="AE938"/>
      <c r="AF938"/>
      <c r="AX938"/>
      <c r="AY938"/>
      <c r="BI938"/>
      <c r="BJ938"/>
      <c r="BM938"/>
      <c r="BR938"/>
    </row>
    <row r="939" spans="31:70" ht="15.75" customHeight="1">
      <c r="AE939"/>
      <c r="AF939"/>
      <c r="AX939"/>
      <c r="AY939"/>
      <c r="BI939"/>
      <c r="BJ939"/>
      <c r="BM939"/>
      <c r="BR939"/>
    </row>
    <row r="940" spans="31:70" ht="15.75" customHeight="1">
      <c r="AE940"/>
      <c r="AF940"/>
      <c r="AX940"/>
      <c r="AY940"/>
      <c r="BI940"/>
      <c r="BJ940"/>
      <c r="BM940"/>
      <c r="BR940"/>
    </row>
    <row r="941" spans="31:70" ht="15.75" customHeight="1">
      <c r="AE941"/>
      <c r="AF941"/>
      <c r="AX941"/>
      <c r="AY941"/>
      <c r="BI941"/>
      <c r="BJ941"/>
      <c r="BM941"/>
      <c r="BR941"/>
    </row>
    <row r="942" spans="31:70" ht="15.75" customHeight="1">
      <c r="AE942"/>
      <c r="AF942"/>
      <c r="AX942"/>
      <c r="AY942"/>
      <c r="BI942"/>
      <c r="BJ942"/>
      <c r="BM942"/>
      <c r="BR942"/>
    </row>
    <row r="943" spans="31:70" ht="15.75" customHeight="1">
      <c r="AE943"/>
      <c r="AF943"/>
      <c r="AX943"/>
      <c r="AY943"/>
      <c r="BI943"/>
      <c r="BJ943"/>
      <c r="BM943"/>
      <c r="BR943"/>
    </row>
    <row r="944" spans="31:70" ht="15.75" customHeight="1">
      <c r="AE944"/>
      <c r="AF944"/>
      <c r="AX944"/>
      <c r="AY944"/>
      <c r="BI944"/>
      <c r="BJ944"/>
      <c r="BM944"/>
      <c r="BR944"/>
    </row>
    <row r="945" spans="31:70" ht="15.75" customHeight="1">
      <c r="AE945"/>
      <c r="AF945"/>
      <c r="AX945"/>
      <c r="AY945"/>
      <c r="BI945"/>
      <c r="BJ945"/>
      <c r="BM945"/>
      <c r="BR945"/>
    </row>
    <row r="946" spans="31:70" ht="15.75" customHeight="1">
      <c r="AE946"/>
      <c r="AF946"/>
      <c r="AX946"/>
      <c r="AY946"/>
      <c r="BI946"/>
      <c r="BJ946"/>
      <c r="BM946"/>
      <c r="BR946"/>
    </row>
    <row r="947" spans="31:70" ht="15.75" customHeight="1">
      <c r="AE947"/>
      <c r="AF947"/>
      <c r="AX947"/>
      <c r="AY947"/>
      <c r="BI947"/>
      <c r="BJ947"/>
      <c r="BM947"/>
      <c r="BR947"/>
    </row>
    <row r="948" spans="31:70" ht="15.75" customHeight="1">
      <c r="AE948"/>
      <c r="AF948"/>
      <c r="AX948"/>
      <c r="AY948"/>
      <c r="BI948"/>
      <c r="BJ948"/>
      <c r="BM948"/>
      <c r="BR948"/>
    </row>
    <row r="949" spans="31:70" ht="15.75" customHeight="1">
      <c r="AE949"/>
      <c r="AF949"/>
      <c r="AX949"/>
      <c r="AY949"/>
      <c r="BI949"/>
      <c r="BJ949"/>
      <c r="BM949"/>
      <c r="BR949"/>
    </row>
    <row r="950" spans="31:70" ht="15.75" customHeight="1">
      <c r="AE950"/>
      <c r="AF950"/>
      <c r="AX950"/>
      <c r="AY950"/>
      <c r="BI950"/>
      <c r="BJ950"/>
      <c r="BM950"/>
      <c r="BR950"/>
    </row>
    <row r="951" spans="31:70" ht="15.75" customHeight="1">
      <c r="AE951"/>
      <c r="AF951"/>
      <c r="AX951"/>
      <c r="AY951"/>
      <c r="BI951"/>
      <c r="BJ951"/>
      <c r="BM951"/>
      <c r="BR951"/>
    </row>
    <row r="952" spans="31:70" ht="15.75" customHeight="1">
      <c r="AE952"/>
      <c r="AF952"/>
      <c r="AX952"/>
      <c r="AY952"/>
      <c r="BI952"/>
      <c r="BJ952"/>
      <c r="BM952"/>
      <c r="BR952"/>
    </row>
    <row r="953" spans="31:70" ht="15.75" customHeight="1">
      <c r="AE953"/>
      <c r="AF953"/>
      <c r="AX953"/>
      <c r="AY953"/>
      <c r="BI953"/>
      <c r="BJ953"/>
      <c r="BM953"/>
      <c r="BR953"/>
    </row>
    <row r="954" spans="31:70" ht="15.75" customHeight="1">
      <c r="AE954"/>
      <c r="AF954"/>
      <c r="AX954"/>
      <c r="AY954"/>
      <c r="BI954"/>
      <c r="BJ954"/>
      <c r="BM954"/>
      <c r="BR954"/>
    </row>
    <row r="955" spans="31:70" ht="15.75" customHeight="1">
      <c r="AE955"/>
      <c r="AF955"/>
      <c r="AX955"/>
      <c r="AY955"/>
      <c r="BI955"/>
      <c r="BJ955"/>
      <c r="BM955"/>
      <c r="BR955"/>
    </row>
    <row r="956" spans="31:70" ht="15.75" customHeight="1">
      <c r="AE956"/>
      <c r="AF956"/>
      <c r="AX956"/>
      <c r="AY956"/>
      <c r="BI956"/>
      <c r="BJ956"/>
      <c r="BM956"/>
      <c r="BR956"/>
    </row>
    <row r="957" spans="31:70" ht="15.75" customHeight="1">
      <c r="AE957"/>
      <c r="AF957"/>
      <c r="AX957"/>
      <c r="AY957"/>
      <c r="BI957"/>
      <c r="BJ957"/>
      <c r="BM957"/>
      <c r="BR957"/>
    </row>
    <row r="958" spans="31:70" ht="15.75" customHeight="1">
      <c r="AE958"/>
      <c r="AF958"/>
      <c r="AX958"/>
      <c r="AY958"/>
      <c r="BI958"/>
      <c r="BJ958"/>
      <c r="BM958"/>
      <c r="BR958"/>
    </row>
    <row r="959" spans="31:70" ht="15.75" customHeight="1">
      <c r="AE959"/>
      <c r="AF959"/>
      <c r="AX959"/>
      <c r="AY959"/>
      <c r="BI959"/>
      <c r="BJ959"/>
      <c r="BM959"/>
      <c r="BR959"/>
    </row>
    <row r="960" spans="31:70" ht="15.75" customHeight="1">
      <c r="AE960"/>
      <c r="AF960"/>
      <c r="AX960"/>
      <c r="AY960"/>
      <c r="BI960"/>
      <c r="BJ960"/>
      <c r="BM960"/>
      <c r="BR960"/>
    </row>
    <row r="961" spans="31:70" ht="15.75" customHeight="1">
      <c r="AE961"/>
      <c r="AF961"/>
      <c r="AX961"/>
      <c r="AY961"/>
      <c r="BI961"/>
      <c r="BJ961"/>
      <c r="BM961"/>
      <c r="BR961"/>
    </row>
    <row r="962" spans="31:70" ht="15.75" customHeight="1">
      <c r="AE962"/>
      <c r="AF962"/>
      <c r="AX962"/>
      <c r="AY962"/>
      <c r="BI962"/>
      <c r="BJ962"/>
      <c r="BM962"/>
      <c r="BR962"/>
    </row>
    <row r="963" spans="31:70" ht="15.75" customHeight="1">
      <c r="AE963"/>
      <c r="AF963"/>
      <c r="AX963"/>
      <c r="AY963"/>
      <c r="BI963"/>
      <c r="BJ963"/>
      <c r="BM963"/>
      <c r="BR963"/>
    </row>
    <row r="964" spans="31:70" ht="15.75" customHeight="1">
      <c r="AE964"/>
      <c r="AF964"/>
      <c r="AX964"/>
      <c r="AY964"/>
      <c r="BI964"/>
      <c r="BJ964"/>
      <c r="BM964"/>
      <c r="BR964"/>
    </row>
    <row r="965" spans="31:70" ht="15.75" customHeight="1">
      <c r="AE965"/>
      <c r="AF965"/>
      <c r="AX965"/>
      <c r="AY965"/>
      <c r="BI965"/>
      <c r="BJ965"/>
      <c r="BM965"/>
      <c r="BR965"/>
    </row>
    <row r="966" spans="31:70" ht="15.75" customHeight="1">
      <c r="AE966"/>
      <c r="AF966"/>
      <c r="AX966"/>
      <c r="AY966"/>
      <c r="BI966"/>
      <c r="BJ966"/>
      <c r="BM966"/>
      <c r="BR966"/>
    </row>
    <row r="967" spans="31:70" ht="15.75" customHeight="1">
      <c r="AE967"/>
      <c r="AF967"/>
      <c r="AX967"/>
      <c r="AY967"/>
      <c r="BI967"/>
      <c r="BJ967"/>
      <c r="BM967"/>
      <c r="BR967"/>
    </row>
    <row r="968" spans="31:70" ht="15.75" customHeight="1">
      <c r="AE968"/>
      <c r="AF968"/>
      <c r="AX968"/>
      <c r="AY968"/>
      <c r="BI968"/>
      <c r="BJ968"/>
      <c r="BM968"/>
      <c r="BR968"/>
    </row>
    <row r="969" spans="31:70" ht="15.75" customHeight="1">
      <c r="AE969"/>
      <c r="AF969"/>
      <c r="AX969"/>
      <c r="AY969"/>
      <c r="BI969"/>
      <c r="BJ969"/>
      <c r="BM969"/>
      <c r="BR969"/>
    </row>
    <row r="970" spans="31:70" ht="15.75" customHeight="1">
      <c r="AE970"/>
      <c r="AF970"/>
      <c r="AX970"/>
      <c r="AY970"/>
      <c r="BI970"/>
      <c r="BJ970"/>
      <c r="BM970"/>
      <c r="BR970"/>
    </row>
    <row r="971" spans="31:70" ht="15.75" customHeight="1">
      <c r="AE971"/>
      <c r="AF971"/>
      <c r="AX971"/>
      <c r="AY971"/>
      <c r="BI971"/>
      <c r="BJ971"/>
      <c r="BM971"/>
      <c r="BR971"/>
    </row>
    <row r="972" spans="31:70" ht="15.75" customHeight="1">
      <c r="AE972"/>
      <c r="AF972"/>
      <c r="AX972"/>
      <c r="AY972"/>
      <c r="BI972"/>
      <c r="BJ972"/>
      <c r="BM972"/>
      <c r="BR972"/>
    </row>
  </sheetData>
  <autoFilter ref="A8:BQ71"/>
  <mergeCells count="54">
    <mergeCell ref="M5:S5"/>
    <mergeCell ref="U5:U6"/>
    <mergeCell ref="AB5:AB6"/>
    <mergeCell ref="AC5:AC6"/>
    <mergeCell ref="AD5:AD6"/>
    <mergeCell ref="X5:X6"/>
    <mergeCell ref="Y5:Y6"/>
    <mergeCell ref="Z5:Z6"/>
    <mergeCell ref="AA5:AA6"/>
    <mergeCell ref="AE5:AE6"/>
    <mergeCell ref="AF5:AF6"/>
    <mergeCell ref="AG5:AG6"/>
    <mergeCell ref="AH5:AH6"/>
    <mergeCell ref="AI5:AI6"/>
    <mergeCell ref="AJ5:AJ6"/>
    <mergeCell ref="AK5:AK6"/>
    <mergeCell ref="AF4:AL4"/>
    <mergeCell ref="AM4:AM6"/>
    <mergeCell ref="A5:A6"/>
    <mergeCell ref="B5:B6"/>
    <mergeCell ref="C5:C6"/>
    <mergeCell ref="D5:D6"/>
    <mergeCell ref="E5:E6"/>
    <mergeCell ref="AL5:AL6"/>
    <mergeCell ref="F5:F6"/>
    <mergeCell ref="G5:H5"/>
    <mergeCell ref="I5:K5"/>
    <mergeCell ref="L5:L6"/>
    <mergeCell ref="V5:V6"/>
    <mergeCell ref="W5:W6"/>
    <mergeCell ref="AY5:AY6"/>
    <mergeCell ref="AN4:AP4"/>
    <mergeCell ref="AQ4:AV4"/>
    <mergeCell ref="BA4:BA6"/>
    <mergeCell ref="BB4:BB6"/>
    <mergeCell ref="AN5:AN6"/>
    <mergeCell ref="AO5:AO6"/>
    <mergeCell ref="AP5:AP6"/>
    <mergeCell ref="AZ5:AZ6"/>
    <mergeCell ref="AQ5:AQ6"/>
    <mergeCell ref="AR5:AR6"/>
    <mergeCell ref="AS5:AS6"/>
    <mergeCell ref="AT5:AT6"/>
    <mergeCell ref="AU5:AV5"/>
    <mergeCell ref="AW5:AW6"/>
    <mergeCell ref="AX5:AX6"/>
    <mergeCell ref="A2:B2"/>
    <mergeCell ref="BL2:BN2"/>
    <mergeCell ref="A3:BA3"/>
    <mergeCell ref="A4:B4"/>
    <mergeCell ref="G4:S4"/>
    <mergeCell ref="U4:Y4"/>
    <mergeCell ref="AA4:AD4"/>
    <mergeCell ref="AW4:AZ4"/>
  </mergeCells>
  <dataValidations count="2">
    <dataValidation type="list" allowBlank="1" showInputMessage="1" showErrorMessage="1" sqref="BP41 BP25:BP26 BP39">
      <formula1>INDIRECT($U$1873)</formula1>
    </dataValidation>
    <dataValidation type="list" allowBlank="1" showInputMessage="1" showErrorMessage="1" sqref="BQ29:BQ32 BQ34 BP27:BP28">
      <formula1>INDIRECT($U$1898)</formula1>
    </dataValidation>
  </dataValidations>
  <pageMargins left="0.25" right="0.25" top="0.25" bottom="0.25" header="0.3" footer="0.3"/>
  <pageSetup scale="75" orientation="landscape" r:id="rId1"/>
  <headerFooter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4"/>
  <sheetViews>
    <sheetView workbookViewId="0">
      <selection activeCell="G1" sqref="G1:H1048576"/>
    </sheetView>
  </sheetViews>
  <sheetFormatPr defaultColWidth="12.6640625" defaultRowHeight="15" customHeight="1"/>
  <cols>
    <col min="1" max="1" width="12.6640625" style="949"/>
    <col min="2" max="2" width="23.33203125" style="949" customWidth="1"/>
    <col min="3" max="3" width="10.88671875" style="783" customWidth="1"/>
    <col min="4" max="4" width="26.88671875" style="783" customWidth="1"/>
    <col min="5" max="5" width="29.88671875" style="783" customWidth="1"/>
    <col min="6" max="6" width="19.6640625" style="783" customWidth="1"/>
    <col min="7" max="7" width="23.33203125" style="783" customWidth="1"/>
    <col min="8" max="8" width="24.77734375" style="783" customWidth="1"/>
    <col min="9" max="9" width="22.44140625" style="783" customWidth="1"/>
    <col min="10" max="10" width="45.44140625" style="783" customWidth="1"/>
    <col min="11" max="11" width="14.88671875" style="783" customWidth="1"/>
    <col min="12" max="19" width="8.77734375" style="783" customWidth="1"/>
    <col min="20" max="16384" width="12.6640625" style="783"/>
  </cols>
  <sheetData>
    <row r="1" spans="1:28" ht="22.5" customHeight="1">
      <c r="C1" s="1194" t="s">
        <v>266</v>
      </c>
      <c r="D1" s="1156"/>
      <c r="E1" s="1156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4"/>
      <c r="V1" s="784"/>
      <c r="W1" s="784"/>
      <c r="X1" s="784"/>
      <c r="Y1" s="784"/>
      <c r="Z1" s="784"/>
      <c r="AA1" s="784"/>
      <c r="AB1" s="784"/>
    </row>
    <row r="2" spans="1:28" ht="18.75" customHeight="1">
      <c r="C2" s="784"/>
      <c r="D2" s="784"/>
      <c r="E2" s="784"/>
      <c r="F2" s="784"/>
      <c r="G2" s="784"/>
      <c r="H2" s="784"/>
      <c r="I2" s="784"/>
      <c r="J2" s="784"/>
      <c r="K2" s="784"/>
      <c r="L2" s="784"/>
      <c r="M2" s="784"/>
      <c r="N2" s="784"/>
      <c r="O2" s="784"/>
      <c r="P2" s="784"/>
      <c r="Q2" s="784"/>
      <c r="R2" s="784"/>
      <c r="S2" s="784"/>
      <c r="T2" s="784"/>
      <c r="U2" s="784"/>
      <c r="V2" s="784"/>
      <c r="W2" s="784"/>
      <c r="X2" s="784"/>
      <c r="Y2" s="784"/>
      <c r="Z2" s="784"/>
      <c r="AA2" s="784"/>
      <c r="AB2" s="784"/>
    </row>
    <row r="3" spans="1:28" ht="18.75" customHeight="1">
      <c r="A3" s="749" t="s">
        <v>5975</v>
      </c>
      <c r="B3" s="749" t="s">
        <v>5976</v>
      </c>
      <c r="C3" s="749" t="s">
        <v>267</v>
      </c>
      <c r="D3" s="749" t="s">
        <v>268</v>
      </c>
      <c r="E3" s="749" t="s">
        <v>269</v>
      </c>
      <c r="F3" s="749" t="s">
        <v>270</v>
      </c>
      <c r="G3" s="749"/>
      <c r="H3" s="749"/>
      <c r="I3" s="749" t="s">
        <v>1053</v>
      </c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7"/>
      <c r="V3" s="787"/>
      <c r="W3" s="787"/>
      <c r="X3" s="787"/>
      <c r="Y3" s="787"/>
      <c r="Z3" s="787"/>
      <c r="AA3" s="787"/>
      <c r="AB3" s="787"/>
    </row>
    <row r="4" spans="1:28" s="812" customFormat="1" ht="31.5" customHeight="1">
      <c r="A4" s="949" t="s">
        <v>5978</v>
      </c>
      <c r="B4" s="968" t="s">
        <v>5977</v>
      </c>
      <c r="C4" s="788">
        <v>1</v>
      </c>
      <c r="D4" s="625" t="s">
        <v>262</v>
      </c>
      <c r="E4" s="626" t="s">
        <v>5979</v>
      </c>
      <c r="F4" s="789" t="s">
        <v>5981</v>
      </c>
      <c r="G4" s="754"/>
      <c r="H4" s="754"/>
      <c r="I4" s="750" t="s">
        <v>5980</v>
      </c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3"/>
      <c r="U4" s="813"/>
      <c r="V4" s="813"/>
      <c r="W4" s="813"/>
      <c r="X4" s="813"/>
      <c r="Y4" s="813"/>
      <c r="Z4" s="813"/>
      <c r="AA4" s="813"/>
      <c r="AB4" s="813"/>
    </row>
    <row r="5" spans="1:28" ht="31.5" customHeight="1">
      <c r="A5" s="1013" t="s">
        <v>5978</v>
      </c>
      <c r="B5" s="968" t="s">
        <v>5977</v>
      </c>
      <c r="C5" s="788">
        <v>2</v>
      </c>
      <c r="D5" s="910" t="s">
        <v>1026</v>
      </c>
      <c r="E5" s="659" t="s">
        <v>984</v>
      </c>
      <c r="F5" s="789"/>
      <c r="G5" s="754"/>
      <c r="H5" s="754"/>
      <c r="I5" s="750" t="s">
        <v>5980</v>
      </c>
      <c r="J5" s="787"/>
      <c r="K5" s="787"/>
      <c r="L5" s="787"/>
      <c r="M5" s="787"/>
      <c r="N5" s="787"/>
      <c r="O5" s="787"/>
      <c r="P5" s="787"/>
      <c r="Q5" s="787"/>
      <c r="R5" s="787"/>
      <c r="S5" s="787"/>
      <c r="T5" s="787"/>
      <c r="U5" s="787"/>
      <c r="V5" s="787"/>
      <c r="W5" s="787"/>
      <c r="X5" s="787"/>
      <c r="Y5" s="787"/>
      <c r="Z5" s="787"/>
      <c r="AA5" s="787"/>
      <c r="AB5" s="787"/>
    </row>
    <row r="6" spans="1:28" s="1013" customFormat="1" ht="31.5" customHeight="1">
      <c r="A6" s="1013" t="s">
        <v>5978</v>
      </c>
      <c r="B6" s="968" t="s">
        <v>5977</v>
      </c>
      <c r="C6" s="788">
        <v>3</v>
      </c>
      <c r="D6" s="625" t="s">
        <v>970</v>
      </c>
      <c r="E6" s="626" t="s">
        <v>250</v>
      </c>
      <c r="F6" s="789"/>
      <c r="G6" s="754"/>
      <c r="H6" s="754"/>
      <c r="I6" s="750"/>
      <c r="J6" s="1014"/>
      <c r="K6" s="1014"/>
      <c r="L6" s="1014"/>
      <c r="M6" s="1014"/>
      <c r="N6" s="1014"/>
      <c r="O6" s="1014"/>
      <c r="P6" s="1014"/>
      <c r="Q6" s="1014"/>
      <c r="R6" s="1014"/>
      <c r="S6" s="1014"/>
      <c r="T6" s="1014"/>
      <c r="U6" s="1014"/>
      <c r="V6" s="1014"/>
      <c r="W6" s="1014"/>
      <c r="X6" s="1014"/>
      <c r="Y6" s="1014"/>
      <c r="Z6" s="1014"/>
      <c r="AA6" s="1014"/>
      <c r="AB6" s="1014"/>
    </row>
    <row r="7" spans="1:28" s="1017" customFormat="1" ht="31.5" customHeight="1">
      <c r="B7" s="968"/>
      <c r="C7" s="788"/>
      <c r="D7" s="910"/>
      <c r="E7" s="659"/>
      <c r="F7" s="789"/>
      <c r="G7" s="754"/>
      <c r="H7" s="754"/>
      <c r="I7" s="750"/>
      <c r="J7" s="1018"/>
      <c r="K7" s="1018"/>
      <c r="L7" s="1018"/>
      <c r="M7" s="1018"/>
      <c r="N7" s="1018"/>
      <c r="O7" s="1018"/>
      <c r="P7" s="1018"/>
      <c r="Q7" s="1018"/>
      <c r="R7" s="1018"/>
      <c r="S7" s="1018"/>
      <c r="T7" s="1018"/>
      <c r="U7" s="1018"/>
      <c r="V7" s="1018"/>
      <c r="W7" s="1018"/>
      <c r="X7" s="1018"/>
      <c r="Y7" s="1018"/>
      <c r="Z7" s="1018"/>
      <c r="AA7" s="1018"/>
      <c r="AB7" s="1018"/>
    </row>
    <row r="8" spans="1:28" ht="23.25" customHeight="1">
      <c r="C8" s="751" t="s">
        <v>267</v>
      </c>
      <c r="D8" s="751" t="s">
        <v>268</v>
      </c>
      <c r="E8" s="751" t="s">
        <v>269</v>
      </c>
      <c r="F8" s="751" t="s">
        <v>270</v>
      </c>
      <c r="G8" s="751"/>
      <c r="H8" s="751"/>
      <c r="I8" s="751" t="s">
        <v>271</v>
      </c>
      <c r="J8" s="784"/>
      <c r="K8" s="787"/>
      <c r="L8" s="787"/>
      <c r="M8" s="787"/>
      <c r="N8" s="787"/>
      <c r="O8" s="787"/>
      <c r="P8" s="787"/>
      <c r="Q8" s="787"/>
      <c r="R8" s="787"/>
      <c r="S8" s="787"/>
      <c r="T8" s="787"/>
      <c r="U8" s="787"/>
      <c r="V8" s="787"/>
      <c r="W8" s="787"/>
      <c r="X8" s="787"/>
      <c r="Y8" s="787"/>
      <c r="Z8" s="784"/>
      <c r="AA8" s="784"/>
      <c r="AB8" s="784"/>
    </row>
    <row r="9" spans="1:28" s="812" customFormat="1" ht="24.75" customHeight="1">
      <c r="A9" s="811" t="s">
        <v>5978</v>
      </c>
      <c r="B9" s="968" t="s">
        <v>5982</v>
      </c>
      <c r="C9" s="845">
        <v>1</v>
      </c>
      <c r="D9" s="969" t="s">
        <v>5983</v>
      </c>
      <c r="E9" s="969" t="s">
        <v>5974</v>
      </c>
      <c r="F9" s="969" t="s">
        <v>5984</v>
      </c>
      <c r="G9" s="756"/>
      <c r="H9" s="756"/>
      <c r="I9" s="756" t="s">
        <v>5985</v>
      </c>
      <c r="J9" s="784"/>
      <c r="K9" s="813"/>
      <c r="L9" s="813"/>
      <c r="M9" s="813"/>
      <c r="N9" s="813"/>
      <c r="O9" s="813"/>
      <c r="P9" s="813"/>
      <c r="Q9" s="813"/>
      <c r="R9" s="813"/>
      <c r="S9" s="813"/>
      <c r="T9" s="813"/>
      <c r="U9" s="813"/>
      <c r="V9" s="813"/>
      <c r="W9" s="813"/>
      <c r="X9" s="813"/>
      <c r="Y9" s="813"/>
      <c r="Z9" s="784"/>
      <c r="AA9" s="784"/>
      <c r="AB9" s="784"/>
    </row>
    <row r="10" spans="1:28" s="834" customFormat="1" ht="32.25" customHeight="1">
      <c r="A10" s="811" t="s">
        <v>5978</v>
      </c>
      <c r="B10" s="968" t="s">
        <v>5982</v>
      </c>
      <c r="C10" s="845">
        <v>2</v>
      </c>
      <c r="D10" s="910" t="s">
        <v>5996</v>
      </c>
      <c r="E10" s="659" t="s">
        <v>984</v>
      </c>
      <c r="F10" s="969" t="s">
        <v>5984</v>
      </c>
      <c r="G10" s="756"/>
      <c r="H10" s="756"/>
      <c r="I10" s="756" t="s">
        <v>5997</v>
      </c>
      <c r="J10" s="835"/>
      <c r="K10" s="835"/>
      <c r="L10" s="835"/>
      <c r="M10" s="835"/>
      <c r="N10" s="835"/>
      <c r="O10" s="835"/>
      <c r="P10" s="835"/>
      <c r="Q10" s="835"/>
      <c r="R10" s="835"/>
      <c r="S10" s="835"/>
      <c r="T10" s="835"/>
      <c r="U10" s="835"/>
      <c r="V10" s="835"/>
      <c r="W10" s="835"/>
      <c r="X10" s="835"/>
      <c r="Y10" s="835"/>
      <c r="Z10" s="835"/>
      <c r="AA10" s="835"/>
      <c r="AB10" s="835"/>
    </row>
    <row r="11" spans="1:28" s="834" customFormat="1" ht="32.25" customHeight="1">
      <c r="A11" s="949"/>
      <c r="B11" s="949"/>
      <c r="C11" s="847"/>
      <c r="D11" s="910"/>
      <c r="E11" s="701"/>
      <c r="F11" s="755"/>
      <c r="G11" s="756"/>
      <c r="H11" s="756"/>
      <c r="I11" s="626"/>
      <c r="J11" s="835"/>
      <c r="K11" s="835"/>
      <c r="L11" s="835"/>
      <c r="M11" s="835"/>
      <c r="N11" s="835"/>
      <c r="O11" s="835"/>
      <c r="P11" s="835"/>
      <c r="Q11" s="835"/>
      <c r="R11" s="835"/>
      <c r="S11" s="835"/>
      <c r="T11" s="835"/>
      <c r="U11" s="835"/>
      <c r="V11" s="835"/>
      <c r="W11" s="835"/>
      <c r="X11" s="835"/>
      <c r="Y11" s="835"/>
      <c r="Z11" s="835"/>
      <c r="AA11" s="835"/>
      <c r="AB11" s="835"/>
    </row>
    <row r="12" spans="1:28" s="834" customFormat="1" ht="32.25" customHeight="1">
      <c r="A12" s="949"/>
      <c r="B12" s="949"/>
      <c r="C12" s="845"/>
      <c r="D12" s="910"/>
      <c r="E12" s="768"/>
      <c r="F12" s="755"/>
      <c r="G12" s="754"/>
      <c r="H12" s="756"/>
      <c r="I12" s="626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35"/>
      <c r="V12" s="835"/>
      <c r="W12" s="835"/>
      <c r="X12" s="835"/>
      <c r="Y12" s="835"/>
      <c r="Z12" s="835"/>
      <c r="AA12" s="835"/>
      <c r="AB12" s="835"/>
    </row>
    <row r="13" spans="1:28" ht="32.25" customHeight="1">
      <c r="C13" s="753" t="s">
        <v>267</v>
      </c>
      <c r="D13" s="751" t="s">
        <v>268</v>
      </c>
      <c r="E13" s="751" t="s">
        <v>269</v>
      </c>
      <c r="F13" s="751" t="s">
        <v>5993</v>
      </c>
      <c r="G13" s="751"/>
      <c r="H13" s="751"/>
      <c r="I13" s="751"/>
      <c r="J13" s="784"/>
      <c r="K13" s="784"/>
      <c r="L13" s="784"/>
      <c r="M13" s="784"/>
      <c r="N13" s="784"/>
      <c r="O13" s="784"/>
      <c r="P13" s="784"/>
      <c r="Q13" s="784"/>
      <c r="R13" s="784"/>
      <c r="S13" s="784"/>
      <c r="T13" s="784"/>
      <c r="U13" s="784"/>
      <c r="V13" s="784"/>
      <c r="W13" s="784"/>
      <c r="X13" s="784"/>
      <c r="Y13" s="784"/>
      <c r="Z13" s="784"/>
      <c r="AA13" s="784"/>
      <c r="AB13" s="784"/>
    </row>
    <row r="14" spans="1:28" ht="21" customHeight="1">
      <c r="A14" s="811" t="s">
        <v>5978</v>
      </c>
      <c r="B14" s="968" t="s">
        <v>1105</v>
      </c>
      <c r="C14" s="845">
        <v>1</v>
      </c>
      <c r="D14" s="625" t="s">
        <v>262</v>
      </c>
      <c r="E14" s="626" t="s">
        <v>5979</v>
      </c>
      <c r="F14" s="755" t="s">
        <v>5995</v>
      </c>
      <c r="G14" s="911"/>
      <c r="H14" s="754"/>
      <c r="I14" s="626"/>
      <c r="J14" s="784"/>
      <c r="K14" s="784"/>
      <c r="L14" s="784"/>
      <c r="M14" s="784"/>
      <c r="N14" s="784"/>
      <c r="O14" s="784"/>
      <c r="P14" s="784"/>
      <c r="Q14" s="784"/>
      <c r="R14" s="784"/>
      <c r="S14" s="784"/>
      <c r="T14" s="784"/>
      <c r="U14" s="784"/>
      <c r="V14" s="784"/>
      <c r="W14" s="784"/>
      <c r="X14" s="784"/>
      <c r="Y14" s="784"/>
      <c r="Z14" s="784"/>
      <c r="AA14" s="784"/>
      <c r="AB14" s="784"/>
    </row>
    <row r="15" spans="1:28" s="1013" customFormat="1" ht="21" customHeight="1">
      <c r="A15" s="811" t="s">
        <v>5978</v>
      </c>
      <c r="B15" s="968" t="s">
        <v>1105</v>
      </c>
      <c r="C15" s="845">
        <v>1</v>
      </c>
      <c r="D15" s="910" t="s">
        <v>1026</v>
      </c>
      <c r="E15" s="659" t="s">
        <v>984</v>
      </c>
      <c r="F15" s="755" t="s">
        <v>5995</v>
      </c>
      <c r="G15" s="911"/>
      <c r="H15" s="754"/>
      <c r="I15" s="626"/>
      <c r="J15" s="784"/>
      <c r="K15" s="784"/>
      <c r="L15" s="784"/>
      <c r="M15" s="784"/>
      <c r="N15" s="784"/>
      <c r="O15" s="784"/>
      <c r="P15" s="784"/>
      <c r="Q15" s="784"/>
      <c r="R15" s="784"/>
      <c r="S15" s="784"/>
      <c r="T15" s="784"/>
      <c r="U15" s="784"/>
      <c r="V15" s="784"/>
      <c r="W15" s="784"/>
      <c r="X15" s="784"/>
      <c r="Y15" s="784"/>
      <c r="Z15" s="784"/>
      <c r="AA15" s="784"/>
      <c r="AB15" s="784"/>
    </row>
    <row r="16" spans="1:28" s="834" customFormat="1" ht="21" customHeight="1">
      <c r="A16" s="811" t="s">
        <v>5978</v>
      </c>
      <c r="B16" s="968" t="s">
        <v>1105</v>
      </c>
      <c r="C16" s="845">
        <v>3</v>
      </c>
      <c r="D16" s="625" t="s">
        <v>970</v>
      </c>
      <c r="E16" s="626" t="s">
        <v>250</v>
      </c>
      <c r="F16" s="755" t="s">
        <v>5995</v>
      </c>
      <c r="G16" s="911"/>
      <c r="H16" s="754"/>
      <c r="I16" s="626"/>
      <c r="J16" s="784"/>
      <c r="K16" s="784"/>
      <c r="L16" s="784"/>
      <c r="M16" s="784"/>
      <c r="N16" s="784"/>
      <c r="O16" s="784"/>
      <c r="P16" s="784"/>
      <c r="Q16" s="784"/>
      <c r="R16" s="784"/>
      <c r="S16" s="784"/>
      <c r="T16" s="784"/>
      <c r="U16" s="784"/>
      <c r="V16" s="784"/>
      <c r="W16" s="784"/>
      <c r="X16" s="784"/>
      <c r="Y16" s="784"/>
      <c r="Z16" s="784"/>
      <c r="AA16" s="784"/>
      <c r="AB16" s="784"/>
    </row>
    <row r="17" spans="1:28" s="834" customFormat="1" ht="21" customHeight="1">
      <c r="A17" s="811" t="s">
        <v>5978</v>
      </c>
      <c r="B17" s="968" t="s">
        <v>1105</v>
      </c>
      <c r="C17" s="845">
        <v>4</v>
      </c>
      <c r="D17" s="910" t="s">
        <v>5996</v>
      </c>
      <c r="E17" s="659" t="s">
        <v>984</v>
      </c>
      <c r="F17" s="755" t="s">
        <v>5995</v>
      </c>
      <c r="G17" s="911"/>
      <c r="H17" s="754"/>
      <c r="I17" s="626"/>
      <c r="J17" s="784"/>
      <c r="K17" s="784"/>
      <c r="L17" s="784"/>
      <c r="M17" s="784"/>
      <c r="N17" s="784"/>
      <c r="O17" s="784"/>
      <c r="P17" s="784"/>
      <c r="Q17" s="784"/>
      <c r="R17" s="784"/>
      <c r="S17" s="784"/>
      <c r="T17" s="784"/>
      <c r="U17" s="784"/>
      <c r="V17" s="784"/>
      <c r="W17" s="784"/>
      <c r="X17" s="784"/>
      <c r="Y17" s="784"/>
      <c r="Z17" s="784"/>
      <c r="AA17" s="784"/>
      <c r="AB17" s="784"/>
    </row>
    <row r="18" spans="1:28" s="884" customFormat="1" ht="21" customHeight="1">
      <c r="A18" s="949"/>
      <c r="B18" s="949"/>
      <c r="C18" s="845"/>
      <c r="D18" s="910"/>
      <c r="E18" s="768"/>
      <c r="F18" s="755"/>
      <c r="G18" s="911"/>
      <c r="H18" s="754"/>
      <c r="I18" s="626"/>
      <c r="J18" s="784"/>
      <c r="K18" s="784"/>
      <c r="L18" s="784"/>
      <c r="M18" s="784"/>
      <c r="N18" s="784"/>
      <c r="O18" s="784"/>
      <c r="P18" s="784"/>
      <c r="Q18" s="784"/>
      <c r="R18" s="784"/>
      <c r="S18" s="784"/>
      <c r="T18" s="784"/>
      <c r="U18" s="784"/>
      <c r="V18" s="784"/>
      <c r="W18" s="784"/>
      <c r="X18" s="784"/>
      <c r="Y18" s="784"/>
      <c r="Z18" s="784"/>
      <c r="AA18" s="784"/>
      <c r="AB18" s="784"/>
    </row>
    <row r="19" spans="1:28" s="949" customFormat="1" ht="27" customHeight="1">
      <c r="C19" s="751" t="s">
        <v>267</v>
      </c>
      <c r="D19" s="751" t="s">
        <v>268</v>
      </c>
      <c r="E19" s="751" t="s">
        <v>269</v>
      </c>
      <c r="F19" s="751" t="s">
        <v>5992</v>
      </c>
      <c r="G19" s="751"/>
      <c r="H19" s="751"/>
      <c r="I19" s="626"/>
      <c r="J19" s="784"/>
      <c r="K19" s="784"/>
      <c r="L19" s="784"/>
      <c r="M19" s="784"/>
      <c r="N19" s="784"/>
      <c r="O19" s="784"/>
      <c r="P19" s="784"/>
      <c r="Q19" s="784"/>
      <c r="R19" s="784"/>
      <c r="S19" s="784"/>
      <c r="T19" s="784"/>
      <c r="U19" s="784"/>
      <c r="V19" s="784"/>
      <c r="W19" s="784"/>
      <c r="X19" s="784"/>
      <c r="Y19" s="784"/>
      <c r="Z19" s="784"/>
      <c r="AA19" s="784"/>
      <c r="AB19" s="784"/>
    </row>
    <row r="20" spans="1:28" s="949" customFormat="1" ht="32.25" customHeight="1">
      <c r="A20" s="811" t="s">
        <v>5978</v>
      </c>
      <c r="B20" s="968" t="s">
        <v>5990</v>
      </c>
      <c r="C20" s="752">
        <v>1</v>
      </c>
      <c r="D20" s="625" t="s">
        <v>115</v>
      </c>
      <c r="E20" s="625" t="s">
        <v>5987</v>
      </c>
      <c r="F20" s="625" t="s">
        <v>5991</v>
      </c>
      <c r="G20" s="571"/>
      <c r="H20" s="755"/>
      <c r="I20" s="626"/>
      <c r="J20" s="784"/>
      <c r="K20" s="784"/>
      <c r="L20" s="784"/>
      <c r="M20" s="784"/>
      <c r="N20" s="784"/>
      <c r="O20" s="784"/>
      <c r="P20" s="784"/>
      <c r="Q20" s="784"/>
      <c r="R20" s="784"/>
      <c r="S20" s="784"/>
      <c r="T20" s="784"/>
      <c r="U20" s="784"/>
      <c r="V20" s="784"/>
      <c r="W20" s="784"/>
      <c r="X20" s="784"/>
      <c r="Y20" s="784"/>
      <c r="Z20" s="784"/>
      <c r="AA20" s="784"/>
      <c r="AB20" s="784"/>
    </row>
    <row r="21" spans="1:28" s="949" customFormat="1" ht="18.75" customHeight="1">
      <c r="A21" s="811" t="s">
        <v>5978</v>
      </c>
      <c r="B21" s="968" t="s">
        <v>5990</v>
      </c>
      <c r="C21" s="989">
        <v>2</v>
      </c>
      <c r="D21" s="990" t="s">
        <v>139</v>
      </c>
      <c r="E21" s="990" t="s">
        <v>220</v>
      </c>
      <c r="F21" s="625" t="s">
        <v>5991</v>
      </c>
      <c r="G21" s="571"/>
      <c r="H21" s="991"/>
      <c r="I21" s="626"/>
      <c r="J21" s="784"/>
      <c r="K21" s="784"/>
      <c r="L21" s="784"/>
      <c r="M21" s="784"/>
      <c r="N21" s="784"/>
      <c r="O21" s="784"/>
      <c r="P21" s="784"/>
      <c r="Q21" s="784"/>
      <c r="R21" s="784"/>
      <c r="S21" s="784"/>
      <c r="T21" s="784"/>
      <c r="U21" s="784"/>
      <c r="V21" s="784"/>
      <c r="W21" s="784"/>
      <c r="X21" s="784"/>
      <c r="Y21" s="784"/>
      <c r="Z21" s="784"/>
      <c r="AA21" s="784"/>
      <c r="AB21" s="784"/>
    </row>
    <row r="22" spans="1:28" s="949" customFormat="1" ht="18.75" customHeight="1">
      <c r="A22" s="811" t="s">
        <v>5978</v>
      </c>
      <c r="B22" s="968" t="s">
        <v>5990</v>
      </c>
      <c r="C22" s="992">
        <v>3</v>
      </c>
      <c r="D22" s="807" t="s">
        <v>216</v>
      </c>
      <c r="E22" s="807" t="s">
        <v>92</v>
      </c>
      <c r="F22" s="625" t="s">
        <v>5991</v>
      </c>
      <c r="G22" s="571"/>
      <c r="H22" s="993"/>
      <c r="I22" s="626"/>
      <c r="J22" s="784"/>
      <c r="K22" s="784"/>
      <c r="L22" s="784"/>
      <c r="M22" s="784"/>
      <c r="N22" s="784"/>
      <c r="O22" s="784"/>
      <c r="P22" s="784"/>
      <c r="Q22" s="784"/>
      <c r="R22" s="784"/>
      <c r="S22" s="784"/>
      <c r="T22" s="784"/>
      <c r="U22" s="784"/>
      <c r="V22" s="784"/>
      <c r="W22" s="784"/>
      <c r="X22" s="784"/>
      <c r="Y22" s="784"/>
      <c r="Z22" s="784"/>
      <c r="AA22" s="784"/>
      <c r="AB22" s="784"/>
    </row>
    <row r="23" spans="1:28" s="949" customFormat="1" ht="18.75" customHeight="1">
      <c r="A23" s="811" t="s">
        <v>5978</v>
      </c>
      <c r="B23" s="968" t="s">
        <v>5990</v>
      </c>
      <c r="C23" s="752">
        <v>4</v>
      </c>
      <c r="D23" s="807" t="s">
        <v>157</v>
      </c>
      <c r="E23" s="807" t="s">
        <v>92</v>
      </c>
      <c r="F23" s="625" t="s">
        <v>5991</v>
      </c>
      <c r="G23" s="571"/>
      <c r="H23" s="993"/>
      <c r="I23" s="626"/>
      <c r="J23" s="784"/>
      <c r="K23" s="784"/>
      <c r="L23" s="784"/>
      <c r="M23" s="784"/>
      <c r="N23" s="784"/>
      <c r="O23" s="784"/>
      <c r="P23" s="784"/>
      <c r="Q23" s="784"/>
      <c r="R23" s="784"/>
      <c r="S23" s="784"/>
      <c r="T23" s="784"/>
      <c r="U23" s="784"/>
      <c r="V23" s="784"/>
      <c r="W23" s="784"/>
      <c r="X23" s="784"/>
      <c r="Y23" s="784"/>
      <c r="Z23" s="784"/>
      <c r="AA23" s="784"/>
      <c r="AB23" s="784"/>
    </row>
    <row r="24" spans="1:28" s="949" customFormat="1" ht="18.75" customHeight="1">
      <c r="A24" s="811" t="s">
        <v>5978</v>
      </c>
      <c r="B24" s="968" t="s">
        <v>5990</v>
      </c>
      <c r="C24" s="989">
        <v>5</v>
      </c>
      <c r="D24" s="807" t="s">
        <v>994</v>
      </c>
      <c r="E24" s="807" t="s">
        <v>984</v>
      </c>
      <c r="F24" s="625" t="s">
        <v>5991</v>
      </c>
      <c r="G24" s="571"/>
      <c r="H24" s="993"/>
      <c r="I24" s="626"/>
      <c r="J24" s="784"/>
      <c r="K24" s="784"/>
      <c r="L24" s="784"/>
      <c r="M24" s="784"/>
      <c r="N24" s="784"/>
      <c r="O24" s="784"/>
      <c r="P24" s="784"/>
      <c r="Q24" s="784"/>
      <c r="R24" s="784"/>
      <c r="S24" s="784"/>
      <c r="T24" s="784"/>
      <c r="U24" s="784"/>
      <c r="V24" s="784"/>
      <c r="W24" s="784"/>
      <c r="X24" s="784"/>
      <c r="Y24" s="784"/>
      <c r="Z24" s="784"/>
      <c r="AA24" s="784"/>
      <c r="AB24" s="784"/>
    </row>
    <row r="25" spans="1:28" s="949" customFormat="1" ht="18.75" customHeight="1">
      <c r="A25" s="811" t="s">
        <v>5978</v>
      </c>
      <c r="B25" s="968" t="s">
        <v>5990</v>
      </c>
      <c r="C25" s="992">
        <v>6</v>
      </c>
      <c r="D25" s="807" t="s">
        <v>5939</v>
      </c>
      <c r="E25" s="807" t="s">
        <v>92</v>
      </c>
      <c r="F25" s="625" t="s">
        <v>5991</v>
      </c>
      <c r="G25" s="571"/>
      <c r="H25" s="993"/>
      <c r="I25" s="626"/>
      <c r="J25" s="784"/>
      <c r="K25" s="784"/>
      <c r="L25" s="784"/>
      <c r="M25" s="784"/>
      <c r="N25" s="784"/>
      <c r="O25" s="784"/>
      <c r="P25" s="784"/>
      <c r="Q25" s="784"/>
      <c r="R25" s="784"/>
      <c r="S25" s="784"/>
      <c r="T25" s="784"/>
      <c r="U25" s="784"/>
      <c r="V25" s="784"/>
      <c r="W25" s="784"/>
      <c r="X25" s="784"/>
      <c r="Y25" s="784"/>
      <c r="Z25" s="784"/>
      <c r="AA25" s="784"/>
      <c r="AB25" s="784"/>
    </row>
    <row r="26" spans="1:28" s="949" customFormat="1" ht="18.75" customHeight="1">
      <c r="A26" s="811" t="s">
        <v>5978</v>
      </c>
      <c r="B26" s="968" t="s">
        <v>5990</v>
      </c>
      <c r="C26" s="752">
        <v>7</v>
      </c>
      <c r="D26" s="807" t="s">
        <v>1223</v>
      </c>
      <c r="E26" s="807" t="s">
        <v>195</v>
      </c>
      <c r="F26" s="625" t="s">
        <v>5991</v>
      </c>
      <c r="G26" s="571"/>
      <c r="H26" s="993"/>
      <c r="I26" s="626"/>
      <c r="J26" s="784"/>
      <c r="K26" s="784"/>
      <c r="L26" s="784"/>
      <c r="M26" s="784"/>
      <c r="N26" s="784"/>
      <c r="O26" s="784"/>
      <c r="P26" s="784"/>
      <c r="Q26" s="784"/>
      <c r="R26" s="784"/>
      <c r="S26" s="784"/>
      <c r="T26" s="784"/>
      <c r="U26" s="784"/>
      <c r="V26" s="784"/>
      <c r="W26" s="784"/>
      <c r="X26" s="784"/>
      <c r="Y26" s="784"/>
      <c r="Z26" s="784"/>
      <c r="AA26" s="784"/>
      <c r="AB26" s="784"/>
    </row>
    <row r="27" spans="1:28" s="884" customFormat="1" ht="18.600000000000001" customHeight="1">
      <c r="A27" s="811" t="s">
        <v>5978</v>
      </c>
      <c r="B27" s="968" t="s">
        <v>5990</v>
      </c>
      <c r="C27" s="989">
        <v>8</v>
      </c>
      <c r="D27" s="1016" t="s">
        <v>1104</v>
      </c>
      <c r="E27" s="807" t="s">
        <v>92</v>
      </c>
      <c r="F27" s="625" t="s">
        <v>5991</v>
      </c>
      <c r="G27" s="911"/>
      <c r="H27" s="993"/>
      <c r="I27" s="626"/>
      <c r="J27" s="784"/>
      <c r="K27" s="784"/>
      <c r="L27" s="784"/>
      <c r="M27" s="784"/>
      <c r="N27" s="784"/>
      <c r="O27" s="784"/>
      <c r="P27" s="784"/>
      <c r="Q27" s="784"/>
      <c r="R27" s="784"/>
      <c r="S27" s="784"/>
      <c r="T27" s="784"/>
      <c r="U27" s="784"/>
      <c r="V27" s="784"/>
      <c r="W27" s="784"/>
      <c r="X27" s="784"/>
      <c r="Y27" s="784"/>
      <c r="Z27" s="784"/>
      <c r="AA27" s="784"/>
      <c r="AB27" s="784"/>
    </row>
    <row r="28" spans="1:28" ht="27" customHeight="1">
      <c r="C28" s="751" t="s">
        <v>267</v>
      </c>
      <c r="D28" s="751" t="s">
        <v>268</v>
      </c>
      <c r="E28" s="751" t="s">
        <v>269</v>
      </c>
      <c r="F28" s="751" t="s">
        <v>993</v>
      </c>
      <c r="G28" s="751"/>
      <c r="H28" s="784"/>
      <c r="I28" s="784"/>
      <c r="J28" s="784"/>
      <c r="K28" s="784"/>
      <c r="L28" s="784"/>
      <c r="M28" s="784"/>
      <c r="N28" s="784"/>
      <c r="O28" s="784"/>
      <c r="P28" s="784"/>
      <c r="Q28" s="784"/>
      <c r="R28" s="784"/>
      <c r="S28" s="784"/>
      <c r="T28" s="784"/>
      <c r="U28" s="784"/>
      <c r="V28" s="784"/>
      <c r="W28" s="784"/>
      <c r="X28" s="784"/>
      <c r="Y28" s="784"/>
      <c r="Z28" s="784"/>
      <c r="AA28" s="784"/>
      <c r="AB28" s="784"/>
    </row>
    <row r="29" spans="1:28" ht="22.2" customHeight="1">
      <c r="A29" s="811" t="s">
        <v>5978</v>
      </c>
      <c r="B29" s="968" t="s">
        <v>5986</v>
      </c>
      <c r="C29" s="752">
        <v>1</v>
      </c>
      <c r="D29" s="625" t="s">
        <v>115</v>
      </c>
      <c r="E29" s="625" t="s">
        <v>5987</v>
      </c>
      <c r="F29" s="755" t="s">
        <v>5989</v>
      </c>
      <c r="G29" s="625"/>
      <c r="H29" s="784"/>
      <c r="I29" s="784"/>
      <c r="J29" s="784"/>
      <c r="K29" s="784"/>
      <c r="L29" s="784"/>
      <c r="M29" s="784"/>
      <c r="N29" s="784"/>
      <c r="O29" s="784"/>
      <c r="P29" s="784"/>
      <c r="Q29" s="784"/>
      <c r="R29" s="784"/>
      <c r="S29" s="784"/>
      <c r="T29" s="784"/>
      <c r="U29" s="784"/>
      <c r="V29" s="784"/>
      <c r="W29" s="784"/>
      <c r="X29" s="784"/>
      <c r="Y29" s="784"/>
      <c r="Z29" s="784"/>
      <c r="AA29" s="784"/>
      <c r="AB29" s="784"/>
    </row>
    <row r="30" spans="1:28" ht="18.75" customHeight="1">
      <c r="A30" s="811" t="s">
        <v>5978</v>
      </c>
      <c r="B30" s="968" t="s">
        <v>5986</v>
      </c>
      <c r="C30" s="989">
        <v>2</v>
      </c>
      <c r="D30" s="990" t="s">
        <v>139</v>
      </c>
      <c r="E30" s="990" t="s">
        <v>220</v>
      </c>
      <c r="F30" s="991" t="s">
        <v>5988</v>
      </c>
      <c r="G30" s="990"/>
      <c r="H30" s="784"/>
      <c r="I30" s="784"/>
      <c r="J30" s="784"/>
      <c r="K30" s="784"/>
      <c r="L30" s="784"/>
      <c r="M30" s="784"/>
      <c r="N30" s="784"/>
      <c r="O30" s="784"/>
      <c r="P30" s="784"/>
      <c r="Q30" s="784"/>
      <c r="R30" s="784"/>
      <c r="S30" s="784"/>
      <c r="T30" s="784"/>
      <c r="U30" s="784"/>
      <c r="V30" s="784"/>
      <c r="W30" s="784"/>
      <c r="X30" s="784"/>
      <c r="Y30" s="784"/>
      <c r="Z30" s="784"/>
      <c r="AA30" s="784"/>
      <c r="AB30" s="784"/>
    </row>
    <row r="31" spans="1:28" ht="18.75" customHeight="1">
      <c r="A31" s="811" t="s">
        <v>5978</v>
      </c>
      <c r="B31" s="968" t="s">
        <v>5986</v>
      </c>
      <c r="C31" s="992">
        <v>3</v>
      </c>
      <c r="D31" s="807" t="s">
        <v>216</v>
      </c>
      <c r="E31" s="807" t="s">
        <v>92</v>
      </c>
      <c r="F31" s="993" t="s">
        <v>6005</v>
      </c>
      <c r="G31" s="807"/>
      <c r="H31" s="784"/>
      <c r="I31" s="784"/>
      <c r="J31" s="784"/>
      <c r="K31" s="784"/>
      <c r="L31" s="784"/>
      <c r="M31" s="784"/>
      <c r="N31" s="784"/>
      <c r="O31" s="784"/>
      <c r="P31" s="784"/>
      <c r="Q31" s="784"/>
      <c r="R31" s="784"/>
      <c r="S31" s="784"/>
      <c r="T31" s="784"/>
      <c r="U31" s="784"/>
      <c r="V31" s="784"/>
      <c r="W31" s="784"/>
      <c r="X31" s="784"/>
      <c r="Y31" s="784"/>
      <c r="Z31" s="784"/>
      <c r="AA31" s="784"/>
      <c r="AB31" s="784"/>
    </row>
    <row r="32" spans="1:28" ht="18.75" customHeight="1">
      <c r="A32" s="811" t="s">
        <v>5978</v>
      </c>
      <c r="B32" s="968" t="s">
        <v>5986</v>
      </c>
      <c r="C32" s="992">
        <v>4</v>
      </c>
      <c r="D32" s="807" t="s">
        <v>157</v>
      </c>
      <c r="E32" s="807" t="s">
        <v>92</v>
      </c>
      <c r="F32" s="993" t="s">
        <v>6005</v>
      </c>
      <c r="G32" s="807"/>
      <c r="H32" s="784"/>
      <c r="I32" s="784"/>
      <c r="J32" s="784"/>
      <c r="K32" s="784"/>
      <c r="L32" s="784"/>
      <c r="M32" s="784"/>
      <c r="N32" s="784"/>
      <c r="O32" s="784"/>
      <c r="P32" s="784"/>
      <c r="Q32" s="784"/>
      <c r="R32" s="784"/>
      <c r="S32" s="784"/>
      <c r="T32" s="784"/>
      <c r="U32" s="784"/>
      <c r="V32" s="784"/>
      <c r="W32" s="784"/>
      <c r="X32" s="784"/>
      <c r="Y32" s="784"/>
      <c r="Z32" s="784"/>
      <c r="AA32" s="784"/>
      <c r="AB32" s="784"/>
    </row>
    <row r="33" spans="1:28" ht="18.75" customHeight="1">
      <c r="A33" s="811" t="s">
        <v>5978</v>
      </c>
      <c r="B33" s="968" t="s">
        <v>5986</v>
      </c>
      <c r="C33" s="992">
        <v>5</v>
      </c>
      <c r="D33" s="807" t="s">
        <v>994</v>
      </c>
      <c r="E33" s="807" t="s">
        <v>984</v>
      </c>
      <c r="F33" s="993" t="s">
        <v>6005</v>
      </c>
      <c r="G33" s="807"/>
      <c r="H33" s="784"/>
      <c r="I33" s="784"/>
      <c r="J33" s="784"/>
      <c r="K33" s="784"/>
      <c r="L33" s="784"/>
      <c r="M33" s="784"/>
      <c r="N33" s="784"/>
      <c r="O33" s="784"/>
      <c r="P33" s="784"/>
      <c r="Q33" s="784"/>
      <c r="R33" s="784"/>
      <c r="S33" s="784"/>
      <c r="T33" s="784"/>
      <c r="U33" s="784"/>
      <c r="V33" s="784"/>
      <c r="W33" s="784"/>
      <c r="X33" s="784"/>
      <c r="Y33" s="784"/>
      <c r="Z33" s="784"/>
      <c r="AA33" s="784"/>
      <c r="AB33" s="784"/>
    </row>
    <row r="34" spans="1:28" ht="18.75" customHeight="1">
      <c r="A34" s="811" t="s">
        <v>5978</v>
      </c>
      <c r="B34" s="968" t="s">
        <v>5986</v>
      </c>
      <c r="C34" s="992">
        <v>6</v>
      </c>
      <c r="D34" s="807" t="s">
        <v>5939</v>
      </c>
      <c r="E34" s="807" t="s">
        <v>92</v>
      </c>
      <c r="F34" s="993" t="s">
        <v>6005</v>
      </c>
      <c r="G34" s="807"/>
      <c r="H34" s="784"/>
      <c r="I34" s="784"/>
      <c r="J34" s="784"/>
      <c r="K34" s="784"/>
      <c r="L34" s="784"/>
      <c r="M34" s="784"/>
      <c r="N34" s="784"/>
      <c r="O34" s="784"/>
      <c r="P34" s="784"/>
      <c r="Q34" s="784"/>
      <c r="R34" s="784"/>
      <c r="S34" s="784"/>
      <c r="T34" s="784"/>
      <c r="U34" s="784"/>
      <c r="V34" s="784"/>
      <c r="W34" s="784"/>
      <c r="X34" s="784"/>
      <c r="Y34" s="784"/>
      <c r="Z34" s="784"/>
      <c r="AA34" s="784"/>
      <c r="AB34" s="784"/>
    </row>
    <row r="35" spans="1:28" ht="18.75" customHeight="1">
      <c r="A35" s="811" t="s">
        <v>5978</v>
      </c>
      <c r="B35" s="968" t="s">
        <v>5986</v>
      </c>
      <c r="C35" s="992">
        <v>7</v>
      </c>
      <c r="D35" s="807" t="s">
        <v>1223</v>
      </c>
      <c r="E35" s="807" t="s">
        <v>195</v>
      </c>
      <c r="F35" s="993" t="s">
        <v>6005</v>
      </c>
      <c r="G35" s="807"/>
      <c r="H35" s="784"/>
      <c r="I35" s="784"/>
      <c r="J35" s="784"/>
      <c r="K35" s="784"/>
      <c r="L35" s="784"/>
      <c r="M35" s="784"/>
      <c r="N35" s="784"/>
      <c r="O35" s="784"/>
      <c r="P35" s="784"/>
      <c r="Q35" s="784"/>
      <c r="R35" s="784"/>
      <c r="S35" s="784"/>
      <c r="T35" s="784"/>
      <c r="U35" s="784"/>
      <c r="V35" s="784"/>
      <c r="W35" s="784"/>
      <c r="X35" s="784"/>
      <c r="Y35" s="784"/>
      <c r="Z35" s="784"/>
      <c r="AA35" s="784"/>
      <c r="AB35" s="784"/>
    </row>
    <row r="36" spans="1:28" ht="18.75" customHeight="1">
      <c r="A36" s="811" t="s">
        <v>5978</v>
      </c>
      <c r="B36" s="968" t="s">
        <v>5986</v>
      </c>
      <c r="C36" s="992">
        <v>8</v>
      </c>
      <c r="D36" s="1016" t="s">
        <v>1104</v>
      </c>
      <c r="E36" s="807" t="s">
        <v>92</v>
      </c>
      <c r="F36" s="993" t="s">
        <v>6005</v>
      </c>
      <c r="G36" s="807"/>
      <c r="H36" s="784"/>
      <c r="I36" s="784"/>
      <c r="J36" s="784"/>
      <c r="K36" s="784"/>
      <c r="L36" s="784"/>
      <c r="M36" s="784"/>
      <c r="N36" s="784"/>
      <c r="O36" s="784"/>
      <c r="P36" s="784"/>
      <c r="Q36" s="784"/>
      <c r="R36" s="784"/>
      <c r="S36" s="784"/>
      <c r="T36" s="784"/>
      <c r="U36" s="784"/>
      <c r="V36" s="784"/>
      <c r="W36" s="784"/>
      <c r="X36" s="784"/>
      <c r="Y36" s="784"/>
      <c r="Z36" s="784"/>
      <c r="AA36" s="784"/>
      <c r="AB36" s="784"/>
    </row>
    <row r="37" spans="1:28" ht="18.75" customHeight="1">
      <c r="C37" s="784"/>
      <c r="D37" s="784"/>
      <c r="E37" s="784"/>
      <c r="F37" s="784"/>
      <c r="G37" s="784"/>
      <c r="H37" s="784"/>
      <c r="I37" s="784"/>
      <c r="J37" s="784"/>
      <c r="K37" s="784"/>
      <c r="L37" s="784"/>
      <c r="M37" s="784"/>
      <c r="N37" s="784"/>
      <c r="O37" s="784"/>
      <c r="P37" s="784"/>
      <c r="Q37" s="784"/>
      <c r="R37" s="784"/>
      <c r="S37" s="784"/>
      <c r="T37" s="784"/>
      <c r="U37" s="784"/>
      <c r="V37" s="784"/>
      <c r="W37" s="784"/>
      <c r="X37" s="784"/>
      <c r="Y37" s="784"/>
      <c r="Z37" s="784"/>
      <c r="AA37" s="784"/>
      <c r="AB37" s="784"/>
    </row>
    <row r="38" spans="1:28" ht="18.75" customHeight="1">
      <c r="C38" s="784"/>
      <c r="D38" s="784"/>
      <c r="E38" s="784"/>
      <c r="F38" s="784"/>
      <c r="G38" s="784"/>
      <c r="H38" s="784"/>
      <c r="I38" s="784"/>
      <c r="J38" s="784"/>
      <c r="K38" s="784"/>
      <c r="L38" s="784"/>
      <c r="M38" s="784"/>
      <c r="N38" s="784"/>
      <c r="O38" s="784"/>
      <c r="P38" s="784"/>
      <c r="Q38" s="784"/>
      <c r="R38" s="784"/>
      <c r="S38" s="784"/>
      <c r="T38" s="784"/>
      <c r="U38" s="784"/>
      <c r="V38" s="784"/>
      <c r="W38" s="784"/>
      <c r="X38" s="784"/>
      <c r="Y38" s="784"/>
      <c r="Z38" s="784"/>
      <c r="AA38" s="784"/>
      <c r="AB38" s="784"/>
    </row>
    <row r="39" spans="1:28" ht="18.75" customHeight="1">
      <c r="C39" s="784"/>
      <c r="D39" s="784"/>
      <c r="E39" s="784"/>
      <c r="F39" s="784"/>
      <c r="G39" s="784"/>
      <c r="H39" s="784"/>
      <c r="I39" s="784"/>
      <c r="J39" s="784"/>
      <c r="K39" s="784"/>
      <c r="L39" s="784"/>
      <c r="M39" s="784"/>
      <c r="N39" s="784"/>
      <c r="O39" s="784"/>
      <c r="P39" s="784"/>
      <c r="Q39" s="784"/>
      <c r="R39" s="784"/>
      <c r="S39" s="784"/>
      <c r="T39" s="784"/>
      <c r="U39" s="784"/>
      <c r="V39" s="784"/>
      <c r="W39" s="784"/>
      <c r="X39" s="784"/>
      <c r="Y39" s="784"/>
      <c r="Z39" s="784"/>
      <c r="AA39" s="784"/>
      <c r="AB39" s="784"/>
    </row>
    <row r="40" spans="1:28" ht="18.75" customHeight="1">
      <c r="C40" s="784"/>
      <c r="D40" s="784"/>
      <c r="E40" s="784"/>
      <c r="F40" s="784"/>
      <c r="G40" s="784"/>
      <c r="H40" s="784"/>
      <c r="I40" s="784"/>
      <c r="J40" s="784"/>
      <c r="K40" s="784"/>
      <c r="L40" s="784"/>
      <c r="M40" s="784"/>
      <c r="N40" s="784"/>
      <c r="O40" s="784"/>
      <c r="P40" s="784"/>
      <c r="Q40" s="784"/>
      <c r="R40" s="784"/>
      <c r="S40" s="784"/>
      <c r="T40" s="784"/>
      <c r="U40" s="784"/>
      <c r="V40" s="784"/>
      <c r="W40" s="784"/>
      <c r="X40" s="784"/>
      <c r="Y40" s="784"/>
      <c r="Z40" s="784"/>
      <c r="AA40" s="784"/>
      <c r="AB40" s="784"/>
    </row>
    <row r="41" spans="1:28" ht="18.75" customHeight="1">
      <c r="C41" s="784"/>
      <c r="D41" s="784"/>
      <c r="E41" s="784"/>
      <c r="F41" s="784"/>
      <c r="G41" s="784"/>
      <c r="H41" s="784"/>
      <c r="I41" s="784"/>
      <c r="J41" s="784"/>
      <c r="K41" s="784"/>
      <c r="L41" s="784"/>
      <c r="M41" s="784"/>
      <c r="N41" s="784"/>
      <c r="O41" s="784"/>
      <c r="P41" s="784"/>
      <c r="Q41" s="784"/>
      <c r="R41" s="784"/>
      <c r="S41" s="784"/>
      <c r="T41" s="784"/>
      <c r="U41" s="784"/>
      <c r="V41" s="784"/>
      <c r="W41" s="784"/>
      <c r="X41" s="784"/>
      <c r="Y41" s="784"/>
      <c r="Z41" s="784"/>
      <c r="AA41" s="784"/>
      <c r="AB41" s="784"/>
    </row>
    <row r="42" spans="1:28" ht="18.75" customHeight="1">
      <c r="C42" s="784"/>
      <c r="D42" s="784"/>
      <c r="E42" s="784"/>
      <c r="F42" s="784"/>
      <c r="G42" s="784"/>
      <c r="H42" s="784"/>
      <c r="I42" s="784"/>
      <c r="J42" s="784"/>
      <c r="K42" s="784"/>
      <c r="L42" s="784"/>
      <c r="M42" s="784"/>
      <c r="N42" s="784"/>
      <c r="O42" s="784"/>
      <c r="P42" s="784"/>
      <c r="Q42" s="784"/>
      <c r="R42" s="784"/>
      <c r="S42" s="784"/>
      <c r="T42" s="784"/>
      <c r="U42" s="784"/>
      <c r="V42" s="784"/>
      <c r="W42" s="784"/>
      <c r="X42" s="784"/>
      <c r="Y42" s="784"/>
      <c r="Z42" s="784"/>
      <c r="AA42" s="784"/>
      <c r="AB42" s="784"/>
    </row>
    <row r="43" spans="1:28" ht="18.75" customHeight="1">
      <c r="C43" s="784"/>
      <c r="D43" s="784"/>
      <c r="E43" s="784"/>
      <c r="F43" s="784"/>
      <c r="G43" s="784"/>
      <c r="H43" s="784"/>
      <c r="I43" s="784"/>
      <c r="J43" s="784"/>
      <c r="K43" s="784"/>
      <c r="L43" s="784"/>
      <c r="M43" s="784"/>
      <c r="N43" s="784"/>
      <c r="O43" s="784"/>
      <c r="P43" s="784"/>
      <c r="Q43" s="784"/>
      <c r="R43" s="784"/>
      <c r="S43" s="784"/>
      <c r="T43" s="784"/>
      <c r="U43" s="784"/>
      <c r="V43" s="784"/>
      <c r="W43" s="784"/>
      <c r="X43" s="784"/>
      <c r="Y43" s="784"/>
      <c r="Z43" s="784"/>
      <c r="AA43" s="784"/>
      <c r="AB43" s="784"/>
    </row>
    <row r="44" spans="1:28" ht="18.75" customHeight="1">
      <c r="C44" s="784"/>
      <c r="D44" s="784"/>
      <c r="E44" s="784"/>
      <c r="F44" s="784"/>
      <c r="G44" s="784"/>
      <c r="H44" s="784"/>
      <c r="I44" s="784"/>
      <c r="J44" s="784"/>
      <c r="K44" s="784"/>
      <c r="L44" s="784"/>
      <c r="M44" s="784"/>
      <c r="N44" s="784"/>
      <c r="O44" s="784"/>
      <c r="P44" s="784"/>
      <c r="Q44" s="784"/>
      <c r="R44" s="784"/>
      <c r="S44" s="784"/>
      <c r="T44" s="784"/>
      <c r="U44" s="784"/>
      <c r="V44" s="784"/>
      <c r="W44" s="784"/>
      <c r="X44" s="784"/>
      <c r="Y44" s="784"/>
      <c r="Z44" s="784"/>
      <c r="AA44" s="784"/>
      <c r="AB44" s="784"/>
    </row>
    <row r="45" spans="1:28" ht="18.75" customHeight="1">
      <c r="C45" s="784"/>
      <c r="D45" s="784"/>
      <c r="E45" s="784"/>
      <c r="F45" s="784"/>
      <c r="G45" s="784"/>
      <c r="H45" s="784"/>
      <c r="I45" s="784"/>
      <c r="J45" s="784"/>
      <c r="K45" s="784"/>
      <c r="L45" s="784"/>
      <c r="M45" s="784"/>
      <c r="N45" s="784"/>
      <c r="O45" s="784"/>
      <c r="P45" s="784"/>
      <c r="Q45" s="784"/>
      <c r="R45" s="784"/>
      <c r="S45" s="784"/>
      <c r="T45" s="784"/>
      <c r="U45" s="784"/>
      <c r="V45" s="784"/>
      <c r="W45" s="784"/>
      <c r="X45" s="784"/>
      <c r="Y45" s="784"/>
      <c r="Z45" s="784"/>
      <c r="AA45" s="784"/>
      <c r="AB45" s="784"/>
    </row>
    <row r="46" spans="1:28" ht="18.75" customHeight="1">
      <c r="C46" s="784"/>
      <c r="D46" s="784"/>
      <c r="E46" s="784"/>
      <c r="F46" s="784"/>
      <c r="G46" s="784"/>
      <c r="H46" s="784"/>
      <c r="I46" s="784"/>
      <c r="J46" s="784"/>
      <c r="K46" s="784"/>
      <c r="L46" s="784"/>
      <c r="M46" s="784"/>
      <c r="N46" s="784"/>
      <c r="O46" s="784"/>
      <c r="P46" s="784"/>
      <c r="Q46" s="784"/>
      <c r="R46" s="784"/>
      <c r="S46" s="784"/>
      <c r="T46" s="784"/>
      <c r="U46" s="784"/>
      <c r="V46" s="784"/>
      <c r="W46" s="784"/>
      <c r="X46" s="784"/>
      <c r="Y46" s="784"/>
      <c r="Z46" s="784"/>
      <c r="AA46" s="784"/>
      <c r="AB46" s="784"/>
    </row>
    <row r="47" spans="1:28" ht="18.75" customHeight="1">
      <c r="C47" s="784"/>
      <c r="D47" s="784"/>
      <c r="E47" s="784"/>
      <c r="F47" s="784"/>
      <c r="G47" s="784"/>
      <c r="H47" s="784"/>
      <c r="I47" s="784"/>
      <c r="J47" s="784"/>
      <c r="K47" s="784"/>
      <c r="L47" s="784"/>
      <c r="M47" s="784"/>
      <c r="N47" s="784"/>
      <c r="O47" s="784"/>
      <c r="P47" s="784"/>
      <c r="Q47" s="784"/>
      <c r="R47" s="784"/>
      <c r="S47" s="784"/>
      <c r="T47" s="784"/>
      <c r="U47" s="784"/>
      <c r="V47" s="784"/>
      <c r="W47" s="784"/>
      <c r="X47" s="784"/>
      <c r="Y47" s="784"/>
      <c r="Z47" s="784"/>
      <c r="AA47" s="784"/>
      <c r="AB47" s="784"/>
    </row>
    <row r="48" spans="1:28" ht="18.75" customHeight="1">
      <c r="C48" s="784"/>
      <c r="D48" s="784"/>
      <c r="E48" s="784"/>
      <c r="F48" s="784"/>
      <c r="G48" s="784"/>
      <c r="H48" s="784"/>
      <c r="I48" s="784"/>
      <c r="J48" s="784"/>
      <c r="K48" s="784"/>
      <c r="L48" s="784"/>
      <c r="M48" s="784"/>
      <c r="N48" s="784"/>
      <c r="O48" s="784"/>
      <c r="P48" s="784"/>
      <c r="Q48" s="784"/>
      <c r="R48" s="784"/>
      <c r="S48" s="784"/>
      <c r="T48" s="784"/>
      <c r="U48" s="784"/>
      <c r="V48" s="784"/>
      <c r="W48" s="784"/>
      <c r="X48" s="784"/>
      <c r="Y48" s="784"/>
      <c r="Z48" s="784"/>
      <c r="AA48" s="784"/>
      <c r="AB48" s="784"/>
    </row>
    <row r="49" spans="3:28" ht="18.75" customHeight="1">
      <c r="C49" s="784"/>
      <c r="D49" s="784"/>
      <c r="E49" s="784"/>
      <c r="F49" s="784"/>
      <c r="G49" s="784"/>
      <c r="H49" s="784"/>
      <c r="I49" s="784"/>
      <c r="J49" s="784"/>
      <c r="K49" s="784"/>
      <c r="L49" s="784"/>
      <c r="M49" s="784"/>
      <c r="N49" s="784"/>
      <c r="O49" s="784"/>
      <c r="P49" s="784"/>
      <c r="Q49" s="784"/>
      <c r="R49" s="784"/>
      <c r="S49" s="784"/>
      <c r="T49" s="784"/>
      <c r="U49" s="784"/>
      <c r="V49" s="784"/>
      <c r="W49" s="784"/>
      <c r="X49" s="784"/>
      <c r="Y49" s="784"/>
      <c r="Z49" s="784"/>
      <c r="AA49" s="784"/>
      <c r="AB49" s="784"/>
    </row>
    <row r="50" spans="3:28" ht="18.75" customHeight="1">
      <c r="C50" s="784"/>
      <c r="D50" s="784"/>
      <c r="E50" s="784"/>
      <c r="F50" s="784"/>
      <c r="G50" s="784"/>
      <c r="H50" s="784"/>
      <c r="I50" s="784"/>
      <c r="J50" s="784"/>
      <c r="K50" s="784"/>
      <c r="L50" s="784"/>
      <c r="M50" s="784"/>
      <c r="N50" s="784"/>
      <c r="O50" s="784"/>
      <c r="P50" s="784"/>
      <c r="Q50" s="784"/>
      <c r="R50" s="784"/>
      <c r="S50" s="784"/>
      <c r="T50" s="784"/>
      <c r="U50" s="784"/>
      <c r="V50" s="784"/>
      <c r="W50" s="784"/>
      <c r="X50" s="784"/>
      <c r="Y50" s="784"/>
      <c r="Z50" s="784"/>
      <c r="AA50" s="784"/>
      <c r="AB50" s="784"/>
    </row>
    <row r="51" spans="3:28" ht="18.75" customHeight="1">
      <c r="C51" s="784"/>
      <c r="D51" s="784"/>
      <c r="E51" s="784"/>
      <c r="F51" s="784"/>
      <c r="G51" s="784"/>
      <c r="H51" s="784"/>
      <c r="I51" s="784"/>
      <c r="J51" s="784"/>
      <c r="K51" s="784"/>
      <c r="L51" s="784"/>
      <c r="M51" s="784"/>
      <c r="N51" s="784"/>
      <c r="O51" s="784"/>
      <c r="P51" s="784"/>
      <c r="Q51" s="784"/>
      <c r="R51" s="784"/>
      <c r="S51" s="784"/>
      <c r="T51" s="784"/>
      <c r="U51" s="784"/>
      <c r="V51" s="784"/>
      <c r="W51" s="784"/>
      <c r="X51" s="784"/>
      <c r="Y51" s="784"/>
      <c r="Z51" s="784"/>
      <c r="AA51" s="784"/>
      <c r="AB51" s="784"/>
    </row>
    <row r="52" spans="3:28" ht="18.75" customHeight="1">
      <c r="C52" s="784"/>
      <c r="D52" s="784"/>
      <c r="E52" s="784"/>
      <c r="F52" s="784"/>
      <c r="G52" s="784"/>
      <c r="H52" s="784"/>
      <c r="I52" s="784"/>
      <c r="J52" s="784"/>
      <c r="K52" s="784"/>
      <c r="L52" s="784"/>
      <c r="M52" s="784"/>
      <c r="N52" s="784"/>
      <c r="O52" s="784"/>
      <c r="P52" s="784"/>
      <c r="Q52" s="784"/>
      <c r="R52" s="784"/>
      <c r="S52" s="784"/>
      <c r="T52" s="784"/>
      <c r="U52" s="784"/>
      <c r="V52" s="784"/>
      <c r="W52" s="784"/>
      <c r="X52" s="784"/>
      <c r="Y52" s="784"/>
      <c r="Z52" s="784"/>
      <c r="AA52" s="784"/>
      <c r="AB52" s="784"/>
    </row>
    <row r="53" spans="3:28" ht="18.75" customHeight="1">
      <c r="C53" s="784"/>
      <c r="D53" s="784"/>
      <c r="E53" s="784"/>
      <c r="F53" s="784"/>
      <c r="G53" s="784"/>
      <c r="H53" s="784"/>
      <c r="I53" s="784"/>
      <c r="J53" s="784"/>
      <c r="K53" s="784"/>
      <c r="L53" s="784"/>
      <c r="M53" s="784"/>
      <c r="N53" s="784"/>
      <c r="O53" s="784"/>
      <c r="P53" s="784"/>
      <c r="Q53" s="784"/>
      <c r="R53" s="784"/>
      <c r="S53" s="784"/>
      <c r="T53" s="784"/>
      <c r="U53" s="784"/>
      <c r="V53" s="784"/>
      <c r="W53" s="784"/>
      <c r="X53" s="784"/>
      <c r="Y53" s="784"/>
      <c r="Z53" s="784"/>
      <c r="AA53" s="784"/>
      <c r="AB53" s="784"/>
    </row>
    <row r="54" spans="3:28" ht="18.75" customHeight="1">
      <c r="C54" s="784"/>
      <c r="D54" s="784"/>
      <c r="E54" s="784"/>
      <c r="F54" s="784"/>
      <c r="G54" s="784"/>
      <c r="H54" s="784"/>
      <c r="I54" s="784"/>
      <c r="J54" s="784"/>
      <c r="K54" s="784"/>
      <c r="L54" s="784"/>
      <c r="M54" s="784"/>
      <c r="N54" s="784"/>
      <c r="O54" s="784"/>
      <c r="P54" s="784"/>
      <c r="Q54" s="784"/>
      <c r="R54" s="784"/>
      <c r="S54" s="784"/>
      <c r="T54" s="784"/>
      <c r="U54" s="784"/>
      <c r="V54" s="784"/>
      <c r="W54" s="784"/>
      <c r="X54" s="784"/>
      <c r="Y54" s="784"/>
      <c r="Z54" s="784"/>
      <c r="AA54" s="784"/>
      <c r="AB54" s="784"/>
    </row>
    <row r="55" spans="3:28" ht="18.75" customHeight="1">
      <c r="C55" s="784"/>
      <c r="D55" s="784"/>
      <c r="E55" s="784"/>
      <c r="F55" s="784"/>
      <c r="G55" s="784"/>
      <c r="H55" s="784"/>
      <c r="I55" s="784"/>
      <c r="J55" s="784"/>
      <c r="K55" s="784"/>
      <c r="L55" s="784"/>
      <c r="M55" s="784"/>
      <c r="N55" s="784"/>
      <c r="O55" s="784"/>
      <c r="P55" s="784"/>
      <c r="Q55" s="784"/>
      <c r="R55" s="784"/>
      <c r="S55" s="784"/>
      <c r="T55" s="784"/>
      <c r="U55" s="784"/>
      <c r="V55" s="784"/>
      <c r="W55" s="784"/>
      <c r="X55" s="784"/>
      <c r="Y55" s="784"/>
      <c r="Z55" s="784"/>
      <c r="AA55" s="784"/>
      <c r="AB55" s="784"/>
    </row>
    <row r="56" spans="3:28" ht="18.75" customHeight="1">
      <c r="C56" s="784"/>
      <c r="D56" s="784"/>
      <c r="E56" s="784"/>
      <c r="F56" s="784"/>
      <c r="G56" s="784"/>
      <c r="H56" s="784"/>
      <c r="I56" s="784"/>
      <c r="J56" s="784"/>
      <c r="K56" s="784"/>
      <c r="L56" s="784"/>
      <c r="M56" s="784"/>
      <c r="N56" s="784"/>
      <c r="O56" s="784"/>
      <c r="P56" s="784"/>
      <c r="Q56" s="784"/>
      <c r="R56" s="784"/>
      <c r="S56" s="784"/>
      <c r="T56" s="784"/>
      <c r="U56" s="784"/>
      <c r="V56" s="784"/>
      <c r="W56" s="784"/>
      <c r="X56" s="784"/>
      <c r="Y56" s="784"/>
      <c r="Z56" s="784"/>
      <c r="AA56" s="784"/>
      <c r="AB56" s="784"/>
    </row>
    <row r="57" spans="3:28" ht="18.75" customHeight="1">
      <c r="C57" s="784"/>
      <c r="D57" s="784"/>
      <c r="E57" s="784"/>
      <c r="F57" s="784"/>
      <c r="G57" s="784"/>
      <c r="H57" s="784"/>
      <c r="I57" s="784"/>
      <c r="J57" s="784"/>
      <c r="K57" s="784"/>
      <c r="L57" s="784"/>
      <c r="M57" s="784"/>
      <c r="N57" s="784"/>
      <c r="O57" s="784"/>
      <c r="P57" s="784"/>
      <c r="Q57" s="784"/>
      <c r="R57" s="784"/>
      <c r="S57" s="784"/>
      <c r="T57" s="784"/>
      <c r="U57" s="784"/>
      <c r="V57" s="784"/>
      <c r="W57" s="784"/>
      <c r="X57" s="784"/>
      <c r="Y57" s="784"/>
      <c r="Z57" s="784"/>
      <c r="AA57" s="784"/>
      <c r="AB57" s="784"/>
    </row>
    <row r="58" spans="3:28" ht="18.75" customHeight="1">
      <c r="C58" s="784"/>
      <c r="D58" s="784"/>
      <c r="E58" s="784"/>
      <c r="F58" s="784"/>
      <c r="G58" s="784"/>
      <c r="H58" s="784"/>
      <c r="I58" s="784"/>
      <c r="J58" s="784"/>
      <c r="K58" s="784"/>
      <c r="L58" s="784"/>
      <c r="M58" s="784"/>
      <c r="N58" s="784"/>
      <c r="O58" s="784"/>
      <c r="P58" s="784"/>
      <c r="Q58" s="784"/>
      <c r="R58" s="784"/>
      <c r="S58" s="784"/>
      <c r="T58" s="784"/>
      <c r="U58" s="784"/>
      <c r="V58" s="784"/>
      <c r="W58" s="784"/>
      <c r="X58" s="784"/>
      <c r="Y58" s="784"/>
      <c r="Z58" s="784"/>
      <c r="AA58" s="784"/>
      <c r="AB58" s="784"/>
    </row>
    <row r="59" spans="3:28" ht="18.75" customHeight="1">
      <c r="C59" s="784"/>
      <c r="D59" s="784"/>
      <c r="E59" s="784"/>
      <c r="F59" s="784"/>
      <c r="G59" s="784"/>
      <c r="H59" s="784"/>
      <c r="I59" s="784"/>
      <c r="J59" s="784"/>
      <c r="K59" s="784"/>
      <c r="L59" s="784"/>
      <c r="M59" s="784"/>
      <c r="N59" s="784"/>
      <c r="O59" s="784"/>
      <c r="P59" s="784"/>
      <c r="Q59" s="784"/>
      <c r="R59" s="784"/>
      <c r="S59" s="784"/>
      <c r="T59" s="784"/>
      <c r="U59" s="784"/>
      <c r="V59" s="784"/>
      <c r="W59" s="784"/>
      <c r="X59" s="784"/>
      <c r="Y59" s="784"/>
      <c r="Z59" s="784"/>
      <c r="AA59" s="784"/>
      <c r="AB59" s="784"/>
    </row>
    <row r="60" spans="3:28" ht="18.75" customHeight="1">
      <c r="C60" s="784"/>
      <c r="D60" s="784"/>
      <c r="E60" s="784"/>
      <c r="F60" s="784"/>
      <c r="G60" s="784"/>
      <c r="H60" s="784"/>
      <c r="I60" s="784"/>
      <c r="J60" s="784"/>
      <c r="K60" s="784"/>
      <c r="L60" s="784"/>
      <c r="M60" s="784"/>
      <c r="N60" s="784"/>
      <c r="O60" s="784"/>
      <c r="P60" s="784"/>
      <c r="Q60" s="784"/>
      <c r="R60" s="784"/>
      <c r="S60" s="784"/>
      <c r="T60" s="784"/>
      <c r="U60" s="784"/>
      <c r="V60" s="784"/>
      <c r="W60" s="784"/>
      <c r="X60" s="784"/>
      <c r="Y60" s="784"/>
      <c r="Z60" s="784"/>
      <c r="AA60" s="784"/>
      <c r="AB60" s="784"/>
    </row>
    <row r="61" spans="3:28" ht="18.75" customHeight="1">
      <c r="C61" s="784"/>
      <c r="D61" s="784"/>
      <c r="E61" s="784"/>
      <c r="F61" s="784"/>
      <c r="G61" s="784"/>
      <c r="H61" s="784"/>
      <c r="I61" s="784"/>
      <c r="J61" s="784"/>
      <c r="K61" s="784"/>
      <c r="L61" s="784"/>
      <c r="M61" s="784"/>
      <c r="N61" s="784"/>
      <c r="O61" s="784"/>
      <c r="P61" s="784"/>
      <c r="Q61" s="784"/>
      <c r="R61" s="784"/>
      <c r="S61" s="784"/>
      <c r="T61" s="784"/>
      <c r="U61" s="784"/>
      <c r="V61" s="784"/>
      <c r="W61" s="784"/>
      <c r="X61" s="784"/>
      <c r="Y61" s="784"/>
      <c r="Z61" s="784"/>
      <c r="AA61" s="784"/>
      <c r="AB61" s="784"/>
    </row>
    <row r="62" spans="3:28" ht="18.75" customHeight="1">
      <c r="C62" s="784"/>
      <c r="D62" s="784"/>
      <c r="E62" s="784"/>
      <c r="F62" s="784"/>
      <c r="G62" s="784"/>
      <c r="H62" s="784"/>
      <c r="I62" s="784"/>
      <c r="J62" s="784"/>
      <c r="K62" s="784"/>
      <c r="L62" s="784"/>
      <c r="M62" s="784"/>
      <c r="N62" s="784"/>
      <c r="O62" s="784"/>
      <c r="P62" s="784"/>
      <c r="Q62" s="784"/>
      <c r="R62" s="784"/>
      <c r="S62" s="784"/>
      <c r="T62" s="784"/>
      <c r="U62" s="784"/>
      <c r="V62" s="784"/>
      <c r="W62" s="784"/>
      <c r="X62" s="784"/>
      <c r="Y62" s="784"/>
      <c r="Z62" s="784"/>
      <c r="AA62" s="784"/>
      <c r="AB62" s="784"/>
    </row>
    <row r="63" spans="3:28" ht="18.75" customHeight="1">
      <c r="C63" s="784"/>
      <c r="D63" s="784"/>
      <c r="E63" s="784"/>
      <c r="F63" s="784"/>
      <c r="G63" s="784"/>
      <c r="H63" s="784"/>
      <c r="I63" s="784"/>
      <c r="J63" s="784"/>
      <c r="K63" s="784"/>
      <c r="L63" s="784"/>
      <c r="M63" s="784"/>
      <c r="N63" s="784"/>
      <c r="O63" s="784"/>
      <c r="P63" s="784"/>
      <c r="Q63" s="784"/>
      <c r="R63" s="784"/>
      <c r="S63" s="784"/>
      <c r="T63" s="784"/>
      <c r="U63" s="784"/>
      <c r="V63" s="784"/>
      <c r="W63" s="784"/>
      <c r="X63" s="784"/>
      <c r="Y63" s="784"/>
      <c r="Z63" s="784"/>
      <c r="AA63" s="784"/>
      <c r="AB63" s="784"/>
    </row>
    <row r="64" spans="3:28" ht="18.75" customHeight="1">
      <c r="C64" s="784"/>
      <c r="D64" s="784"/>
      <c r="E64" s="784"/>
      <c r="F64" s="784"/>
      <c r="G64" s="784"/>
      <c r="H64" s="784"/>
      <c r="I64" s="784"/>
      <c r="J64" s="784"/>
      <c r="K64" s="784"/>
      <c r="L64" s="784"/>
      <c r="M64" s="784"/>
      <c r="N64" s="784"/>
      <c r="O64" s="784"/>
      <c r="P64" s="784"/>
      <c r="Q64" s="784"/>
      <c r="R64" s="784"/>
      <c r="S64" s="784"/>
      <c r="T64" s="784"/>
      <c r="U64" s="784"/>
      <c r="V64" s="784"/>
      <c r="W64" s="784"/>
      <c r="X64" s="784"/>
      <c r="Y64" s="784"/>
      <c r="Z64" s="784"/>
      <c r="AA64" s="784"/>
      <c r="AB64" s="784"/>
    </row>
    <row r="65" spans="3:28" ht="18.75" customHeight="1">
      <c r="C65" s="784"/>
      <c r="D65" s="784"/>
      <c r="E65" s="784"/>
      <c r="F65" s="784"/>
      <c r="G65" s="784"/>
      <c r="H65" s="784"/>
      <c r="I65" s="784"/>
      <c r="J65" s="784"/>
      <c r="K65" s="784"/>
      <c r="L65" s="784"/>
      <c r="M65" s="784"/>
      <c r="N65" s="784"/>
      <c r="O65" s="784"/>
      <c r="P65" s="784"/>
      <c r="Q65" s="784"/>
      <c r="R65" s="784"/>
      <c r="S65" s="784"/>
      <c r="T65" s="784"/>
      <c r="U65" s="784"/>
      <c r="V65" s="784"/>
      <c r="W65" s="784"/>
      <c r="X65" s="784"/>
      <c r="Y65" s="784"/>
      <c r="Z65" s="784"/>
      <c r="AA65" s="784"/>
      <c r="AB65" s="784"/>
    </row>
    <row r="66" spans="3:28" ht="18.75" customHeight="1">
      <c r="C66" s="784"/>
      <c r="D66" s="784"/>
      <c r="E66" s="784"/>
      <c r="F66" s="784"/>
      <c r="G66" s="784"/>
      <c r="H66" s="784"/>
      <c r="I66" s="784"/>
      <c r="J66" s="784"/>
      <c r="K66" s="784"/>
      <c r="L66" s="784"/>
      <c r="M66" s="784"/>
      <c r="N66" s="784"/>
      <c r="O66" s="784"/>
      <c r="P66" s="784"/>
      <c r="Q66" s="784"/>
      <c r="R66" s="784"/>
      <c r="S66" s="784"/>
      <c r="T66" s="784"/>
      <c r="U66" s="784"/>
      <c r="V66" s="784"/>
      <c r="W66" s="784"/>
      <c r="X66" s="784"/>
      <c r="Y66" s="784"/>
      <c r="Z66" s="784"/>
      <c r="AA66" s="784"/>
      <c r="AB66" s="784"/>
    </row>
    <row r="67" spans="3:28" ht="18.75" customHeight="1">
      <c r="C67" s="784"/>
      <c r="D67" s="784"/>
      <c r="E67" s="784"/>
      <c r="F67" s="784"/>
      <c r="G67" s="784"/>
      <c r="H67" s="784"/>
      <c r="I67" s="784"/>
      <c r="J67" s="784"/>
      <c r="K67" s="784"/>
      <c r="L67" s="784"/>
      <c r="M67" s="784"/>
      <c r="N67" s="784"/>
      <c r="O67" s="784"/>
      <c r="P67" s="784"/>
      <c r="Q67" s="784"/>
      <c r="R67" s="784"/>
      <c r="S67" s="784"/>
      <c r="T67" s="784"/>
      <c r="U67" s="784"/>
      <c r="V67" s="784"/>
      <c r="W67" s="784"/>
      <c r="X67" s="784"/>
      <c r="Y67" s="784"/>
      <c r="Z67" s="784"/>
      <c r="AA67" s="784"/>
      <c r="AB67" s="784"/>
    </row>
    <row r="68" spans="3:28" ht="18.75" customHeight="1">
      <c r="C68" s="784"/>
      <c r="D68" s="784"/>
      <c r="E68" s="784"/>
      <c r="F68" s="784"/>
      <c r="G68" s="784"/>
      <c r="H68" s="784"/>
      <c r="I68" s="784"/>
      <c r="J68" s="784"/>
      <c r="K68" s="784"/>
      <c r="L68" s="784"/>
      <c r="M68" s="784"/>
      <c r="N68" s="784"/>
      <c r="O68" s="784"/>
      <c r="P68" s="784"/>
      <c r="Q68" s="784"/>
      <c r="R68" s="784"/>
      <c r="S68" s="784"/>
      <c r="T68" s="784"/>
      <c r="U68" s="784"/>
      <c r="V68" s="784"/>
      <c r="W68" s="784"/>
      <c r="X68" s="784"/>
      <c r="Y68" s="784"/>
      <c r="Z68" s="784"/>
      <c r="AA68" s="784"/>
      <c r="AB68" s="784"/>
    </row>
    <row r="69" spans="3:28" ht="18.75" customHeight="1">
      <c r="C69" s="784"/>
      <c r="D69" s="784"/>
      <c r="E69" s="784"/>
      <c r="F69" s="784"/>
      <c r="G69" s="784"/>
      <c r="H69" s="784"/>
      <c r="I69" s="784"/>
      <c r="J69" s="784"/>
      <c r="K69" s="784"/>
      <c r="L69" s="784"/>
      <c r="M69" s="784"/>
      <c r="N69" s="784"/>
      <c r="O69" s="784"/>
      <c r="P69" s="784"/>
      <c r="Q69" s="784"/>
      <c r="R69" s="784"/>
      <c r="S69" s="784"/>
      <c r="T69" s="784"/>
      <c r="U69" s="784"/>
      <c r="V69" s="784"/>
      <c r="W69" s="784"/>
      <c r="X69" s="784"/>
      <c r="Y69" s="784"/>
      <c r="Z69" s="784"/>
      <c r="AA69" s="784"/>
      <c r="AB69" s="784"/>
    </row>
    <row r="70" spans="3:28" ht="18.75" customHeight="1">
      <c r="C70" s="784"/>
      <c r="D70" s="784"/>
      <c r="E70" s="784"/>
      <c r="F70" s="784"/>
      <c r="G70" s="784"/>
      <c r="H70" s="784"/>
      <c r="I70" s="784"/>
      <c r="J70" s="784"/>
      <c r="K70" s="784"/>
      <c r="L70" s="784"/>
      <c r="M70" s="784"/>
      <c r="N70" s="784"/>
      <c r="O70" s="784"/>
      <c r="P70" s="784"/>
      <c r="Q70" s="784"/>
      <c r="R70" s="784"/>
      <c r="S70" s="784"/>
      <c r="T70" s="784"/>
      <c r="U70" s="784"/>
      <c r="V70" s="784"/>
      <c r="W70" s="784"/>
      <c r="X70" s="784"/>
      <c r="Y70" s="784"/>
      <c r="Z70" s="784"/>
      <c r="AA70" s="784"/>
      <c r="AB70" s="784"/>
    </row>
    <row r="71" spans="3:28" ht="18.75" customHeight="1">
      <c r="C71" s="784"/>
      <c r="D71" s="784"/>
      <c r="E71" s="784"/>
      <c r="F71" s="784"/>
      <c r="G71" s="784"/>
      <c r="H71" s="784"/>
      <c r="I71" s="784"/>
      <c r="J71" s="784"/>
      <c r="K71" s="784"/>
      <c r="L71" s="784"/>
      <c r="M71" s="784"/>
      <c r="N71" s="784"/>
      <c r="O71" s="784"/>
      <c r="P71" s="784"/>
      <c r="Q71" s="784"/>
      <c r="R71" s="784"/>
      <c r="S71" s="784"/>
      <c r="T71" s="784"/>
      <c r="U71" s="784"/>
      <c r="V71" s="784"/>
      <c r="W71" s="784"/>
      <c r="X71" s="784"/>
      <c r="Y71" s="784"/>
      <c r="Z71" s="784"/>
      <c r="AA71" s="784"/>
      <c r="AB71" s="784"/>
    </row>
    <row r="72" spans="3:28" ht="18.75" customHeight="1">
      <c r="C72" s="784"/>
      <c r="D72" s="784"/>
      <c r="E72" s="784"/>
      <c r="F72" s="784"/>
      <c r="G72" s="784"/>
      <c r="H72" s="784"/>
      <c r="I72" s="784"/>
      <c r="J72" s="784"/>
      <c r="K72" s="784"/>
      <c r="L72" s="784"/>
      <c r="M72" s="784"/>
      <c r="N72" s="784"/>
      <c r="O72" s="784"/>
      <c r="P72" s="784"/>
      <c r="Q72" s="784"/>
      <c r="R72" s="784"/>
      <c r="S72" s="784"/>
      <c r="T72" s="784"/>
      <c r="U72" s="784"/>
      <c r="V72" s="784"/>
      <c r="W72" s="784"/>
      <c r="X72" s="784"/>
      <c r="Y72" s="784"/>
      <c r="Z72" s="784"/>
      <c r="AA72" s="784"/>
      <c r="AB72" s="784"/>
    </row>
    <row r="73" spans="3:28" ht="18.75" customHeight="1">
      <c r="C73" s="784"/>
      <c r="D73" s="784"/>
      <c r="E73" s="784"/>
      <c r="F73" s="784"/>
      <c r="G73" s="784"/>
      <c r="H73" s="784"/>
      <c r="I73" s="784"/>
      <c r="J73" s="784"/>
      <c r="K73" s="784"/>
      <c r="L73" s="784"/>
      <c r="M73" s="784"/>
      <c r="N73" s="784"/>
      <c r="O73" s="784"/>
      <c r="P73" s="784"/>
      <c r="Q73" s="784"/>
      <c r="R73" s="784"/>
      <c r="S73" s="784"/>
      <c r="T73" s="784"/>
      <c r="U73" s="784"/>
      <c r="V73" s="784"/>
      <c r="W73" s="784"/>
      <c r="X73" s="784"/>
      <c r="Y73" s="784"/>
      <c r="Z73" s="784"/>
      <c r="AA73" s="784"/>
      <c r="AB73" s="784"/>
    </row>
    <row r="74" spans="3:28" ht="18.75" customHeight="1">
      <c r="C74" s="784"/>
      <c r="D74" s="784"/>
      <c r="E74" s="784"/>
      <c r="F74" s="784"/>
      <c r="G74" s="784"/>
      <c r="H74" s="784"/>
      <c r="I74" s="784"/>
      <c r="J74" s="784"/>
      <c r="K74" s="784"/>
      <c r="L74" s="784"/>
      <c r="M74" s="784"/>
      <c r="N74" s="784"/>
      <c r="O74" s="784"/>
      <c r="P74" s="784"/>
      <c r="Q74" s="784"/>
      <c r="R74" s="784"/>
      <c r="S74" s="784"/>
      <c r="T74" s="784"/>
      <c r="U74" s="784"/>
      <c r="V74" s="784"/>
      <c r="W74" s="784"/>
      <c r="X74" s="784"/>
      <c r="Y74" s="784"/>
      <c r="Z74" s="784"/>
      <c r="AA74" s="784"/>
      <c r="AB74" s="784"/>
    </row>
    <row r="75" spans="3:28" ht="18.75" customHeight="1">
      <c r="C75" s="784"/>
      <c r="D75" s="784"/>
      <c r="E75" s="784"/>
      <c r="F75" s="784"/>
      <c r="G75" s="784"/>
      <c r="H75" s="784"/>
      <c r="I75" s="784"/>
      <c r="J75" s="784"/>
      <c r="K75" s="784"/>
      <c r="L75" s="784"/>
      <c r="M75" s="784"/>
      <c r="N75" s="784"/>
      <c r="O75" s="784"/>
      <c r="P75" s="784"/>
      <c r="Q75" s="784"/>
      <c r="R75" s="784"/>
      <c r="S75" s="784"/>
      <c r="T75" s="784"/>
      <c r="U75" s="784"/>
      <c r="V75" s="784"/>
      <c r="W75" s="784"/>
      <c r="X75" s="784"/>
      <c r="Y75" s="784"/>
      <c r="Z75" s="784"/>
      <c r="AA75" s="784"/>
      <c r="AB75" s="784"/>
    </row>
    <row r="76" spans="3:28" ht="18.75" customHeight="1">
      <c r="C76" s="784"/>
      <c r="D76" s="784"/>
      <c r="E76" s="784"/>
      <c r="F76" s="784"/>
      <c r="G76" s="784"/>
      <c r="H76" s="784"/>
      <c r="I76" s="784"/>
      <c r="J76" s="784"/>
      <c r="K76" s="784"/>
      <c r="L76" s="784"/>
      <c r="M76" s="784"/>
      <c r="N76" s="784"/>
      <c r="O76" s="784"/>
      <c r="P76" s="784"/>
      <c r="Q76" s="784"/>
      <c r="R76" s="784"/>
      <c r="S76" s="784"/>
      <c r="T76" s="784"/>
      <c r="U76" s="784"/>
      <c r="V76" s="784"/>
      <c r="W76" s="784"/>
      <c r="X76" s="784"/>
      <c r="Y76" s="784"/>
      <c r="Z76" s="784"/>
      <c r="AA76" s="784"/>
      <c r="AB76" s="784"/>
    </row>
    <row r="77" spans="3:28" ht="18.75" customHeight="1">
      <c r="C77" s="784"/>
      <c r="D77" s="784"/>
      <c r="E77" s="784"/>
      <c r="F77" s="784"/>
      <c r="G77" s="784"/>
      <c r="H77" s="784"/>
      <c r="I77" s="784"/>
      <c r="J77" s="784"/>
      <c r="K77" s="784"/>
      <c r="L77" s="784"/>
      <c r="M77" s="784"/>
      <c r="N77" s="784"/>
      <c r="O77" s="784"/>
      <c r="P77" s="784"/>
      <c r="Q77" s="784"/>
      <c r="R77" s="784"/>
      <c r="S77" s="784"/>
      <c r="T77" s="784"/>
      <c r="U77" s="784"/>
      <c r="V77" s="784"/>
      <c r="W77" s="784"/>
      <c r="X77" s="784"/>
      <c r="Y77" s="784"/>
      <c r="Z77" s="784"/>
      <c r="AA77" s="784"/>
      <c r="AB77" s="784"/>
    </row>
    <row r="78" spans="3:28" ht="18.75" customHeight="1">
      <c r="C78" s="784"/>
      <c r="D78" s="784"/>
      <c r="E78" s="784"/>
      <c r="F78" s="784"/>
      <c r="G78" s="784"/>
      <c r="H78" s="784"/>
      <c r="I78" s="784"/>
      <c r="J78" s="784"/>
      <c r="K78" s="784"/>
      <c r="L78" s="784"/>
      <c r="M78" s="784"/>
      <c r="N78" s="784"/>
      <c r="O78" s="784"/>
      <c r="P78" s="784"/>
      <c r="Q78" s="784"/>
      <c r="R78" s="784"/>
      <c r="S78" s="784"/>
      <c r="T78" s="784"/>
      <c r="U78" s="784"/>
      <c r="V78" s="784"/>
      <c r="W78" s="784"/>
      <c r="X78" s="784"/>
      <c r="Y78" s="784"/>
      <c r="Z78" s="784"/>
      <c r="AA78" s="784"/>
      <c r="AB78" s="784"/>
    </row>
    <row r="79" spans="3:28" ht="18.75" customHeight="1">
      <c r="C79" s="784"/>
      <c r="D79" s="784"/>
      <c r="E79" s="784"/>
      <c r="F79" s="784"/>
      <c r="G79" s="784"/>
      <c r="H79" s="784"/>
      <c r="I79" s="784"/>
      <c r="J79" s="784"/>
      <c r="K79" s="784"/>
      <c r="L79" s="784"/>
      <c r="M79" s="784"/>
      <c r="N79" s="784"/>
      <c r="O79" s="784"/>
      <c r="P79" s="784"/>
      <c r="Q79" s="784"/>
      <c r="R79" s="784"/>
      <c r="S79" s="784"/>
      <c r="T79" s="784"/>
      <c r="U79" s="784"/>
      <c r="V79" s="784"/>
      <c r="W79" s="784"/>
      <c r="X79" s="784"/>
      <c r="Y79" s="784"/>
      <c r="Z79" s="784"/>
      <c r="AA79" s="784"/>
      <c r="AB79" s="784"/>
    </row>
    <row r="80" spans="3:28" ht="18.75" customHeight="1">
      <c r="C80" s="784"/>
      <c r="D80" s="784"/>
      <c r="E80" s="784"/>
      <c r="F80" s="784"/>
      <c r="G80" s="784"/>
      <c r="H80" s="784"/>
      <c r="I80" s="784"/>
      <c r="J80" s="784"/>
      <c r="K80" s="784"/>
      <c r="L80" s="784"/>
      <c r="M80" s="784"/>
      <c r="N80" s="784"/>
      <c r="O80" s="784"/>
      <c r="P80" s="784"/>
      <c r="Q80" s="784"/>
      <c r="R80" s="784"/>
      <c r="S80" s="784"/>
      <c r="T80" s="784"/>
      <c r="U80" s="784"/>
      <c r="V80" s="784"/>
      <c r="W80" s="784"/>
      <c r="X80" s="784"/>
      <c r="Y80" s="784"/>
      <c r="Z80" s="784"/>
      <c r="AA80" s="784"/>
      <c r="AB80" s="784"/>
    </row>
    <row r="81" spans="3:28" ht="18.75" customHeight="1">
      <c r="C81" s="784"/>
      <c r="D81" s="784"/>
      <c r="E81" s="784"/>
      <c r="F81" s="784"/>
      <c r="G81" s="784"/>
      <c r="H81" s="784"/>
      <c r="I81" s="784"/>
      <c r="J81" s="784"/>
      <c r="K81" s="784"/>
      <c r="L81" s="784"/>
      <c r="M81" s="784"/>
      <c r="N81" s="784"/>
      <c r="O81" s="784"/>
      <c r="P81" s="784"/>
      <c r="Q81" s="784"/>
      <c r="R81" s="784"/>
      <c r="S81" s="784"/>
      <c r="T81" s="784"/>
      <c r="U81" s="784"/>
      <c r="V81" s="784"/>
      <c r="W81" s="784"/>
      <c r="X81" s="784"/>
      <c r="Y81" s="784"/>
      <c r="Z81" s="784"/>
      <c r="AA81" s="784"/>
      <c r="AB81" s="784"/>
    </row>
    <row r="82" spans="3:28" ht="18.75" customHeight="1">
      <c r="C82" s="784"/>
      <c r="D82" s="784"/>
      <c r="E82" s="784"/>
      <c r="F82" s="784"/>
      <c r="G82" s="784"/>
      <c r="H82" s="784"/>
      <c r="I82" s="784"/>
      <c r="J82" s="784"/>
      <c r="K82" s="784"/>
      <c r="L82" s="784"/>
      <c r="M82" s="784"/>
      <c r="N82" s="784"/>
      <c r="O82" s="784"/>
      <c r="P82" s="784"/>
      <c r="Q82" s="784"/>
      <c r="R82" s="784"/>
      <c r="S82" s="784"/>
      <c r="T82" s="784"/>
      <c r="U82" s="784"/>
      <c r="V82" s="784"/>
      <c r="W82" s="784"/>
      <c r="X82" s="784"/>
      <c r="Y82" s="784"/>
      <c r="Z82" s="784"/>
      <c r="AA82" s="784"/>
      <c r="AB82" s="784"/>
    </row>
    <row r="83" spans="3:28" ht="18.75" customHeight="1">
      <c r="C83" s="784"/>
      <c r="D83" s="784"/>
      <c r="E83" s="784"/>
      <c r="F83" s="784"/>
      <c r="G83" s="784"/>
      <c r="H83" s="784"/>
      <c r="I83" s="784"/>
      <c r="J83" s="784"/>
      <c r="K83" s="784"/>
      <c r="L83" s="784"/>
      <c r="M83" s="784"/>
      <c r="N83" s="784"/>
      <c r="O83" s="784"/>
      <c r="P83" s="784"/>
      <c r="Q83" s="784"/>
      <c r="R83" s="784"/>
      <c r="S83" s="784"/>
      <c r="T83" s="784"/>
      <c r="U83" s="784"/>
      <c r="V83" s="784"/>
      <c r="W83" s="784"/>
      <c r="X83" s="784"/>
      <c r="Y83" s="784"/>
      <c r="Z83" s="784"/>
      <c r="AA83" s="784"/>
      <c r="AB83" s="784"/>
    </row>
    <row r="84" spans="3:28" ht="18.75" customHeight="1">
      <c r="C84" s="784"/>
      <c r="D84" s="784"/>
      <c r="E84" s="784"/>
      <c r="F84" s="784"/>
      <c r="G84" s="784"/>
      <c r="H84" s="784"/>
      <c r="I84" s="784"/>
      <c r="J84" s="784"/>
      <c r="K84" s="784"/>
      <c r="L84" s="784"/>
      <c r="M84" s="784"/>
      <c r="N84" s="784"/>
      <c r="O84" s="784"/>
      <c r="P84" s="784"/>
      <c r="Q84" s="784"/>
      <c r="R84" s="784"/>
      <c r="S84" s="784"/>
      <c r="T84" s="784"/>
      <c r="U84" s="784"/>
      <c r="V84" s="784"/>
      <c r="W84" s="784"/>
      <c r="X84" s="784"/>
      <c r="Y84" s="784"/>
      <c r="Z84" s="784"/>
      <c r="AA84" s="784"/>
      <c r="AB84" s="784"/>
    </row>
    <row r="85" spans="3:28" ht="18.75" customHeight="1">
      <c r="C85" s="784"/>
      <c r="D85" s="784"/>
      <c r="E85" s="784"/>
      <c r="F85" s="784"/>
      <c r="G85" s="784"/>
      <c r="H85" s="784"/>
      <c r="I85" s="784"/>
      <c r="J85" s="784"/>
      <c r="K85" s="784"/>
      <c r="L85" s="784"/>
      <c r="M85" s="784"/>
      <c r="N85" s="784"/>
      <c r="O85" s="784"/>
      <c r="P85" s="784"/>
      <c r="Q85" s="784"/>
      <c r="R85" s="784"/>
      <c r="S85" s="784"/>
      <c r="T85" s="784"/>
      <c r="U85" s="784"/>
      <c r="V85" s="784"/>
      <c r="W85" s="784"/>
      <c r="X85" s="784"/>
      <c r="Y85" s="784"/>
      <c r="Z85" s="784"/>
      <c r="AA85" s="784"/>
      <c r="AB85" s="784"/>
    </row>
    <row r="86" spans="3:28" ht="18.75" customHeight="1">
      <c r="C86" s="784"/>
      <c r="D86" s="784"/>
      <c r="E86" s="784"/>
      <c r="F86" s="784"/>
      <c r="G86" s="784"/>
      <c r="H86" s="784"/>
      <c r="I86" s="784"/>
      <c r="J86" s="784"/>
      <c r="K86" s="784"/>
      <c r="L86" s="784"/>
      <c r="M86" s="784"/>
      <c r="N86" s="784"/>
      <c r="O86" s="784"/>
      <c r="P86" s="784"/>
      <c r="Q86" s="784"/>
      <c r="R86" s="784"/>
      <c r="S86" s="784"/>
      <c r="T86" s="784"/>
      <c r="U86" s="784"/>
      <c r="V86" s="784"/>
      <c r="W86" s="784"/>
      <c r="X86" s="784"/>
      <c r="Y86" s="784"/>
      <c r="Z86" s="784"/>
      <c r="AA86" s="784"/>
      <c r="AB86" s="784"/>
    </row>
    <row r="87" spans="3:28" ht="18.75" customHeight="1">
      <c r="C87" s="784"/>
      <c r="D87" s="784"/>
      <c r="E87" s="784"/>
      <c r="F87" s="784"/>
      <c r="G87" s="784"/>
      <c r="H87" s="784"/>
      <c r="I87" s="784"/>
      <c r="J87" s="784"/>
      <c r="K87" s="784"/>
      <c r="L87" s="784"/>
      <c r="M87" s="784"/>
      <c r="N87" s="784"/>
      <c r="O87" s="784"/>
      <c r="P87" s="784"/>
      <c r="Q87" s="784"/>
      <c r="R87" s="784"/>
      <c r="S87" s="784"/>
      <c r="T87" s="784"/>
      <c r="U87" s="784"/>
      <c r="V87" s="784"/>
      <c r="W87" s="784"/>
      <c r="X87" s="784"/>
      <c r="Y87" s="784"/>
      <c r="Z87" s="784"/>
      <c r="AA87" s="784"/>
      <c r="AB87" s="784"/>
    </row>
    <row r="88" spans="3:28" ht="18.75" customHeight="1">
      <c r="C88" s="784"/>
      <c r="D88" s="784"/>
      <c r="E88" s="784"/>
      <c r="F88" s="784"/>
      <c r="G88" s="784"/>
      <c r="H88" s="784"/>
      <c r="I88" s="784"/>
      <c r="J88" s="784"/>
      <c r="K88" s="784"/>
      <c r="L88" s="784"/>
      <c r="M88" s="784"/>
      <c r="N88" s="784"/>
      <c r="O88" s="784"/>
      <c r="P88" s="784"/>
      <c r="Q88" s="784"/>
      <c r="R88" s="784"/>
      <c r="S88" s="784"/>
      <c r="T88" s="784"/>
      <c r="U88" s="784"/>
      <c r="V88" s="784"/>
      <c r="W88" s="784"/>
      <c r="X88" s="784"/>
      <c r="Y88" s="784"/>
      <c r="Z88" s="784"/>
      <c r="AA88" s="784"/>
      <c r="AB88" s="784"/>
    </row>
    <row r="89" spans="3:28" ht="18.75" customHeight="1">
      <c r="C89" s="784"/>
      <c r="D89" s="784"/>
      <c r="E89" s="784"/>
      <c r="F89" s="784"/>
      <c r="G89" s="784"/>
      <c r="H89" s="784"/>
      <c r="I89" s="784"/>
      <c r="J89" s="784"/>
      <c r="K89" s="784"/>
      <c r="L89" s="784"/>
      <c r="M89" s="784"/>
      <c r="N89" s="784"/>
      <c r="O89" s="784"/>
      <c r="P89" s="784"/>
      <c r="Q89" s="784"/>
      <c r="R89" s="784"/>
      <c r="S89" s="784"/>
      <c r="T89" s="784"/>
      <c r="U89" s="784"/>
      <c r="V89" s="784"/>
      <c r="W89" s="784"/>
      <c r="X89" s="784"/>
      <c r="Y89" s="784"/>
      <c r="Z89" s="784"/>
      <c r="AA89" s="784"/>
      <c r="AB89" s="784"/>
    </row>
    <row r="90" spans="3:28" ht="18.75" customHeight="1">
      <c r="C90" s="784"/>
      <c r="D90" s="784"/>
      <c r="E90" s="784"/>
      <c r="F90" s="784"/>
      <c r="G90" s="784"/>
      <c r="H90" s="784"/>
      <c r="I90" s="784"/>
      <c r="J90" s="784"/>
      <c r="K90" s="784"/>
      <c r="L90" s="784"/>
      <c r="M90" s="784"/>
      <c r="N90" s="784"/>
      <c r="O90" s="784"/>
      <c r="P90" s="784"/>
      <c r="Q90" s="784"/>
      <c r="R90" s="784"/>
      <c r="S90" s="784"/>
      <c r="T90" s="784"/>
      <c r="U90" s="784"/>
      <c r="V90" s="784"/>
      <c r="W90" s="784"/>
      <c r="X90" s="784"/>
      <c r="Y90" s="784"/>
      <c r="Z90" s="784"/>
      <c r="AA90" s="784"/>
      <c r="AB90" s="784"/>
    </row>
    <row r="91" spans="3:28" ht="18.75" customHeight="1"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</row>
    <row r="92" spans="3:28" ht="18.75" customHeight="1">
      <c r="C92" s="784"/>
      <c r="D92" s="784"/>
      <c r="E92" s="784"/>
      <c r="F92" s="784"/>
      <c r="G92" s="784"/>
      <c r="H92" s="784"/>
      <c r="I92" s="784"/>
      <c r="J92" s="784"/>
      <c r="K92" s="784"/>
      <c r="L92" s="784"/>
      <c r="M92" s="784"/>
      <c r="N92" s="784"/>
      <c r="O92" s="784"/>
      <c r="P92" s="784"/>
      <c r="Q92" s="784"/>
      <c r="R92" s="784"/>
      <c r="S92" s="784"/>
      <c r="T92" s="784"/>
      <c r="U92" s="784"/>
      <c r="V92" s="784"/>
      <c r="W92" s="784"/>
      <c r="X92" s="784"/>
      <c r="Y92" s="784"/>
      <c r="Z92" s="784"/>
      <c r="AA92" s="784"/>
      <c r="AB92" s="784"/>
    </row>
    <row r="93" spans="3:28" ht="18.75" customHeight="1"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</row>
    <row r="94" spans="3:28" ht="18.75" customHeight="1">
      <c r="C94" s="784"/>
      <c r="D94" s="784"/>
      <c r="E94" s="784"/>
      <c r="F94" s="784"/>
      <c r="G94" s="784"/>
      <c r="H94" s="784"/>
      <c r="I94" s="784"/>
      <c r="J94" s="784"/>
      <c r="K94" s="784"/>
      <c r="L94" s="784"/>
      <c r="M94" s="784"/>
      <c r="N94" s="784"/>
      <c r="O94" s="784"/>
      <c r="P94" s="784"/>
      <c r="Q94" s="784"/>
      <c r="R94" s="784"/>
      <c r="S94" s="784"/>
      <c r="T94" s="784"/>
      <c r="U94" s="784"/>
      <c r="V94" s="784"/>
      <c r="W94" s="784"/>
      <c r="X94" s="784"/>
      <c r="Y94" s="784"/>
      <c r="Z94" s="784"/>
      <c r="AA94" s="784"/>
      <c r="AB94" s="784"/>
    </row>
    <row r="95" spans="3:28" ht="18.75" customHeight="1">
      <c r="C95" s="784"/>
      <c r="D95" s="784"/>
      <c r="E95" s="784"/>
      <c r="F95" s="784"/>
      <c r="G95" s="784"/>
      <c r="H95" s="784"/>
      <c r="I95" s="784"/>
      <c r="J95" s="784"/>
      <c r="K95" s="784"/>
      <c r="L95" s="784"/>
      <c r="M95" s="784"/>
      <c r="N95" s="784"/>
      <c r="O95" s="784"/>
      <c r="P95" s="784"/>
      <c r="Q95" s="784"/>
      <c r="R95" s="784"/>
      <c r="S95" s="784"/>
      <c r="T95" s="784"/>
      <c r="U95" s="784"/>
      <c r="V95" s="784"/>
      <c r="W95" s="784"/>
      <c r="X95" s="784"/>
      <c r="Y95" s="784"/>
      <c r="Z95" s="784"/>
      <c r="AA95" s="784"/>
      <c r="AB95" s="784"/>
    </row>
    <row r="96" spans="3:28" ht="18.75" customHeight="1">
      <c r="C96" s="784"/>
      <c r="D96" s="784"/>
      <c r="E96" s="784"/>
      <c r="F96" s="784"/>
      <c r="G96" s="784"/>
      <c r="H96" s="784"/>
      <c r="I96" s="784"/>
      <c r="J96" s="784"/>
      <c r="K96" s="784"/>
      <c r="L96" s="784"/>
      <c r="M96" s="784"/>
      <c r="N96" s="784"/>
      <c r="O96" s="784"/>
      <c r="P96" s="784"/>
      <c r="Q96" s="784"/>
      <c r="R96" s="784"/>
      <c r="S96" s="784"/>
      <c r="T96" s="784"/>
      <c r="U96" s="784"/>
      <c r="V96" s="784"/>
      <c r="W96" s="784"/>
      <c r="X96" s="784"/>
      <c r="Y96" s="784"/>
      <c r="Z96" s="784"/>
      <c r="AA96" s="784"/>
      <c r="AB96" s="784"/>
    </row>
    <row r="97" spans="3:28" ht="18.75" customHeight="1">
      <c r="C97" s="784"/>
      <c r="D97" s="784"/>
      <c r="E97" s="784"/>
      <c r="F97" s="784"/>
      <c r="G97" s="784"/>
      <c r="H97" s="784"/>
      <c r="I97" s="784"/>
      <c r="J97" s="784"/>
      <c r="K97" s="784"/>
      <c r="L97" s="784"/>
      <c r="M97" s="784"/>
      <c r="N97" s="784"/>
      <c r="O97" s="784"/>
      <c r="P97" s="784"/>
      <c r="Q97" s="784"/>
      <c r="R97" s="784"/>
      <c r="S97" s="784"/>
      <c r="T97" s="784"/>
      <c r="U97" s="784"/>
      <c r="V97" s="784"/>
      <c r="W97" s="784"/>
      <c r="X97" s="784"/>
      <c r="Y97" s="784"/>
      <c r="Z97" s="784"/>
      <c r="AA97" s="784"/>
      <c r="AB97" s="784"/>
    </row>
    <row r="98" spans="3:28" ht="18.75" customHeight="1">
      <c r="C98" s="784"/>
      <c r="D98" s="784"/>
      <c r="E98" s="784"/>
      <c r="F98" s="784"/>
      <c r="G98" s="784"/>
      <c r="H98" s="784"/>
      <c r="I98" s="784"/>
      <c r="J98" s="784"/>
      <c r="K98" s="784"/>
      <c r="L98" s="784"/>
      <c r="M98" s="784"/>
      <c r="N98" s="784"/>
      <c r="O98" s="784"/>
      <c r="P98" s="784"/>
      <c r="Q98" s="784"/>
      <c r="R98" s="784"/>
      <c r="S98" s="784"/>
      <c r="T98" s="784"/>
      <c r="U98" s="784"/>
      <c r="V98" s="784"/>
      <c r="W98" s="784"/>
      <c r="X98" s="784"/>
      <c r="Y98" s="784"/>
      <c r="Z98" s="784"/>
      <c r="AA98" s="784"/>
      <c r="AB98" s="784"/>
    </row>
    <row r="99" spans="3:28" ht="18.75" customHeight="1">
      <c r="C99" s="784"/>
      <c r="D99" s="784"/>
      <c r="E99" s="784"/>
      <c r="F99" s="784"/>
      <c r="G99" s="784"/>
      <c r="H99" s="784"/>
      <c r="I99" s="784"/>
      <c r="J99" s="784"/>
      <c r="K99" s="784"/>
      <c r="L99" s="784"/>
      <c r="M99" s="784"/>
      <c r="N99" s="784"/>
      <c r="O99" s="784"/>
      <c r="P99" s="784"/>
      <c r="Q99" s="784"/>
      <c r="R99" s="784"/>
      <c r="S99" s="784"/>
      <c r="T99" s="784"/>
      <c r="U99" s="784"/>
      <c r="V99" s="784"/>
      <c r="W99" s="784"/>
      <c r="X99" s="784"/>
      <c r="Y99" s="784"/>
      <c r="Z99" s="784"/>
      <c r="AA99" s="784"/>
      <c r="AB99" s="784"/>
    </row>
    <row r="100" spans="3:28" ht="18.75" customHeight="1">
      <c r="C100" s="784"/>
      <c r="D100" s="784"/>
      <c r="E100" s="784"/>
      <c r="F100" s="784"/>
      <c r="G100" s="784"/>
      <c r="H100" s="784"/>
      <c r="I100" s="784"/>
      <c r="J100" s="784"/>
      <c r="K100" s="784"/>
      <c r="L100" s="784"/>
      <c r="M100" s="784"/>
      <c r="N100" s="784"/>
      <c r="O100" s="784"/>
      <c r="P100" s="784"/>
      <c r="Q100" s="784"/>
      <c r="R100" s="784"/>
      <c r="S100" s="784"/>
      <c r="T100" s="784"/>
      <c r="U100" s="784"/>
      <c r="V100" s="784"/>
      <c r="W100" s="784"/>
      <c r="X100" s="784"/>
      <c r="Y100" s="784"/>
      <c r="Z100" s="784"/>
      <c r="AA100" s="784"/>
      <c r="AB100" s="784"/>
    </row>
    <row r="101" spans="3:28" ht="18.75" customHeight="1">
      <c r="C101" s="784"/>
      <c r="D101" s="784"/>
      <c r="E101" s="784"/>
      <c r="F101" s="784"/>
      <c r="G101" s="784"/>
      <c r="H101" s="784"/>
      <c r="I101" s="784"/>
      <c r="J101" s="784"/>
      <c r="K101" s="784"/>
      <c r="L101" s="784"/>
      <c r="M101" s="784"/>
      <c r="N101" s="784"/>
      <c r="O101" s="784"/>
      <c r="P101" s="784"/>
      <c r="Q101" s="784"/>
      <c r="R101" s="784"/>
      <c r="S101" s="784"/>
      <c r="T101" s="784"/>
      <c r="U101" s="784"/>
      <c r="V101" s="784"/>
      <c r="W101" s="784"/>
      <c r="X101" s="784"/>
      <c r="Y101" s="784"/>
      <c r="Z101" s="784"/>
      <c r="AA101" s="784"/>
      <c r="AB101" s="784"/>
    </row>
    <row r="102" spans="3:28" ht="18.75" customHeight="1">
      <c r="C102" s="784"/>
      <c r="D102" s="784"/>
      <c r="E102" s="784"/>
      <c r="F102" s="784"/>
      <c r="G102" s="784"/>
      <c r="H102" s="784"/>
      <c r="I102" s="784"/>
      <c r="J102" s="784"/>
      <c r="K102" s="784"/>
      <c r="L102" s="784"/>
      <c r="M102" s="784"/>
      <c r="N102" s="784"/>
      <c r="O102" s="784"/>
      <c r="P102" s="784"/>
      <c r="Q102" s="784"/>
      <c r="R102" s="784"/>
      <c r="S102" s="784"/>
      <c r="T102" s="784"/>
      <c r="U102" s="784"/>
      <c r="V102" s="784"/>
      <c r="W102" s="784"/>
      <c r="X102" s="784"/>
      <c r="Y102" s="784"/>
      <c r="Z102" s="784"/>
      <c r="AA102" s="784"/>
      <c r="AB102" s="784"/>
    </row>
    <row r="103" spans="3:28" ht="18.75" customHeight="1">
      <c r="C103" s="784"/>
      <c r="D103" s="784"/>
      <c r="E103" s="784"/>
      <c r="F103" s="784"/>
      <c r="G103" s="784"/>
      <c r="H103" s="784"/>
      <c r="I103" s="784"/>
      <c r="J103" s="784"/>
      <c r="K103" s="784"/>
      <c r="L103" s="784"/>
      <c r="M103" s="784"/>
      <c r="N103" s="784"/>
      <c r="O103" s="784"/>
      <c r="P103" s="784"/>
      <c r="Q103" s="784"/>
      <c r="R103" s="784"/>
      <c r="S103" s="784"/>
      <c r="T103" s="784"/>
      <c r="U103" s="784"/>
      <c r="V103" s="784"/>
      <c r="W103" s="784"/>
      <c r="X103" s="784"/>
      <c r="Y103" s="784"/>
      <c r="Z103" s="784"/>
      <c r="AA103" s="784"/>
      <c r="AB103" s="784"/>
    </row>
    <row r="104" spans="3:28" ht="18.75" customHeight="1">
      <c r="C104" s="784"/>
      <c r="D104" s="784"/>
      <c r="E104" s="784"/>
      <c r="F104" s="784"/>
      <c r="G104" s="784"/>
      <c r="H104" s="784"/>
      <c r="I104" s="784"/>
      <c r="J104" s="784"/>
      <c r="K104" s="784"/>
      <c r="L104" s="784"/>
      <c r="M104" s="784"/>
      <c r="N104" s="784"/>
      <c r="O104" s="784"/>
      <c r="P104" s="784"/>
      <c r="Q104" s="784"/>
      <c r="R104" s="784"/>
      <c r="S104" s="784"/>
      <c r="T104" s="784"/>
      <c r="U104" s="784"/>
      <c r="V104" s="784"/>
      <c r="W104" s="784"/>
      <c r="X104" s="784"/>
      <c r="Y104" s="784"/>
      <c r="Z104" s="784"/>
      <c r="AA104" s="784"/>
      <c r="AB104" s="784"/>
    </row>
    <row r="105" spans="3:28" ht="18.75" customHeight="1">
      <c r="C105" s="784"/>
      <c r="D105" s="784"/>
      <c r="E105" s="784"/>
      <c r="F105" s="784"/>
      <c r="G105" s="784"/>
      <c r="H105" s="784"/>
      <c r="I105" s="784"/>
      <c r="J105" s="784"/>
      <c r="K105" s="784"/>
      <c r="L105" s="784"/>
      <c r="M105" s="784"/>
      <c r="N105" s="784"/>
      <c r="O105" s="784"/>
      <c r="P105" s="784"/>
      <c r="Q105" s="784"/>
      <c r="R105" s="784"/>
      <c r="S105" s="784"/>
      <c r="T105" s="784"/>
      <c r="U105" s="784"/>
      <c r="V105" s="784"/>
      <c r="W105" s="784"/>
      <c r="X105" s="784"/>
      <c r="Y105" s="784"/>
      <c r="Z105" s="784"/>
      <c r="AA105" s="784"/>
      <c r="AB105" s="784"/>
    </row>
    <row r="106" spans="3:28" ht="18.75" customHeight="1">
      <c r="C106" s="784"/>
      <c r="D106" s="784"/>
      <c r="E106" s="784"/>
      <c r="F106" s="784"/>
      <c r="G106" s="784"/>
      <c r="H106" s="784"/>
      <c r="I106" s="784"/>
      <c r="J106" s="784"/>
      <c r="K106" s="784"/>
      <c r="L106" s="784"/>
      <c r="M106" s="784"/>
      <c r="N106" s="784"/>
      <c r="O106" s="784"/>
      <c r="P106" s="784"/>
      <c r="Q106" s="784"/>
      <c r="R106" s="784"/>
      <c r="S106" s="784"/>
      <c r="T106" s="784"/>
      <c r="U106" s="784"/>
      <c r="V106" s="784"/>
      <c r="W106" s="784"/>
      <c r="X106" s="784"/>
      <c r="Y106" s="784"/>
      <c r="Z106" s="784"/>
      <c r="AA106" s="784"/>
      <c r="AB106" s="784"/>
    </row>
    <row r="107" spans="3:28" ht="18.75" customHeight="1">
      <c r="C107" s="784"/>
      <c r="D107" s="784"/>
      <c r="E107" s="784"/>
      <c r="F107" s="784"/>
      <c r="G107" s="784"/>
      <c r="H107" s="784"/>
      <c r="I107" s="784"/>
      <c r="J107" s="784"/>
      <c r="K107" s="784"/>
      <c r="L107" s="784"/>
      <c r="M107" s="784"/>
      <c r="N107" s="784"/>
      <c r="O107" s="784"/>
      <c r="P107" s="784"/>
      <c r="Q107" s="784"/>
      <c r="R107" s="784"/>
      <c r="S107" s="784"/>
      <c r="T107" s="784"/>
      <c r="U107" s="784"/>
      <c r="V107" s="784"/>
      <c r="W107" s="784"/>
      <c r="X107" s="784"/>
      <c r="Y107" s="784"/>
      <c r="Z107" s="784"/>
      <c r="AA107" s="784"/>
      <c r="AB107" s="784"/>
    </row>
    <row r="108" spans="3:28" ht="18.75" customHeight="1">
      <c r="C108" s="784"/>
      <c r="D108" s="784"/>
      <c r="E108" s="784"/>
      <c r="F108" s="784"/>
      <c r="G108" s="784"/>
      <c r="H108" s="784"/>
      <c r="I108" s="784"/>
      <c r="J108" s="784"/>
      <c r="K108" s="784"/>
      <c r="L108" s="784"/>
      <c r="M108" s="784"/>
      <c r="N108" s="784"/>
      <c r="O108" s="784"/>
      <c r="P108" s="784"/>
      <c r="Q108" s="784"/>
      <c r="R108" s="784"/>
      <c r="S108" s="784"/>
      <c r="T108" s="784"/>
      <c r="U108" s="784"/>
      <c r="V108" s="784"/>
      <c r="W108" s="784"/>
      <c r="X108" s="784"/>
      <c r="Y108" s="784"/>
      <c r="Z108" s="784"/>
      <c r="AA108" s="784"/>
      <c r="AB108" s="784"/>
    </row>
    <row r="109" spans="3:28" ht="18.75" customHeight="1">
      <c r="C109" s="784"/>
      <c r="D109" s="784"/>
      <c r="E109" s="784"/>
      <c r="F109" s="784"/>
      <c r="G109" s="784"/>
      <c r="H109" s="784"/>
      <c r="I109" s="784"/>
      <c r="J109" s="784"/>
      <c r="K109" s="784"/>
      <c r="L109" s="784"/>
      <c r="M109" s="784"/>
      <c r="N109" s="784"/>
      <c r="O109" s="784"/>
      <c r="P109" s="784"/>
      <c r="Q109" s="784"/>
      <c r="R109" s="784"/>
      <c r="S109" s="784"/>
      <c r="T109" s="784"/>
      <c r="U109" s="784"/>
      <c r="V109" s="784"/>
      <c r="W109" s="784"/>
      <c r="X109" s="784"/>
      <c r="Y109" s="784"/>
      <c r="Z109" s="784"/>
      <c r="AA109" s="784"/>
      <c r="AB109" s="784"/>
    </row>
    <row r="110" spans="3:28" ht="18.75" customHeight="1">
      <c r="C110" s="784"/>
      <c r="D110" s="784"/>
      <c r="E110" s="784"/>
      <c r="F110" s="784"/>
      <c r="G110" s="784"/>
      <c r="H110" s="784"/>
      <c r="I110" s="784"/>
      <c r="J110" s="784"/>
      <c r="K110" s="784"/>
      <c r="L110" s="784"/>
      <c r="M110" s="784"/>
      <c r="N110" s="784"/>
      <c r="O110" s="784"/>
      <c r="P110" s="784"/>
      <c r="Q110" s="784"/>
      <c r="R110" s="784"/>
      <c r="S110" s="784"/>
      <c r="T110" s="784"/>
      <c r="U110" s="784"/>
      <c r="V110" s="784"/>
      <c r="W110" s="784"/>
      <c r="X110" s="784"/>
      <c r="Y110" s="784"/>
      <c r="Z110" s="784"/>
      <c r="AA110" s="784"/>
      <c r="AB110" s="784"/>
    </row>
    <row r="111" spans="3:28" ht="18.75" customHeight="1">
      <c r="C111" s="784"/>
      <c r="D111" s="784"/>
      <c r="E111" s="784"/>
      <c r="F111" s="784"/>
      <c r="G111" s="784"/>
      <c r="H111" s="784"/>
      <c r="I111" s="784"/>
      <c r="J111" s="784"/>
      <c r="K111" s="784"/>
      <c r="L111" s="784"/>
      <c r="M111" s="784"/>
      <c r="N111" s="784"/>
      <c r="O111" s="784"/>
      <c r="P111" s="784"/>
      <c r="Q111" s="784"/>
      <c r="R111" s="784"/>
      <c r="S111" s="784"/>
      <c r="T111" s="784"/>
      <c r="U111" s="784"/>
      <c r="V111" s="784"/>
      <c r="W111" s="784"/>
      <c r="X111" s="784"/>
      <c r="Y111" s="784"/>
      <c r="Z111" s="784"/>
      <c r="AA111" s="784"/>
      <c r="AB111" s="784"/>
    </row>
    <row r="112" spans="3:28" ht="18.75" customHeight="1">
      <c r="C112" s="784"/>
      <c r="D112" s="784"/>
      <c r="E112" s="784"/>
      <c r="F112" s="784"/>
      <c r="G112" s="784"/>
      <c r="H112" s="784"/>
      <c r="I112" s="784"/>
      <c r="J112" s="784"/>
      <c r="K112" s="784"/>
      <c r="L112" s="784"/>
      <c r="M112" s="784"/>
      <c r="N112" s="784"/>
      <c r="O112" s="784"/>
      <c r="P112" s="784"/>
      <c r="Q112" s="784"/>
      <c r="R112" s="784"/>
      <c r="S112" s="784"/>
      <c r="T112" s="784"/>
      <c r="U112" s="784"/>
      <c r="V112" s="784"/>
      <c r="W112" s="784"/>
      <c r="X112" s="784"/>
      <c r="Y112" s="784"/>
      <c r="Z112" s="784"/>
      <c r="AA112" s="784"/>
      <c r="AB112" s="784"/>
    </row>
    <row r="113" spans="3:28" ht="18.75" customHeight="1">
      <c r="C113" s="784"/>
      <c r="D113" s="784"/>
      <c r="E113" s="784"/>
      <c r="F113" s="784"/>
      <c r="G113" s="784"/>
      <c r="H113" s="784"/>
      <c r="I113" s="784"/>
      <c r="J113" s="784"/>
      <c r="K113" s="784"/>
      <c r="L113" s="784"/>
      <c r="M113" s="784"/>
      <c r="N113" s="784"/>
      <c r="O113" s="784"/>
      <c r="P113" s="784"/>
      <c r="Q113" s="784"/>
      <c r="R113" s="784"/>
      <c r="S113" s="784"/>
      <c r="T113" s="784"/>
      <c r="U113" s="784"/>
      <c r="V113" s="784"/>
      <c r="W113" s="784"/>
      <c r="X113" s="784"/>
      <c r="Y113" s="784"/>
      <c r="Z113" s="784"/>
      <c r="AA113" s="784"/>
      <c r="AB113" s="784"/>
    </row>
    <row r="114" spans="3:28" ht="18.75" customHeight="1">
      <c r="C114" s="784"/>
      <c r="D114" s="784"/>
      <c r="E114" s="784"/>
      <c r="F114" s="784"/>
      <c r="G114" s="784"/>
      <c r="H114" s="784"/>
      <c r="I114" s="784"/>
      <c r="J114" s="784"/>
      <c r="K114" s="784"/>
      <c r="L114" s="784"/>
      <c r="M114" s="784"/>
      <c r="N114" s="784"/>
      <c r="O114" s="784"/>
      <c r="P114" s="784"/>
      <c r="Q114" s="784"/>
      <c r="R114" s="784"/>
      <c r="S114" s="784"/>
      <c r="T114" s="784"/>
      <c r="U114" s="784"/>
      <c r="V114" s="784"/>
      <c r="W114" s="784"/>
      <c r="X114" s="784"/>
      <c r="Y114" s="784"/>
      <c r="Z114" s="784"/>
      <c r="AA114" s="784"/>
      <c r="AB114" s="784"/>
    </row>
    <row r="115" spans="3:28" ht="18.75" customHeight="1">
      <c r="C115" s="784"/>
      <c r="D115" s="784"/>
      <c r="E115" s="784"/>
      <c r="F115" s="784"/>
      <c r="G115" s="784"/>
      <c r="H115" s="784"/>
      <c r="I115" s="784"/>
      <c r="J115" s="784"/>
      <c r="K115" s="784"/>
      <c r="L115" s="784"/>
      <c r="M115" s="784"/>
      <c r="N115" s="784"/>
      <c r="O115" s="784"/>
      <c r="P115" s="784"/>
      <c r="Q115" s="784"/>
      <c r="R115" s="784"/>
      <c r="S115" s="784"/>
      <c r="T115" s="784"/>
      <c r="U115" s="784"/>
      <c r="V115" s="784"/>
      <c r="W115" s="784"/>
      <c r="X115" s="784"/>
      <c r="Y115" s="784"/>
      <c r="Z115" s="784"/>
      <c r="AA115" s="784"/>
      <c r="AB115" s="784"/>
    </row>
    <row r="116" spans="3:28" ht="18.75" customHeight="1">
      <c r="C116" s="784"/>
      <c r="D116" s="784"/>
      <c r="E116" s="784"/>
      <c r="F116" s="784"/>
      <c r="G116" s="784"/>
      <c r="H116" s="784"/>
      <c r="I116" s="784"/>
      <c r="J116" s="784"/>
      <c r="K116" s="784"/>
      <c r="L116" s="784"/>
      <c r="M116" s="784"/>
      <c r="N116" s="784"/>
      <c r="O116" s="784"/>
      <c r="P116" s="784"/>
      <c r="Q116" s="784"/>
      <c r="R116" s="784"/>
      <c r="S116" s="784"/>
      <c r="T116" s="784"/>
      <c r="U116" s="784"/>
      <c r="V116" s="784"/>
      <c r="W116" s="784"/>
      <c r="X116" s="784"/>
      <c r="Y116" s="784"/>
      <c r="Z116" s="784"/>
      <c r="AA116" s="784"/>
      <c r="AB116" s="784"/>
    </row>
    <row r="117" spans="3:28" ht="18.75" customHeight="1">
      <c r="C117" s="784"/>
      <c r="D117" s="784"/>
      <c r="E117" s="784"/>
      <c r="F117" s="784"/>
      <c r="G117" s="784"/>
      <c r="H117" s="784"/>
      <c r="I117" s="784"/>
      <c r="J117" s="784"/>
      <c r="K117" s="784"/>
      <c r="L117" s="784"/>
      <c r="M117" s="784"/>
      <c r="N117" s="784"/>
      <c r="O117" s="784"/>
      <c r="P117" s="784"/>
      <c r="Q117" s="784"/>
      <c r="R117" s="784"/>
      <c r="S117" s="784"/>
      <c r="T117" s="784"/>
      <c r="U117" s="784"/>
      <c r="V117" s="784"/>
      <c r="W117" s="784"/>
      <c r="X117" s="784"/>
      <c r="Y117" s="784"/>
      <c r="Z117" s="784"/>
      <c r="AA117" s="784"/>
      <c r="AB117" s="784"/>
    </row>
    <row r="118" spans="3:28" ht="18.75" customHeight="1">
      <c r="C118" s="784"/>
      <c r="D118" s="784"/>
      <c r="E118" s="784"/>
      <c r="F118" s="784"/>
      <c r="G118" s="784"/>
      <c r="H118" s="784"/>
      <c r="I118" s="784"/>
      <c r="J118" s="784"/>
      <c r="K118" s="784"/>
      <c r="L118" s="784"/>
      <c r="M118" s="784"/>
      <c r="N118" s="784"/>
      <c r="O118" s="784"/>
      <c r="P118" s="784"/>
      <c r="Q118" s="784"/>
      <c r="R118" s="784"/>
      <c r="S118" s="784"/>
      <c r="T118" s="784"/>
      <c r="U118" s="784"/>
      <c r="V118" s="784"/>
      <c r="W118" s="784"/>
      <c r="X118" s="784"/>
      <c r="Y118" s="784"/>
      <c r="Z118" s="784"/>
      <c r="AA118" s="784"/>
      <c r="AB118" s="784"/>
    </row>
    <row r="119" spans="3:28" ht="18.75" customHeight="1">
      <c r="C119" s="784"/>
      <c r="D119" s="784"/>
      <c r="E119" s="784"/>
      <c r="F119" s="784"/>
      <c r="G119" s="784"/>
      <c r="H119" s="784"/>
      <c r="I119" s="784"/>
      <c r="J119" s="784"/>
      <c r="K119" s="784"/>
      <c r="L119" s="784"/>
      <c r="M119" s="784"/>
      <c r="N119" s="784"/>
      <c r="O119" s="784"/>
      <c r="P119" s="784"/>
      <c r="Q119" s="784"/>
      <c r="R119" s="784"/>
      <c r="S119" s="784"/>
      <c r="T119" s="784"/>
      <c r="U119" s="784"/>
      <c r="V119" s="784"/>
      <c r="W119" s="784"/>
      <c r="X119" s="784"/>
      <c r="Y119" s="784"/>
      <c r="Z119" s="784"/>
      <c r="AA119" s="784"/>
      <c r="AB119" s="784"/>
    </row>
    <row r="120" spans="3:28" ht="18.75" customHeight="1">
      <c r="C120" s="784"/>
      <c r="D120" s="784"/>
      <c r="E120" s="784"/>
      <c r="F120" s="784"/>
      <c r="G120" s="784"/>
      <c r="H120" s="784"/>
      <c r="I120" s="784"/>
      <c r="J120" s="784"/>
      <c r="K120" s="784"/>
      <c r="L120" s="784"/>
      <c r="M120" s="784"/>
      <c r="N120" s="784"/>
      <c r="O120" s="784"/>
      <c r="P120" s="784"/>
      <c r="Q120" s="784"/>
      <c r="R120" s="784"/>
      <c r="S120" s="784"/>
      <c r="T120" s="784"/>
      <c r="U120" s="784"/>
      <c r="V120" s="784"/>
      <c r="W120" s="784"/>
      <c r="X120" s="784"/>
      <c r="Y120" s="784"/>
      <c r="Z120" s="784"/>
      <c r="AA120" s="784"/>
      <c r="AB120" s="784"/>
    </row>
    <row r="121" spans="3:28" ht="18.75" customHeight="1">
      <c r="C121" s="784"/>
      <c r="D121" s="784"/>
      <c r="E121" s="784"/>
      <c r="F121" s="784"/>
      <c r="G121" s="784"/>
      <c r="H121" s="784"/>
      <c r="I121" s="784"/>
      <c r="J121" s="784"/>
      <c r="K121" s="784"/>
      <c r="L121" s="784"/>
      <c r="M121" s="784"/>
      <c r="N121" s="784"/>
      <c r="O121" s="784"/>
      <c r="P121" s="784"/>
      <c r="Q121" s="784"/>
      <c r="R121" s="784"/>
      <c r="S121" s="784"/>
      <c r="T121" s="784"/>
      <c r="U121" s="784"/>
      <c r="V121" s="784"/>
      <c r="W121" s="784"/>
      <c r="X121" s="784"/>
      <c r="Y121" s="784"/>
      <c r="Z121" s="784"/>
      <c r="AA121" s="784"/>
      <c r="AB121" s="784"/>
    </row>
    <row r="122" spans="3:28" ht="18.75" customHeight="1">
      <c r="C122" s="784"/>
      <c r="D122" s="784"/>
      <c r="E122" s="784"/>
      <c r="F122" s="784"/>
      <c r="G122" s="784"/>
      <c r="H122" s="784"/>
      <c r="I122" s="784"/>
      <c r="J122" s="784"/>
      <c r="K122" s="784"/>
      <c r="L122" s="784"/>
      <c r="M122" s="784"/>
      <c r="N122" s="784"/>
      <c r="O122" s="784"/>
      <c r="P122" s="784"/>
      <c r="Q122" s="784"/>
      <c r="R122" s="784"/>
      <c r="S122" s="784"/>
      <c r="T122" s="784"/>
      <c r="U122" s="784"/>
      <c r="V122" s="784"/>
      <c r="W122" s="784"/>
      <c r="X122" s="784"/>
      <c r="Y122" s="784"/>
      <c r="Z122" s="784"/>
      <c r="AA122" s="784"/>
      <c r="AB122" s="784"/>
    </row>
    <row r="123" spans="3:28" ht="18.75" customHeight="1">
      <c r="C123" s="784"/>
      <c r="D123" s="784"/>
      <c r="E123" s="784"/>
      <c r="F123" s="784"/>
      <c r="G123" s="784"/>
      <c r="H123" s="784"/>
      <c r="I123" s="784"/>
      <c r="J123" s="784"/>
      <c r="K123" s="784"/>
      <c r="L123" s="784"/>
      <c r="M123" s="784"/>
      <c r="N123" s="784"/>
      <c r="O123" s="784"/>
      <c r="P123" s="784"/>
      <c r="Q123" s="784"/>
      <c r="R123" s="784"/>
      <c r="S123" s="784"/>
      <c r="T123" s="784"/>
      <c r="U123" s="784"/>
      <c r="V123" s="784"/>
      <c r="W123" s="784"/>
      <c r="X123" s="784"/>
      <c r="Y123" s="784"/>
      <c r="Z123" s="784"/>
      <c r="AA123" s="784"/>
      <c r="AB123" s="784"/>
    </row>
    <row r="124" spans="3:28" ht="18.75" customHeight="1">
      <c r="C124" s="784"/>
      <c r="D124" s="784"/>
      <c r="E124" s="784"/>
      <c r="F124" s="784"/>
      <c r="G124" s="784"/>
      <c r="H124" s="784"/>
      <c r="I124" s="784"/>
      <c r="J124" s="784"/>
      <c r="K124" s="784"/>
      <c r="L124" s="784"/>
      <c r="M124" s="784"/>
      <c r="N124" s="784"/>
      <c r="O124" s="784"/>
      <c r="P124" s="784"/>
      <c r="Q124" s="784"/>
      <c r="R124" s="784"/>
      <c r="S124" s="784"/>
      <c r="T124" s="784"/>
      <c r="U124" s="784"/>
      <c r="V124" s="784"/>
      <c r="W124" s="784"/>
      <c r="X124" s="784"/>
      <c r="Y124" s="784"/>
      <c r="Z124" s="784"/>
      <c r="AA124" s="784"/>
      <c r="AB124" s="784"/>
    </row>
    <row r="125" spans="3:28" ht="18.75" customHeight="1">
      <c r="C125" s="784"/>
      <c r="D125" s="784"/>
      <c r="E125" s="784"/>
      <c r="F125" s="784"/>
      <c r="G125" s="784"/>
      <c r="H125" s="784"/>
      <c r="I125" s="784"/>
      <c r="J125" s="784"/>
      <c r="K125" s="784"/>
      <c r="L125" s="784"/>
      <c r="M125" s="784"/>
      <c r="N125" s="784"/>
      <c r="O125" s="784"/>
      <c r="P125" s="784"/>
      <c r="Q125" s="784"/>
      <c r="R125" s="784"/>
      <c r="S125" s="784"/>
      <c r="T125" s="784"/>
      <c r="U125" s="784"/>
      <c r="V125" s="784"/>
      <c r="W125" s="784"/>
      <c r="X125" s="784"/>
      <c r="Y125" s="784"/>
      <c r="Z125" s="784"/>
      <c r="AA125" s="784"/>
      <c r="AB125" s="784"/>
    </row>
    <row r="126" spans="3:28" ht="18.75" customHeight="1">
      <c r="C126" s="784"/>
      <c r="D126" s="784"/>
      <c r="E126" s="784"/>
      <c r="F126" s="784"/>
      <c r="G126" s="784"/>
      <c r="H126" s="784"/>
      <c r="I126" s="784"/>
      <c r="J126" s="784"/>
      <c r="K126" s="784"/>
      <c r="L126" s="784"/>
      <c r="M126" s="784"/>
      <c r="N126" s="784"/>
      <c r="O126" s="784"/>
      <c r="P126" s="784"/>
      <c r="Q126" s="784"/>
      <c r="R126" s="784"/>
      <c r="S126" s="784"/>
      <c r="T126" s="784"/>
      <c r="U126" s="784"/>
      <c r="V126" s="784"/>
      <c r="W126" s="784"/>
      <c r="X126" s="784"/>
      <c r="Y126" s="784"/>
      <c r="Z126" s="784"/>
      <c r="AA126" s="784"/>
      <c r="AB126" s="784"/>
    </row>
    <row r="127" spans="3:28" ht="18.75" customHeight="1">
      <c r="C127" s="784"/>
      <c r="D127" s="784"/>
      <c r="E127" s="784"/>
      <c r="F127" s="784"/>
      <c r="G127" s="784"/>
      <c r="H127" s="784"/>
      <c r="I127" s="784"/>
      <c r="J127" s="784"/>
      <c r="K127" s="784"/>
      <c r="L127" s="784"/>
      <c r="M127" s="784"/>
      <c r="N127" s="784"/>
      <c r="O127" s="784"/>
      <c r="P127" s="784"/>
      <c r="Q127" s="784"/>
      <c r="R127" s="784"/>
      <c r="S127" s="784"/>
      <c r="T127" s="784"/>
      <c r="U127" s="784"/>
      <c r="V127" s="784"/>
      <c r="W127" s="784"/>
      <c r="X127" s="784"/>
      <c r="Y127" s="784"/>
      <c r="Z127" s="784"/>
      <c r="AA127" s="784"/>
      <c r="AB127" s="784"/>
    </row>
    <row r="128" spans="3:28" ht="18.75" customHeight="1">
      <c r="C128" s="784"/>
      <c r="D128" s="784"/>
      <c r="E128" s="784"/>
      <c r="F128" s="784"/>
      <c r="G128" s="784"/>
      <c r="H128" s="784"/>
      <c r="I128" s="784"/>
      <c r="J128" s="784"/>
      <c r="K128" s="784"/>
      <c r="L128" s="784"/>
      <c r="M128" s="784"/>
      <c r="N128" s="784"/>
      <c r="O128" s="784"/>
      <c r="P128" s="784"/>
      <c r="Q128" s="784"/>
      <c r="R128" s="784"/>
      <c r="S128" s="784"/>
      <c r="T128" s="784"/>
      <c r="U128" s="784"/>
      <c r="V128" s="784"/>
      <c r="W128" s="784"/>
      <c r="X128" s="784"/>
      <c r="Y128" s="784"/>
      <c r="Z128" s="784"/>
      <c r="AA128" s="784"/>
      <c r="AB128" s="784"/>
    </row>
    <row r="129" spans="3:28" ht="18.75" customHeight="1">
      <c r="C129" s="784"/>
      <c r="D129" s="784"/>
      <c r="E129" s="784"/>
      <c r="F129" s="784"/>
      <c r="G129" s="784"/>
      <c r="H129" s="784"/>
      <c r="I129" s="784"/>
      <c r="J129" s="784"/>
      <c r="K129" s="784"/>
      <c r="L129" s="784"/>
      <c r="M129" s="784"/>
      <c r="N129" s="784"/>
      <c r="O129" s="784"/>
      <c r="P129" s="784"/>
      <c r="Q129" s="784"/>
      <c r="R129" s="784"/>
      <c r="S129" s="784"/>
      <c r="T129" s="784"/>
      <c r="U129" s="784"/>
      <c r="V129" s="784"/>
      <c r="W129" s="784"/>
      <c r="X129" s="784"/>
      <c r="Y129" s="784"/>
      <c r="Z129" s="784"/>
      <c r="AA129" s="784"/>
      <c r="AB129" s="784"/>
    </row>
    <row r="130" spans="3:28" ht="18.75" customHeight="1">
      <c r="C130" s="784"/>
      <c r="D130" s="784"/>
      <c r="E130" s="784"/>
      <c r="F130" s="784"/>
      <c r="G130" s="784"/>
      <c r="H130" s="784"/>
      <c r="I130" s="784"/>
      <c r="J130" s="784"/>
      <c r="K130" s="784"/>
      <c r="L130" s="784"/>
      <c r="M130" s="784"/>
      <c r="N130" s="784"/>
      <c r="O130" s="784"/>
      <c r="P130" s="784"/>
      <c r="Q130" s="784"/>
      <c r="R130" s="784"/>
      <c r="S130" s="784"/>
      <c r="T130" s="784"/>
      <c r="U130" s="784"/>
      <c r="V130" s="784"/>
      <c r="W130" s="784"/>
      <c r="X130" s="784"/>
      <c r="Y130" s="784"/>
      <c r="Z130" s="784"/>
      <c r="AA130" s="784"/>
      <c r="AB130" s="784"/>
    </row>
    <row r="131" spans="3:28" ht="18.75" customHeight="1">
      <c r="C131" s="784"/>
      <c r="D131" s="784"/>
      <c r="E131" s="784"/>
      <c r="F131" s="784"/>
      <c r="G131" s="784"/>
      <c r="H131" s="784"/>
      <c r="I131" s="784"/>
      <c r="J131" s="784"/>
      <c r="K131" s="784"/>
      <c r="L131" s="784"/>
      <c r="M131" s="784"/>
      <c r="N131" s="784"/>
      <c r="O131" s="784"/>
      <c r="P131" s="784"/>
      <c r="Q131" s="784"/>
      <c r="R131" s="784"/>
      <c r="S131" s="784"/>
      <c r="T131" s="784"/>
      <c r="U131" s="784"/>
      <c r="V131" s="784"/>
      <c r="W131" s="784"/>
      <c r="X131" s="784"/>
      <c r="Y131" s="784"/>
      <c r="Z131" s="784"/>
      <c r="AA131" s="784"/>
      <c r="AB131" s="784"/>
    </row>
    <row r="132" spans="3:28" ht="18.75" customHeight="1">
      <c r="C132" s="784"/>
      <c r="D132" s="784"/>
      <c r="E132" s="784"/>
      <c r="F132" s="784"/>
      <c r="G132" s="784"/>
      <c r="H132" s="784"/>
      <c r="I132" s="784"/>
      <c r="J132" s="784"/>
      <c r="K132" s="784"/>
      <c r="L132" s="784"/>
      <c r="M132" s="784"/>
      <c r="N132" s="784"/>
      <c r="O132" s="784"/>
      <c r="P132" s="784"/>
      <c r="Q132" s="784"/>
      <c r="R132" s="784"/>
      <c r="S132" s="784"/>
      <c r="T132" s="784"/>
      <c r="U132" s="784"/>
      <c r="V132" s="784"/>
      <c r="W132" s="784"/>
      <c r="X132" s="784"/>
      <c r="Y132" s="784"/>
      <c r="Z132" s="784"/>
      <c r="AA132" s="784"/>
      <c r="AB132" s="784"/>
    </row>
    <row r="133" spans="3:28" ht="18.75" customHeight="1">
      <c r="C133" s="784"/>
      <c r="D133" s="784"/>
      <c r="E133" s="784"/>
      <c r="F133" s="784"/>
      <c r="G133" s="784"/>
      <c r="H133" s="784"/>
      <c r="I133" s="784"/>
      <c r="J133" s="784"/>
      <c r="K133" s="784"/>
      <c r="L133" s="784"/>
      <c r="M133" s="784"/>
      <c r="N133" s="784"/>
      <c r="O133" s="784"/>
      <c r="P133" s="784"/>
      <c r="Q133" s="784"/>
      <c r="R133" s="784"/>
      <c r="S133" s="784"/>
      <c r="T133" s="784"/>
      <c r="U133" s="784"/>
      <c r="V133" s="784"/>
      <c r="W133" s="784"/>
      <c r="X133" s="784"/>
      <c r="Y133" s="784"/>
      <c r="Z133" s="784"/>
      <c r="AA133" s="784"/>
      <c r="AB133" s="784"/>
    </row>
    <row r="134" spans="3:28" ht="18.75" customHeight="1">
      <c r="C134" s="784"/>
      <c r="D134" s="784"/>
      <c r="E134" s="784"/>
      <c r="F134" s="784"/>
      <c r="G134" s="784"/>
      <c r="H134" s="784"/>
      <c r="I134" s="784"/>
      <c r="J134" s="784"/>
      <c r="K134" s="784"/>
      <c r="L134" s="784"/>
      <c r="M134" s="784"/>
      <c r="N134" s="784"/>
      <c r="O134" s="784"/>
      <c r="P134" s="784"/>
      <c r="Q134" s="784"/>
      <c r="R134" s="784"/>
      <c r="S134" s="784"/>
      <c r="T134" s="784"/>
      <c r="U134" s="784"/>
      <c r="V134" s="784"/>
      <c r="W134" s="784"/>
      <c r="X134" s="784"/>
      <c r="Y134" s="784"/>
      <c r="Z134" s="784"/>
      <c r="AA134" s="784"/>
      <c r="AB134" s="784"/>
    </row>
    <row r="135" spans="3:28" ht="18.75" customHeight="1">
      <c r="C135" s="784"/>
      <c r="D135" s="784"/>
      <c r="E135" s="784"/>
      <c r="F135" s="784"/>
      <c r="G135" s="784"/>
      <c r="H135" s="784"/>
      <c r="I135" s="784"/>
      <c r="J135" s="784"/>
      <c r="K135" s="784"/>
      <c r="L135" s="784"/>
      <c r="M135" s="784"/>
      <c r="N135" s="784"/>
      <c r="O135" s="784"/>
      <c r="P135" s="784"/>
      <c r="Q135" s="784"/>
      <c r="R135" s="784"/>
      <c r="S135" s="784"/>
      <c r="T135" s="784"/>
      <c r="U135" s="784"/>
      <c r="V135" s="784"/>
      <c r="W135" s="784"/>
      <c r="X135" s="784"/>
      <c r="Y135" s="784"/>
      <c r="Z135" s="784"/>
      <c r="AA135" s="784"/>
      <c r="AB135" s="784"/>
    </row>
    <row r="136" spans="3:28" ht="18.75" customHeight="1">
      <c r="C136" s="784"/>
      <c r="D136" s="784"/>
      <c r="E136" s="784"/>
      <c r="F136" s="784"/>
      <c r="G136" s="784"/>
      <c r="H136" s="784"/>
      <c r="I136" s="784"/>
      <c r="J136" s="784"/>
      <c r="K136" s="784"/>
      <c r="L136" s="784"/>
      <c r="M136" s="784"/>
      <c r="N136" s="784"/>
      <c r="O136" s="784"/>
      <c r="P136" s="784"/>
      <c r="Q136" s="784"/>
      <c r="R136" s="784"/>
      <c r="S136" s="784"/>
      <c r="T136" s="784"/>
      <c r="U136" s="784"/>
      <c r="V136" s="784"/>
      <c r="W136" s="784"/>
      <c r="X136" s="784"/>
      <c r="Y136" s="784"/>
      <c r="Z136" s="784"/>
      <c r="AA136" s="784"/>
      <c r="AB136" s="784"/>
    </row>
    <row r="137" spans="3:28" ht="18.75" customHeight="1">
      <c r="C137" s="784"/>
      <c r="D137" s="784"/>
      <c r="E137" s="784"/>
      <c r="F137" s="784"/>
      <c r="G137" s="784"/>
      <c r="H137" s="784"/>
      <c r="I137" s="784"/>
      <c r="J137" s="784"/>
      <c r="K137" s="784"/>
      <c r="L137" s="784"/>
      <c r="M137" s="784"/>
      <c r="N137" s="784"/>
      <c r="O137" s="784"/>
      <c r="P137" s="784"/>
      <c r="Q137" s="784"/>
      <c r="R137" s="784"/>
      <c r="S137" s="784"/>
      <c r="T137" s="784"/>
      <c r="U137" s="784"/>
      <c r="V137" s="784"/>
      <c r="W137" s="784"/>
      <c r="X137" s="784"/>
      <c r="Y137" s="784"/>
      <c r="Z137" s="784"/>
      <c r="AA137" s="784"/>
      <c r="AB137" s="784"/>
    </row>
    <row r="138" spans="3:28" ht="18.75" customHeight="1">
      <c r="C138" s="784"/>
      <c r="D138" s="784"/>
      <c r="E138" s="784"/>
      <c r="F138" s="784"/>
      <c r="G138" s="784"/>
      <c r="H138" s="784"/>
      <c r="I138" s="784"/>
      <c r="J138" s="784"/>
      <c r="K138" s="784"/>
      <c r="L138" s="784"/>
      <c r="M138" s="784"/>
      <c r="N138" s="784"/>
      <c r="O138" s="784"/>
      <c r="P138" s="784"/>
      <c r="Q138" s="784"/>
      <c r="R138" s="784"/>
      <c r="S138" s="784"/>
      <c r="T138" s="784"/>
      <c r="U138" s="784"/>
      <c r="V138" s="784"/>
      <c r="W138" s="784"/>
      <c r="X138" s="784"/>
      <c r="Y138" s="784"/>
      <c r="Z138" s="784"/>
      <c r="AA138" s="784"/>
      <c r="AB138" s="784"/>
    </row>
    <row r="139" spans="3:28" ht="18.75" customHeight="1">
      <c r="C139" s="784"/>
      <c r="D139" s="784"/>
      <c r="E139" s="784"/>
      <c r="F139" s="784"/>
      <c r="G139" s="784"/>
      <c r="H139" s="784"/>
      <c r="I139" s="784"/>
      <c r="J139" s="784"/>
      <c r="K139" s="784"/>
      <c r="L139" s="784"/>
      <c r="M139" s="784"/>
      <c r="N139" s="784"/>
      <c r="O139" s="784"/>
      <c r="P139" s="784"/>
      <c r="Q139" s="784"/>
      <c r="R139" s="784"/>
      <c r="S139" s="784"/>
      <c r="T139" s="784"/>
      <c r="U139" s="784"/>
      <c r="V139" s="784"/>
      <c r="W139" s="784"/>
      <c r="X139" s="784"/>
      <c r="Y139" s="784"/>
      <c r="Z139" s="784"/>
      <c r="AA139" s="784"/>
      <c r="AB139" s="784"/>
    </row>
    <row r="140" spans="3:28" ht="18.75" customHeight="1">
      <c r="C140" s="784"/>
      <c r="D140" s="784"/>
      <c r="E140" s="784"/>
      <c r="F140" s="784"/>
      <c r="G140" s="784"/>
      <c r="H140" s="784"/>
      <c r="I140" s="784"/>
      <c r="J140" s="784"/>
      <c r="K140" s="784"/>
      <c r="L140" s="784"/>
      <c r="M140" s="784"/>
      <c r="N140" s="784"/>
      <c r="O140" s="784"/>
      <c r="P140" s="784"/>
      <c r="Q140" s="784"/>
      <c r="R140" s="784"/>
      <c r="S140" s="784"/>
      <c r="T140" s="784"/>
      <c r="U140" s="784"/>
      <c r="V140" s="784"/>
      <c r="W140" s="784"/>
      <c r="X140" s="784"/>
      <c r="Y140" s="784"/>
      <c r="Z140" s="784"/>
      <c r="AA140" s="784"/>
      <c r="AB140" s="784"/>
    </row>
    <row r="141" spans="3:28" ht="18.75" customHeight="1">
      <c r="C141" s="784"/>
      <c r="D141" s="784"/>
      <c r="E141" s="784"/>
      <c r="F141" s="784"/>
      <c r="G141" s="784"/>
      <c r="H141" s="784"/>
      <c r="I141" s="784"/>
      <c r="J141" s="784"/>
      <c r="K141" s="784"/>
      <c r="L141" s="784"/>
      <c r="M141" s="784"/>
      <c r="N141" s="784"/>
      <c r="O141" s="784"/>
      <c r="P141" s="784"/>
      <c r="Q141" s="784"/>
      <c r="R141" s="784"/>
      <c r="S141" s="784"/>
      <c r="T141" s="784"/>
      <c r="U141" s="784"/>
      <c r="V141" s="784"/>
      <c r="W141" s="784"/>
      <c r="X141" s="784"/>
      <c r="Y141" s="784"/>
      <c r="Z141" s="784"/>
      <c r="AA141" s="784"/>
      <c r="AB141" s="784"/>
    </row>
    <row r="142" spans="3:28" ht="18.75" customHeight="1">
      <c r="C142" s="784"/>
      <c r="D142" s="784"/>
      <c r="E142" s="784"/>
      <c r="F142" s="784"/>
      <c r="G142" s="784"/>
      <c r="H142" s="784"/>
      <c r="I142" s="784"/>
      <c r="J142" s="784"/>
      <c r="K142" s="784"/>
      <c r="L142" s="784"/>
      <c r="M142" s="784"/>
      <c r="N142" s="784"/>
      <c r="O142" s="784"/>
      <c r="P142" s="784"/>
      <c r="Q142" s="784"/>
      <c r="R142" s="784"/>
      <c r="S142" s="784"/>
      <c r="T142" s="784"/>
      <c r="U142" s="784"/>
      <c r="V142" s="784"/>
      <c r="W142" s="784"/>
      <c r="X142" s="784"/>
      <c r="Y142" s="784"/>
      <c r="Z142" s="784"/>
      <c r="AA142" s="784"/>
      <c r="AB142" s="784"/>
    </row>
    <row r="143" spans="3:28" ht="18.75" customHeight="1">
      <c r="C143" s="784"/>
      <c r="D143" s="784"/>
      <c r="E143" s="784"/>
      <c r="F143" s="784"/>
      <c r="G143" s="784"/>
      <c r="H143" s="784"/>
      <c r="I143" s="784"/>
      <c r="J143" s="784"/>
      <c r="K143" s="784"/>
      <c r="L143" s="784"/>
      <c r="M143" s="784"/>
      <c r="N143" s="784"/>
      <c r="O143" s="784"/>
      <c r="P143" s="784"/>
      <c r="Q143" s="784"/>
      <c r="R143" s="784"/>
      <c r="S143" s="784"/>
      <c r="T143" s="784"/>
      <c r="U143" s="784"/>
      <c r="V143" s="784"/>
      <c r="W143" s="784"/>
      <c r="X143" s="784"/>
      <c r="Y143" s="784"/>
      <c r="Z143" s="784"/>
      <c r="AA143" s="784"/>
      <c r="AB143" s="784"/>
    </row>
    <row r="144" spans="3:28" ht="18.75" customHeight="1">
      <c r="C144" s="784"/>
      <c r="D144" s="784"/>
      <c r="E144" s="784"/>
      <c r="F144" s="784"/>
      <c r="G144" s="784"/>
      <c r="H144" s="784"/>
      <c r="I144" s="784"/>
      <c r="J144" s="784"/>
      <c r="K144" s="784"/>
      <c r="L144" s="784"/>
      <c r="M144" s="784"/>
      <c r="N144" s="784"/>
      <c r="O144" s="784"/>
      <c r="P144" s="784"/>
      <c r="Q144" s="784"/>
      <c r="R144" s="784"/>
      <c r="S144" s="784"/>
      <c r="T144" s="784"/>
      <c r="U144" s="784"/>
      <c r="V144" s="784"/>
      <c r="W144" s="784"/>
      <c r="X144" s="784"/>
      <c r="Y144" s="784"/>
      <c r="Z144" s="784"/>
      <c r="AA144" s="784"/>
      <c r="AB144" s="784"/>
    </row>
    <row r="145" spans="3:28" ht="18.75" customHeight="1">
      <c r="C145" s="784"/>
      <c r="D145" s="784"/>
      <c r="E145" s="784"/>
      <c r="F145" s="784"/>
      <c r="G145" s="784"/>
      <c r="H145" s="784"/>
      <c r="I145" s="784"/>
      <c r="J145" s="784"/>
      <c r="K145" s="784"/>
      <c r="L145" s="784"/>
      <c r="M145" s="784"/>
      <c r="N145" s="784"/>
      <c r="O145" s="784"/>
      <c r="P145" s="784"/>
      <c r="Q145" s="784"/>
      <c r="R145" s="784"/>
      <c r="S145" s="784"/>
      <c r="T145" s="784"/>
      <c r="U145" s="784"/>
      <c r="V145" s="784"/>
      <c r="W145" s="784"/>
      <c r="X145" s="784"/>
      <c r="Y145" s="784"/>
      <c r="Z145" s="784"/>
      <c r="AA145" s="784"/>
      <c r="AB145" s="784"/>
    </row>
    <row r="146" spans="3:28" ht="18.75" customHeight="1">
      <c r="C146" s="784"/>
      <c r="D146" s="784"/>
      <c r="E146" s="784"/>
      <c r="F146" s="784"/>
      <c r="G146" s="784"/>
      <c r="H146" s="784"/>
      <c r="I146" s="784"/>
      <c r="J146" s="784"/>
      <c r="K146" s="784"/>
      <c r="L146" s="784"/>
      <c r="M146" s="784"/>
      <c r="N146" s="784"/>
      <c r="O146" s="784"/>
      <c r="P146" s="784"/>
      <c r="Q146" s="784"/>
      <c r="R146" s="784"/>
      <c r="S146" s="784"/>
      <c r="T146" s="784"/>
      <c r="U146" s="784"/>
      <c r="V146" s="784"/>
      <c r="W146" s="784"/>
      <c r="X146" s="784"/>
      <c r="Y146" s="784"/>
      <c r="Z146" s="784"/>
      <c r="AA146" s="784"/>
      <c r="AB146" s="784"/>
    </row>
    <row r="147" spans="3:28" ht="18.75" customHeight="1">
      <c r="C147" s="784"/>
      <c r="D147" s="784"/>
      <c r="E147" s="784"/>
      <c r="F147" s="784"/>
      <c r="G147" s="784"/>
      <c r="H147" s="784"/>
      <c r="I147" s="784"/>
      <c r="J147" s="784"/>
      <c r="K147" s="784"/>
      <c r="L147" s="784"/>
      <c r="M147" s="784"/>
      <c r="N147" s="784"/>
      <c r="O147" s="784"/>
      <c r="P147" s="784"/>
      <c r="Q147" s="784"/>
      <c r="R147" s="784"/>
      <c r="S147" s="784"/>
      <c r="T147" s="784"/>
      <c r="U147" s="784"/>
      <c r="V147" s="784"/>
      <c r="W147" s="784"/>
      <c r="X147" s="784"/>
      <c r="Y147" s="784"/>
      <c r="Z147" s="784"/>
      <c r="AA147" s="784"/>
      <c r="AB147" s="784"/>
    </row>
    <row r="148" spans="3:28" ht="18.75" customHeight="1">
      <c r="C148" s="784"/>
      <c r="D148" s="784"/>
      <c r="E148" s="784"/>
      <c r="F148" s="784"/>
      <c r="G148" s="784"/>
      <c r="H148" s="784"/>
      <c r="I148" s="784"/>
      <c r="J148" s="784"/>
      <c r="K148" s="784"/>
      <c r="L148" s="784"/>
      <c r="M148" s="784"/>
      <c r="N148" s="784"/>
      <c r="O148" s="784"/>
      <c r="P148" s="784"/>
      <c r="Q148" s="784"/>
      <c r="R148" s="784"/>
      <c r="S148" s="784"/>
      <c r="T148" s="784"/>
      <c r="U148" s="784"/>
      <c r="V148" s="784"/>
      <c r="W148" s="784"/>
      <c r="X148" s="784"/>
      <c r="Y148" s="784"/>
      <c r="Z148" s="784"/>
      <c r="AA148" s="784"/>
      <c r="AB148" s="784"/>
    </row>
    <row r="149" spans="3:28" ht="18.75" customHeight="1">
      <c r="C149" s="784"/>
      <c r="D149" s="784"/>
      <c r="E149" s="784"/>
      <c r="F149" s="784"/>
      <c r="G149" s="784"/>
      <c r="H149" s="784"/>
      <c r="I149" s="784"/>
      <c r="J149" s="784"/>
      <c r="K149" s="784"/>
      <c r="L149" s="784"/>
      <c r="M149" s="784"/>
      <c r="N149" s="784"/>
      <c r="O149" s="784"/>
      <c r="P149" s="784"/>
      <c r="Q149" s="784"/>
      <c r="R149" s="784"/>
      <c r="S149" s="784"/>
      <c r="T149" s="784"/>
      <c r="U149" s="784"/>
      <c r="V149" s="784"/>
      <c r="W149" s="784"/>
      <c r="X149" s="784"/>
      <c r="Y149" s="784"/>
      <c r="Z149" s="784"/>
      <c r="AA149" s="784"/>
      <c r="AB149" s="784"/>
    </row>
    <row r="150" spans="3:28" ht="18.75" customHeight="1">
      <c r="C150" s="784"/>
      <c r="D150" s="784"/>
      <c r="E150" s="784"/>
      <c r="F150" s="784"/>
      <c r="G150" s="784"/>
      <c r="H150" s="784"/>
      <c r="I150" s="784"/>
      <c r="J150" s="784"/>
      <c r="K150" s="784"/>
      <c r="L150" s="784"/>
      <c r="M150" s="784"/>
      <c r="N150" s="784"/>
      <c r="O150" s="784"/>
      <c r="P150" s="784"/>
      <c r="Q150" s="784"/>
      <c r="R150" s="784"/>
      <c r="S150" s="784"/>
      <c r="T150" s="784"/>
      <c r="U150" s="784"/>
      <c r="V150" s="784"/>
      <c r="W150" s="784"/>
      <c r="X150" s="784"/>
      <c r="Y150" s="784"/>
      <c r="Z150" s="784"/>
      <c r="AA150" s="784"/>
      <c r="AB150" s="784"/>
    </row>
    <row r="151" spans="3:28" ht="18.75" customHeight="1">
      <c r="C151" s="784"/>
      <c r="D151" s="784"/>
      <c r="E151" s="784"/>
      <c r="F151" s="784"/>
      <c r="G151" s="784"/>
      <c r="H151" s="784"/>
      <c r="I151" s="784"/>
      <c r="J151" s="784"/>
      <c r="K151" s="784"/>
      <c r="L151" s="784"/>
      <c r="M151" s="784"/>
      <c r="N151" s="784"/>
      <c r="O151" s="784"/>
      <c r="P151" s="784"/>
      <c r="Q151" s="784"/>
      <c r="R151" s="784"/>
      <c r="S151" s="784"/>
      <c r="T151" s="784"/>
      <c r="U151" s="784"/>
      <c r="V151" s="784"/>
      <c r="W151" s="784"/>
      <c r="X151" s="784"/>
      <c r="Y151" s="784"/>
      <c r="Z151" s="784"/>
      <c r="AA151" s="784"/>
      <c r="AB151" s="784"/>
    </row>
    <row r="152" spans="3:28" ht="18.75" customHeight="1">
      <c r="C152" s="784"/>
      <c r="D152" s="784"/>
      <c r="E152" s="784"/>
      <c r="F152" s="784"/>
      <c r="G152" s="784"/>
      <c r="H152" s="784"/>
      <c r="I152" s="784"/>
      <c r="J152" s="784"/>
      <c r="K152" s="784"/>
      <c r="L152" s="784"/>
      <c r="M152" s="784"/>
      <c r="N152" s="784"/>
      <c r="O152" s="784"/>
      <c r="P152" s="784"/>
      <c r="Q152" s="784"/>
      <c r="R152" s="784"/>
      <c r="S152" s="784"/>
      <c r="T152" s="784"/>
      <c r="U152" s="784"/>
      <c r="V152" s="784"/>
      <c r="W152" s="784"/>
      <c r="X152" s="784"/>
      <c r="Y152" s="784"/>
      <c r="Z152" s="784"/>
      <c r="AA152" s="784"/>
      <c r="AB152" s="784"/>
    </row>
    <row r="153" spans="3:28" ht="18.75" customHeight="1">
      <c r="C153" s="784"/>
      <c r="D153" s="784"/>
      <c r="E153" s="784"/>
      <c r="F153" s="784"/>
      <c r="G153" s="784"/>
      <c r="H153" s="784"/>
      <c r="I153" s="784"/>
      <c r="J153" s="784"/>
      <c r="K153" s="784"/>
      <c r="L153" s="784"/>
      <c r="M153" s="784"/>
      <c r="N153" s="784"/>
      <c r="O153" s="784"/>
      <c r="P153" s="784"/>
      <c r="Q153" s="784"/>
      <c r="R153" s="784"/>
      <c r="S153" s="784"/>
      <c r="T153" s="784"/>
      <c r="U153" s="784"/>
      <c r="V153" s="784"/>
      <c r="W153" s="784"/>
      <c r="X153" s="784"/>
      <c r="Y153" s="784"/>
      <c r="Z153" s="784"/>
      <c r="AA153" s="784"/>
      <c r="AB153" s="784"/>
    </row>
    <row r="154" spans="3:28" ht="18.75" customHeight="1">
      <c r="C154" s="784"/>
      <c r="D154" s="784"/>
      <c r="E154" s="784"/>
      <c r="F154" s="784"/>
      <c r="G154" s="784"/>
      <c r="H154" s="784"/>
      <c r="I154" s="784"/>
      <c r="J154" s="784"/>
      <c r="K154" s="784"/>
      <c r="L154" s="784"/>
      <c r="M154" s="784"/>
      <c r="N154" s="784"/>
      <c r="O154" s="784"/>
      <c r="P154" s="784"/>
      <c r="Q154" s="784"/>
      <c r="R154" s="784"/>
      <c r="S154" s="784"/>
      <c r="T154" s="784"/>
      <c r="U154" s="784"/>
      <c r="V154" s="784"/>
      <c r="W154" s="784"/>
      <c r="X154" s="784"/>
      <c r="Y154" s="784"/>
      <c r="Z154" s="784"/>
      <c r="AA154" s="784"/>
      <c r="AB154" s="784"/>
    </row>
    <row r="155" spans="3:28" ht="18.75" customHeight="1">
      <c r="C155" s="784"/>
      <c r="D155" s="784"/>
      <c r="E155" s="784"/>
      <c r="F155" s="784"/>
      <c r="G155" s="784"/>
      <c r="H155" s="784"/>
      <c r="I155" s="784"/>
      <c r="J155" s="784"/>
      <c r="K155" s="784"/>
      <c r="L155" s="784"/>
      <c r="M155" s="784"/>
      <c r="N155" s="784"/>
      <c r="O155" s="784"/>
      <c r="P155" s="784"/>
      <c r="Q155" s="784"/>
      <c r="R155" s="784"/>
      <c r="S155" s="784"/>
      <c r="T155" s="784"/>
      <c r="U155" s="784"/>
      <c r="V155" s="784"/>
      <c r="W155" s="784"/>
      <c r="X155" s="784"/>
      <c r="Y155" s="784"/>
      <c r="Z155" s="784"/>
      <c r="AA155" s="784"/>
      <c r="AB155" s="784"/>
    </row>
    <row r="156" spans="3:28" ht="18.75" customHeight="1">
      <c r="C156" s="784"/>
      <c r="D156" s="784"/>
      <c r="E156" s="784"/>
      <c r="F156" s="784"/>
      <c r="G156" s="784"/>
      <c r="H156" s="784"/>
      <c r="I156" s="784"/>
      <c r="J156" s="784"/>
      <c r="K156" s="784"/>
      <c r="L156" s="784"/>
      <c r="M156" s="784"/>
      <c r="N156" s="784"/>
      <c r="O156" s="784"/>
      <c r="P156" s="784"/>
      <c r="Q156" s="784"/>
      <c r="R156" s="784"/>
      <c r="S156" s="784"/>
      <c r="T156" s="784"/>
      <c r="U156" s="784"/>
      <c r="V156" s="784"/>
      <c r="W156" s="784"/>
      <c r="X156" s="784"/>
      <c r="Y156" s="784"/>
      <c r="Z156" s="784"/>
      <c r="AA156" s="784"/>
      <c r="AB156" s="784"/>
    </row>
    <row r="157" spans="3:28" ht="18.75" customHeight="1">
      <c r="C157" s="784"/>
      <c r="D157" s="784"/>
      <c r="E157" s="784"/>
      <c r="F157" s="784"/>
      <c r="G157" s="784"/>
      <c r="H157" s="784"/>
      <c r="I157" s="784"/>
      <c r="J157" s="784"/>
      <c r="K157" s="784"/>
      <c r="L157" s="784"/>
      <c r="M157" s="784"/>
      <c r="N157" s="784"/>
      <c r="O157" s="784"/>
      <c r="P157" s="784"/>
      <c r="Q157" s="784"/>
      <c r="R157" s="784"/>
      <c r="S157" s="784"/>
      <c r="T157" s="784"/>
      <c r="U157" s="784"/>
      <c r="V157" s="784"/>
      <c r="W157" s="784"/>
      <c r="X157" s="784"/>
      <c r="Y157" s="784"/>
      <c r="Z157" s="784"/>
      <c r="AA157" s="784"/>
      <c r="AB157" s="784"/>
    </row>
    <row r="158" spans="3:28" ht="18.75" customHeight="1">
      <c r="C158" s="784"/>
      <c r="D158" s="784"/>
      <c r="E158" s="784"/>
      <c r="F158" s="784"/>
      <c r="G158" s="784"/>
      <c r="H158" s="784"/>
      <c r="I158" s="784"/>
      <c r="J158" s="784"/>
      <c r="K158" s="784"/>
      <c r="L158" s="784"/>
      <c r="M158" s="784"/>
      <c r="N158" s="784"/>
      <c r="O158" s="784"/>
      <c r="P158" s="784"/>
      <c r="Q158" s="784"/>
      <c r="R158" s="784"/>
      <c r="S158" s="784"/>
      <c r="T158" s="784"/>
      <c r="U158" s="784"/>
      <c r="V158" s="784"/>
      <c r="W158" s="784"/>
      <c r="X158" s="784"/>
      <c r="Y158" s="784"/>
      <c r="Z158" s="784"/>
      <c r="AA158" s="784"/>
      <c r="AB158" s="784"/>
    </row>
    <row r="159" spans="3:28" ht="18.75" customHeight="1">
      <c r="C159" s="784"/>
      <c r="D159" s="784"/>
      <c r="E159" s="784"/>
      <c r="F159" s="784"/>
      <c r="G159" s="784"/>
      <c r="H159" s="784"/>
      <c r="I159" s="784"/>
      <c r="J159" s="784"/>
      <c r="K159" s="784"/>
      <c r="L159" s="784"/>
      <c r="M159" s="784"/>
      <c r="N159" s="784"/>
      <c r="O159" s="784"/>
      <c r="P159" s="784"/>
      <c r="Q159" s="784"/>
      <c r="R159" s="784"/>
      <c r="S159" s="784"/>
      <c r="T159" s="784"/>
      <c r="U159" s="784"/>
      <c r="V159" s="784"/>
      <c r="W159" s="784"/>
      <c r="X159" s="784"/>
      <c r="Y159" s="784"/>
      <c r="Z159" s="784"/>
      <c r="AA159" s="784"/>
      <c r="AB159" s="784"/>
    </row>
    <row r="160" spans="3:28" ht="18.75" customHeight="1">
      <c r="C160" s="784"/>
      <c r="D160" s="784"/>
      <c r="E160" s="784"/>
      <c r="F160" s="784"/>
      <c r="G160" s="784"/>
      <c r="H160" s="784"/>
      <c r="I160" s="784"/>
      <c r="J160" s="784"/>
      <c r="K160" s="784"/>
      <c r="L160" s="784"/>
      <c r="M160" s="784"/>
      <c r="N160" s="784"/>
      <c r="O160" s="784"/>
      <c r="P160" s="784"/>
      <c r="Q160" s="784"/>
      <c r="R160" s="784"/>
      <c r="S160" s="784"/>
      <c r="T160" s="784"/>
      <c r="U160" s="784"/>
      <c r="V160" s="784"/>
      <c r="W160" s="784"/>
      <c r="X160" s="784"/>
      <c r="Y160" s="784"/>
      <c r="Z160" s="784"/>
      <c r="AA160" s="784"/>
      <c r="AB160" s="784"/>
    </row>
    <row r="161" spans="3:28" ht="18.75" customHeight="1">
      <c r="C161" s="784"/>
      <c r="D161" s="784"/>
      <c r="E161" s="784"/>
      <c r="F161" s="784"/>
      <c r="G161" s="784"/>
      <c r="H161" s="784"/>
      <c r="I161" s="784"/>
      <c r="J161" s="784"/>
      <c r="K161" s="784"/>
      <c r="L161" s="784"/>
      <c r="M161" s="784"/>
      <c r="N161" s="784"/>
      <c r="O161" s="784"/>
      <c r="P161" s="784"/>
      <c r="Q161" s="784"/>
      <c r="R161" s="784"/>
      <c r="S161" s="784"/>
      <c r="T161" s="784"/>
      <c r="U161" s="784"/>
      <c r="V161" s="784"/>
      <c r="W161" s="784"/>
      <c r="X161" s="784"/>
      <c r="Y161" s="784"/>
      <c r="Z161" s="784"/>
      <c r="AA161" s="784"/>
      <c r="AB161" s="784"/>
    </row>
    <row r="162" spans="3:28" ht="18.75" customHeight="1">
      <c r="C162" s="784"/>
      <c r="D162" s="784"/>
      <c r="E162" s="784"/>
      <c r="F162" s="784"/>
      <c r="G162" s="784"/>
      <c r="H162" s="784"/>
      <c r="I162" s="784"/>
      <c r="J162" s="784"/>
      <c r="K162" s="784"/>
      <c r="L162" s="784"/>
      <c r="M162" s="784"/>
      <c r="N162" s="784"/>
      <c r="O162" s="784"/>
      <c r="P162" s="784"/>
      <c r="Q162" s="784"/>
      <c r="R162" s="784"/>
      <c r="S162" s="784"/>
      <c r="T162" s="784"/>
      <c r="U162" s="784"/>
      <c r="V162" s="784"/>
      <c r="W162" s="784"/>
      <c r="X162" s="784"/>
      <c r="Y162" s="784"/>
      <c r="Z162" s="784"/>
      <c r="AA162" s="784"/>
      <c r="AB162" s="784"/>
    </row>
    <row r="163" spans="3:28" ht="18.75" customHeight="1">
      <c r="C163" s="784"/>
      <c r="D163" s="784"/>
      <c r="E163" s="784"/>
      <c r="F163" s="784"/>
      <c r="G163" s="784"/>
      <c r="H163" s="784"/>
      <c r="I163" s="784"/>
      <c r="J163" s="784"/>
      <c r="K163" s="784"/>
      <c r="L163" s="784"/>
      <c r="M163" s="784"/>
      <c r="N163" s="784"/>
      <c r="O163" s="784"/>
      <c r="P163" s="784"/>
      <c r="Q163" s="784"/>
      <c r="R163" s="784"/>
      <c r="S163" s="784"/>
      <c r="T163" s="784"/>
      <c r="U163" s="784"/>
      <c r="V163" s="784"/>
      <c r="W163" s="784"/>
      <c r="X163" s="784"/>
      <c r="Y163" s="784"/>
      <c r="Z163" s="784"/>
      <c r="AA163" s="784"/>
      <c r="AB163" s="784"/>
    </row>
    <row r="164" spans="3:28" ht="18.75" customHeight="1">
      <c r="C164" s="784"/>
      <c r="D164" s="784"/>
      <c r="E164" s="784"/>
      <c r="F164" s="784"/>
      <c r="G164" s="784"/>
      <c r="H164" s="784"/>
      <c r="I164" s="784"/>
      <c r="J164" s="784"/>
      <c r="K164" s="784"/>
      <c r="L164" s="784"/>
      <c r="M164" s="784"/>
      <c r="N164" s="784"/>
      <c r="O164" s="784"/>
      <c r="P164" s="784"/>
      <c r="Q164" s="784"/>
      <c r="R164" s="784"/>
      <c r="S164" s="784"/>
      <c r="T164" s="784"/>
      <c r="U164" s="784"/>
      <c r="V164" s="784"/>
      <c r="W164" s="784"/>
      <c r="X164" s="784"/>
      <c r="Y164" s="784"/>
      <c r="Z164" s="784"/>
      <c r="AA164" s="784"/>
      <c r="AB164" s="784"/>
    </row>
    <row r="165" spans="3:28" ht="18.75" customHeight="1">
      <c r="C165" s="784"/>
      <c r="D165" s="784"/>
      <c r="E165" s="784"/>
      <c r="F165" s="784"/>
      <c r="G165" s="784"/>
      <c r="H165" s="784"/>
      <c r="I165" s="784"/>
      <c r="J165" s="784"/>
      <c r="K165" s="784"/>
      <c r="L165" s="784"/>
      <c r="M165" s="784"/>
      <c r="N165" s="784"/>
      <c r="O165" s="784"/>
      <c r="P165" s="784"/>
      <c r="Q165" s="784"/>
      <c r="R165" s="784"/>
      <c r="S165" s="784"/>
      <c r="T165" s="784"/>
      <c r="U165" s="784"/>
      <c r="V165" s="784"/>
      <c r="W165" s="784"/>
      <c r="X165" s="784"/>
      <c r="Y165" s="784"/>
      <c r="Z165" s="784"/>
      <c r="AA165" s="784"/>
      <c r="AB165" s="784"/>
    </row>
    <row r="166" spans="3:28" ht="18.75" customHeight="1">
      <c r="C166" s="784"/>
      <c r="D166" s="784"/>
      <c r="E166" s="784"/>
      <c r="F166" s="784"/>
      <c r="G166" s="784"/>
      <c r="H166" s="784"/>
      <c r="I166" s="784"/>
      <c r="J166" s="784"/>
      <c r="K166" s="784"/>
      <c r="L166" s="784"/>
      <c r="M166" s="784"/>
      <c r="N166" s="784"/>
      <c r="O166" s="784"/>
      <c r="P166" s="784"/>
      <c r="Q166" s="784"/>
      <c r="R166" s="784"/>
      <c r="S166" s="784"/>
      <c r="T166" s="784"/>
      <c r="U166" s="784"/>
      <c r="V166" s="784"/>
      <c r="W166" s="784"/>
      <c r="X166" s="784"/>
      <c r="Y166" s="784"/>
      <c r="Z166" s="784"/>
      <c r="AA166" s="784"/>
      <c r="AB166" s="784"/>
    </row>
    <row r="167" spans="3:28" ht="18.75" customHeight="1">
      <c r="C167" s="784"/>
      <c r="D167" s="784"/>
      <c r="E167" s="784"/>
      <c r="F167" s="784"/>
      <c r="G167" s="784"/>
      <c r="H167" s="784"/>
      <c r="I167" s="784"/>
      <c r="J167" s="784"/>
      <c r="K167" s="784"/>
      <c r="L167" s="784"/>
      <c r="M167" s="784"/>
      <c r="N167" s="784"/>
      <c r="O167" s="784"/>
      <c r="P167" s="784"/>
      <c r="Q167" s="784"/>
      <c r="R167" s="784"/>
      <c r="S167" s="784"/>
      <c r="T167" s="784"/>
      <c r="U167" s="784"/>
      <c r="V167" s="784"/>
      <c r="W167" s="784"/>
      <c r="X167" s="784"/>
      <c r="Y167" s="784"/>
      <c r="Z167" s="784"/>
      <c r="AA167" s="784"/>
      <c r="AB167" s="784"/>
    </row>
    <row r="168" spans="3:28" ht="18.75" customHeight="1">
      <c r="C168" s="784"/>
      <c r="D168" s="784"/>
      <c r="E168" s="784"/>
      <c r="F168" s="784"/>
      <c r="G168" s="784"/>
      <c r="H168" s="784"/>
      <c r="I168" s="784"/>
      <c r="J168" s="784"/>
      <c r="K168" s="784"/>
      <c r="L168" s="784"/>
      <c r="M168" s="784"/>
      <c r="N168" s="784"/>
      <c r="O168" s="784"/>
      <c r="P168" s="784"/>
      <c r="Q168" s="784"/>
      <c r="R168" s="784"/>
      <c r="S168" s="784"/>
      <c r="T168" s="784"/>
      <c r="U168" s="784"/>
      <c r="V168" s="784"/>
      <c r="W168" s="784"/>
      <c r="X168" s="784"/>
      <c r="Y168" s="784"/>
      <c r="Z168" s="784"/>
      <c r="AA168" s="784"/>
      <c r="AB168" s="784"/>
    </row>
    <row r="169" spans="3:28" ht="18.75" customHeight="1"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</row>
    <row r="170" spans="3:28" ht="18.75" customHeight="1">
      <c r="C170" s="784"/>
      <c r="D170" s="784"/>
      <c r="E170" s="784"/>
      <c r="F170" s="784"/>
      <c r="G170" s="784"/>
      <c r="H170" s="784"/>
      <c r="I170" s="784"/>
      <c r="J170" s="784"/>
      <c r="K170" s="784"/>
      <c r="L170" s="784"/>
      <c r="M170" s="784"/>
      <c r="N170" s="784"/>
      <c r="O170" s="784"/>
      <c r="P170" s="784"/>
      <c r="Q170" s="784"/>
      <c r="R170" s="784"/>
      <c r="S170" s="784"/>
      <c r="T170" s="784"/>
      <c r="U170" s="784"/>
      <c r="V170" s="784"/>
      <c r="W170" s="784"/>
      <c r="X170" s="784"/>
      <c r="Y170" s="784"/>
      <c r="Z170" s="784"/>
      <c r="AA170" s="784"/>
      <c r="AB170" s="784"/>
    </row>
    <row r="171" spans="3:28" ht="18.75" customHeight="1"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</row>
    <row r="172" spans="3:28" ht="18.75" customHeight="1">
      <c r="C172" s="784"/>
      <c r="D172" s="784"/>
      <c r="E172" s="784"/>
      <c r="F172" s="784"/>
      <c r="G172" s="784"/>
      <c r="H172" s="784"/>
      <c r="I172" s="784"/>
      <c r="J172" s="784"/>
      <c r="K172" s="784"/>
      <c r="L172" s="784"/>
      <c r="M172" s="784"/>
      <c r="N172" s="784"/>
      <c r="O172" s="784"/>
      <c r="P172" s="784"/>
      <c r="Q172" s="784"/>
      <c r="R172" s="784"/>
      <c r="S172" s="784"/>
      <c r="T172" s="784"/>
      <c r="U172" s="784"/>
      <c r="V172" s="784"/>
      <c r="W172" s="784"/>
      <c r="X172" s="784"/>
      <c r="Y172" s="784"/>
      <c r="Z172" s="784"/>
      <c r="AA172" s="784"/>
      <c r="AB172" s="784"/>
    </row>
    <row r="173" spans="3:28" ht="18.75" customHeight="1">
      <c r="C173" s="784"/>
      <c r="D173" s="784"/>
      <c r="E173" s="784"/>
      <c r="F173" s="784"/>
      <c r="G173" s="784"/>
      <c r="H173" s="784"/>
      <c r="I173" s="784"/>
      <c r="J173" s="784"/>
      <c r="K173" s="784"/>
      <c r="L173" s="784"/>
      <c r="M173" s="784"/>
      <c r="N173" s="784"/>
      <c r="O173" s="784"/>
      <c r="P173" s="784"/>
      <c r="Q173" s="784"/>
      <c r="R173" s="784"/>
      <c r="S173" s="784"/>
      <c r="T173" s="784"/>
      <c r="U173" s="784"/>
      <c r="V173" s="784"/>
      <c r="W173" s="784"/>
      <c r="X173" s="784"/>
      <c r="Y173" s="784"/>
      <c r="Z173" s="784"/>
      <c r="AA173" s="784"/>
      <c r="AB173" s="784"/>
    </row>
    <row r="174" spans="3:28" ht="18.75" customHeight="1">
      <c r="C174" s="784"/>
      <c r="D174" s="784"/>
      <c r="E174" s="784"/>
      <c r="F174" s="784"/>
      <c r="G174" s="784"/>
      <c r="H174" s="784"/>
      <c r="I174" s="784"/>
      <c r="J174" s="784"/>
      <c r="K174" s="784"/>
      <c r="L174" s="784"/>
      <c r="M174" s="784"/>
      <c r="N174" s="784"/>
      <c r="O174" s="784"/>
      <c r="P174" s="784"/>
      <c r="Q174" s="784"/>
      <c r="R174" s="784"/>
      <c r="S174" s="784"/>
      <c r="T174" s="784"/>
      <c r="U174" s="784"/>
      <c r="V174" s="784"/>
      <c r="W174" s="784"/>
      <c r="X174" s="784"/>
      <c r="Y174" s="784"/>
      <c r="Z174" s="784"/>
      <c r="AA174" s="784"/>
      <c r="AB174" s="784"/>
    </row>
    <row r="175" spans="3:28" ht="15.75" customHeight="1">
      <c r="C175" s="784"/>
      <c r="D175" s="784"/>
      <c r="E175" s="784"/>
      <c r="F175" s="784"/>
      <c r="G175" s="784"/>
      <c r="H175" s="784"/>
      <c r="I175" s="784"/>
      <c r="J175" s="784"/>
      <c r="K175" s="784"/>
      <c r="L175" s="784"/>
      <c r="M175" s="784"/>
      <c r="N175" s="784"/>
      <c r="O175" s="784"/>
      <c r="P175" s="784"/>
      <c r="Q175" s="784"/>
      <c r="R175" s="784"/>
      <c r="S175" s="784"/>
      <c r="T175" s="784"/>
      <c r="U175" s="784"/>
      <c r="V175" s="784"/>
      <c r="W175" s="784"/>
      <c r="X175" s="784"/>
      <c r="Y175" s="784"/>
      <c r="Z175" s="784"/>
      <c r="AA175" s="784"/>
      <c r="AB175" s="784"/>
    </row>
    <row r="176" spans="3:28" ht="15.75" customHeight="1">
      <c r="C176" s="784"/>
      <c r="D176" s="784"/>
      <c r="E176" s="784"/>
      <c r="F176" s="784"/>
      <c r="G176" s="784"/>
      <c r="H176" s="784"/>
      <c r="I176" s="784"/>
      <c r="J176" s="784"/>
      <c r="K176" s="784"/>
      <c r="L176" s="784"/>
      <c r="M176" s="784"/>
      <c r="N176" s="784"/>
      <c r="O176" s="784"/>
      <c r="P176" s="784"/>
      <c r="Q176" s="784"/>
      <c r="R176" s="784"/>
      <c r="S176" s="784"/>
      <c r="T176" s="784"/>
      <c r="U176" s="784"/>
      <c r="V176" s="784"/>
      <c r="W176" s="784"/>
      <c r="X176" s="784"/>
      <c r="Y176" s="784"/>
      <c r="Z176" s="784"/>
      <c r="AA176" s="784"/>
      <c r="AB176" s="784"/>
    </row>
    <row r="177" spans="3:28" ht="15.75" customHeight="1">
      <c r="C177" s="784"/>
      <c r="D177" s="784"/>
      <c r="E177" s="784"/>
      <c r="F177" s="784"/>
      <c r="G177" s="784"/>
      <c r="H177" s="784"/>
      <c r="I177" s="784"/>
      <c r="J177" s="784"/>
      <c r="K177" s="784"/>
      <c r="L177" s="784"/>
      <c r="M177" s="784"/>
      <c r="N177" s="784"/>
      <c r="O177" s="784"/>
      <c r="P177" s="784"/>
      <c r="Q177" s="784"/>
      <c r="R177" s="784"/>
      <c r="S177" s="784"/>
      <c r="T177" s="784"/>
      <c r="U177" s="784"/>
      <c r="V177" s="784"/>
      <c r="W177" s="784"/>
      <c r="X177" s="784"/>
      <c r="Y177" s="784"/>
      <c r="Z177" s="784"/>
      <c r="AA177" s="784"/>
      <c r="AB177" s="784"/>
    </row>
    <row r="178" spans="3:28" ht="15.75" customHeight="1">
      <c r="C178" s="784"/>
      <c r="D178" s="784"/>
      <c r="E178" s="784"/>
      <c r="F178" s="784"/>
      <c r="G178" s="784"/>
      <c r="H178" s="784"/>
      <c r="I178" s="784"/>
      <c r="J178" s="784"/>
      <c r="K178" s="784"/>
      <c r="L178" s="784"/>
      <c r="M178" s="784"/>
      <c r="N178" s="784"/>
      <c r="O178" s="784"/>
      <c r="P178" s="784"/>
      <c r="Q178" s="784"/>
      <c r="R178" s="784"/>
      <c r="S178" s="784"/>
      <c r="T178" s="784"/>
      <c r="U178" s="784"/>
      <c r="V178" s="784"/>
      <c r="W178" s="784"/>
      <c r="X178" s="784"/>
      <c r="Y178" s="784"/>
      <c r="Z178" s="784"/>
      <c r="AA178" s="784"/>
      <c r="AB178" s="784"/>
    </row>
    <row r="179" spans="3:28" ht="15.75" customHeight="1">
      <c r="C179" s="784"/>
      <c r="D179" s="784"/>
      <c r="E179" s="784"/>
      <c r="F179" s="784"/>
      <c r="G179" s="784"/>
      <c r="H179" s="784"/>
      <c r="I179" s="784"/>
      <c r="J179" s="784"/>
      <c r="K179" s="784"/>
      <c r="L179" s="784"/>
      <c r="M179" s="784"/>
      <c r="N179" s="784"/>
      <c r="O179" s="784"/>
      <c r="P179" s="784"/>
      <c r="Q179" s="784"/>
      <c r="R179" s="784"/>
      <c r="S179" s="784"/>
      <c r="T179" s="784"/>
      <c r="U179" s="784"/>
      <c r="V179" s="784"/>
      <c r="W179" s="784"/>
      <c r="X179" s="784"/>
      <c r="Y179" s="784"/>
      <c r="Z179" s="784"/>
      <c r="AA179" s="784"/>
      <c r="AB179" s="784"/>
    </row>
    <row r="180" spans="3:28" ht="15.75" customHeight="1">
      <c r="C180" s="784"/>
      <c r="D180" s="784"/>
      <c r="E180" s="784"/>
      <c r="F180" s="784"/>
      <c r="G180" s="784"/>
      <c r="H180" s="784"/>
      <c r="I180" s="784"/>
      <c r="J180" s="784"/>
      <c r="K180" s="784"/>
      <c r="L180" s="784"/>
      <c r="M180" s="784"/>
      <c r="N180" s="784"/>
      <c r="O180" s="784"/>
      <c r="P180" s="784"/>
      <c r="Q180" s="784"/>
      <c r="R180" s="784"/>
      <c r="S180" s="784"/>
      <c r="T180" s="784"/>
      <c r="U180" s="784"/>
      <c r="V180" s="784"/>
      <c r="W180" s="784"/>
      <c r="X180" s="784"/>
      <c r="Y180" s="784"/>
      <c r="Z180" s="784"/>
      <c r="AA180" s="784"/>
      <c r="AB180" s="784"/>
    </row>
    <row r="181" spans="3:28" ht="15.75" customHeight="1">
      <c r="C181" s="784"/>
      <c r="D181" s="784"/>
      <c r="E181" s="784"/>
      <c r="F181" s="784"/>
      <c r="G181" s="784"/>
      <c r="H181" s="784"/>
      <c r="I181" s="784"/>
      <c r="J181" s="784"/>
      <c r="K181" s="784"/>
      <c r="L181" s="784"/>
      <c r="M181" s="784"/>
      <c r="N181" s="784"/>
      <c r="O181" s="784"/>
      <c r="P181" s="784"/>
      <c r="Q181" s="784"/>
      <c r="R181" s="784"/>
      <c r="S181" s="784"/>
      <c r="T181" s="784"/>
      <c r="U181" s="784"/>
      <c r="V181" s="784"/>
      <c r="W181" s="784"/>
      <c r="X181" s="784"/>
      <c r="Y181" s="784"/>
      <c r="Z181" s="784"/>
      <c r="AA181" s="784"/>
      <c r="AB181" s="784"/>
    </row>
    <row r="182" spans="3:28" ht="15.75" customHeight="1">
      <c r="C182" s="784"/>
      <c r="D182" s="784"/>
      <c r="E182" s="784"/>
      <c r="F182" s="784"/>
      <c r="G182" s="784"/>
      <c r="H182" s="784"/>
      <c r="I182" s="784"/>
      <c r="J182" s="784"/>
      <c r="K182" s="784"/>
      <c r="L182" s="784"/>
      <c r="M182" s="784"/>
      <c r="N182" s="784"/>
      <c r="O182" s="784"/>
      <c r="P182" s="784"/>
      <c r="Q182" s="784"/>
      <c r="R182" s="784"/>
      <c r="S182" s="784"/>
      <c r="T182" s="784"/>
      <c r="U182" s="784"/>
      <c r="V182" s="784"/>
      <c r="W182" s="784"/>
      <c r="X182" s="784"/>
      <c r="Y182" s="784"/>
      <c r="Z182" s="784"/>
      <c r="AA182" s="784"/>
      <c r="AB182" s="784"/>
    </row>
    <row r="183" spans="3:28" ht="15.75" customHeight="1">
      <c r="C183" s="784"/>
      <c r="D183" s="784"/>
      <c r="E183" s="784"/>
      <c r="F183" s="784"/>
      <c r="G183" s="784"/>
      <c r="H183" s="784"/>
      <c r="I183" s="784"/>
      <c r="J183" s="784"/>
      <c r="K183" s="784"/>
      <c r="L183" s="784"/>
      <c r="M183" s="784"/>
      <c r="N183" s="784"/>
      <c r="O183" s="784"/>
      <c r="P183" s="784"/>
      <c r="Q183" s="784"/>
      <c r="R183" s="784"/>
      <c r="S183" s="784"/>
      <c r="T183" s="784"/>
      <c r="U183" s="784"/>
      <c r="V183" s="784"/>
      <c r="W183" s="784"/>
      <c r="X183" s="784"/>
      <c r="Y183" s="784"/>
      <c r="Z183" s="784"/>
      <c r="AA183" s="784"/>
      <c r="AB183" s="784"/>
    </row>
    <row r="184" spans="3:28" ht="15.75" customHeight="1">
      <c r="C184" s="784"/>
      <c r="D184" s="784"/>
      <c r="E184" s="784"/>
      <c r="F184" s="784"/>
      <c r="G184" s="784"/>
      <c r="H184" s="784"/>
      <c r="I184" s="784"/>
      <c r="J184" s="784"/>
      <c r="K184" s="784"/>
      <c r="L184" s="784"/>
      <c r="M184" s="784"/>
      <c r="N184" s="784"/>
      <c r="O184" s="784"/>
      <c r="P184" s="784"/>
      <c r="Q184" s="784"/>
      <c r="R184" s="784"/>
      <c r="S184" s="784"/>
      <c r="T184" s="784"/>
      <c r="U184" s="784"/>
      <c r="V184" s="784"/>
      <c r="W184" s="784"/>
      <c r="X184" s="784"/>
      <c r="Y184" s="784"/>
      <c r="Z184" s="784"/>
      <c r="AA184" s="784"/>
      <c r="AB184" s="784"/>
    </row>
    <row r="185" spans="3:28" ht="15.75" customHeight="1">
      <c r="C185" s="784"/>
      <c r="D185" s="784"/>
      <c r="E185" s="784"/>
      <c r="F185" s="784"/>
      <c r="G185" s="784"/>
      <c r="H185" s="784"/>
      <c r="I185" s="784"/>
      <c r="J185" s="784"/>
      <c r="K185" s="784"/>
      <c r="L185" s="784"/>
      <c r="M185" s="784"/>
      <c r="N185" s="784"/>
      <c r="O185" s="784"/>
      <c r="P185" s="784"/>
      <c r="Q185" s="784"/>
      <c r="R185" s="784"/>
      <c r="S185" s="784"/>
      <c r="T185" s="784"/>
      <c r="U185" s="784"/>
      <c r="V185" s="784"/>
      <c r="W185" s="784"/>
      <c r="X185" s="784"/>
      <c r="Y185" s="784"/>
      <c r="Z185" s="784"/>
      <c r="AA185" s="784"/>
      <c r="AB185" s="784"/>
    </row>
    <row r="186" spans="3:28" ht="15.75" customHeight="1">
      <c r="C186" s="784"/>
      <c r="D186" s="784"/>
      <c r="E186" s="784"/>
      <c r="F186" s="784"/>
      <c r="G186" s="784"/>
      <c r="H186" s="784"/>
      <c r="I186" s="784"/>
      <c r="J186" s="784"/>
      <c r="K186" s="784"/>
      <c r="L186" s="784"/>
      <c r="M186" s="784"/>
      <c r="N186" s="784"/>
      <c r="O186" s="784"/>
      <c r="P186" s="784"/>
      <c r="Q186" s="784"/>
      <c r="R186" s="784"/>
      <c r="S186" s="784"/>
      <c r="T186" s="784"/>
      <c r="U186" s="784"/>
      <c r="V186" s="784"/>
      <c r="W186" s="784"/>
      <c r="X186" s="784"/>
      <c r="Y186" s="784"/>
      <c r="Z186" s="784"/>
      <c r="AA186" s="784"/>
      <c r="AB186" s="784"/>
    </row>
    <row r="187" spans="3:28" ht="15.75" customHeight="1">
      <c r="C187" s="784"/>
      <c r="D187" s="784"/>
      <c r="E187" s="784"/>
      <c r="F187" s="784"/>
      <c r="G187" s="784"/>
      <c r="H187" s="784"/>
      <c r="I187" s="784"/>
      <c r="J187" s="784"/>
      <c r="K187" s="784"/>
      <c r="L187" s="784"/>
      <c r="M187" s="784"/>
      <c r="N187" s="784"/>
      <c r="O187" s="784"/>
      <c r="P187" s="784"/>
      <c r="Q187" s="784"/>
      <c r="R187" s="784"/>
      <c r="S187" s="784"/>
      <c r="T187" s="784"/>
      <c r="U187" s="784"/>
      <c r="V187" s="784"/>
      <c r="W187" s="784"/>
      <c r="X187" s="784"/>
      <c r="Y187" s="784"/>
      <c r="Z187" s="784"/>
      <c r="AA187" s="784"/>
      <c r="AB187" s="784"/>
    </row>
    <row r="188" spans="3:28" ht="15.75" customHeight="1">
      <c r="C188" s="784"/>
      <c r="D188" s="784"/>
      <c r="E188" s="784"/>
      <c r="F188" s="784"/>
      <c r="G188" s="784"/>
      <c r="H188" s="784"/>
      <c r="I188" s="784"/>
      <c r="J188" s="784"/>
      <c r="K188" s="784"/>
      <c r="L188" s="784"/>
      <c r="M188" s="784"/>
      <c r="N188" s="784"/>
      <c r="O188" s="784"/>
      <c r="P188" s="784"/>
      <c r="Q188" s="784"/>
      <c r="R188" s="784"/>
      <c r="S188" s="784"/>
      <c r="T188" s="784"/>
      <c r="U188" s="784"/>
      <c r="V188" s="784"/>
      <c r="W188" s="784"/>
      <c r="X188" s="784"/>
      <c r="Y188" s="784"/>
      <c r="Z188" s="784"/>
      <c r="AA188" s="784"/>
      <c r="AB188" s="784"/>
    </row>
    <row r="189" spans="3:28" ht="15.75" customHeight="1">
      <c r="C189" s="784"/>
      <c r="D189" s="784"/>
      <c r="E189" s="784"/>
      <c r="F189" s="784"/>
      <c r="G189" s="784"/>
      <c r="H189" s="784"/>
      <c r="I189" s="784"/>
      <c r="J189" s="784"/>
      <c r="K189" s="784"/>
      <c r="L189" s="784"/>
      <c r="M189" s="784"/>
      <c r="N189" s="784"/>
      <c r="O189" s="784"/>
      <c r="P189" s="784"/>
      <c r="Q189" s="784"/>
      <c r="R189" s="784"/>
      <c r="S189" s="784"/>
      <c r="T189" s="784"/>
      <c r="U189" s="784"/>
      <c r="V189" s="784"/>
      <c r="W189" s="784"/>
      <c r="X189" s="784"/>
      <c r="Y189" s="784"/>
      <c r="Z189" s="784"/>
      <c r="AA189" s="784"/>
      <c r="AB189" s="784"/>
    </row>
    <row r="190" spans="3:28" ht="15.75" customHeight="1">
      <c r="C190" s="784"/>
      <c r="D190" s="784"/>
      <c r="E190" s="784"/>
      <c r="F190" s="784"/>
      <c r="G190" s="784"/>
      <c r="H190" s="784"/>
      <c r="I190" s="784"/>
      <c r="J190" s="784"/>
      <c r="K190" s="784"/>
      <c r="L190" s="784"/>
      <c r="M190" s="784"/>
      <c r="N190" s="784"/>
      <c r="O190" s="784"/>
      <c r="P190" s="784"/>
      <c r="Q190" s="784"/>
      <c r="R190" s="784"/>
      <c r="S190" s="784"/>
      <c r="T190" s="784"/>
      <c r="U190" s="784"/>
      <c r="V190" s="784"/>
      <c r="W190" s="784"/>
      <c r="X190" s="784"/>
      <c r="Y190" s="784"/>
      <c r="Z190" s="784"/>
      <c r="AA190" s="784"/>
      <c r="AB190" s="784"/>
    </row>
    <row r="191" spans="3:28" ht="15.75" customHeight="1">
      <c r="C191" s="784"/>
      <c r="D191" s="784"/>
      <c r="E191" s="784"/>
      <c r="F191" s="784"/>
      <c r="G191" s="784"/>
      <c r="H191" s="784"/>
      <c r="I191" s="784"/>
      <c r="J191" s="784"/>
      <c r="K191" s="784"/>
      <c r="L191" s="784"/>
      <c r="M191" s="784"/>
      <c r="N191" s="784"/>
      <c r="O191" s="784"/>
      <c r="P191" s="784"/>
      <c r="Q191" s="784"/>
      <c r="R191" s="784"/>
      <c r="S191" s="784"/>
      <c r="T191" s="784"/>
      <c r="U191" s="784"/>
      <c r="V191" s="784"/>
      <c r="W191" s="784"/>
      <c r="X191" s="784"/>
      <c r="Y191" s="784"/>
      <c r="Z191" s="784"/>
      <c r="AA191" s="784"/>
      <c r="AB191" s="784"/>
    </row>
    <row r="192" spans="3:28" ht="15.75" customHeight="1">
      <c r="C192" s="784"/>
      <c r="D192" s="784"/>
      <c r="E192" s="784"/>
      <c r="F192" s="784"/>
      <c r="G192" s="784"/>
      <c r="H192" s="784"/>
      <c r="I192" s="784"/>
      <c r="J192" s="784"/>
      <c r="K192" s="784"/>
      <c r="L192" s="784"/>
      <c r="M192" s="784"/>
      <c r="N192" s="784"/>
      <c r="O192" s="784"/>
      <c r="P192" s="784"/>
      <c r="Q192" s="784"/>
      <c r="R192" s="784"/>
      <c r="S192" s="784"/>
      <c r="T192" s="784"/>
      <c r="U192" s="784"/>
      <c r="V192" s="784"/>
      <c r="W192" s="784"/>
      <c r="X192" s="784"/>
      <c r="Y192" s="784"/>
      <c r="Z192" s="784"/>
      <c r="AA192" s="784"/>
      <c r="AB192" s="784"/>
    </row>
    <row r="193" spans="3:28" ht="15.75" customHeight="1">
      <c r="C193" s="784"/>
      <c r="D193" s="784"/>
      <c r="E193" s="784"/>
      <c r="F193" s="784"/>
      <c r="G193" s="784"/>
      <c r="H193" s="784"/>
      <c r="I193" s="784"/>
      <c r="J193" s="784"/>
      <c r="K193" s="784"/>
      <c r="L193" s="784"/>
      <c r="M193" s="784"/>
      <c r="N193" s="784"/>
      <c r="O193" s="784"/>
      <c r="P193" s="784"/>
      <c r="Q193" s="784"/>
      <c r="R193" s="784"/>
      <c r="S193" s="784"/>
      <c r="T193" s="784"/>
      <c r="U193" s="784"/>
      <c r="V193" s="784"/>
      <c r="W193" s="784"/>
      <c r="X193" s="784"/>
      <c r="Y193" s="784"/>
      <c r="Z193" s="784"/>
      <c r="AA193" s="784"/>
      <c r="AB193" s="784"/>
    </row>
    <row r="194" spans="3:28" ht="15.75" customHeight="1">
      <c r="C194" s="784"/>
      <c r="D194" s="784"/>
      <c r="E194" s="784"/>
      <c r="F194" s="784"/>
      <c r="G194" s="784"/>
      <c r="H194" s="784"/>
      <c r="I194" s="784"/>
      <c r="J194" s="784"/>
      <c r="K194" s="784"/>
      <c r="L194" s="784"/>
      <c r="M194" s="784"/>
      <c r="N194" s="784"/>
      <c r="O194" s="784"/>
      <c r="P194" s="784"/>
      <c r="Q194" s="784"/>
      <c r="R194" s="784"/>
      <c r="S194" s="784"/>
      <c r="T194" s="784"/>
      <c r="U194" s="784"/>
      <c r="V194" s="784"/>
      <c r="W194" s="784"/>
      <c r="X194" s="784"/>
      <c r="Y194" s="784"/>
      <c r="Z194" s="784"/>
      <c r="AA194" s="784"/>
      <c r="AB194" s="784"/>
    </row>
    <row r="195" spans="3:28" ht="15.75" customHeight="1">
      <c r="C195" s="784"/>
      <c r="D195" s="784"/>
      <c r="E195" s="784"/>
      <c r="F195" s="784"/>
      <c r="G195" s="784"/>
      <c r="H195" s="784"/>
      <c r="I195" s="784"/>
      <c r="J195" s="784"/>
      <c r="K195" s="784"/>
      <c r="L195" s="784"/>
      <c r="M195" s="784"/>
      <c r="N195" s="784"/>
      <c r="O195" s="784"/>
      <c r="P195" s="784"/>
      <c r="Q195" s="784"/>
      <c r="R195" s="784"/>
      <c r="S195" s="784"/>
      <c r="T195" s="784"/>
      <c r="U195" s="784"/>
      <c r="V195" s="784"/>
      <c r="W195" s="784"/>
      <c r="X195" s="784"/>
      <c r="Y195" s="784"/>
      <c r="Z195" s="784"/>
      <c r="AA195" s="784"/>
      <c r="AB195" s="784"/>
    </row>
    <row r="196" spans="3:28" ht="15.75" customHeight="1">
      <c r="C196" s="784"/>
      <c r="D196" s="784"/>
      <c r="E196" s="784"/>
      <c r="F196" s="784"/>
      <c r="G196" s="784"/>
      <c r="H196" s="784"/>
      <c r="I196" s="784"/>
      <c r="J196" s="784"/>
      <c r="K196" s="784"/>
      <c r="L196" s="784"/>
      <c r="M196" s="784"/>
      <c r="N196" s="784"/>
      <c r="O196" s="784"/>
      <c r="P196" s="784"/>
      <c r="Q196" s="784"/>
      <c r="R196" s="784"/>
      <c r="S196" s="784"/>
      <c r="T196" s="784"/>
      <c r="U196" s="784"/>
      <c r="V196" s="784"/>
      <c r="W196" s="784"/>
      <c r="X196" s="784"/>
      <c r="Y196" s="784"/>
      <c r="Z196" s="784"/>
      <c r="AA196" s="784"/>
      <c r="AB196" s="784"/>
    </row>
    <row r="197" spans="3:28" ht="15.75" customHeight="1">
      <c r="C197" s="784"/>
      <c r="D197" s="784"/>
      <c r="E197" s="784"/>
      <c r="F197" s="784"/>
      <c r="G197" s="784"/>
      <c r="H197" s="784"/>
      <c r="I197" s="784"/>
      <c r="J197" s="784"/>
      <c r="K197" s="784"/>
      <c r="L197" s="784"/>
      <c r="M197" s="784"/>
      <c r="N197" s="784"/>
      <c r="O197" s="784"/>
      <c r="P197" s="784"/>
      <c r="Q197" s="784"/>
      <c r="R197" s="784"/>
      <c r="S197" s="784"/>
      <c r="T197" s="784"/>
      <c r="U197" s="784"/>
      <c r="V197" s="784"/>
      <c r="W197" s="784"/>
      <c r="X197" s="784"/>
      <c r="Y197" s="784"/>
      <c r="Z197" s="784"/>
      <c r="AA197" s="784"/>
      <c r="AB197" s="784"/>
    </row>
    <row r="198" spans="3:28" ht="15.75" customHeight="1">
      <c r="C198" s="784"/>
      <c r="D198" s="784"/>
      <c r="E198" s="784"/>
      <c r="F198" s="784"/>
      <c r="G198" s="784"/>
      <c r="H198" s="784"/>
      <c r="I198" s="784"/>
      <c r="J198" s="784"/>
      <c r="K198" s="784"/>
      <c r="L198" s="784"/>
      <c r="M198" s="784"/>
      <c r="N198" s="784"/>
      <c r="O198" s="784"/>
      <c r="P198" s="784"/>
      <c r="Q198" s="784"/>
      <c r="R198" s="784"/>
      <c r="S198" s="784"/>
      <c r="T198" s="784"/>
      <c r="U198" s="784"/>
      <c r="V198" s="784"/>
      <c r="W198" s="784"/>
      <c r="X198" s="784"/>
      <c r="Y198" s="784"/>
      <c r="Z198" s="784"/>
      <c r="AA198" s="784"/>
      <c r="AB198" s="784"/>
    </row>
    <row r="199" spans="3:28" ht="15.75" customHeight="1">
      <c r="C199" s="784"/>
      <c r="D199" s="784"/>
      <c r="E199" s="784"/>
      <c r="F199" s="784"/>
      <c r="G199" s="784"/>
      <c r="H199" s="784"/>
      <c r="I199" s="784"/>
      <c r="J199" s="784"/>
      <c r="K199" s="784"/>
      <c r="L199" s="784"/>
      <c r="M199" s="784"/>
      <c r="N199" s="784"/>
      <c r="O199" s="784"/>
      <c r="P199" s="784"/>
      <c r="Q199" s="784"/>
      <c r="R199" s="784"/>
      <c r="S199" s="784"/>
      <c r="T199" s="784"/>
      <c r="U199" s="784"/>
      <c r="V199" s="784"/>
      <c r="W199" s="784"/>
      <c r="X199" s="784"/>
      <c r="Y199" s="784"/>
      <c r="Z199" s="784"/>
      <c r="AA199" s="784"/>
      <c r="AB199" s="784"/>
    </row>
    <row r="200" spans="3:28" ht="15.75" customHeight="1">
      <c r="C200" s="784"/>
      <c r="D200" s="784"/>
      <c r="E200" s="784"/>
      <c r="F200" s="784"/>
      <c r="G200" s="784"/>
      <c r="H200" s="784"/>
      <c r="I200" s="784"/>
      <c r="J200" s="784"/>
      <c r="K200" s="784"/>
      <c r="L200" s="784"/>
      <c r="M200" s="784"/>
      <c r="N200" s="784"/>
      <c r="O200" s="784"/>
      <c r="P200" s="784"/>
      <c r="Q200" s="784"/>
      <c r="R200" s="784"/>
      <c r="S200" s="784"/>
      <c r="T200" s="784"/>
      <c r="U200" s="784"/>
      <c r="V200" s="784"/>
      <c r="W200" s="784"/>
      <c r="X200" s="784"/>
      <c r="Y200" s="784"/>
      <c r="Z200" s="784"/>
      <c r="AA200" s="784"/>
      <c r="AB200" s="784"/>
    </row>
    <row r="201" spans="3:28" ht="15.75" customHeight="1">
      <c r="C201" s="784"/>
      <c r="D201" s="784"/>
      <c r="E201" s="784"/>
      <c r="F201" s="784"/>
      <c r="G201" s="784"/>
      <c r="H201" s="784"/>
      <c r="I201" s="784"/>
      <c r="J201" s="784"/>
      <c r="K201" s="784"/>
      <c r="L201" s="784"/>
      <c r="M201" s="784"/>
      <c r="N201" s="784"/>
      <c r="O201" s="784"/>
      <c r="P201" s="784"/>
      <c r="Q201" s="784"/>
      <c r="R201" s="784"/>
      <c r="S201" s="784"/>
      <c r="T201" s="784"/>
      <c r="U201" s="784"/>
      <c r="V201" s="784"/>
      <c r="W201" s="784"/>
      <c r="X201" s="784"/>
      <c r="Y201" s="784"/>
      <c r="Z201" s="784"/>
      <c r="AA201" s="784"/>
      <c r="AB201" s="784"/>
    </row>
    <row r="202" spans="3:28" ht="15.75" customHeight="1">
      <c r="C202" s="784"/>
      <c r="D202" s="784"/>
      <c r="E202" s="784"/>
      <c r="F202" s="784"/>
      <c r="G202" s="784"/>
      <c r="H202" s="784"/>
      <c r="I202" s="784"/>
      <c r="J202" s="784"/>
      <c r="K202" s="784"/>
      <c r="L202" s="784"/>
      <c r="M202" s="784"/>
      <c r="N202" s="784"/>
      <c r="O202" s="784"/>
      <c r="P202" s="784"/>
      <c r="Q202" s="784"/>
      <c r="R202" s="784"/>
      <c r="S202" s="784"/>
      <c r="T202" s="784"/>
      <c r="U202" s="784"/>
      <c r="V202" s="784"/>
      <c r="W202" s="784"/>
      <c r="X202" s="784"/>
      <c r="Y202" s="784"/>
      <c r="Z202" s="784"/>
      <c r="AA202" s="784"/>
      <c r="AB202" s="784"/>
    </row>
    <row r="203" spans="3:28" ht="15.75" customHeight="1">
      <c r="C203" s="784"/>
      <c r="D203" s="784"/>
      <c r="E203" s="784"/>
      <c r="F203" s="784"/>
      <c r="G203" s="784"/>
      <c r="H203" s="784"/>
      <c r="I203" s="784"/>
      <c r="J203" s="784"/>
      <c r="K203" s="784"/>
      <c r="L203" s="784"/>
      <c r="M203" s="784"/>
      <c r="N203" s="784"/>
      <c r="O203" s="784"/>
      <c r="P203" s="784"/>
      <c r="Q203" s="784"/>
      <c r="R203" s="784"/>
      <c r="S203" s="784"/>
      <c r="T203" s="784"/>
      <c r="U203" s="784"/>
      <c r="V203" s="784"/>
      <c r="W203" s="784"/>
      <c r="X203" s="784"/>
      <c r="Y203" s="784"/>
      <c r="Z203" s="784"/>
      <c r="AA203" s="784"/>
      <c r="AB203" s="784"/>
    </row>
    <row r="204" spans="3:28" ht="15.75" customHeight="1">
      <c r="C204" s="784"/>
      <c r="D204" s="784"/>
      <c r="E204" s="784"/>
      <c r="F204" s="784"/>
      <c r="G204" s="784"/>
      <c r="H204" s="784"/>
      <c r="I204" s="784"/>
      <c r="J204" s="784"/>
      <c r="K204" s="784"/>
      <c r="L204" s="784"/>
      <c r="M204" s="784"/>
      <c r="N204" s="784"/>
      <c r="O204" s="784"/>
      <c r="P204" s="784"/>
      <c r="Q204" s="784"/>
      <c r="R204" s="784"/>
      <c r="S204" s="784"/>
      <c r="T204" s="784"/>
      <c r="U204" s="784"/>
      <c r="V204" s="784"/>
      <c r="W204" s="784"/>
      <c r="X204" s="784"/>
      <c r="Y204" s="784"/>
      <c r="Z204" s="784"/>
      <c r="AA204" s="784"/>
      <c r="AB204" s="784"/>
    </row>
    <row r="205" spans="3:28" ht="15.75" customHeight="1">
      <c r="C205" s="784"/>
      <c r="D205" s="784"/>
      <c r="E205" s="784"/>
      <c r="F205" s="784"/>
      <c r="G205" s="784"/>
      <c r="H205" s="784"/>
      <c r="I205" s="784"/>
      <c r="J205" s="784"/>
      <c r="K205" s="784"/>
      <c r="L205" s="784"/>
      <c r="M205" s="784"/>
      <c r="N205" s="784"/>
      <c r="O205" s="784"/>
      <c r="P205" s="784"/>
      <c r="Q205" s="784"/>
      <c r="R205" s="784"/>
      <c r="S205" s="784"/>
      <c r="T205" s="784"/>
      <c r="U205" s="784"/>
      <c r="V205" s="784"/>
      <c r="W205" s="784"/>
      <c r="X205" s="784"/>
      <c r="Y205" s="784"/>
      <c r="Z205" s="784"/>
      <c r="AA205" s="784"/>
      <c r="AB205" s="784"/>
    </row>
    <row r="206" spans="3:28" ht="15.75" customHeight="1">
      <c r="C206" s="784"/>
      <c r="D206" s="784"/>
      <c r="E206" s="784"/>
      <c r="F206" s="784"/>
      <c r="G206" s="784"/>
      <c r="H206" s="784"/>
      <c r="I206" s="784"/>
      <c r="J206" s="784"/>
      <c r="K206" s="784"/>
      <c r="L206" s="784"/>
      <c r="M206" s="784"/>
      <c r="N206" s="784"/>
      <c r="O206" s="784"/>
      <c r="P206" s="784"/>
      <c r="Q206" s="784"/>
      <c r="R206" s="784"/>
      <c r="S206" s="784"/>
      <c r="T206" s="784"/>
      <c r="U206" s="784"/>
      <c r="V206" s="784"/>
      <c r="W206" s="784"/>
      <c r="X206" s="784"/>
      <c r="Y206" s="784"/>
      <c r="Z206" s="784"/>
      <c r="AA206" s="784"/>
      <c r="AB206" s="784"/>
    </row>
    <row r="207" spans="3:28" ht="15.75" customHeight="1">
      <c r="C207" s="784"/>
      <c r="D207" s="784"/>
      <c r="E207" s="784"/>
      <c r="F207" s="784"/>
      <c r="G207" s="784"/>
      <c r="H207" s="784"/>
      <c r="I207" s="784"/>
      <c r="J207" s="784"/>
      <c r="K207" s="784"/>
      <c r="L207" s="784"/>
      <c r="M207" s="784"/>
      <c r="N207" s="784"/>
      <c r="O207" s="784"/>
      <c r="P207" s="784"/>
      <c r="Q207" s="784"/>
      <c r="R207" s="784"/>
      <c r="S207" s="784"/>
      <c r="T207" s="784"/>
      <c r="U207" s="784"/>
      <c r="V207" s="784"/>
      <c r="W207" s="784"/>
      <c r="X207" s="784"/>
      <c r="Y207" s="784"/>
      <c r="Z207" s="784"/>
      <c r="AA207" s="784"/>
      <c r="AB207" s="784"/>
    </row>
    <row r="208" spans="3:28" ht="15.75" customHeight="1">
      <c r="C208" s="784"/>
      <c r="D208" s="784"/>
      <c r="E208" s="784"/>
      <c r="F208" s="784"/>
      <c r="G208" s="784"/>
      <c r="H208" s="784"/>
      <c r="I208" s="784"/>
      <c r="J208" s="784"/>
      <c r="K208" s="784"/>
      <c r="L208" s="784"/>
      <c r="M208" s="784"/>
      <c r="N208" s="784"/>
      <c r="O208" s="784"/>
      <c r="P208" s="784"/>
      <c r="Q208" s="784"/>
      <c r="R208" s="784"/>
      <c r="S208" s="784"/>
      <c r="T208" s="784"/>
      <c r="U208" s="784"/>
      <c r="V208" s="784"/>
      <c r="W208" s="784"/>
      <c r="X208" s="784"/>
      <c r="Y208" s="784"/>
      <c r="Z208" s="784"/>
      <c r="AA208" s="784"/>
      <c r="AB208" s="784"/>
    </row>
    <row r="209" spans="3:28" ht="15.75" customHeight="1">
      <c r="C209" s="784"/>
      <c r="D209" s="784"/>
      <c r="E209" s="784"/>
      <c r="F209" s="784"/>
      <c r="G209" s="784"/>
      <c r="H209" s="784"/>
      <c r="I209" s="784"/>
      <c r="J209" s="784"/>
      <c r="K209" s="784"/>
      <c r="L209" s="784"/>
      <c r="M209" s="784"/>
      <c r="N209" s="784"/>
      <c r="O209" s="784"/>
      <c r="P209" s="784"/>
      <c r="Q209" s="784"/>
      <c r="R209" s="784"/>
      <c r="S209" s="784"/>
      <c r="T209" s="784"/>
      <c r="U209" s="784"/>
      <c r="V209" s="784"/>
      <c r="W209" s="784"/>
      <c r="X209" s="784"/>
      <c r="Y209" s="784"/>
      <c r="Z209" s="784"/>
      <c r="AA209" s="784"/>
      <c r="AB209" s="784"/>
    </row>
    <row r="210" spans="3:28" ht="15.75" customHeight="1">
      <c r="C210" s="784"/>
      <c r="D210" s="784"/>
      <c r="E210" s="784"/>
      <c r="F210" s="784"/>
      <c r="G210" s="784"/>
      <c r="H210" s="784"/>
      <c r="I210" s="784"/>
      <c r="J210" s="784"/>
      <c r="K210" s="784"/>
      <c r="L210" s="784"/>
      <c r="M210" s="784"/>
      <c r="N210" s="784"/>
      <c r="O210" s="784"/>
      <c r="P210" s="784"/>
      <c r="Q210" s="784"/>
      <c r="R210" s="784"/>
      <c r="S210" s="784"/>
      <c r="T210" s="784"/>
      <c r="U210" s="784"/>
      <c r="V210" s="784"/>
      <c r="W210" s="784"/>
      <c r="X210" s="784"/>
      <c r="Y210" s="784"/>
      <c r="Z210" s="784"/>
      <c r="AA210" s="784"/>
      <c r="AB210" s="784"/>
    </row>
    <row r="211" spans="3:28" ht="15.75" customHeight="1">
      <c r="C211" s="784"/>
      <c r="D211" s="784"/>
      <c r="E211" s="784"/>
      <c r="F211" s="784"/>
      <c r="G211" s="784"/>
      <c r="H211" s="784"/>
      <c r="I211" s="784"/>
      <c r="J211" s="784"/>
      <c r="K211" s="784"/>
      <c r="L211" s="784"/>
      <c r="M211" s="784"/>
      <c r="N211" s="784"/>
      <c r="O211" s="784"/>
      <c r="P211" s="784"/>
      <c r="Q211" s="784"/>
      <c r="R211" s="784"/>
      <c r="S211" s="784"/>
      <c r="T211" s="784"/>
      <c r="U211" s="784"/>
      <c r="V211" s="784"/>
      <c r="W211" s="784"/>
      <c r="X211" s="784"/>
      <c r="Y211" s="784"/>
      <c r="Z211" s="784"/>
      <c r="AA211" s="784"/>
      <c r="AB211" s="784"/>
    </row>
    <row r="212" spans="3:28" ht="15.75" customHeight="1">
      <c r="C212" s="784"/>
      <c r="D212" s="784"/>
      <c r="E212" s="784"/>
      <c r="F212" s="784"/>
      <c r="G212" s="784"/>
      <c r="H212" s="784"/>
      <c r="I212" s="784"/>
      <c r="J212" s="784"/>
      <c r="K212" s="784"/>
      <c r="L212" s="784"/>
      <c r="M212" s="784"/>
      <c r="N212" s="784"/>
      <c r="O212" s="784"/>
      <c r="P212" s="784"/>
      <c r="Q212" s="784"/>
      <c r="R212" s="784"/>
      <c r="S212" s="784"/>
      <c r="T212" s="784"/>
      <c r="U212" s="784"/>
      <c r="V212" s="784"/>
      <c r="W212" s="784"/>
      <c r="X212" s="784"/>
      <c r="Y212" s="784"/>
      <c r="Z212" s="784"/>
      <c r="AA212" s="784"/>
      <c r="AB212" s="784"/>
    </row>
    <row r="213" spans="3:28" ht="15.75" customHeight="1">
      <c r="C213" s="784"/>
      <c r="D213" s="784"/>
      <c r="E213" s="784"/>
      <c r="F213" s="784"/>
      <c r="G213" s="784"/>
      <c r="H213" s="784"/>
      <c r="I213" s="784"/>
      <c r="J213" s="784"/>
      <c r="K213" s="784"/>
      <c r="L213" s="784"/>
      <c r="M213" s="784"/>
      <c r="N213" s="784"/>
      <c r="O213" s="784"/>
      <c r="P213" s="784"/>
      <c r="Q213" s="784"/>
      <c r="R213" s="784"/>
      <c r="S213" s="784"/>
      <c r="T213" s="784"/>
      <c r="U213" s="784"/>
      <c r="V213" s="784"/>
      <c r="W213" s="784"/>
      <c r="X213" s="784"/>
      <c r="Y213" s="784"/>
      <c r="Z213" s="784"/>
      <c r="AA213" s="784"/>
      <c r="AB213" s="784"/>
    </row>
    <row r="214" spans="3:28" ht="15.75" customHeight="1">
      <c r="C214" s="784"/>
      <c r="D214" s="784"/>
      <c r="E214" s="784"/>
      <c r="F214" s="784"/>
      <c r="G214" s="784"/>
      <c r="H214" s="784"/>
      <c r="I214" s="784"/>
      <c r="J214" s="784"/>
      <c r="K214" s="784"/>
      <c r="L214" s="784"/>
      <c r="M214" s="784"/>
      <c r="N214" s="784"/>
      <c r="O214" s="784"/>
      <c r="P214" s="784"/>
      <c r="Q214" s="784"/>
      <c r="R214" s="784"/>
      <c r="S214" s="784"/>
      <c r="T214" s="784"/>
      <c r="U214" s="784"/>
      <c r="V214" s="784"/>
      <c r="W214" s="784"/>
      <c r="X214" s="784"/>
      <c r="Y214" s="784"/>
      <c r="Z214" s="784"/>
      <c r="AA214" s="784"/>
      <c r="AB214" s="784"/>
    </row>
    <row r="215" spans="3:28" ht="15.75" customHeight="1">
      <c r="C215" s="784"/>
      <c r="D215" s="784"/>
      <c r="E215" s="784"/>
      <c r="F215" s="784"/>
      <c r="G215" s="784"/>
      <c r="H215" s="784"/>
      <c r="I215" s="784"/>
      <c r="J215" s="784"/>
      <c r="K215" s="784"/>
      <c r="L215" s="784"/>
      <c r="M215" s="784"/>
      <c r="N215" s="784"/>
      <c r="O215" s="784"/>
      <c r="P215" s="784"/>
      <c r="Q215" s="784"/>
      <c r="R215" s="784"/>
      <c r="S215" s="784"/>
      <c r="T215" s="784"/>
      <c r="U215" s="784"/>
      <c r="V215" s="784"/>
      <c r="W215" s="784"/>
      <c r="X215" s="784"/>
      <c r="Y215" s="784"/>
      <c r="Z215" s="784"/>
      <c r="AA215" s="784"/>
      <c r="AB215" s="784"/>
    </row>
    <row r="216" spans="3:28" ht="15.75" customHeight="1">
      <c r="C216" s="784"/>
      <c r="D216" s="784"/>
      <c r="E216" s="784"/>
      <c r="F216" s="784"/>
      <c r="G216" s="784"/>
      <c r="H216" s="784"/>
      <c r="I216" s="784"/>
      <c r="J216" s="784"/>
      <c r="K216" s="784"/>
      <c r="L216" s="784"/>
      <c r="M216" s="784"/>
      <c r="N216" s="784"/>
      <c r="O216" s="784"/>
      <c r="P216" s="784"/>
      <c r="Q216" s="784"/>
      <c r="R216" s="784"/>
      <c r="S216" s="784"/>
      <c r="T216" s="784"/>
      <c r="U216" s="784"/>
      <c r="V216" s="784"/>
      <c r="W216" s="784"/>
      <c r="X216" s="784"/>
      <c r="Y216" s="784"/>
      <c r="Z216" s="784"/>
      <c r="AA216" s="784"/>
      <c r="AB216" s="784"/>
    </row>
    <row r="217" spans="3:28" ht="15.75" customHeight="1">
      <c r="C217" s="784"/>
      <c r="D217" s="784"/>
      <c r="E217" s="784"/>
      <c r="F217" s="784"/>
      <c r="G217" s="784"/>
      <c r="H217" s="784"/>
      <c r="I217" s="784"/>
      <c r="J217" s="784"/>
      <c r="K217" s="784"/>
      <c r="L217" s="784"/>
      <c r="M217" s="784"/>
      <c r="N217" s="784"/>
      <c r="O217" s="784"/>
      <c r="P217" s="784"/>
      <c r="Q217" s="784"/>
      <c r="R217" s="784"/>
      <c r="S217" s="784"/>
      <c r="T217" s="784"/>
      <c r="U217" s="784"/>
      <c r="V217" s="784"/>
      <c r="W217" s="784"/>
      <c r="X217" s="784"/>
      <c r="Y217" s="784"/>
      <c r="Z217" s="784"/>
      <c r="AA217" s="784"/>
      <c r="AB217" s="784"/>
    </row>
    <row r="218" spans="3:28" ht="15.75" customHeight="1">
      <c r="C218" s="784"/>
      <c r="D218" s="784"/>
      <c r="E218" s="784"/>
      <c r="F218" s="784"/>
      <c r="G218" s="784"/>
      <c r="H218" s="784"/>
      <c r="I218" s="784"/>
      <c r="J218" s="784"/>
      <c r="K218" s="784"/>
      <c r="L218" s="784"/>
      <c r="M218" s="784"/>
      <c r="N218" s="784"/>
      <c r="O218" s="784"/>
      <c r="P218" s="784"/>
      <c r="Q218" s="784"/>
      <c r="R218" s="784"/>
      <c r="S218" s="784"/>
      <c r="T218" s="784"/>
      <c r="U218" s="784"/>
      <c r="V218" s="784"/>
      <c r="W218" s="784"/>
      <c r="X218" s="784"/>
      <c r="Y218" s="784"/>
      <c r="Z218" s="784"/>
      <c r="AA218" s="784"/>
      <c r="AB218" s="784"/>
    </row>
    <row r="219" spans="3:28" ht="15.75" customHeight="1">
      <c r="C219" s="784"/>
      <c r="D219" s="784"/>
      <c r="E219" s="784"/>
      <c r="F219" s="784"/>
      <c r="G219" s="784"/>
      <c r="H219" s="784"/>
      <c r="I219" s="784"/>
      <c r="J219" s="784"/>
      <c r="K219" s="784"/>
      <c r="L219" s="784"/>
      <c r="M219" s="784"/>
      <c r="N219" s="784"/>
      <c r="O219" s="784"/>
      <c r="P219" s="784"/>
      <c r="Q219" s="784"/>
      <c r="R219" s="784"/>
      <c r="S219" s="784"/>
      <c r="T219" s="784"/>
      <c r="U219" s="784"/>
      <c r="V219" s="784"/>
      <c r="W219" s="784"/>
      <c r="X219" s="784"/>
      <c r="Y219" s="784"/>
      <c r="Z219" s="784"/>
      <c r="AA219" s="784"/>
      <c r="AB219" s="784"/>
    </row>
    <row r="220" spans="3:28" ht="15.75" customHeight="1">
      <c r="C220" s="784"/>
      <c r="D220" s="784"/>
      <c r="E220" s="784"/>
      <c r="F220" s="784"/>
      <c r="G220" s="784"/>
      <c r="H220" s="784"/>
      <c r="I220" s="784"/>
      <c r="J220" s="784"/>
      <c r="K220" s="784"/>
      <c r="L220" s="784"/>
      <c r="M220" s="784"/>
      <c r="N220" s="784"/>
      <c r="O220" s="784"/>
      <c r="P220" s="784"/>
      <c r="Q220" s="784"/>
      <c r="R220" s="784"/>
      <c r="S220" s="784"/>
      <c r="T220" s="784"/>
      <c r="U220" s="784"/>
      <c r="V220" s="784"/>
      <c r="W220" s="784"/>
      <c r="X220" s="784"/>
      <c r="Y220" s="784"/>
      <c r="Z220" s="784"/>
      <c r="AA220" s="784"/>
      <c r="AB220" s="784"/>
    </row>
    <row r="221" spans="3:28" ht="15.75" customHeight="1">
      <c r="C221" s="784"/>
      <c r="D221" s="784"/>
      <c r="E221" s="784"/>
      <c r="F221" s="784"/>
      <c r="G221" s="784"/>
      <c r="H221" s="784"/>
      <c r="I221" s="784"/>
      <c r="J221" s="784"/>
      <c r="K221" s="784"/>
      <c r="L221" s="784"/>
      <c r="M221" s="784"/>
      <c r="N221" s="784"/>
      <c r="O221" s="784"/>
      <c r="P221" s="784"/>
      <c r="Q221" s="784"/>
      <c r="R221" s="784"/>
      <c r="S221" s="784"/>
      <c r="T221" s="784"/>
      <c r="U221" s="784"/>
      <c r="V221" s="784"/>
      <c r="W221" s="784"/>
      <c r="X221" s="784"/>
      <c r="Y221" s="784"/>
      <c r="Z221" s="784"/>
      <c r="AA221" s="784"/>
      <c r="AB221" s="784"/>
    </row>
    <row r="222" spans="3:28" ht="15.75" customHeight="1">
      <c r="C222" s="784"/>
      <c r="D222" s="784"/>
      <c r="E222" s="784"/>
      <c r="F222" s="784"/>
      <c r="G222" s="784"/>
      <c r="H222" s="784"/>
      <c r="I222" s="784"/>
      <c r="J222" s="784"/>
      <c r="K222" s="784"/>
      <c r="L222" s="784"/>
      <c r="M222" s="784"/>
      <c r="N222" s="784"/>
      <c r="O222" s="784"/>
      <c r="P222" s="784"/>
      <c r="Q222" s="784"/>
      <c r="R222" s="784"/>
      <c r="S222" s="784"/>
      <c r="T222" s="784"/>
      <c r="U222" s="784"/>
      <c r="V222" s="784"/>
      <c r="W222" s="784"/>
      <c r="X222" s="784"/>
      <c r="Y222" s="784"/>
      <c r="Z222" s="784"/>
      <c r="AA222" s="784"/>
      <c r="AB222" s="784"/>
    </row>
    <row r="223" spans="3:28" ht="15.75" customHeight="1">
      <c r="C223" s="784"/>
      <c r="D223" s="784"/>
      <c r="E223" s="784"/>
      <c r="F223" s="784"/>
      <c r="G223" s="784"/>
      <c r="H223" s="784"/>
      <c r="I223" s="784"/>
      <c r="J223" s="784"/>
      <c r="K223" s="784"/>
      <c r="L223" s="784"/>
      <c r="M223" s="784"/>
      <c r="N223" s="784"/>
      <c r="O223" s="784"/>
      <c r="P223" s="784"/>
      <c r="Q223" s="784"/>
      <c r="R223" s="784"/>
      <c r="S223" s="784"/>
      <c r="T223" s="784"/>
      <c r="U223" s="784"/>
      <c r="V223" s="784"/>
      <c r="W223" s="784"/>
      <c r="X223" s="784"/>
      <c r="Y223" s="784"/>
      <c r="Z223" s="784"/>
      <c r="AA223" s="784"/>
      <c r="AB223" s="784"/>
    </row>
    <row r="224" spans="3:28" ht="15.75" customHeight="1">
      <c r="C224" s="784"/>
      <c r="D224" s="784"/>
      <c r="E224" s="784"/>
      <c r="F224" s="784"/>
      <c r="G224" s="784"/>
      <c r="H224" s="784"/>
      <c r="I224" s="784"/>
      <c r="J224" s="784"/>
      <c r="K224" s="784"/>
      <c r="L224" s="784"/>
      <c r="M224" s="784"/>
      <c r="N224" s="784"/>
      <c r="O224" s="784"/>
      <c r="P224" s="784"/>
      <c r="Q224" s="784"/>
      <c r="R224" s="784"/>
      <c r="S224" s="784"/>
      <c r="T224" s="784"/>
      <c r="U224" s="784"/>
      <c r="V224" s="784"/>
      <c r="W224" s="784"/>
      <c r="X224" s="784"/>
      <c r="Y224" s="784"/>
      <c r="Z224" s="784"/>
      <c r="AA224" s="784"/>
      <c r="AB224" s="784"/>
    </row>
    <row r="225" spans="3:28" ht="15.75" customHeight="1">
      <c r="C225" s="784"/>
      <c r="D225" s="784"/>
      <c r="E225" s="784"/>
      <c r="F225" s="784"/>
      <c r="G225" s="784"/>
      <c r="H225" s="784"/>
      <c r="I225" s="784"/>
      <c r="J225" s="784"/>
      <c r="K225" s="784"/>
      <c r="L225" s="784"/>
      <c r="M225" s="784"/>
      <c r="N225" s="784"/>
      <c r="O225" s="784"/>
      <c r="P225" s="784"/>
      <c r="Q225" s="784"/>
      <c r="R225" s="784"/>
      <c r="S225" s="784"/>
      <c r="T225" s="784"/>
      <c r="U225" s="784"/>
      <c r="V225" s="784"/>
      <c r="W225" s="784"/>
      <c r="X225" s="784"/>
      <c r="Y225" s="784"/>
      <c r="Z225" s="784"/>
      <c r="AA225" s="784"/>
      <c r="AB225" s="784"/>
    </row>
    <row r="226" spans="3:28" ht="15.75" customHeight="1">
      <c r="C226" s="784"/>
      <c r="D226" s="784"/>
      <c r="E226" s="784"/>
      <c r="F226" s="784"/>
      <c r="G226" s="784"/>
      <c r="H226" s="784"/>
      <c r="I226" s="784"/>
      <c r="J226" s="784"/>
      <c r="K226" s="784"/>
      <c r="L226" s="784"/>
      <c r="M226" s="784"/>
      <c r="N226" s="784"/>
      <c r="O226" s="784"/>
      <c r="P226" s="784"/>
      <c r="Q226" s="784"/>
      <c r="R226" s="784"/>
      <c r="S226" s="784"/>
      <c r="T226" s="784"/>
      <c r="U226" s="784"/>
      <c r="V226" s="784"/>
      <c r="W226" s="784"/>
      <c r="X226" s="784"/>
      <c r="Y226" s="784"/>
      <c r="Z226" s="784"/>
      <c r="AA226" s="784"/>
      <c r="AB226" s="784"/>
    </row>
    <row r="227" spans="3:28" ht="15.75" customHeight="1">
      <c r="C227" s="784"/>
      <c r="D227" s="784"/>
      <c r="E227" s="784"/>
      <c r="F227" s="784"/>
      <c r="G227" s="784"/>
      <c r="H227" s="784"/>
      <c r="I227" s="784"/>
      <c r="J227" s="784"/>
      <c r="K227" s="784"/>
      <c r="L227" s="784"/>
      <c r="M227" s="784"/>
      <c r="N227" s="784"/>
      <c r="O227" s="784"/>
      <c r="P227" s="784"/>
      <c r="Q227" s="784"/>
      <c r="R227" s="784"/>
      <c r="S227" s="784"/>
      <c r="T227" s="784"/>
      <c r="U227" s="784"/>
      <c r="V227" s="784"/>
      <c r="W227" s="784"/>
      <c r="X227" s="784"/>
      <c r="Y227" s="784"/>
      <c r="Z227" s="784"/>
      <c r="AA227" s="784"/>
      <c r="AB227" s="784"/>
    </row>
    <row r="228" spans="3:28" ht="15.75" customHeight="1">
      <c r="C228" s="784"/>
      <c r="D228" s="784"/>
      <c r="E228" s="784"/>
      <c r="F228" s="784"/>
      <c r="G228" s="784"/>
      <c r="H228" s="784"/>
      <c r="I228" s="784"/>
      <c r="J228" s="784"/>
      <c r="K228" s="784"/>
      <c r="L228" s="784"/>
      <c r="M228" s="784"/>
      <c r="N228" s="784"/>
      <c r="O228" s="784"/>
      <c r="P228" s="784"/>
      <c r="Q228" s="784"/>
      <c r="R228" s="784"/>
      <c r="S228" s="784"/>
      <c r="T228" s="784"/>
      <c r="U228" s="784"/>
      <c r="V228" s="784"/>
      <c r="W228" s="784"/>
      <c r="X228" s="784"/>
      <c r="Y228" s="784"/>
      <c r="Z228" s="784"/>
      <c r="AA228" s="784"/>
      <c r="AB228" s="784"/>
    </row>
    <row r="229" spans="3:28" ht="15.75" customHeight="1">
      <c r="C229" s="784"/>
      <c r="D229" s="784"/>
      <c r="E229" s="784"/>
      <c r="F229" s="784"/>
      <c r="G229" s="784"/>
      <c r="H229" s="784"/>
      <c r="I229" s="784"/>
      <c r="J229" s="784"/>
      <c r="K229" s="784"/>
      <c r="L229" s="784"/>
      <c r="M229" s="784"/>
      <c r="N229" s="784"/>
      <c r="O229" s="784"/>
      <c r="P229" s="784"/>
      <c r="Q229" s="784"/>
      <c r="R229" s="784"/>
      <c r="S229" s="784"/>
      <c r="T229" s="784"/>
      <c r="U229" s="784"/>
      <c r="V229" s="784"/>
      <c r="W229" s="784"/>
      <c r="X229" s="784"/>
      <c r="Y229" s="784"/>
      <c r="Z229" s="784"/>
      <c r="AA229" s="784"/>
      <c r="AB229" s="784"/>
    </row>
    <row r="230" spans="3:28" ht="15.75" customHeight="1">
      <c r="C230" s="784"/>
      <c r="D230" s="784"/>
      <c r="E230" s="784"/>
      <c r="F230" s="784"/>
      <c r="G230" s="784"/>
      <c r="H230" s="784"/>
      <c r="I230" s="784"/>
      <c r="J230" s="784"/>
      <c r="K230" s="784"/>
      <c r="L230" s="784"/>
      <c r="M230" s="784"/>
      <c r="N230" s="784"/>
      <c r="O230" s="784"/>
      <c r="P230" s="784"/>
      <c r="Q230" s="784"/>
      <c r="R230" s="784"/>
      <c r="S230" s="784"/>
      <c r="T230" s="784"/>
      <c r="U230" s="784"/>
      <c r="V230" s="784"/>
      <c r="W230" s="784"/>
      <c r="X230" s="784"/>
      <c r="Y230" s="784"/>
      <c r="Z230" s="784"/>
      <c r="AA230" s="784"/>
      <c r="AB230" s="784"/>
    </row>
    <row r="231" spans="3:28" ht="15.75" customHeight="1">
      <c r="C231" s="784"/>
      <c r="D231" s="784"/>
      <c r="E231" s="784"/>
      <c r="F231" s="784"/>
      <c r="G231" s="784"/>
      <c r="H231" s="784"/>
      <c r="I231" s="784"/>
      <c r="J231" s="784"/>
      <c r="K231" s="784"/>
      <c r="L231" s="784"/>
      <c r="M231" s="784"/>
      <c r="N231" s="784"/>
      <c r="O231" s="784"/>
      <c r="P231" s="784"/>
      <c r="Q231" s="784"/>
      <c r="R231" s="784"/>
      <c r="S231" s="784"/>
      <c r="T231" s="784"/>
      <c r="U231" s="784"/>
      <c r="V231" s="784"/>
      <c r="W231" s="784"/>
      <c r="X231" s="784"/>
      <c r="Y231" s="784"/>
      <c r="Z231" s="784"/>
      <c r="AA231" s="784"/>
      <c r="AB231" s="784"/>
    </row>
    <row r="232" spans="3:28" ht="15.75" customHeight="1">
      <c r="C232" s="784"/>
      <c r="D232" s="784"/>
      <c r="E232" s="784"/>
      <c r="F232" s="784"/>
      <c r="G232" s="784"/>
      <c r="H232" s="784"/>
      <c r="I232" s="784"/>
      <c r="J232" s="784"/>
      <c r="K232" s="784"/>
      <c r="L232" s="784"/>
      <c r="M232" s="784"/>
      <c r="N232" s="784"/>
      <c r="O232" s="784"/>
      <c r="P232" s="784"/>
      <c r="Q232" s="784"/>
      <c r="R232" s="784"/>
      <c r="S232" s="784"/>
      <c r="T232" s="784"/>
      <c r="U232" s="784"/>
      <c r="V232" s="784"/>
      <c r="W232" s="784"/>
      <c r="X232" s="784"/>
      <c r="Y232" s="784"/>
      <c r="Z232" s="784"/>
      <c r="AA232" s="784"/>
      <c r="AB232" s="784"/>
    </row>
    <row r="233" spans="3:28" ht="15.75" customHeight="1">
      <c r="C233" s="784"/>
      <c r="D233" s="784"/>
      <c r="E233" s="784"/>
      <c r="F233" s="784"/>
      <c r="G233" s="784"/>
      <c r="H233" s="784"/>
      <c r="I233" s="784"/>
      <c r="J233" s="784"/>
      <c r="K233" s="784"/>
      <c r="L233" s="784"/>
      <c r="M233" s="784"/>
      <c r="N233" s="784"/>
      <c r="O233" s="784"/>
      <c r="P233" s="784"/>
      <c r="Q233" s="784"/>
      <c r="R233" s="784"/>
      <c r="S233" s="784"/>
      <c r="T233" s="784"/>
      <c r="U233" s="784"/>
      <c r="V233" s="784"/>
      <c r="W233" s="784"/>
      <c r="X233" s="784"/>
      <c r="Y233" s="784"/>
      <c r="Z233" s="784"/>
      <c r="AA233" s="784"/>
      <c r="AB233" s="784"/>
    </row>
    <row r="234" spans="3:28" ht="15.75" customHeight="1">
      <c r="C234" s="784"/>
      <c r="D234" s="784"/>
      <c r="E234" s="784"/>
      <c r="F234" s="784"/>
      <c r="G234" s="784"/>
      <c r="H234" s="784"/>
      <c r="I234" s="784"/>
      <c r="J234" s="784"/>
      <c r="K234" s="784"/>
      <c r="L234" s="784"/>
      <c r="M234" s="784"/>
      <c r="N234" s="784"/>
      <c r="O234" s="784"/>
      <c r="P234" s="784"/>
      <c r="Q234" s="784"/>
      <c r="R234" s="784"/>
      <c r="S234" s="784"/>
      <c r="T234" s="784"/>
      <c r="U234" s="784"/>
      <c r="V234" s="784"/>
      <c r="W234" s="784"/>
      <c r="X234" s="784"/>
      <c r="Y234" s="784"/>
      <c r="Z234" s="784"/>
      <c r="AA234" s="784"/>
      <c r="AB234" s="784"/>
    </row>
    <row r="235" spans="3:28" ht="15.75" customHeight="1">
      <c r="C235" s="784"/>
      <c r="D235" s="784"/>
      <c r="E235" s="784"/>
      <c r="F235" s="784"/>
      <c r="G235" s="784"/>
      <c r="H235" s="784"/>
      <c r="I235" s="784"/>
      <c r="J235" s="784"/>
      <c r="K235" s="784"/>
      <c r="L235" s="784"/>
      <c r="M235" s="784"/>
      <c r="N235" s="784"/>
      <c r="O235" s="784"/>
      <c r="P235" s="784"/>
      <c r="Q235" s="784"/>
      <c r="R235" s="784"/>
      <c r="S235" s="784"/>
      <c r="T235" s="784"/>
      <c r="U235" s="784"/>
      <c r="V235" s="784"/>
      <c r="W235" s="784"/>
      <c r="X235" s="784"/>
      <c r="Y235" s="784"/>
      <c r="Z235" s="784"/>
      <c r="AA235" s="784"/>
      <c r="AB235" s="784"/>
    </row>
    <row r="236" spans="3:28" ht="15.75" customHeight="1">
      <c r="C236" s="784"/>
      <c r="D236" s="784"/>
      <c r="E236" s="784"/>
      <c r="F236" s="784"/>
      <c r="G236" s="784"/>
      <c r="H236" s="784"/>
      <c r="I236" s="784"/>
      <c r="J236" s="784"/>
      <c r="K236" s="784"/>
      <c r="L236" s="784"/>
      <c r="M236" s="784"/>
      <c r="N236" s="784"/>
      <c r="O236" s="784"/>
      <c r="P236" s="784"/>
      <c r="Q236" s="784"/>
      <c r="R236" s="784"/>
      <c r="S236" s="784"/>
      <c r="T236" s="784"/>
      <c r="U236" s="784"/>
      <c r="V236" s="784"/>
      <c r="W236" s="784"/>
      <c r="X236" s="784"/>
      <c r="Y236" s="784"/>
      <c r="Z236" s="784"/>
      <c r="AA236" s="784"/>
      <c r="AB236" s="784"/>
    </row>
    <row r="237" spans="3:28" ht="15.75" customHeight="1">
      <c r="C237" s="784"/>
      <c r="D237" s="784"/>
      <c r="E237" s="784"/>
      <c r="F237" s="784"/>
      <c r="G237" s="784"/>
      <c r="H237" s="784"/>
      <c r="I237" s="784"/>
      <c r="J237" s="784"/>
      <c r="K237" s="784"/>
      <c r="L237" s="784"/>
      <c r="M237" s="784"/>
      <c r="N237" s="784"/>
      <c r="O237" s="784"/>
      <c r="P237" s="784"/>
      <c r="Q237" s="784"/>
      <c r="R237" s="784"/>
      <c r="S237" s="784"/>
      <c r="T237" s="784"/>
      <c r="U237" s="784"/>
      <c r="V237" s="784"/>
      <c r="W237" s="784"/>
      <c r="X237" s="784"/>
      <c r="Y237" s="784"/>
      <c r="Z237" s="784"/>
      <c r="AA237" s="784"/>
      <c r="AB237" s="784"/>
    </row>
    <row r="238" spans="3:28" ht="15.75" customHeight="1"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</row>
    <row r="239" spans="3:28" ht="15.75" customHeight="1">
      <c r="C239" s="784"/>
      <c r="D239" s="784"/>
      <c r="E239" s="784"/>
      <c r="F239" s="784"/>
      <c r="G239" s="784"/>
      <c r="H239" s="784"/>
      <c r="I239" s="784"/>
      <c r="J239" s="784"/>
      <c r="K239" s="784"/>
      <c r="L239" s="784"/>
      <c r="M239" s="784"/>
      <c r="N239" s="784"/>
      <c r="O239" s="784"/>
      <c r="P239" s="784"/>
      <c r="Q239" s="784"/>
      <c r="R239" s="784"/>
      <c r="S239" s="784"/>
      <c r="T239" s="784"/>
      <c r="U239" s="784"/>
      <c r="V239" s="784"/>
      <c r="W239" s="784"/>
      <c r="X239" s="784"/>
      <c r="Y239" s="784"/>
      <c r="Z239" s="784"/>
      <c r="AA239" s="784"/>
      <c r="AB239" s="784"/>
    </row>
    <row r="240" spans="3:28" ht="15.75" customHeight="1">
      <c r="C240" s="784"/>
      <c r="D240" s="784"/>
      <c r="E240" s="784"/>
      <c r="F240" s="784"/>
      <c r="G240" s="784"/>
      <c r="H240" s="784"/>
      <c r="I240" s="784"/>
      <c r="J240" s="784"/>
      <c r="K240" s="784"/>
      <c r="L240" s="784"/>
      <c r="M240" s="784"/>
      <c r="N240" s="784"/>
      <c r="O240" s="784"/>
      <c r="P240" s="784"/>
      <c r="Q240" s="784"/>
      <c r="R240" s="784"/>
      <c r="S240" s="784"/>
      <c r="T240" s="784"/>
      <c r="U240" s="784"/>
      <c r="V240" s="784"/>
      <c r="W240" s="784"/>
      <c r="X240" s="784"/>
      <c r="Y240" s="784"/>
      <c r="Z240" s="784"/>
      <c r="AA240" s="784"/>
      <c r="AB240" s="784"/>
    </row>
    <row r="241" spans="3:28" ht="15.75" customHeight="1">
      <c r="C241" s="784"/>
      <c r="D241" s="784"/>
      <c r="E241" s="784"/>
      <c r="F241" s="784"/>
      <c r="G241" s="784"/>
      <c r="H241" s="784"/>
      <c r="I241" s="784"/>
      <c r="J241" s="784"/>
      <c r="K241" s="784"/>
      <c r="L241" s="784"/>
      <c r="M241" s="784"/>
      <c r="N241" s="784"/>
      <c r="O241" s="784"/>
      <c r="P241" s="784"/>
      <c r="Q241" s="784"/>
      <c r="R241" s="784"/>
      <c r="S241" s="784"/>
      <c r="T241" s="784"/>
      <c r="U241" s="784"/>
      <c r="V241" s="784"/>
      <c r="W241" s="784"/>
      <c r="X241" s="784"/>
      <c r="Y241" s="784"/>
      <c r="Z241" s="784"/>
      <c r="AA241" s="784"/>
      <c r="AB241" s="784"/>
    </row>
    <row r="242" spans="3:28" ht="15.75" customHeight="1">
      <c r="C242" s="784"/>
      <c r="D242" s="784"/>
      <c r="E242" s="784"/>
      <c r="F242" s="784"/>
      <c r="G242" s="784"/>
      <c r="H242" s="784"/>
      <c r="I242" s="784"/>
      <c r="J242" s="784"/>
      <c r="K242" s="784"/>
      <c r="L242" s="784"/>
      <c r="M242" s="784"/>
      <c r="N242" s="784"/>
      <c r="O242" s="784"/>
      <c r="P242" s="784"/>
      <c r="Q242" s="784"/>
      <c r="R242" s="784"/>
      <c r="S242" s="784"/>
      <c r="T242" s="784"/>
      <c r="U242" s="784"/>
      <c r="V242" s="784"/>
      <c r="W242" s="784"/>
      <c r="X242" s="784"/>
      <c r="Y242" s="784"/>
      <c r="Z242" s="784"/>
      <c r="AA242" s="784"/>
      <c r="AB242" s="784"/>
    </row>
    <row r="243" spans="3:28" ht="15.75" customHeight="1">
      <c r="C243" s="784"/>
      <c r="D243" s="784"/>
      <c r="E243" s="784"/>
      <c r="F243" s="784"/>
      <c r="G243" s="784"/>
      <c r="H243" s="784"/>
      <c r="I243" s="784"/>
      <c r="J243" s="784"/>
      <c r="K243" s="784"/>
      <c r="L243" s="784"/>
      <c r="M243" s="784"/>
      <c r="N243" s="784"/>
      <c r="O243" s="784"/>
      <c r="P243" s="784"/>
      <c r="Q243" s="784"/>
      <c r="R243" s="784"/>
      <c r="S243" s="784"/>
      <c r="T243" s="784"/>
      <c r="U243" s="784"/>
      <c r="V243" s="784"/>
      <c r="W243" s="784"/>
      <c r="X243" s="784"/>
      <c r="Y243" s="784"/>
      <c r="Z243" s="784"/>
      <c r="AA243" s="784"/>
      <c r="AB243" s="784"/>
    </row>
    <row r="244" spans="3:28" ht="15.75" customHeight="1">
      <c r="C244" s="784"/>
      <c r="D244" s="784"/>
      <c r="E244" s="784"/>
      <c r="F244" s="784"/>
      <c r="G244" s="784"/>
      <c r="H244" s="784"/>
      <c r="I244" s="784"/>
      <c r="J244" s="784"/>
      <c r="K244" s="784"/>
      <c r="L244" s="784"/>
      <c r="M244" s="784"/>
      <c r="N244" s="784"/>
      <c r="O244" s="784"/>
      <c r="P244" s="784"/>
      <c r="Q244" s="784"/>
      <c r="R244" s="784"/>
      <c r="S244" s="784"/>
      <c r="T244" s="784"/>
      <c r="U244" s="784"/>
      <c r="V244" s="784"/>
      <c r="W244" s="784"/>
      <c r="X244" s="784"/>
      <c r="Y244" s="784"/>
      <c r="Z244" s="784"/>
      <c r="AA244" s="784"/>
      <c r="AB244" s="784"/>
    </row>
    <row r="245" spans="3:28" ht="15.75" customHeight="1">
      <c r="C245" s="784"/>
      <c r="D245" s="784"/>
      <c r="E245" s="784"/>
      <c r="F245" s="784"/>
      <c r="G245" s="784"/>
      <c r="H245" s="784"/>
      <c r="I245" s="784"/>
      <c r="J245" s="784"/>
      <c r="K245" s="784"/>
      <c r="L245" s="784"/>
      <c r="M245" s="784"/>
      <c r="N245" s="784"/>
      <c r="O245" s="784"/>
      <c r="P245" s="784"/>
      <c r="Q245" s="784"/>
      <c r="R245" s="784"/>
      <c r="S245" s="784"/>
      <c r="T245" s="784"/>
      <c r="U245" s="784"/>
      <c r="V245" s="784"/>
      <c r="W245" s="784"/>
      <c r="X245" s="784"/>
      <c r="Y245" s="784"/>
      <c r="Z245" s="784"/>
      <c r="AA245" s="784"/>
      <c r="AB245" s="784"/>
    </row>
    <row r="246" spans="3:28" ht="15.75" customHeight="1">
      <c r="C246" s="784"/>
      <c r="D246" s="784"/>
      <c r="E246" s="784"/>
      <c r="F246" s="784"/>
      <c r="G246" s="784"/>
      <c r="H246" s="784"/>
      <c r="I246" s="784"/>
      <c r="J246" s="784"/>
      <c r="K246" s="784"/>
      <c r="L246" s="784"/>
      <c r="M246" s="784"/>
      <c r="N246" s="784"/>
      <c r="O246" s="784"/>
      <c r="P246" s="784"/>
      <c r="Q246" s="784"/>
      <c r="R246" s="784"/>
      <c r="S246" s="784"/>
      <c r="T246" s="784"/>
      <c r="U246" s="784"/>
      <c r="V246" s="784"/>
      <c r="W246" s="784"/>
      <c r="X246" s="784"/>
      <c r="Y246" s="784"/>
      <c r="Z246" s="784"/>
      <c r="AA246" s="784"/>
      <c r="AB246" s="784"/>
    </row>
    <row r="247" spans="3:28" ht="15.75" customHeight="1">
      <c r="C247" s="784"/>
      <c r="D247" s="784"/>
      <c r="E247" s="784"/>
      <c r="F247" s="784"/>
      <c r="G247" s="784"/>
      <c r="H247" s="784"/>
      <c r="I247" s="784"/>
      <c r="J247" s="784"/>
      <c r="K247" s="784"/>
      <c r="L247" s="784"/>
      <c r="M247" s="784"/>
      <c r="N247" s="784"/>
      <c r="O247" s="784"/>
      <c r="P247" s="784"/>
      <c r="Q247" s="784"/>
      <c r="R247" s="784"/>
      <c r="S247" s="784"/>
      <c r="T247" s="784"/>
      <c r="U247" s="784"/>
      <c r="V247" s="784"/>
      <c r="W247" s="784"/>
      <c r="X247" s="784"/>
      <c r="Y247" s="784"/>
      <c r="Z247" s="784"/>
      <c r="AA247" s="784"/>
      <c r="AB247" s="784"/>
    </row>
    <row r="248" spans="3:28" ht="15.75" customHeight="1">
      <c r="C248" s="784"/>
      <c r="D248" s="784"/>
      <c r="E248" s="784"/>
      <c r="F248" s="784"/>
      <c r="G248" s="784"/>
      <c r="H248" s="784"/>
      <c r="I248" s="784"/>
      <c r="J248" s="784"/>
      <c r="K248" s="784"/>
      <c r="L248" s="784"/>
      <c r="M248" s="784"/>
      <c r="N248" s="784"/>
      <c r="O248" s="784"/>
      <c r="P248" s="784"/>
      <c r="Q248" s="784"/>
      <c r="R248" s="784"/>
      <c r="S248" s="784"/>
      <c r="T248" s="784"/>
      <c r="U248" s="784"/>
      <c r="V248" s="784"/>
      <c r="W248" s="784"/>
      <c r="X248" s="784"/>
      <c r="Y248" s="784"/>
      <c r="Z248" s="784"/>
      <c r="AA248" s="784"/>
      <c r="AB248" s="784"/>
    </row>
    <row r="249" spans="3:28" ht="15.75" customHeight="1">
      <c r="C249" s="784"/>
      <c r="D249" s="784"/>
      <c r="E249" s="784"/>
      <c r="F249" s="784"/>
      <c r="G249" s="784"/>
      <c r="H249" s="784"/>
      <c r="I249" s="784"/>
      <c r="J249" s="784"/>
      <c r="K249" s="784"/>
      <c r="L249" s="784"/>
      <c r="M249" s="784"/>
      <c r="N249" s="784"/>
      <c r="O249" s="784"/>
      <c r="P249" s="784"/>
      <c r="Q249" s="784"/>
      <c r="R249" s="784"/>
      <c r="S249" s="784"/>
      <c r="T249" s="784"/>
      <c r="U249" s="784"/>
      <c r="V249" s="784"/>
      <c r="W249" s="784"/>
      <c r="X249" s="784"/>
      <c r="Y249" s="784"/>
      <c r="Z249" s="784"/>
      <c r="AA249" s="784"/>
      <c r="AB249" s="784"/>
    </row>
    <row r="250" spans="3:28" ht="15.75" customHeight="1">
      <c r="C250" s="784"/>
      <c r="D250" s="784"/>
      <c r="E250" s="784"/>
      <c r="F250" s="784"/>
      <c r="G250" s="784"/>
      <c r="H250" s="784"/>
      <c r="I250" s="784"/>
      <c r="J250" s="784"/>
      <c r="K250" s="784"/>
      <c r="L250" s="784"/>
      <c r="M250" s="784"/>
      <c r="N250" s="784"/>
      <c r="O250" s="784"/>
      <c r="P250" s="784"/>
      <c r="Q250" s="784"/>
      <c r="R250" s="784"/>
      <c r="S250" s="784"/>
      <c r="T250" s="784"/>
      <c r="U250" s="784"/>
      <c r="V250" s="784"/>
      <c r="W250" s="784"/>
      <c r="X250" s="784"/>
      <c r="Y250" s="784"/>
      <c r="Z250" s="784"/>
      <c r="AA250" s="784"/>
      <c r="AB250" s="784"/>
    </row>
    <row r="251" spans="3:28" ht="15.75" customHeight="1">
      <c r="C251" s="784"/>
      <c r="D251" s="784"/>
      <c r="E251" s="784"/>
      <c r="F251" s="784"/>
      <c r="G251" s="784"/>
      <c r="H251" s="784"/>
      <c r="I251" s="784"/>
      <c r="J251" s="784"/>
      <c r="K251" s="784"/>
      <c r="L251" s="784"/>
      <c r="M251" s="784"/>
      <c r="N251" s="784"/>
      <c r="O251" s="784"/>
      <c r="P251" s="784"/>
      <c r="Q251" s="784"/>
      <c r="R251" s="784"/>
      <c r="S251" s="784"/>
      <c r="T251" s="784"/>
      <c r="U251" s="784"/>
      <c r="V251" s="784"/>
      <c r="W251" s="784"/>
      <c r="X251" s="784"/>
      <c r="Y251" s="784"/>
      <c r="Z251" s="784"/>
      <c r="AA251" s="784"/>
      <c r="AB251" s="784"/>
    </row>
    <row r="252" spans="3:28" ht="15.75" customHeight="1">
      <c r="C252" s="784"/>
      <c r="D252" s="784"/>
      <c r="E252" s="784"/>
      <c r="F252" s="784"/>
      <c r="G252" s="784"/>
      <c r="H252" s="784"/>
      <c r="I252" s="784"/>
      <c r="J252" s="784"/>
      <c r="K252" s="784"/>
      <c r="L252" s="784"/>
      <c r="M252" s="784"/>
      <c r="N252" s="784"/>
      <c r="O252" s="784"/>
      <c r="P252" s="784"/>
      <c r="Q252" s="784"/>
      <c r="R252" s="784"/>
      <c r="S252" s="784"/>
      <c r="T252" s="784"/>
      <c r="U252" s="784"/>
      <c r="V252" s="784"/>
      <c r="W252" s="784"/>
      <c r="X252" s="784"/>
      <c r="Y252" s="784"/>
      <c r="Z252" s="784"/>
      <c r="AA252" s="784"/>
      <c r="AB252" s="784"/>
    </row>
    <row r="253" spans="3:28" ht="15.75" customHeight="1">
      <c r="C253" s="784"/>
      <c r="D253" s="784"/>
      <c r="E253" s="784"/>
      <c r="F253" s="784"/>
      <c r="G253" s="784"/>
      <c r="H253" s="784"/>
      <c r="I253" s="784"/>
      <c r="J253" s="784"/>
      <c r="K253" s="784"/>
      <c r="L253" s="784"/>
      <c r="M253" s="784"/>
      <c r="N253" s="784"/>
      <c r="O253" s="784"/>
      <c r="P253" s="784"/>
      <c r="Q253" s="784"/>
      <c r="R253" s="784"/>
      <c r="S253" s="784"/>
      <c r="T253" s="784"/>
      <c r="U253" s="784"/>
      <c r="V253" s="784"/>
      <c r="W253" s="784"/>
      <c r="X253" s="784"/>
      <c r="Y253" s="784"/>
      <c r="Z253" s="784"/>
      <c r="AA253" s="784"/>
      <c r="AB253" s="784"/>
    </row>
    <row r="254" spans="3:28" ht="15.75" customHeight="1">
      <c r="C254" s="784"/>
      <c r="D254" s="784"/>
      <c r="E254" s="784"/>
      <c r="F254" s="784"/>
      <c r="G254" s="784"/>
      <c r="H254" s="784"/>
      <c r="I254" s="784"/>
      <c r="J254" s="784"/>
      <c r="K254" s="784"/>
      <c r="L254" s="784"/>
      <c r="M254" s="784"/>
      <c r="N254" s="784"/>
      <c r="O254" s="784"/>
      <c r="P254" s="784"/>
      <c r="Q254" s="784"/>
      <c r="R254" s="784"/>
      <c r="S254" s="784"/>
      <c r="T254" s="784"/>
      <c r="U254" s="784"/>
      <c r="V254" s="784"/>
      <c r="W254" s="784"/>
      <c r="X254" s="784"/>
      <c r="Y254" s="784"/>
      <c r="Z254" s="784"/>
      <c r="AA254" s="784"/>
      <c r="AB254" s="784"/>
    </row>
    <row r="255" spans="3:28" ht="15.75" customHeight="1">
      <c r="C255" s="784"/>
      <c r="D255" s="784"/>
      <c r="E255" s="784"/>
      <c r="F255" s="784"/>
      <c r="G255" s="784"/>
      <c r="H255" s="784"/>
      <c r="I255" s="784"/>
      <c r="J255" s="784"/>
      <c r="K255" s="784"/>
      <c r="L255" s="784"/>
      <c r="M255" s="784"/>
      <c r="N255" s="784"/>
      <c r="O255" s="784"/>
      <c r="P255" s="784"/>
      <c r="Q255" s="784"/>
      <c r="R255" s="784"/>
      <c r="S255" s="784"/>
      <c r="T255" s="784"/>
      <c r="U255" s="784"/>
      <c r="V255" s="784"/>
      <c r="W255" s="784"/>
      <c r="X255" s="784"/>
      <c r="Y255" s="784"/>
      <c r="Z255" s="784"/>
      <c r="AA255" s="784"/>
      <c r="AB255" s="784"/>
    </row>
    <row r="256" spans="3:28" ht="15.75" customHeight="1">
      <c r="C256" s="784"/>
      <c r="D256" s="784"/>
      <c r="E256" s="784"/>
      <c r="F256" s="784"/>
      <c r="G256" s="784"/>
      <c r="H256" s="784"/>
      <c r="I256" s="784"/>
      <c r="J256" s="784"/>
      <c r="K256" s="784"/>
      <c r="L256" s="784"/>
      <c r="M256" s="784"/>
      <c r="N256" s="784"/>
      <c r="O256" s="784"/>
      <c r="P256" s="784"/>
      <c r="Q256" s="784"/>
      <c r="R256" s="784"/>
      <c r="S256" s="784"/>
      <c r="T256" s="784"/>
      <c r="U256" s="784"/>
      <c r="V256" s="784"/>
      <c r="W256" s="784"/>
      <c r="X256" s="784"/>
      <c r="Y256" s="784"/>
      <c r="Z256" s="784"/>
      <c r="AA256" s="784"/>
      <c r="AB256" s="784"/>
    </row>
    <row r="257" spans="3:28" ht="15.75" customHeight="1">
      <c r="C257" s="784"/>
      <c r="D257" s="784"/>
      <c r="E257" s="784"/>
      <c r="F257" s="784"/>
      <c r="G257" s="784"/>
      <c r="H257" s="784"/>
      <c r="I257" s="784"/>
      <c r="J257" s="784"/>
      <c r="K257" s="784"/>
      <c r="L257" s="784"/>
      <c r="M257" s="784"/>
      <c r="N257" s="784"/>
      <c r="O257" s="784"/>
      <c r="P257" s="784"/>
      <c r="Q257" s="784"/>
      <c r="R257" s="784"/>
      <c r="S257" s="784"/>
      <c r="T257" s="784"/>
      <c r="U257" s="784"/>
      <c r="V257" s="784"/>
      <c r="W257" s="784"/>
      <c r="X257" s="784"/>
      <c r="Y257" s="784"/>
      <c r="Z257" s="784"/>
      <c r="AA257" s="784"/>
      <c r="AB257" s="784"/>
    </row>
    <row r="258" spans="3:28" ht="15.75" customHeight="1">
      <c r="C258" s="784"/>
      <c r="D258" s="784"/>
      <c r="E258" s="784"/>
      <c r="F258" s="784"/>
      <c r="G258" s="784"/>
      <c r="H258" s="784"/>
      <c r="I258" s="784"/>
      <c r="J258" s="784"/>
      <c r="K258" s="784"/>
      <c r="L258" s="784"/>
      <c r="M258" s="784"/>
      <c r="N258" s="784"/>
      <c r="O258" s="784"/>
      <c r="P258" s="784"/>
      <c r="Q258" s="784"/>
      <c r="R258" s="784"/>
      <c r="S258" s="784"/>
      <c r="T258" s="784"/>
      <c r="U258" s="784"/>
      <c r="V258" s="784"/>
      <c r="W258" s="784"/>
      <c r="X258" s="784"/>
      <c r="Y258" s="784"/>
      <c r="Z258" s="784"/>
      <c r="AA258" s="784"/>
      <c r="AB258" s="784"/>
    </row>
    <row r="259" spans="3:28" ht="15.75" customHeight="1">
      <c r="C259" s="784"/>
      <c r="D259" s="784"/>
      <c r="E259" s="784"/>
      <c r="F259" s="784"/>
      <c r="G259" s="784"/>
      <c r="H259" s="784"/>
      <c r="I259" s="784"/>
      <c r="J259" s="784"/>
      <c r="K259" s="784"/>
      <c r="L259" s="784"/>
      <c r="M259" s="784"/>
      <c r="N259" s="784"/>
      <c r="O259" s="784"/>
      <c r="P259" s="784"/>
      <c r="Q259" s="784"/>
      <c r="R259" s="784"/>
      <c r="S259" s="784"/>
      <c r="T259" s="784"/>
      <c r="U259" s="784"/>
      <c r="V259" s="784"/>
      <c r="W259" s="784"/>
      <c r="X259" s="784"/>
      <c r="Y259" s="784"/>
      <c r="Z259" s="784"/>
      <c r="AA259" s="784"/>
      <c r="AB259" s="784"/>
    </row>
    <row r="260" spans="3:28" ht="15.75" customHeight="1">
      <c r="C260" s="784"/>
      <c r="D260" s="784"/>
      <c r="E260" s="784"/>
      <c r="F260" s="784"/>
      <c r="G260" s="784"/>
      <c r="H260" s="784"/>
      <c r="I260" s="784"/>
      <c r="J260" s="784"/>
      <c r="K260" s="784"/>
      <c r="L260" s="784"/>
      <c r="M260" s="784"/>
      <c r="N260" s="784"/>
      <c r="O260" s="784"/>
      <c r="P260" s="784"/>
      <c r="Q260" s="784"/>
      <c r="R260" s="784"/>
      <c r="S260" s="784"/>
      <c r="T260" s="784"/>
      <c r="U260" s="784"/>
      <c r="V260" s="784"/>
      <c r="W260" s="784"/>
      <c r="X260" s="784"/>
      <c r="Y260" s="784"/>
      <c r="Z260" s="784"/>
      <c r="AA260" s="784"/>
      <c r="AB260" s="784"/>
    </row>
    <row r="261" spans="3:28" ht="15.75" customHeight="1">
      <c r="C261" s="784"/>
      <c r="D261" s="784"/>
      <c r="E261" s="784"/>
      <c r="F261" s="784"/>
      <c r="G261" s="784"/>
      <c r="H261" s="784"/>
      <c r="I261" s="784"/>
      <c r="J261" s="784"/>
      <c r="K261" s="784"/>
      <c r="L261" s="784"/>
      <c r="M261" s="784"/>
      <c r="N261" s="784"/>
      <c r="O261" s="784"/>
      <c r="P261" s="784"/>
      <c r="Q261" s="784"/>
      <c r="R261" s="784"/>
      <c r="S261" s="784"/>
      <c r="T261" s="784"/>
      <c r="U261" s="784"/>
      <c r="V261" s="784"/>
      <c r="W261" s="784"/>
      <c r="X261" s="784"/>
      <c r="Y261" s="784"/>
      <c r="Z261" s="784"/>
      <c r="AA261" s="784"/>
      <c r="AB261" s="784"/>
    </row>
    <row r="262" spans="3:28" ht="15.75" customHeight="1">
      <c r="C262" s="784"/>
      <c r="D262" s="784"/>
      <c r="E262" s="784"/>
      <c r="F262" s="784"/>
      <c r="G262" s="784"/>
      <c r="H262" s="784"/>
      <c r="I262" s="784"/>
      <c r="J262" s="784"/>
      <c r="K262" s="784"/>
      <c r="L262" s="784"/>
      <c r="M262" s="784"/>
      <c r="N262" s="784"/>
      <c r="O262" s="784"/>
      <c r="P262" s="784"/>
      <c r="Q262" s="784"/>
      <c r="R262" s="784"/>
      <c r="S262" s="784"/>
      <c r="T262" s="784"/>
      <c r="U262" s="784"/>
      <c r="V262" s="784"/>
      <c r="W262" s="784"/>
      <c r="X262" s="784"/>
      <c r="Y262" s="784"/>
      <c r="Z262" s="784"/>
      <c r="AA262" s="784"/>
      <c r="AB262" s="784"/>
    </row>
    <row r="263" spans="3:28" ht="15.75" customHeight="1">
      <c r="C263" s="784"/>
      <c r="D263" s="784"/>
      <c r="E263" s="784"/>
      <c r="F263" s="784"/>
      <c r="G263" s="784"/>
      <c r="H263" s="784"/>
      <c r="I263" s="784"/>
      <c r="J263" s="784"/>
      <c r="K263" s="784"/>
      <c r="L263" s="784"/>
      <c r="M263" s="784"/>
      <c r="N263" s="784"/>
      <c r="O263" s="784"/>
      <c r="P263" s="784"/>
      <c r="Q263" s="784"/>
      <c r="R263" s="784"/>
      <c r="S263" s="784"/>
      <c r="T263" s="784"/>
      <c r="U263" s="784"/>
      <c r="V263" s="784"/>
      <c r="W263" s="784"/>
      <c r="X263" s="784"/>
      <c r="Y263" s="784"/>
      <c r="Z263" s="784"/>
      <c r="AA263" s="784"/>
      <c r="AB263" s="784"/>
    </row>
    <row r="264" spans="3:28" ht="15.75" customHeight="1">
      <c r="C264" s="784"/>
      <c r="D264" s="784"/>
      <c r="E264" s="784"/>
      <c r="F264" s="784"/>
      <c r="G264" s="784"/>
      <c r="H264" s="784"/>
      <c r="I264" s="784"/>
      <c r="J264" s="784"/>
      <c r="K264" s="784"/>
      <c r="L264" s="784"/>
      <c r="M264" s="784"/>
      <c r="N264" s="784"/>
      <c r="O264" s="784"/>
      <c r="P264" s="784"/>
      <c r="Q264" s="784"/>
      <c r="R264" s="784"/>
      <c r="S264" s="784"/>
      <c r="T264" s="784"/>
      <c r="U264" s="784"/>
      <c r="V264" s="784"/>
      <c r="W264" s="784"/>
      <c r="X264" s="784"/>
      <c r="Y264" s="784"/>
      <c r="Z264" s="784"/>
      <c r="AA264" s="784"/>
      <c r="AB264" s="784"/>
    </row>
    <row r="265" spans="3:28" ht="15.75" customHeight="1">
      <c r="C265" s="784"/>
      <c r="D265" s="784"/>
      <c r="E265" s="784"/>
      <c r="F265" s="784"/>
      <c r="G265" s="784"/>
      <c r="H265" s="784"/>
      <c r="I265" s="784"/>
      <c r="J265" s="784"/>
      <c r="K265" s="784"/>
      <c r="L265" s="784"/>
      <c r="M265" s="784"/>
      <c r="N265" s="784"/>
      <c r="O265" s="784"/>
      <c r="P265" s="784"/>
      <c r="Q265" s="784"/>
      <c r="R265" s="784"/>
      <c r="S265" s="784"/>
      <c r="T265" s="784"/>
      <c r="U265" s="784"/>
      <c r="V265" s="784"/>
      <c r="W265" s="784"/>
      <c r="X265" s="784"/>
      <c r="Y265" s="784"/>
      <c r="Z265" s="784"/>
      <c r="AA265" s="784"/>
      <c r="AB265" s="784"/>
    </row>
    <row r="266" spans="3:28" ht="15.75" customHeight="1">
      <c r="C266" s="784"/>
      <c r="D266" s="784"/>
      <c r="E266" s="784"/>
      <c r="F266" s="784"/>
      <c r="G266" s="784"/>
      <c r="H266" s="784"/>
      <c r="I266" s="784"/>
      <c r="J266" s="784"/>
      <c r="K266" s="784"/>
      <c r="L266" s="784"/>
      <c r="M266" s="784"/>
      <c r="N266" s="784"/>
      <c r="O266" s="784"/>
      <c r="P266" s="784"/>
      <c r="Q266" s="784"/>
      <c r="R266" s="784"/>
      <c r="S266" s="784"/>
      <c r="T266" s="784"/>
      <c r="U266" s="784"/>
      <c r="V266" s="784"/>
      <c r="W266" s="784"/>
      <c r="X266" s="784"/>
      <c r="Y266" s="784"/>
      <c r="Z266" s="784"/>
      <c r="AA266" s="784"/>
      <c r="AB266" s="784"/>
    </row>
    <row r="267" spans="3:28" ht="15.75" customHeight="1">
      <c r="C267" s="784"/>
      <c r="D267" s="784"/>
      <c r="E267" s="784"/>
      <c r="F267" s="784"/>
      <c r="G267" s="784"/>
      <c r="H267" s="784"/>
      <c r="I267" s="784"/>
      <c r="J267" s="784"/>
      <c r="K267" s="784"/>
      <c r="L267" s="784"/>
      <c r="M267" s="784"/>
      <c r="N267" s="784"/>
      <c r="O267" s="784"/>
      <c r="P267" s="784"/>
      <c r="Q267" s="784"/>
      <c r="R267" s="784"/>
      <c r="S267" s="784"/>
      <c r="T267" s="784"/>
      <c r="U267" s="784"/>
      <c r="V267" s="784"/>
      <c r="W267" s="784"/>
      <c r="X267" s="784"/>
      <c r="Y267" s="784"/>
      <c r="Z267" s="784"/>
      <c r="AA267" s="784"/>
      <c r="AB267" s="784"/>
    </row>
    <row r="268" spans="3:28" ht="15.75" customHeight="1">
      <c r="C268" s="784"/>
      <c r="D268" s="784"/>
      <c r="E268" s="784"/>
      <c r="F268" s="784"/>
      <c r="G268" s="784"/>
      <c r="H268" s="784"/>
      <c r="I268" s="784"/>
      <c r="J268" s="784"/>
      <c r="K268" s="784"/>
      <c r="L268" s="784"/>
      <c r="M268" s="784"/>
      <c r="N268" s="784"/>
      <c r="O268" s="784"/>
      <c r="P268" s="784"/>
      <c r="Q268" s="784"/>
      <c r="R268" s="784"/>
      <c r="S268" s="784"/>
      <c r="T268" s="784"/>
      <c r="U268" s="784"/>
      <c r="V268" s="784"/>
      <c r="W268" s="784"/>
      <c r="X268" s="784"/>
      <c r="Y268" s="784"/>
      <c r="Z268" s="784"/>
      <c r="AA268" s="784"/>
      <c r="AB268" s="784"/>
    </row>
    <row r="269" spans="3:28" ht="15.75" customHeight="1">
      <c r="C269" s="784"/>
      <c r="D269" s="784"/>
      <c r="E269" s="784"/>
      <c r="F269" s="784"/>
      <c r="G269" s="784"/>
      <c r="H269" s="784"/>
      <c r="I269" s="784"/>
      <c r="J269" s="784"/>
      <c r="K269" s="784"/>
      <c r="L269" s="784"/>
      <c r="M269" s="784"/>
      <c r="N269" s="784"/>
      <c r="O269" s="784"/>
      <c r="P269" s="784"/>
      <c r="Q269" s="784"/>
      <c r="R269" s="784"/>
      <c r="S269" s="784"/>
      <c r="T269" s="784"/>
      <c r="U269" s="784"/>
      <c r="V269" s="784"/>
      <c r="W269" s="784"/>
      <c r="X269" s="784"/>
      <c r="Y269" s="784"/>
      <c r="Z269" s="784"/>
      <c r="AA269" s="784"/>
      <c r="AB269" s="784"/>
    </row>
    <row r="270" spans="3:28" ht="15.75" customHeight="1">
      <c r="C270" s="784"/>
      <c r="D270" s="784"/>
      <c r="E270" s="784"/>
      <c r="F270" s="784"/>
      <c r="G270" s="784"/>
      <c r="H270" s="784"/>
      <c r="I270" s="784"/>
      <c r="J270" s="784"/>
      <c r="K270" s="784"/>
      <c r="L270" s="784"/>
      <c r="M270" s="784"/>
      <c r="N270" s="784"/>
      <c r="O270" s="784"/>
      <c r="P270" s="784"/>
      <c r="Q270" s="784"/>
      <c r="R270" s="784"/>
      <c r="S270" s="784"/>
      <c r="T270" s="784"/>
      <c r="U270" s="784"/>
      <c r="V270" s="784"/>
      <c r="W270" s="784"/>
      <c r="X270" s="784"/>
      <c r="Y270" s="784"/>
      <c r="Z270" s="784"/>
      <c r="AA270" s="784"/>
      <c r="AB270" s="784"/>
    </row>
    <row r="271" spans="3:28" ht="15.75" customHeight="1">
      <c r="C271" s="784"/>
      <c r="D271" s="784"/>
      <c r="E271" s="784"/>
      <c r="F271" s="784"/>
      <c r="G271" s="784"/>
      <c r="H271" s="784"/>
      <c r="I271" s="784"/>
      <c r="J271" s="784"/>
      <c r="K271" s="784"/>
      <c r="L271" s="784"/>
      <c r="M271" s="784"/>
      <c r="N271" s="784"/>
      <c r="O271" s="784"/>
      <c r="P271" s="784"/>
      <c r="Q271" s="784"/>
      <c r="R271" s="784"/>
      <c r="S271" s="784"/>
      <c r="T271" s="784"/>
      <c r="U271" s="784"/>
      <c r="V271" s="784"/>
      <c r="W271" s="784"/>
      <c r="X271" s="784"/>
      <c r="Y271" s="784"/>
      <c r="Z271" s="784"/>
      <c r="AA271" s="784"/>
      <c r="AB271" s="784"/>
    </row>
    <row r="272" spans="3:28" ht="15.75" customHeight="1">
      <c r="C272" s="784"/>
      <c r="D272" s="784"/>
      <c r="E272" s="784"/>
      <c r="F272" s="784"/>
      <c r="G272" s="784"/>
      <c r="H272" s="784"/>
      <c r="I272" s="784"/>
      <c r="J272" s="784"/>
      <c r="K272" s="784"/>
      <c r="L272" s="784"/>
      <c r="M272" s="784"/>
      <c r="N272" s="784"/>
      <c r="O272" s="784"/>
      <c r="P272" s="784"/>
      <c r="Q272" s="784"/>
      <c r="R272" s="784"/>
      <c r="S272" s="784"/>
      <c r="T272" s="784"/>
      <c r="U272" s="784"/>
      <c r="V272" s="784"/>
      <c r="W272" s="784"/>
      <c r="X272" s="784"/>
      <c r="Y272" s="784"/>
      <c r="Z272" s="784"/>
      <c r="AA272" s="784"/>
      <c r="AB272" s="784"/>
    </row>
    <row r="273" spans="3:28" ht="15.75" customHeight="1">
      <c r="C273" s="784"/>
      <c r="D273" s="784"/>
      <c r="E273" s="784"/>
      <c r="F273" s="784"/>
      <c r="G273" s="784"/>
      <c r="H273" s="784"/>
      <c r="I273" s="784"/>
      <c r="J273" s="784"/>
      <c r="K273" s="784"/>
      <c r="L273" s="784"/>
      <c r="M273" s="784"/>
      <c r="N273" s="784"/>
      <c r="O273" s="784"/>
      <c r="P273" s="784"/>
      <c r="Q273" s="784"/>
      <c r="R273" s="784"/>
      <c r="S273" s="784"/>
      <c r="T273" s="784"/>
      <c r="U273" s="784"/>
      <c r="V273" s="784"/>
      <c r="W273" s="784"/>
      <c r="X273" s="784"/>
      <c r="Y273" s="784"/>
      <c r="Z273" s="784"/>
      <c r="AA273" s="784"/>
      <c r="AB273" s="784"/>
    </row>
    <row r="274" spans="3:28" ht="15.75" customHeight="1">
      <c r="C274" s="784"/>
      <c r="D274" s="784"/>
      <c r="E274" s="784"/>
      <c r="F274" s="784"/>
      <c r="G274" s="784"/>
      <c r="H274" s="784"/>
      <c r="I274" s="784"/>
      <c r="J274" s="784"/>
      <c r="K274" s="784"/>
      <c r="L274" s="784"/>
      <c r="M274" s="784"/>
      <c r="N274" s="784"/>
      <c r="O274" s="784"/>
      <c r="P274" s="784"/>
      <c r="Q274" s="784"/>
      <c r="R274" s="784"/>
      <c r="S274" s="784"/>
      <c r="T274" s="784"/>
      <c r="U274" s="784"/>
      <c r="V274" s="784"/>
      <c r="W274" s="784"/>
      <c r="X274" s="784"/>
      <c r="Y274" s="784"/>
      <c r="Z274" s="784"/>
      <c r="AA274" s="784"/>
      <c r="AB274" s="784"/>
    </row>
    <row r="275" spans="3:28" ht="15.75" customHeight="1">
      <c r="C275" s="784"/>
      <c r="D275" s="784"/>
      <c r="E275" s="784"/>
      <c r="F275" s="784"/>
      <c r="G275" s="784"/>
      <c r="H275" s="784"/>
      <c r="I275" s="784"/>
      <c r="J275" s="784"/>
      <c r="K275" s="784"/>
      <c r="L275" s="784"/>
      <c r="M275" s="784"/>
      <c r="N275" s="784"/>
      <c r="O275" s="784"/>
      <c r="P275" s="784"/>
      <c r="Q275" s="784"/>
      <c r="R275" s="784"/>
      <c r="S275" s="784"/>
      <c r="T275" s="784"/>
      <c r="U275" s="784"/>
      <c r="V275" s="784"/>
      <c r="W275" s="784"/>
      <c r="X275" s="784"/>
      <c r="Y275" s="784"/>
      <c r="Z275" s="784"/>
      <c r="AA275" s="784"/>
      <c r="AB275" s="784"/>
    </row>
    <row r="276" spans="3:28" ht="15.75" customHeight="1">
      <c r="C276" s="784"/>
      <c r="D276" s="784"/>
      <c r="E276" s="784"/>
      <c r="F276" s="784"/>
      <c r="G276" s="784"/>
      <c r="H276" s="784"/>
      <c r="I276" s="784"/>
      <c r="J276" s="784"/>
      <c r="K276" s="784"/>
      <c r="L276" s="784"/>
      <c r="M276" s="784"/>
      <c r="N276" s="784"/>
      <c r="O276" s="784"/>
      <c r="P276" s="784"/>
      <c r="Q276" s="784"/>
      <c r="R276" s="784"/>
      <c r="S276" s="784"/>
      <c r="T276" s="784"/>
      <c r="U276" s="784"/>
      <c r="V276" s="784"/>
      <c r="W276" s="784"/>
      <c r="X276" s="784"/>
      <c r="Y276" s="784"/>
      <c r="Z276" s="784"/>
      <c r="AA276" s="784"/>
      <c r="AB276" s="784"/>
    </row>
    <row r="277" spans="3:28" ht="15.75" customHeight="1">
      <c r="C277" s="784"/>
      <c r="D277" s="784"/>
      <c r="E277" s="784"/>
      <c r="F277" s="784"/>
      <c r="G277" s="784"/>
      <c r="H277" s="784"/>
      <c r="I277" s="784"/>
      <c r="J277" s="784"/>
      <c r="K277" s="784"/>
      <c r="L277" s="784"/>
      <c r="M277" s="784"/>
      <c r="N277" s="784"/>
      <c r="O277" s="784"/>
      <c r="P277" s="784"/>
      <c r="Q277" s="784"/>
      <c r="R277" s="784"/>
      <c r="S277" s="784"/>
      <c r="T277" s="784"/>
      <c r="U277" s="784"/>
      <c r="V277" s="784"/>
      <c r="W277" s="784"/>
      <c r="X277" s="784"/>
      <c r="Y277" s="784"/>
      <c r="Z277" s="784"/>
      <c r="AA277" s="784"/>
      <c r="AB277" s="784"/>
    </row>
    <row r="278" spans="3:28" ht="15.75" customHeight="1">
      <c r="C278" s="784"/>
      <c r="D278" s="784"/>
      <c r="E278" s="784"/>
      <c r="F278" s="784"/>
      <c r="G278" s="784"/>
      <c r="H278" s="784"/>
      <c r="I278" s="784"/>
      <c r="J278" s="784"/>
      <c r="K278" s="784"/>
      <c r="L278" s="784"/>
      <c r="M278" s="784"/>
      <c r="N278" s="784"/>
      <c r="O278" s="784"/>
      <c r="P278" s="784"/>
      <c r="Q278" s="784"/>
      <c r="R278" s="784"/>
      <c r="S278" s="784"/>
      <c r="T278" s="784"/>
      <c r="U278" s="784"/>
      <c r="V278" s="784"/>
      <c r="W278" s="784"/>
      <c r="X278" s="784"/>
      <c r="Y278" s="784"/>
      <c r="Z278" s="784"/>
      <c r="AA278" s="784"/>
      <c r="AB278" s="784"/>
    </row>
    <row r="279" spans="3:28" ht="15.75" customHeight="1">
      <c r="C279" s="784"/>
      <c r="D279" s="784"/>
      <c r="E279" s="784"/>
      <c r="F279" s="784"/>
      <c r="G279" s="784"/>
      <c r="H279" s="784"/>
      <c r="I279" s="784"/>
      <c r="J279" s="784"/>
      <c r="K279" s="784"/>
      <c r="L279" s="784"/>
      <c r="M279" s="784"/>
      <c r="N279" s="784"/>
      <c r="O279" s="784"/>
      <c r="P279" s="784"/>
      <c r="Q279" s="784"/>
      <c r="R279" s="784"/>
      <c r="S279" s="784"/>
      <c r="T279" s="784"/>
      <c r="U279" s="784"/>
      <c r="V279" s="784"/>
      <c r="W279" s="784"/>
      <c r="X279" s="784"/>
      <c r="Y279" s="784"/>
      <c r="Z279" s="784"/>
      <c r="AA279" s="784"/>
      <c r="AB279" s="784"/>
    </row>
    <row r="280" spans="3:28" ht="15.75" customHeight="1">
      <c r="C280" s="784"/>
      <c r="D280" s="784"/>
      <c r="E280" s="784"/>
      <c r="F280" s="784"/>
      <c r="G280" s="784"/>
      <c r="H280" s="784"/>
      <c r="I280" s="784"/>
      <c r="J280" s="784"/>
      <c r="K280" s="784"/>
      <c r="L280" s="784"/>
      <c r="M280" s="784"/>
      <c r="N280" s="784"/>
      <c r="O280" s="784"/>
      <c r="P280" s="784"/>
      <c r="Q280" s="784"/>
      <c r="R280" s="784"/>
      <c r="S280" s="784"/>
      <c r="T280" s="784"/>
      <c r="U280" s="784"/>
      <c r="V280" s="784"/>
      <c r="W280" s="784"/>
      <c r="X280" s="784"/>
      <c r="Y280" s="784"/>
      <c r="Z280" s="784"/>
      <c r="AA280" s="784"/>
      <c r="AB280" s="784"/>
    </row>
    <row r="281" spans="3:28" ht="15.75" customHeight="1">
      <c r="C281" s="784"/>
      <c r="D281" s="784"/>
      <c r="E281" s="784"/>
      <c r="F281" s="784"/>
      <c r="G281" s="784"/>
      <c r="H281" s="784"/>
      <c r="I281" s="784"/>
      <c r="J281" s="784"/>
      <c r="K281" s="784"/>
      <c r="L281" s="784"/>
      <c r="M281" s="784"/>
      <c r="N281" s="784"/>
      <c r="O281" s="784"/>
      <c r="P281" s="784"/>
      <c r="Q281" s="784"/>
      <c r="R281" s="784"/>
      <c r="S281" s="784"/>
      <c r="T281" s="784"/>
      <c r="U281" s="784"/>
      <c r="V281" s="784"/>
      <c r="W281" s="784"/>
      <c r="X281" s="784"/>
      <c r="Y281" s="784"/>
      <c r="Z281" s="784"/>
      <c r="AA281" s="784"/>
      <c r="AB281" s="784"/>
    </row>
    <row r="282" spans="3:28" ht="15.75" customHeight="1">
      <c r="C282" s="784"/>
      <c r="D282" s="784"/>
      <c r="E282" s="784"/>
      <c r="F282" s="784"/>
      <c r="G282" s="784"/>
      <c r="H282" s="784"/>
      <c r="I282" s="784"/>
      <c r="J282" s="784"/>
      <c r="K282" s="784"/>
      <c r="L282" s="784"/>
      <c r="M282" s="784"/>
      <c r="N282" s="784"/>
      <c r="O282" s="784"/>
      <c r="P282" s="784"/>
      <c r="Q282" s="784"/>
      <c r="R282" s="784"/>
      <c r="S282" s="784"/>
      <c r="T282" s="784"/>
      <c r="U282" s="784"/>
      <c r="V282" s="784"/>
      <c r="W282" s="784"/>
      <c r="X282" s="784"/>
      <c r="Y282" s="784"/>
      <c r="Z282" s="784"/>
      <c r="AA282" s="784"/>
      <c r="AB282" s="784"/>
    </row>
    <row r="283" spans="3:28" ht="15.75" customHeight="1">
      <c r="C283" s="784"/>
      <c r="D283" s="784"/>
      <c r="E283" s="784"/>
      <c r="F283" s="784"/>
      <c r="G283" s="784"/>
      <c r="H283" s="784"/>
      <c r="I283" s="784"/>
      <c r="J283" s="784"/>
      <c r="K283" s="784"/>
      <c r="L283" s="784"/>
      <c r="M283" s="784"/>
      <c r="N283" s="784"/>
      <c r="O283" s="784"/>
      <c r="P283" s="784"/>
      <c r="Q283" s="784"/>
      <c r="R283" s="784"/>
      <c r="S283" s="784"/>
      <c r="T283" s="784"/>
      <c r="U283" s="784"/>
      <c r="V283" s="784"/>
      <c r="W283" s="784"/>
      <c r="X283" s="784"/>
      <c r="Y283" s="784"/>
      <c r="Z283" s="784"/>
      <c r="AA283" s="784"/>
      <c r="AB283" s="784"/>
    </row>
    <row r="284" spans="3:28" ht="15.75" customHeight="1">
      <c r="C284" s="784"/>
      <c r="D284" s="784"/>
      <c r="E284" s="784"/>
      <c r="F284" s="784"/>
      <c r="G284" s="784"/>
      <c r="H284" s="784"/>
      <c r="I284" s="784"/>
      <c r="J284" s="784"/>
      <c r="K284" s="784"/>
      <c r="L284" s="784"/>
      <c r="M284" s="784"/>
      <c r="N284" s="784"/>
      <c r="O284" s="784"/>
      <c r="P284" s="784"/>
      <c r="Q284" s="784"/>
      <c r="R284" s="784"/>
      <c r="S284" s="784"/>
      <c r="T284" s="784"/>
      <c r="U284" s="784"/>
      <c r="V284" s="784"/>
      <c r="W284" s="784"/>
      <c r="X284" s="784"/>
      <c r="Y284" s="784"/>
      <c r="Z284" s="784"/>
      <c r="AA284" s="784"/>
      <c r="AB284" s="784"/>
    </row>
    <row r="285" spans="3:28" ht="15.75" customHeight="1">
      <c r="C285" s="784"/>
      <c r="D285" s="784"/>
      <c r="E285" s="784"/>
      <c r="F285" s="784"/>
      <c r="G285" s="784"/>
      <c r="H285" s="784"/>
      <c r="I285" s="784"/>
      <c r="J285" s="784"/>
      <c r="K285" s="784"/>
      <c r="L285" s="784"/>
      <c r="M285" s="784"/>
      <c r="N285" s="784"/>
      <c r="O285" s="784"/>
      <c r="P285" s="784"/>
      <c r="Q285" s="784"/>
      <c r="R285" s="784"/>
      <c r="S285" s="784"/>
      <c r="T285" s="784"/>
      <c r="U285" s="784"/>
      <c r="V285" s="784"/>
      <c r="W285" s="784"/>
      <c r="X285" s="784"/>
      <c r="Y285" s="784"/>
      <c r="Z285" s="784"/>
      <c r="AA285" s="784"/>
      <c r="AB285" s="784"/>
    </row>
    <row r="286" spans="3:28" ht="15.75" customHeight="1">
      <c r="C286" s="784"/>
      <c r="D286" s="784"/>
      <c r="E286" s="784"/>
      <c r="F286" s="784"/>
      <c r="G286" s="784"/>
      <c r="H286" s="784"/>
      <c r="I286" s="784"/>
      <c r="J286" s="784"/>
      <c r="K286" s="784"/>
      <c r="L286" s="784"/>
      <c r="M286" s="784"/>
      <c r="N286" s="784"/>
      <c r="O286" s="784"/>
      <c r="P286" s="784"/>
      <c r="Q286" s="784"/>
      <c r="R286" s="784"/>
      <c r="S286" s="784"/>
      <c r="T286" s="784"/>
      <c r="U286" s="784"/>
      <c r="V286" s="784"/>
      <c r="W286" s="784"/>
      <c r="X286" s="784"/>
      <c r="Y286" s="784"/>
      <c r="Z286" s="784"/>
      <c r="AA286" s="784"/>
      <c r="AB286" s="784"/>
    </row>
    <row r="287" spans="3:28" ht="15.75" customHeight="1">
      <c r="C287" s="784"/>
      <c r="D287" s="784"/>
      <c r="E287" s="784"/>
      <c r="F287" s="784"/>
      <c r="G287" s="784"/>
      <c r="H287" s="784"/>
      <c r="I287" s="784"/>
      <c r="J287" s="784"/>
      <c r="K287" s="784"/>
      <c r="L287" s="784"/>
      <c r="M287" s="784"/>
      <c r="N287" s="784"/>
      <c r="O287" s="784"/>
      <c r="P287" s="784"/>
      <c r="Q287" s="784"/>
      <c r="R287" s="784"/>
      <c r="S287" s="784"/>
      <c r="T287" s="784"/>
      <c r="U287" s="784"/>
      <c r="V287" s="784"/>
      <c r="W287" s="784"/>
      <c r="X287" s="784"/>
      <c r="Y287" s="784"/>
      <c r="Z287" s="784"/>
      <c r="AA287" s="784"/>
      <c r="AB287" s="784"/>
    </row>
    <row r="288" spans="3:28" ht="15.75" customHeight="1">
      <c r="C288" s="784"/>
      <c r="D288" s="784"/>
      <c r="E288" s="784"/>
      <c r="F288" s="784"/>
      <c r="G288" s="784"/>
      <c r="H288" s="784"/>
      <c r="I288" s="784"/>
      <c r="J288" s="784"/>
      <c r="K288" s="784"/>
      <c r="L288" s="784"/>
      <c r="M288" s="784"/>
      <c r="N288" s="784"/>
      <c r="O288" s="784"/>
      <c r="P288" s="784"/>
      <c r="Q288" s="784"/>
      <c r="R288" s="784"/>
      <c r="S288" s="784"/>
      <c r="T288" s="784"/>
      <c r="U288" s="784"/>
      <c r="V288" s="784"/>
      <c r="W288" s="784"/>
      <c r="X288" s="784"/>
      <c r="Y288" s="784"/>
      <c r="Z288" s="784"/>
      <c r="AA288" s="784"/>
      <c r="AB288" s="784"/>
    </row>
    <row r="289" spans="3:28" ht="15.75" customHeight="1">
      <c r="C289" s="784"/>
      <c r="D289" s="784"/>
      <c r="E289" s="784"/>
      <c r="F289" s="784"/>
      <c r="G289" s="784"/>
      <c r="H289" s="784"/>
      <c r="I289" s="784"/>
      <c r="J289" s="784"/>
      <c r="K289" s="784"/>
      <c r="L289" s="784"/>
      <c r="M289" s="784"/>
      <c r="N289" s="784"/>
      <c r="O289" s="784"/>
      <c r="P289" s="784"/>
      <c r="Q289" s="784"/>
      <c r="R289" s="784"/>
      <c r="S289" s="784"/>
      <c r="T289" s="784"/>
      <c r="U289" s="784"/>
      <c r="V289" s="784"/>
      <c r="W289" s="784"/>
      <c r="X289" s="784"/>
      <c r="Y289" s="784"/>
      <c r="Z289" s="784"/>
      <c r="AA289" s="784"/>
      <c r="AB289" s="784"/>
    </row>
    <row r="290" spans="3:28" ht="15.75" customHeight="1">
      <c r="C290" s="784"/>
      <c r="D290" s="784"/>
      <c r="E290" s="784"/>
      <c r="F290" s="784"/>
      <c r="G290" s="784"/>
      <c r="H290" s="784"/>
      <c r="I290" s="784"/>
      <c r="J290" s="784"/>
      <c r="K290" s="784"/>
      <c r="L290" s="784"/>
      <c r="M290" s="784"/>
      <c r="N290" s="784"/>
      <c r="O290" s="784"/>
      <c r="P290" s="784"/>
      <c r="Q290" s="784"/>
      <c r="R290" s="784"/>
      <c r="S290" s="784"/>
      <c r="T290" s="784"/>
      <c r="U290" s="784"/>
      <c r="V290" s="784"/>
      <c r="W290" s="784"/>
      <c r="X290" s="784"/>
      <c r="Y290" s="784"/>
      <c r="Z290" s="784"/>
      <c r="AA290" s="784"/>
      <c r="AB290" s="784"/>
    </row>
    <row r="291" spans="3:28" ht="15.75" customHeight="1">
      <c r="C291" s="784"/>
      <c r="D291" s="784"/>
      <c r="E291" s="784"/>
      <c r="F291" s="784"/>
      <c r="G291" s="784"/>
      <c r="H291" s="784"/>
      <c r="I291" s="784"/>
      <c r="J291" s="784"/>
      <c r="K291" s="784"/>
      <c r="L291" s="784"/>
      <c r="M291" s="784"/>
      <c r="N291" s="784"/>
      <c r="O291" s="784"/>
      <c r="P291" s="784"/>
      <c r="Q291" s="784"/>
      <c r="R291" s="784"/>
      <c r="S291" s="784"/>
      <c r="T291" s="784"/>
      <c r="U291" s="784"/>
      <c r="V291" s="784"/>
      <c r="W291" s="784"/>
      <c r="X291" s="784"/>
      <c r="Y291" s="784"/>
      <c r="Z291" s="784"/>
      <c r="AA291" s="784"/>
      <c r="AB291" s="784"/>
    </row>
    <row r="292" spans="3:28" ht="15.75" customHeight="1"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</row>
    <row r="293" spans="3:28" ht="15.75" customHeight="1">
      <c r="C293" s="784"/>
      <c r="D293" s="784"/>
      <c r="E293" s="784"/>
      <c r="F293" s="784"/>
      <c r="G293" s="784"/>
      <c r="H293" s="784"/>
      <c r="I293" s="784"/>
      <c r="J293" s="784"/>
      <c r="K293" s="784"/>
      <c r="L293" s="784"/>
      <c r="M293" s="784"/>
      <c r="N293" s="784"/>
      <c r="O293" s="784"/>
      <c r="P293" s="784"/>
      <c r="Q293" s="784"/>
      <c r="R293" s="784"/>
      <c r="S293" s="784"/>
      <c r="T293" s="784"/>
      <c r="U293" s="784"/>
      <c r="V293" s="784"/>
      <c r="W293" s="784"/>
      <c r="X293" s="784"/>
      <c r="Y293" s="784"/>
      <c r="Z293" s="784"/>
      <c r="AA293" s="784"/>
      <c r="AB293" s="784"/>
    </row>
    <row r="294" spans="3:28" ht="15.75" customHeight="1">
      <c r="C294" s="784"/>
      <c r="D294" s="784"/>
      <c r="E294" s="784"/>
      <c r="F294" s="784"/>
      <c r="G294" s="784"/>
      <c r="H294" s="784"/>
      <c r="I294" s="784"/>
      <c r="J294" s="784"/>
      <c r="K294" s="784"/>
      <c r="L294" s="784"/>
      <c r="M294" s="784"/>
      <c r="N294" s="784"/>
      <c r="O294" s="784"/>
      <c r="P294" s="784"/>
      <c r="Q294" s="784"/>
      <c r="R294" s="784"/>
      <c r="S294" s="784"/>
      <c r="T294" s="784"/>
      <c r="U294" s="784"/>
      <c r="V294" s="784"/>
      <c r="W294" s="784"/>
      <c r="X294" s="784"/>
      <c r="Y294" s="784"/>
      <c r="Z294" s="784"/>
      <c r="AA294" s="784"/>
      <c r="AB294" s="784"/>
    </row>
    <row r="295" spans="3:28" ht="15.75" customHeight="1">
      <c r="C295" s="784"/>
      <c r="D295" s="784"/>
      <c r="E295" s="784"/>
      <c r="F295" s="784"/>
      <c r="G295" s="784"/>
      <c r="H295" s="784"/>
      <c r="I295" s="784"/>
      <c r="J295" s="784"/>
      <c r="K295" s="784"/>
      <c r="L295" s="784"/>
      <c r="M295" s="784"/>
      <c r="N295" s="784"/>
      <c r="O295" s="784"/>
      <c r="P295" s="784"/>
      <c r="Q295" s="784"/>
      <c r="R295" s="784"/>
      <c r="S295" s="784"/>
      <c r="T295" s="784"/>
      <c r="U295" s="784"/>
      <c r="V295" s="784"/>
      <c r="W295" s="784"/>
      <c r="X295" s="784"/>
      <c r="Y295" s="784"/>
      <c r="Z295" s="784"/>
      <c r="AA295" s="784"/>
      <c r="AB295" s="784"/>
    </row>
    <row r="296" spans="3:28" ht="15.75" customHeight="1">
      <c r="C296" s="784"/>
      <c r="D296" s="784"/>
      <c r="E296" s="784"/>
      <c r="F296" s="784"/>
      <c r="G296" s="784"/>
      <c r="H296" s="784"/>
      <c r="I296" s="784"/>
      <c r="J296" s="784"/>
      <c r="K296" s="784"/>
      <c r="L296" s="784"/>
      <c r="M296" s="784"/>
      <c r="N296" s="784"/>
      <c r="O296" s="784"/>
      <c r="P296" s="784"/>
      <c r="Q296" s="784"/>
      <c r="R296" s="784"/>
      <c r="S296" s="784"/>
      <c r="T296" s="784"/>
      <c r="U296" s="784"/>
      <c r="V296" s="784"/>
      <c r="W296" s="784"/>
      <c r="X296" s="784"/>
      <c r="Y296" s="784"/>
      <c r="Z296" s="784"/>
      <c r="AA296" s="784"/>
      <c r="AB296" s="784"/>
    </row>
    <row r="297" spans="3:28" ht="15.75" customHeight="1">
      <c r="C297" s="784"/>
      <c r="D297" s="784"/>
      <c r="E297" s="784"/>
      <c r="F297" s="784"/>
      <c r="G297" s="784"/>
      <c r="H297" s="784"/>
      <c r="I297" s="784"/>
      <c r="J297" s="784"/>
      <c r="K297" s="784"/>
      <c r="L297" s="784"/>
      <c r="M297" s="784"/>
      <c r="N297" s="784"/>
      <c r="O297" s="784"/>
      <c r="P297" s="784"/>
      <c r="Q297" s="784"/>
      <c r="R297" s="784"/>
      <c r="S297" s="784"/>
      <c r="T297" s="784"/>
      <c r="U297" s="784"/>
      <c r="V297" s="784"/>
      <c r="W297" s="784"/>
      <c r="X297" s="784"/>
      <c r="Y297" s="784"/>
      <c r="Z297" s="784"/>
      <c r="AA297" s="784"/>
      <c r="AB297" s="784"/>
    </row>
    <row r="298" spans="3:28" ht="15.75" customHeight="1">
      <c r="C298" s="784"/>
      <c r="D298" s="784"/>
      <c r="E298" s="784"/>
      <c r="F298" s="784"/>
      <c r="G298" s="784"/>
      <c r="H298" s="784"/>
      <c r="I298" s="784"/>
      <c r="J298" s="784"/>
      <c r="K298" s="784"/>
      <c r="L298" s="784"/>
      <c r="M298" s="784"/>
      <c r="N298" s="784"/>
      <c r="O298" s="784"/>
      <c r="P298" s="784"/>
      <c r="Q298" s="784"/>
      <c r="R298" s="784"/>
      <c r="S298" s="784"/>
      <c r="T298" s="784"/>
      <c r="U298" s="784"/>
      <c r="V298" s="784"/>
      <c r="W298" s="784"/>
      <c r="X298" s="784"/>
      <c r="Y298" s="784"/>
      <c r="Z298" s="784"/>
      <c r="AA298" s="784"/>
      <c r="AB298" s="784"/>
    </row>
    <row r="299" spans="3:28" ht="15.75" customHeight="1">
      <c r="C299" s="784"/>
      <c r="D299" s="784"/>
      <c r="E299" s="784"/>
      <c r="F299" s="784"/>
      <c r="G299" s="784"/>
      <c r="H299" s="784"/>
      <c r="I299" s="784"/>
      <c r="J299" s="784"/>
      <c r="K299" s="784"/>
      <c r="L299" s="784"/>
      <c r="M299" s="784"/>
      <c r="N299" s="784"/>
      <c r="O299" s="784"/>
      <c r="P299" s="784"/>
      <c r="Q299" s="784"/>
      <c r="R299" s="784"/>
      <c r="S299" s="784"/>
      <c r="T299" s="784"/>
      <c r="U299" s="784"/>
      <c r="V299" s="784"/>
      <c r="W299" s="784"/>
      <c r="X299" s="784"/>
      <c r="Y299" s="784"/>
      <c r="Z299" s="784"/>
      <c r="AA299" s="784"/>
      <c r="AB299" s="784"/>
    </row>
    <row r="300" spans="3:28" ht="15.75" customHeight="1">
      <c r="C300" s="784"/>
      <c r="D300" s="784"/>
      <c r="E300" s="784"/>
      <c r="F300" s="784"/>
      <c r="G300" s="784"/>
      <c r="H300" s="784"/>
      <c r="I300" s="784"/>
      <c r="J300" s="784"/>
      <c r="K300" s="784"/>
      <c r="L300" s="784"/>
      <c r="M300" s="784"/>
      <c r="N300" s="784"/>
      <c r="O300" s="784"/>
      <c r="P300" s="784"/>
      <c r="Q300" s="784"/>
      <c r="R300" s="784"/>
      <c r="S300" s="784"/>
      <c r="T300" s="784"/>
      <c r="U300" s="784"/>
      <c r="V300" s="784"/>
      <c r="W300" s="784"/>
      <c r="X300" s="784"/>
      <c r="Y300" s="784"/>
      <c r="Z300" s="784"/>
      <c r="AA300" s="784"/>
      <c r="AB300" s="784"/>
    </row>
    <row r="301" spans="3:28" ht="15.75" customHeight="1">
      <c r="C301" s="784"/>
      <c r="D301" s="784"/>
      <c r="E301" s="784"/>
      <c r="F301" s="784"/>
      <c r="G301" s="784"/>
      <c r="H301" s="784"/>
      <c r="I301" s="784"/>
      <c r="J301" s="784"/>
      <c r="K301" s="784"/>
      <c r="L301" s="784"/>
      <c r="M301" s="784"/>
      <c r="N301" s="784"/>
      <c r="O301" s="784"/>
      <c r="P301" s="784"/>
      <c r="Q301" s="784"/>
      <c r="R301" s="784"/>
      <c r="S301" s="784"/>
      <c r="T301" s="784"/>
      <c r="U301" s="784"/>
      <c r="V301" s="784"/>
      <c r="W301" s="784"/>
      <c r="X301" s="784"/>
      <c r="Y301" s="784"/>
      <c r="Z301" s="784"/>
      <c r="AA301" s="784"/>
      <c r="AB301" s="784"/>
    </row>
    <row r="302" spans="3:28" ht="15.75" customHeight="1">
      <c r="C302" s="784"/>
      <c r="D302" s="784"/>
      <c r="E302" s="784"/>
      <c r="F302" s="784"/>
      <c r="G302" s="784"/>
      <c r="H302" s="784"/>
      <c r="I302" s="784"/>
      <c r="J302" s="784"/>
      <c r="K302" s="784"/>
      <c r="L302" s="784"/>
      <c r="M302" s="784"/>
      <c r="N302" s="784"/>
      <c r="O302" s="784"/>
      <c r="P302" s="784"/>
      <c r="Q302" s="784"/>
      <c r="R302" s="784"/>
      <c r="S302" s="784"/>
      <c r="T302" s="784"/>
      <c r="U302" s="784"/>
      <c r="V302" s="784"/>
      <c r="W302" s="784"/>
      <c r="X302" s="784"/>
      <c r="Y302" s="784"/>
      <c r="Z302" s="784"/>
      <c r="AA302" s="784"/>
      <c r="AB302" s="784"/>
    </row>
    <row r="303" spans="3:28" ht="15.75" customHeight="1">
      <c r="C303" s="784"/>
      <c r="D303" s="784"/>
      <c r="E303" s="784"/>
      <c r="F303" s="784"/>
      <c r="G303" s="784"/>
      <c r="H303" s="784"/>
      <c r="I303" s="784"/>
      <c r="J303" s="784"/>
      <c r="K303" s="784"/>
      <c r="L303" s="784"/>
      <c r="M303" s="784"/>
      <c r="N303" s="784"/>
      <c r="O303" s="784"/>
      <c r="P303" s="784"/>
      <c r="Q303" s="784"/>
      <c r="R303" s="784"/>
      <c r="S303" s="784"/>
      <c r="T303" s="784"/>
      <c r="U303" s="784"/>
      <c r="V303" s="784"/>
      <c r="W303" s="784"/>
      <c r="X303" s="784"/>
      <c r="Y303" s="784"/>
      <c r="Z303" s="784"/>
      <c r="AA303" s="784"/>
      <c r="AB303" s="784"/>
    </row>
    <row r="304" spans="3:28" ht="15.75" customHeight="1">
      <c r="C304" s="784"/>
      <c r="D304" s="784"/>
      <c r="E304" s="784"/>
      <c r="F304" s="784"/>
      <c r="G304" s="784"/>
      <c r="H304" s="784"/>
      <c r="I304" s="784"/>
      <c r="J304" s="784"/>
      <c r="K304" s="784"/>
      <c r="L304" s="784"/>
      <c r="M304" s="784"/>
      <c r="N304" s="784"/>
      <c r="O304" s="784"/>
      <c r="P304" s="784"/>
      <c r="Q304" s="784"/>
      <c r="R304" s="784"/>
      <c r="S304" s="784"/>
      <c r="T304" s="784"/>
      <c r="U304" s="784"/>
      <c r="V304" s="784"/>
      <c r="W304" s="784"/>
      <c r="X304" s="784"/>
      <c r="Y304" s="784"/>
      <c r="Z304" s="784"/>
      <c r="AA304" s="784"/>
      <c r="AB304" s="784"/>
    </row>
    <row r="305" spans="3:28" ht="15.75" customHeight="1">
      <c r="C305" s="784"/>
      <c r="D305" s="784"/>
      <c r="E305" s="784"/>
      <c r="F305" s="784"/>
      <c r="G305" s="784"/>
      <c r="H305" s="784"/>
      <c r="I305" s="784"/>
      <c r="J305" s="784"/>
      <c r="K305" s="784"/>
      <c r="L305" s="784"/>
      <c r="M305" s="784"/>
      <c r="N305" s="784"/>
      <c r="O305" s="784"/>
      <c r="P305" s="784"/>
      <c r="Q305" s="784"/>
      <c r="R305" s="784"/>
      <c r="S305" s="784"/>
      <c r="T305" s="784"/>
      <c r="U305" s="784"/>
      <c r="V305" s="784"/>
      <c r="W305" s="784"/>
      <c r="X305" s="784"/>
      <c r="Y305" s="784"/>
      <c r="Z305" s="784"/>
      <c r="AA305" s="784"/>
      <c r="AB305" s="784"/>
    </row>
    <row r="306" spans="3:28" ht="15.75" customHeight="1">
      <c r="C306" s="784"/>
      <c r="D306" s="784"/>
      <c r="E306" s="784"/>
      <c r="F306" s="784"/>
      <c r="G306" s="784"/>
      <c r="H306" s="784"/>
      <c r="I306" s="784"/>
      <c r="J306" s="784"/>
      <c r="K306" s="784"/>
      <c r="L306" s="784"/>
      <c r="M306" s="784"/>
      <c r="N306" s="784"/>
      <c r="O306" s="784"/>
      <c r="P306" s="784"/>
      <c r="Q306" s="784"/>
      <c r="R306" s="784"/>
      <c r="S306" s="784"/>
      <c r="T306" s="784"/>
      <c r="U306" s="784"/>
      <c r="V306" s="784"/>
      <c r="W306" s="784"/>
      <c r="X306" s="784"/>
      <c r="Y306" s="784"/>
      <c r="Z306" s="784"/>
      <c r="AA306" s="784"/>
      <c r="AB306" s="784"/>
    </row>
    <row r="307" spans="3:28" ht="15.75" customHeight="1">
      <c r="C307" s="784"/>
      <c r="D307" s="784"/>
      <c r="E307" s="784"/>
      <c r="F307" s="784"/>
      <c r="G307" s="784"/>
      <c r="H307" s="784"/>
      <c r="I307" s="784"/>
      <c r="J307" s="784"/>
      <c r="K307" s="784"/>
      <c r="L307" s="784"/>
      <c r="M307" s="784"/>
      <c r="N307" s="784"/>
      <c r="O307" s="784"/>
      <c r="P307" s="784"/>
      <c r="Q307" s="784"/>
      <c r="R307" s="784"/>
      <c r="S307" s="784"/>
      <c r="T307" s="784"/>
      <c r="U307" s="784"/>
      <c r="V307" s="784"/>
      <c r="W307" s="784"/>
      <c r="X307" s="784"/>
      <c r="Y307" s="784"/>
      <c r="Z307" s="784"/>
      <c r="AA307" s="784"/>
      <c r="AB307" s="784"/>
    </row>
    <row r="308" spans="3:28" ht="15.75" customHeight="1">
      <c r="C308" s="784"/>
      <c r="D308" s="784"/>
      <c r="E308" s="784"/>
      <c r="F308" s="784"/>
      <c r="G308" s="784"/>
      <c r="H308" s="784"/>
      <c r="I308" s="784"/>
      <c r="J308" s="784"/>
      <c r="K308" s="784"/>
      <c r="L308" s="784"/>
      <c r="M308" s="784"/>
      <c r="N308" s="784"/>
      <c r="O308" s="784"/>
      <c r="P308" s="784"/>
      <c r="Q308" s="784"/>
      <c r="R308" s="784"/>
      <c r="S308" s="784"/>
      <c r="T308" s="784"/>
      <c r="U308" s="784"/>
      <c r="V308" s="784"/>
      <c r="W308" s="784"/>
      <c r="X308" s="784"/>
      <c r="Y308" s="784"/>
      <c r="Z308" s="784"/>
      <c r="AA308" s="784"/>
      <c r="AB308" s="784"/>
    </row>
    <row r="309" spans="3:28" ht="15.75" customHeight="1">
      <c r="C309" s="784"/>
      <c r="D309" s="784"/>
      <c r="E309" s="784"/>
      <c r="F309" s="784"/>
      <c r="G309" s="784"/>
      <c r="H309" s="784"/>
      <c r="I309" s="784"/>
      <c r="J309" s="784"/>
      <c r="K309" s="784"/>
      <c r="L309" s="784"/>
      <c r="M309" s="784"/>
      <c r="N309" s="784"/>
      <c r="O309" s="784"/>
      <c r="P309" s="784"/>
      <c r="Q309" s="784"/>
      <c r="R309" s="784"/>
      <c r="S309" s="784"/>
      <c r="T309" s="784"/>
      <c r="U309" s="784"/>
      <c r="V309" s="784"/>
      <c r="W309" s="784"/>
      <c r="X309" s="784"/>
      <c r="Y309" s="784"/>
      <c r="Z309" s="784"/>
      <c r="AA309" s="784"/>
      <c r="AB309" s="784"/>
    </row>
    <row r="310" spans="3:28" ht="15.75" customHeight="1">
      <c r="C310" s="784"/>
      <c r="D310" s="784"/>
      <c r="E310" s="784"/>
      <c r="F310" s="784"/>
      <c r="G310" s="784"/>
      <c r="H310" s="784"/>
      <c r="I310" s="784"/>
      <c r="J310" s="784"/>
      <c r="K310" s="784"/>
      <c r="L310" s="784"/>
      <c r="M310" s="784"/>
      <c r="N310" s="784"/>
      <c r="O310" s="784"/>
      <c r="P310" s="784"/>
      <c r="Q310" s="784"/>
      <c r="R310" s="784"/>
      <c r="S310" s="784"/>
      <c r="T310" s="784"/>
      <c r="U310" s="784"/>
      <c r="V310" s="784"/>
      <c r="W310" s="784"/>
      <c r="X310" s="784"/>
      <c r="Y310" s="784"/>
      <c r="Z310" s="784"/>
      <c r="AA310" s="784"/>
      <c r="AB310" s="784"/>
    </row>
    <row r="311" spans="3:28" ht="15.75" customHeight="1">
      <c r="C311" s="784"/>
      <c r="D311" s="784"/>
      <c r="E311" s="784"/>
      <c r="F311" s="784"/>
      <c r="G311" s="784"/>
      <c r="H311" s="784"/>
      <c r="I311" s="784"/>
      <c r="J311" s="784"/>
      <c r="K311" s="784"/>
      <c r="L311" s="784"/>
      <c r="M311" s="784"/>
      <c r="N311" s="784"/>
      <c r="O311" s="784"/>
      <c r="P311" s="784"/>
      <c r="Q311" s="784"/>
      <c r="R311" s="784"/>
      <c r="S311" s="784"/>
      <c r="T311" s="784"/>
      <c r="U311" s="784"/>
      <c r="V311" s="784"/>
      <c r="W311" s="784"/>
      <c r="X311" s="784"/>
      <c r="Y311" s="784"/>
      <c r="Z311" s="784"/>
      <c r="AA311" s="784"/>
      <c r="AB311" s="784"/>
    </row>
    <row r="312" spans="3:28" ht="15.75" customHeight="1">
      <c r="C312" s="784"/>
      <c r="D312" s="784"/>
      <c r="E312" s="784"/>
      <c r="F312" s="784"/>
      <c r="G312" s="784"/>
      <c r="H312" s="784"/>
      <c r="I312" s="784"/>
      <c r="J312" s="784"/>
      <c r="K312" s="784"/>
      <c r="L312" s="784"/>
      <c r="M312" s="784"/>
      <c r="N312" s="784"/>
      <c r="O312" s="784"/>
      <c r="P312" s="784"/>
      <c r="Q312" s="784"/>
      <c r="R312" s="784"/>
      <c r="S312" s="784"/>
      <c r="T312" s="784"/>
      <c r="U312" s="784"/>
      <c r="V312" s="784"/>
      <c r="W312" s="784"/>
      <c r="X312" s="784"/>
      <c r="Y312" s="784"/>
      <c r="Z312" s="784"/>
      <c r="AA312" s="784"/>
      <c r="AB312" s="784"/>
    </row>
    <row r="313" spans="3:28" ht="15.75" customHeight="1">
      <c r="C313" s="784"/>
      <c r="D313" s="784"/>
      <c r="E313" s="784"/>
      <c r="F313" s="784"/>
      <c r="G313" s="784"/>
      <c r="H313" s="784"/>
      <c r="I313" s="784"/>
      <c r="J313" s="784"/>
      <c r="K313" s="784"/>
      <c r="L313" s="784"/>
      <c r="M313" s="784"/>
      <c r="N313" s="784"/>
      <c r="O313" s="784"/>
      <c r="P313" s="784"/>
      <c r="Q313" s="784"/>
      <c r="R313" s="784"/>
      <c r="S313" s="784"/>
      <c r="T313" s="784"/>
      <c r="U313" s="784"/>
      <c r="V313" s="784"/>
      <c r="W313" s="784"/>
      <c r="X313" s="784"/>
      <c r="Y313" s="784"/>
      <c r="Z313" s="784"/>
      <c r="AA313" s="784"/>
      <c r="AB313" s="784"/>
    </row>
    <row r="314" spans="3:28" ht="15.75" customHeight="1">
      <c r="C314" s="784"/>
      <c r="D314" s="784"/>
      <c r="E314" s="784"/>
      <c r="F314" s="784"/>
      <c r="G314" s="784"/>
      <c r="H314" s="784"/>
      <c r="I314" s="784"/>
      <c r="J314" s="784"/>
      <c r="K314" s="784"/>
      <c r="L314" s="784"/>
      <c r="M314" s="784"/>
      <c r="N314" s="784"/>
      <c r="O314" s="784"/>
      <c r="P314" s="784"/>
      <c r="Q314" s="784"/>
      <c r="R314" s="784"/>
      <c r="S314" s="784"/>
      <c r="T314" s="784"/>
      <c r="U314" s="784"/>
      <c r="V314" s="784"/>
      <c r="W314" s="784"/>
      <c r="X314" s="784"/>
      <c r="Y314" s="784"/>
      <c r="Z314" s="784"/>
      <c r="AA314" s="784"/>
      <c r="AB314" s="784"/>
    </row>
    <row r="315" spans="3:28" ht="15.75" customHeight="1">
      <c r="C315" s="784"/>
      <c r="D315" s="784"/>
      <c r="E315" s="784"/>
      <c r="F315" s="784"/>
      <c r="G315" s="784"/>
      <c r="H315" s="784"/>
      <c r="I315" s="784"/>
      <c r="J315" s="784"/>
      <c r="K315" s="784"/>
      <c r="L315" s="784"/>
      <c r="M315" s="784"/>
      <c r="N315" s="784"/>
      <c r="O315" s="784"/>
      <c r="P315" s="784"/>
      <c r="Q315" s="784"/>
      <c r="R315" s="784"/>
      <c r="S315" s="784"/>
      <c r="T315" s="784"/>
      <c r="U315" s="784"/>
      <c r="V315" s="784"/>
      <c r="W315" s="784"/>
      <c r="X315" s="784"/>
      <c r="Y315" s="784"/>
      <c r="Z315" s="784"/>
      <c r="AA315" s="784"/>
      <c r="AB315" s="784"/>
    </row>
    <row r="316" spans="3:28" ht="15.75" customHeight="1">
      <c r="C316" s="784"/>
      <c r="D316" s="784"/>
      <c r="E316" s="784"/>
      <c r="F316" s="784"/>
      <c r="G316" s="784"/>
      <c r="H316" s="784"/>
      <c r="I316" s="784"/>
      <c r="J316" s="784"/>
      <c r="K316" s="784"/>
      <c r="L316" s="784"/>
      <c r="M316" s="784"/>
      <c r="N316" s="784"/>
      <c r="O316" s="784"/>
      <c r="P316" s="784"/>
      <c r="Q316" s="784"/>
      <c r="R316" s="784"/>
      <c r="S316" s="784"/>
      <c r="T316" s="784"/>
      <c r="U316" s="784"/>
      <c r="V316" s="784"/>
      <c r="W316" s="784"/>
      <c r="X316" s="784"/>
      <c r="Y316" s="784"/>
      <c r="Z316" s="784"/>
      <c r="AA316" s="784"/>
      <c r="AB316" s="784"/>
    </row>
    <row r="317" spans="3:28" ht="15.75" customHeight="1">
      <c r="C317" s="784"/>
      <c r="D317" s="784"/>
      <c r="E317" s="784"/>
      <c r="F317" s="784"/>
      <c r="G317" s="784"/>
      <c r="H317" s="784"/>
      <c r="I317" s="784"/>
      <c r="J317" s="784"/>
      <c r="K317" s="784"/>
      <c r="L317" s="784"/>
      <c r="M317" s="784"/>
      <c r="N317" s="784"/>
      <c r="O317" s="784"/>
      <c r="P317" s="784"/>
      <c r="Q317" s="784"/>
      <c r="R317" s="784"/>
      <c r="S317" s="784"/>
      <c r="T317" s="784"/>
      <c r="U317" s="784"/>
      <c r="V317" s="784"/>
      <c r="W317" s="784"/>
      <c r="X317" s="784"/>
      <c r="Y317" s="784"/>
      <c r="Z317" s="784"/>
      <c r="AA317" s="784"/>
      <c r="AB317" s="784"/>
    </row>
    <row r="318" spans="3:28" ht="15.75" customHeight="1">
      <c r="C318" s="784"/>
      <c r="D318" s="784"/>
      <c r="E318" s="784"/>
      <c r="F318" s="784"/>
      <c r="G318" s="784"/>
      <c r="H318" s="784"/>
      <c r="I318" s="784"/>
      <c r="J318" s="784"/>
      <c r="K318" s="784"/>
      <c r="L318" s="784"/>
      <c r="M318" s="784"/>
      <c r="N318" s="784"/>
      <c r="O318" s="784"/>
      <c r="P318" s="784"/>
      <c r="Q318" s="784"/>
      <c r="R318" s="784"/>
      <c r="S318" s="784"/>
      <c r="T318" s="784"/>
      <c r="U318" s="784"/>
      <c r="V318" s="784"/>
      <c r="W318" s="784"/>
      <c r="X318" s="784"/>
      <c r="Y318" s="784"/>
      <c r="Z318" s="784"/>
      <c r="AA318" s="784"/>
      <c r="AB318" s="784"/>
    </row>
    <row r="319" spans="3:28" ht="15.75" customHeight="1">
      <c r="C319" s="784"/>
      <c r="D319" s="784"/>
      <c r="E319" s="784"/>
      <c r="F319" s="784"/>
      <c r="G319" s="784"/>
      <c r="H319" s="784"/>
      <c r="I319" s="784"/>
      <c r="J319" s="784"/>
      <c r="K319" s="784"/>
      <c r="L319" s="784"/>
      <c r="M319" s="784"/>
      <c r="N319" s="784"/>
      <c r="O319" s="784"/>
      <c r="P319" s="784"/>
      <c r="Q319" s="784"/>
      <c r="R319" s="784"/>
      <c r="S319" s="784"/>
      <c r="T319" s="784"/>
      <c r="U319" s="784"/>
      <c r="V319" s="784"/>
      <c r="W319" s="784"/>
      <c r="X319" s="784"/>
      <c r="Y319" s="784"/>
      <c r="Z319" s="784"/>
      <c r="AA319" s="784"/>
      <c r="AB319" s="784"/>
    </row>
    <row r="320" spans="3:28" ht="15.75" customHeight="1">
      <c r="C320" s="784"/>
      <c r="D320" s="784"/>
      <c r="E320" s="784"/>
      <c r="F320" s="784"/>
      <c r="G320" s="784"/>
      <c r="H320" s="784"/>
      <c r="I320" s="784"/>
      <c r="J320" s="784"/>
      <c r="K320" s="784"/>
      <c r="L320" s="784"/>
      <c r="M320" s="784"/>
      <c r="N320" s="784"/>
      <c r="O320" s="784"/>
      <c r="P320" s="784"/>
      <c r="Q320" s="784"/>
      <c r="R320" s="784"/>
      <c r="S320" s="784"/>
      <c r="T320" s="784"/>
      <c r="U320" s="784"/>
      <c r="V320" s="784"/>
      <c r="W320" s="784"/>
      <c r="X320" s="784"/>
      <c r="Y320" s="784"/>
      <c r="Z320" s="784"/>
      <c r="AA320" s="784"/>
      <c r="AB320" s="784"/>
    </row>
    <row r="321" spans="3:28" ht="15.75" customHeight="1">
      <c r="C321" s="784"/>
      <c r="D321" s="784"/>
      <c r="E321" s="784"/>
      <c r="F321" s="784"/>
      <c r="G321" s="784"/>
      <c r="H321" s="784"/>
      <c r="I321" s="784"/>
      <c r="J321" s="784"/>
      <c r="K321" s="784"/>
      <c r="L321" s="784"/>
      <c r="M321" s="784"/>
      <c r="N321" s="784"/>
      <c r="O321" s="784"/>
      <c r="P321" s="784"/>
      <c r="Q321" s="784"/>
      <c r="R321" s="784"/>
      <c r="S321" s="784"/>
      <c r="T321" s="784"/>
      <c r="U321" s="784"/>
      <c r="V321" s="784"/>
      <c r="W321" s="784"/>
      <c r="X321" s="784"/>
      <c r="Y321" s="784"/>
      <c r="Z321" s="784"/>
      <c r="AA321" s="784"/>
      <c r="AB321" s="784"/>
    </row>
    <row r="322" spans="3:28" ht="15.75" customHeight="1">
      <c r="C322" s="784"/>
      <c r="D322" s="784"/>
      <c r="E322" s="784"/>
      <c r="F322" s="784"/>
      <c r="G322" s="784"/>
      <c r="H322" s="784"/>
      <c r="I322" s="784"/>
      <c r="J322" s="784"/>
      <c r="K322" s="784"/>
      <c r="L322" s="784"/>
      <c r="M322" s="784"/>
      <c r="N322" s="784"/>
      <c r="O322" s="784"/>
      <c r="P322" s="784"/>
      <c r="Q322" s="784"/>
      <c r="R322" s="784"/>
      <c r="S322" s="784"/>
      <c r="T322" s="784"/>
      <c r="U322" s="784"/>
      <c r="V322" s="784"/>
      <c r="W322" s="784"/>
      <c r="X322" s="784"/>
      <c r="Y322" s="784"/>
      <c r="Z322" s="784"/>
      <c r="AA322" s="784"/>
      <c r="AB322" s="784"/>
    </row>
    <row r="323" spans="3:28" ht="15.75" customHeight="1">
      <c r="C323" s="784"/>
      <c r="D323" s="784"/>
      <c r="E323" s="784"/>
      <c r="F323" s="784"/>
      <c r="G323" s="784"/>
      <c r="H323" s="784"/>
      <c r="I323" s="784"/>
      <c r="J323" s="784"/>
      <c r="K323" s="784"/>
      <c r="L323" s="784"/>
      <c r="M323" s="784"/>
      <c r="N323" s="784"/>
      <c r="O323" s="784"/>
      <c r="P323" s="784"/>
      <c r="Q323" s="784"/>
      <c r="R323" s="784"/>
      <c r="S323" s="784"/>
      <c r="T323" s="784"/>
      <c r="U323" s="784"/>
      <c r="V323" s="784"/>
      <c r="W323" s="784"/>
      <c r="X323" s="784"/>
      <c r="Y323" s="784"/>
      <c r="Z323" s="784"/>
      <c r="AA323" s="784"/>
      <c r="AB323" s="784"/>
    </row>
    <row r="324" spans="3:28" ht="15.75" customHeight="1">
      <c r="C324" s="784"/>
      <c r="D324" s="784"/>
      <c r="E324" s="784"/>
      <c r="F324" s="784"/>
      <c r="G324" s="784"/>
      <c r="H324" s="784"/>
      <c r="I324" s="784"/>
      <c r="J324" s="784"/>
      <c r="K324" s="784"/>
      <c r="L324" s="784"/>
      <c r="M324" s="784"/>
      <c r="N324" s="784"/>
      <c r="O324" s="784"/>
      <c r="P324" s="784"/>
      <c r="Q324" s="784"/>
      <c r="R324" s="784"/>
      <c r="S324" s="784"/>
      <c r="T324" s="784"/>
      <c r="U324" s="784"/>
      <c r="V324" s="784"/>
      <c r="W324" s="784"/>
      <c r="X324" s="784"/>
      <c r="Y324" s="784"/>
      <c r="Z324" s="784"/>
      <c r="AA324" s="784"/>
      <c r="AB324" s="784"/>
    </row>
    <row r="325" spans="3:28" ht="15.75" customHeight="1">
      <c r="C325" s="784"/>
      <c r="D325" s="784"/>
      <c r="E325" s="784"/>
      <c r="F325" s="784"/>
      <c r="G325" s="784"/>
      <c r="H325" s="784"/>
      <c r="I325" s="784"/>
      <c r="J325" s="784"/>
      <c r="K325" s="784"/>
      <c r="L325" s="784"/>
      <c r="M325" s="784"/>
      <c r="N325" s="784"/>
      <c r="O325" s="784"/>
      <c r="P325" s="784"/>
      <c r="Q325" s="784"/>
      <c r="R325" s="784"/>
      <c r="S325" s="784"/>
      <c r="T325" s="784"/>
      <c r="U325" s="784"/>
      <c r="V325" s="784"/>
      <c r="W325" s="784"/>
      <c r="X325" s="784"/>
      <c r="Y325" s="784"/>
      <c r="Z325" s="784"/>
      <c r="AA325" s="784"/>
      <c r="AB325" s="784"/>
    </row>
    <row r="326" spans="3:28" ht="15.75" customHeight="1">
      <c r="C326" s="784"/>
      <c r="D326" s="784"/>
      <c r="E326" s="784"/>
      <c r="F326" s="784"/>
      <c r="G326" s="784"/>
      <c r="H326" s="784"/>
      <c r="I326" s="784"/>
      <c r="J326" s="784"/>
      <c r="K326" s="784"/>
      <c r="L326" s="784"/>
      <c r="M326" s="784"/>
      <c r="N326" s="784"/>
      <c r="O326" s="784"/>
      <c r="P326" s="784"/>
      <c r="Q326" s="784"/>
      <c r="R326" s="784"/>
      <c r="S326" s="784"/>
      <c r="T326" s="784"/>
      <c r="U326" s="784"/>
      <c r="V326" s="784"/>
      <c r="W326" s="784"/>
      <c r="X326" s="784"/>
      <c r="Y326" s="784"/>
      <c r="Z326" s="784"/>
      <c r="AA326" s="784"/>
      <c r="AB326" s="784"/>
    </row>
    <row r="327" spans="3:28" ht="15.75" customHeight="1">
      <c r="C327" s="784"/>
      <c r="D327" s="784"/>
      <c r="E327" s="784"/>
      <c r="F327" s="784"/>
      <c r="G327" s="784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4"/>
      <c r="Y327" s="784"/>
      <c r="Z327" s="784"/>
      <c r="AA327" s="784"/>
      <c r="AB327" s="784"/>
    </row>
    <row r="328" spans="3:28" ht="15.75" customHeight="1">
      <c r="C328" s="784"/>
      <c r="D328" s="784"/>
      <c r="E328" s="784"/>
      <c r="F328" s="784"/>
      <c r="G328" s="784"/>
      <c r="H328" s="784"/>
      <c r="I328" s="784"/>
      <c r="J328" s="784"/>
      <c r="K328" s="784"/>
      <c r="L328" s="784"/>
      <c r="M328" s="784"/>
      <c r="N328" s="784"/>
      <c r="O328" s="784"/>
      <c r="P328" s="784"/>
      <c r="Q328" s="784"/>
      <c r="R328" s="784"/>
      <c r="S328" s="784"/>
      <c r="T328" s="784"/>
      <c r="U328" s="784"/>
      <c r="V328" s="784"/>
      <c r="W328" s="784"/>
      <c r="X328" s="784"/>
      <c r="Y328" s="784"/>
      <c r="Z328" s="784"/>
      <c r="AA328" s="784"/>
      <c r="AB328" s="784"/>
    </row>
    <row r="329" spans="3:28" ht="15.75" customHeight="1">
      <c r="C329" s="784"/>
      <c r="D329" s="784"/>
      <c r="E329" s="784"/>
      <c r="F329" s="784"/>
      <c r="G329" s="784"/>
      <c r="H329" s="784"/>
      <c r="I329" s="784"/>
      <c r="J329" s="784"/>
      <c r="K329" s="784"/>
      <c r="L329" s="784"/>
      <c r="M329" s="784"/>
      <c r="N329" s="784"/>
      <c r="O329" s="784"/>
      <c r="P329" s="784"/>
      <c r="Q329" s="784"/>
      <c r="R329" s="784"/>
      <c r="S329" s="784"/>
      <c r="T329" s="784"/>
      <c r="U329" s="784"/>
      <c r="V329" s="784"/>
      <c r="W329" s="784"/>
      <c r="X329" s="784"/>
      <c r="Y329" s="784"/>
      <c r="Z329" s="784"/>
      <c r="AA329" s="784"/>
      <c r="AB329" s="784"/>
    </row>
    <row r="330" spans="3:28" ht="15.75" customHeight="1">
      <c r="C330" s="784"/>
      <c r="D330" s="784"/>
      <c r="E330" s="784"/>
      <c r="F330" s="784"/>
      <c r="G330" s="784"/>
      <c r="H330" s="784"/>
      <c r="I330" s="784"/>
      <c r="J330" s="784"/>
      <c r="K330" s="784"/>
      <c r="L330" s="784"/>
      <c r="M330" s="784"/>
      <c r="N330" s="784"/>
      <c r="O330" s="784"/>
      <c r="P330" s="784"/>
      <c r="Q330" s="784"/>
      <c r="R330" s="784"/>
      <c r="S330" s="784"/>
      <c r="T330" s="784"/>
      <c r="U330" s="784"/>
      <c r="V330" s="784"/>
      <c r="W330" s="784"/>
      <c r="X330" s="784"/>
      <c r="Y330" s="784"/>
      <c r="Z330" s="784"/>
      <c r="AA330" s="784"/>
      <c r="AB330" s="784"/>
    </row>
    <row r="331" spans="3:28" ht="15.75" customHeight="1">
      <c r="C331" s="784"/>
      <c r="D331" s="784"/>
      <c r="E331" s="784"/>
      <c r="F331" s="784"/>
      <c r="G331" s="784"/>
      <c r="H331" s="784"/>
      <c r="I331" s="784"/>
      <c r="J331" s="784"/>
      <c r="K331" s="784"/>
      <c r="L331" s="784"/>
      <c r="M331" s="784"/>
      <c r="N331" s="784"/>
      <c r="O331" s="784"/>
      <c r="P331" s="784"/>
      <c r="Q331" s="784"/>
      <c r="R331" s="784"/>
      <c r="S331" s="784"/>
      <c r="T331" s="784"/>
      <c r="U331" s="784"/>
      <c r="V331" s="784"/>
      <c r="W331" s="784"/>
      <c r="X331" s="784"/>
      <c r="Y331" s="784"/>
      <c r="Z331" s="784"/>
      <c r="AA331" s="784"/>
      <c r="AB331" s="784"/>
    </row>
    <row r="332" spans="3:28" ht="15.75" customHeight="1">
      <c r="C332" s="784"/>
      <c r="D332" s="784"/>
      <c r="E332" s="784"/>
      <c r="F332" s="784"/>
      <c r="G332" s="784"/>
      <c r="H332" s="784"/>
      <c r="I332" s="784"/>
      <c r="J332" s="784"/>
      <c r="K332" s="784"/>
      <c r="L332" s="784"/>
      <c r="M332" s="784"/>
      <c r="N332" s="784"/>
      <c r="O332" s="784"/>
      <c r="P332" s="784"/>
      <c r="Q332" s="784"/>
      <c r="R332" s="784"/>
      <c r="S332" s="784"/>
      <c r="T332" s="784"/>
      <c r="U332" s="784"/>
      <c r="V332" s="784"/>
      <c r="W332" s="784"/>
      <c r="X332" s="784"/>
      <c r="Y332" s="784"/>
      <c r="Z332" s="784"/>
      <c r="AA332" s="784"/>
      <c r="AB332" s="784"/>
    </row>
    <row r="333" spans="3:28" ht="15.75" customHeight="1">
      <c r="C333" s="784"/>
      <c r="D333" s="784"/>
      <c r="E333" s="784"/>
      <c r="F333" s="784"/>
      <c r="G333" s="784"/>
      <c r="H333" s="784"/>
      <c r="I333" s="784"/>
      <c r="J333" s="784"/>
      <c r="K333" s="784"/>
      <c r="L333" s="784"/>
      <c r="M333" s="784"/>
      <c r="N333" s="784"/>
      <c r="O333" s="784"/>
      <c r="P333" s="784"/>
      <c r="Q333" s="784"/>
      <c r="R333" s="784"/>
      <c r="S333" s="784"/>
      <c r="T333" s="784"/>
      <c r="U333" s="784"/>
      <c r="V333" s="784"/>
      <c r="W333" s="784"/>
      <c r="X333" s="784"/>
      <c r="Y333" s="784"/>
      <c r="Z333" s="784"/>
      <c r="AA333" s="784"/>
      <c r="AB333" s="784"/>
    </row>
    <row r="334" spans="3:28" ht="15.75" customHeight="1">
      <c r="C334" s="784"/>
      <c r="D334" s="784"/>
      <c r="E334" s="784"/>
      <c r="F334" s="784"/>
      <c r="G334" s="784"/>
      <c r="H334" s="784"/>
      <c r="I334" s="784"/>
      <c r="J334" s="784"/>
      <c r="K334" s="784"/>
      <c r="L334" s="784"/>
      <c r="M334" s="784"/>
      <c r="N334" s="784"/>
      <c r="O334" s="784"/>
      <c r="P334" s="784"/>
      <c r="Q334" s="784"/>
      <c r="R334" s="784"/>
      <c r="S334" s="784"/>
      <c r="T334" s="784"/>
      <c r="U334" s="784"/>
      <c r="V334" s="784"/>
      <c r="W334" s="784"/>
      <c r="X334" s="784"/>
      <c r="Y334" s="784"/>
      <c r="Z334" s="784"/>
      <c r="AA334" s="784"/>
      <c r="AB334" s="784"/>
    </row>
    <row r="335" spans="3:28" ht="15.75" customHeight="1">
      <c r="C335" s="784"/>
      <c r="D335" s="784"/>
      <c r="E335" s="784"/>
      <c r="F335" s="784"/>
      <c r="G335" s="784"/>
      <c r="H335" s="784"/>
      <c r="I335" s="784"/>
      <c r="J335" s="784"/>
      <c r="K335" s="784"/>
      <c r="L335" s="784"/>
      <c r="M335" s="784"/>
      <c r="N335" s="784"/>
      <c r="O335" s="784"/>
      <c r="P335" s="784"/>
      <c r="Q335" s="784"/>
      <c r="R335" s="784"/>
      <c r="S335" s="784"/>
      <c r="T335" s="784"/>
      <c r="U335" s="784"/>
      <c r="V335" s="784"/>
      <c r="W335" s="784"/>
      <c r="X335" s="784"/>
      <c r="Y335" s="784"/>
      <c r="Z335" s="784"/>
      <c r="AA335" s="784"/>
      <c r="AB335" s="784"/>
    </row>
    <row r="336" spans="3:28" ht="15.75" customHeight="1">
      <c r="C336" s="784"/>
      <c r="D336" s="784"/>
      <c r="E336" s="784"/>
      <c r="F336" s="784"/>
      <c r="G336" s="784"/>
      <c r="H336" s="784"/>
      <c r="I336" s="784"/>
      <c r="J336" s="784"/>
      <c r="K336" s="784"/>
      <c r="L336" s="784"/>
      <c r="M336" s="784"/>
      <c r="N336" s="784"/>
      <c r="O336" s="784"/>
      <c r="P336" s="784"/>
      <c r="Q336" s="784"/>
      <c r="R336" s="784"/>
      <c r="S336" s="784"/>
      <c r="T336" s="784"/>
      <c r="U336" s="784"/>
      <c r="V336" s="784"/>
      <c r="W336" s="784"/>
      <c r="X336" s="784"/>
      <c r="Y336" s="784"/>
      <c r="Z336" s="784"/>
      <c r="AA336" s="784"/>
      <c r="AB336" s="784"/>
    </row>
    <row r="337" spans="3:28" ht="15.75" customHeight="1">
      <c r="C337" s="784"/>
      <c r="D337" s="784"/>
      <c r="E337" s="784"/>
      <c r="F337" s="784"/>
      <c r="G337" s="784"/>
      <c r="H337" s="784"/>
      <c r="I337" s="784"/>
      <c r="J337" s="784"/>
      <c r="K337" s="784"/>
      <c r="L337" s="784"/>
      <c r="M337" s="784"/>
      <c r="N337" s="784"/>
      <c r="O337" s="784"/>
      <c r="P337" s="784"/>
      <c r="Q337" s="784"/>
      <c r="R337" s="784"/>
      <c r="S337" s="784"/>
      <c r="T337" s="784"/>
      <c r="U337" s="784"/>
      <c r="V337" s="784"/>
      <c r="W337" s="784"/>
      <c r="X337" s="784"/>
      <c r="Y337" s="784"/>
      <c r="Z337" s="784"/>
      <c r="AA337" s="784"/>
      <c r="AB337" s="784"/>
    </row>
    <row r="338" spans="3:28" ht="15.75" customHeight="1">
      <c r="C338" s="784"/>
      <c r="D338" s="784"/>
      <c r="E338" s="784"/>
      <c r="F338" s="784"/>
      <c r="G338" s="784"/>
      <c r="H338" s="784"/>
      <c r="I338" s="784"/>
      <c r="J338" s="784"/>
      <c r="K338" s="784"/>
      <c r="L338" s="784"/>
      <c r="M338" s="784"/>
      <c r="N338" s="784"/>
      <c r="O338" s="784"/>
      <c r="P338" s="784"/>
      <c r="Q338" s="784"/>
      <c r="R338" s="784"/>
      <c r="S338" s="784"/>
      <c r="T338" s="784"/>
      <c r="U338" s="784"/>
      <c r="V338" s="784"/>
      <c r="W338" s="784"/>
      <c r="X338" s="784"/>
      <c r="Y338" s="784"/>
      <c r="Z338" s="784"/>
      <c r="AA338" s="784"/>
      <c r="AB338" s="784"/>
    </row>
    <row r="339" spans="3:28" ht="15.75" customHeight="1">
      <c r="C339" s="784"/>
      <c r="D339" s="784"/>
      <c r="E339" s="784"/>
      <c r="F339" s="784"/>
      <c r="G339" s="784"/>
      <c r="H339" s="784"/>
      <c r="I339" s="784"/>
      <c r="J339" s="784"/>
      <c r="K339" s="784"/>
      <c r="L339" s="784"/>
      <c r="M339" s="784"/>
      <c r="N339" s="784"/>
      <c r="O339" s="784"/>
      <c r="P339" s="784"/>
      <c r="Q339" s="784"/>
      <c r="R339" s="784"/>
      <c r="S339" s="784"/>
      <c r="T339" s="784"/>
      <c r="U339" s="784"/>
      <c r="V339" s="784"/>
      <c r="W339" s="784"/>
      <c r="X339" s="784"/>
      <c r="Y339" s="784"/>
      <c r="Z339" s="784"/>
      <c r="AA339" s="784"/>
      <c r="AB339" s="784"/>
    </row>
    <row r="340" spans="3:28" ht="15.75" customHeight="1">
      <c r="C340" s="784"/>
      <c r="D340" s="784"/>
      <c r="E340" s="784"/>
      <c r="F340" s="784"/>
      <c r="G340" s="784"/>
      <c r="H340" s="784"/>
      <c r="I340" s="784"/>
      <c r="J340" s="784"/>
      <c r="K340" s="784"/>
      <c r="L340" s="784"/>
      <c r="M340" s="784"/>
      <c r="N340" s="784"/>
      <c r="O340" s="784"/>
      <c r="P340" s="784"/>
      <c r="Q340" s="784"/>
      <c r="R340" s="784"/>
      <c r="S340" s="784"/>
      <c r="T340" s="784"/>
      <c r="U340" s="784"/>
      <c r="V340" s="784"/>
      <c r="W340" s="784"/>
      <c r="X340" s="784"/>
      <c r="Y340" s="784"/>
      <c r="Z340" s="784"/>
      <c r="AA340" s="784"/>
      <c r="AB340" s="784"/>
    </row>
    <row r="341" spans="3:28" ht="15.75" customHeight="1">
      <c r="C341" s="784"/>
      <c r="D341" s="784"/>
      <c r="E341" s="784"/>
      <c r="F341" s="784"/>
      <c r="G341" s="784"/>
      <c r="H341" s="784"/>
      <c r="I341" s="784"/>
      <c r="J341" s="784"/>
      <c r="K341" s="784"/>
      <c r="L341" s="784"/>
      <c r="M341" s="784"/>
      <c r="N341" s="784"/>
      <c r="O341" s="784"/>
      <c r="P341" s="784"/>
      <c r="Q341" s="784"/>
      <c r="R341" s="784"/>
      <c r="S341" s="784"/>
      <c r="T341" s="784"/>
      <c r="U341" s="784"/>
      <c r="V341" s="784"/>
      <c r="W341" s="784"/>
      <c r="X341" s="784"/>
      <c r="Y341" s="784"/>
      <c r="Z341" s="784"/>
      <c r="AA341" s="784"/>
      <c r="AB341" s="784"/>
    </row>
    <row r="342" spans="3:28" ht="15.75" customHeight="1">
      <c r="C342" s="784"/>
      <c r="D342" s="784"/>
      <c r="E342" s="784"/>
      <c r="F342" s="784"/>
      <c r="G342" s="784"/>
      <c r="H342" s="784"/>
      <c r="I342" s="784"/>
      <c r="J342" s="784"/>
      <c r="K342" s="784"/>
      <c r="L342" s="784"/>
      <c r="M342" s="784"/>
      <c r="N342" s="784"/>
      <c r="O342" s="784"/>
      <c r="P342" s="784"/>
      <c r="Q342" s="784"/>
      <c r="R342" s="784"/>
      <c r="S342" s="784"/>
      <c r="T342" s="784"/>
      <c r="U342" s="784"/>
      <c r="V342" s="784"/>
      <c r="W342" s="784"/>
      <c r="X342" s="784"/>
      <c r="Y342" s="784"/>
      <c r="Z342" s="784"/>
      <c r="AA342" s="784"/>
      <c r="AB342" s="784"/>
    </row>
    <row r="343" spans="3:28" ht="15.75" customHeight="1">
      <c r="C343" s="784"/>
      <c r="D343" s="784"/>
      <c r="E343" s="784"/>
      <c r="F343" s="784"/>
      <c r="G343" s="784"/>
      <c r="H343" s="784"/>
      <c r="I343" s="784"/>
      <c r="J343" s="784"/>
      <c r="K343" s="784"/>
      <c r="L343" s="784"/>
      <c r="M343" s="784"/>
      <c r="N343" s="784"/>
      <c r="O343" s="784"/>
      <c r="P343" s="784"/>
      <c r="Q343" s="784"/>
      <c r="R343" s="784"/>
      <c r="S343" s="784"/>
      <c r="T343" s="784"/>
      <c r="U343" s="784"/>
      <c r="V343" s="784"/>
      <c r="W343" s="784"/>
      <c r="X343" s="784"/>
      <c r="Y343" s="784"/>
      <c r="Z343" s="784"/>
      <c r="AA343" s="784"/>
      <c r="AB343" s="784"/>
    </row>
    <row r="344" spans="3:28" ht="15.75" customHeight="1">
      <c r="C344" s="784"/>
      <c r="D344" s="784"/>
      <c r="E344" s="784"/>
      <c r="F344" s="784"/>
      <c r="G344" s="784"/>
      <c r="H344" s="784"/>
      <c r="I344" s="784"/>
      <c r="J344" s="784"/>
      <c r="K344" s="784"/>
      <c r="L344" s="784"/>
      <c r="M344" s="784"/>
      <c r="N344" s="784"/>
      <c r="O344" s="784"/>
      <c r="P344" s="784"/>
      <c r="Q344" s="784"/>
      <c r="R344" s="784"/>
      <c r="S344" s="784"/>
      <c r="T344" s="784"/>
      <c r="U344" s="784"/>
      <c r="V344" s="784"/>
      <c r="W344" s="784"/>
      <c r="X344" s="784"/>
      <c r="Y344" s="784"/>
      <c r="Z344" s="784"/>
      <c r="AA344" s="784"/>
      <c r="AB344" s="784"/>
    </row>
    <row r="345" spans="3:28" ht="15.75" customHeight="1">
      <c r="C345" s="784"/>
      <c r="D345" s="784"/>
      <c r="E345" s="784"/>
      <c r="F345" s="784"/>
      <c r="G345" s="784"/>
      <c r="H345" s="784"/>
      <c r="I345" s="784"/>
      <c r="J345" s="784"/>
      <c r="K345" s="784"/>
      <c r="L345" s="784"/>
      <c r="M345" s="784"/>
      <c r="N345" s="784"/>
      <c r="O345" s="784"/>
      <c r="P345" s="784"/>
      <c r="Q345" s="784"/>
      <c r="R345" s="784"/>
      <c r="S345" s="784"/>
      <c r="T345" s="784"/>
      <c r="U345" s="784"/>
      <c r="V345" s="784"/>
      <c r="W345" s="784"/>
      <c r="X345" s="784"/>
      <c r="Y345" s="784"/>
      <c r="Z345" s="784"/>
      <c r="AA345" s="784"/>
      <c r="AB345" s="784"/>
    </row>
    <row r="346" spans="3:28" ht="15.75" customHeight="1">
      <c r="C346" s="784"/>
      <c r="D346" s="784"/>
      <c r="E346" s="784"/>
      <c r="F346" s="784"/>
      <c r="G346" s="784"/>
      <c r="H346" s="784"/>
      <c r="I346" s="784"/>
      <c r="J346" s="784"/>
      <c r="K346" s="784"/>
      <c r="L346" s="784"/>
      <c r="M346" s="784"/>
      <c r="N346" s="784"/>
      <c r="O346" s="784"/>
      <c r="P346" s="784"/>
      <c r="Q346" s="784"/>
      <c r="R346" s="784"/>
      <c r="S346" s="784"/>
      <c r="T346" s="784"/>
      <c r="U346" s="784"/>
      <c r="V346" s="784"/>
      <c r="W346" s="784"/>
      <c r="X346" s="784"/>
      <c r="Y346" s="784"/>
      <c r="Z346" s="784"/>
      <c r="AA346" s="784"/>
      <c r="AB346" s="784"/>
    </row>
    <row r="347" spans="3:28" ht="15.75" customHeight="1">
      <c r="C347" s="784"/>
      <c r="D347" s="784"/>
      <c r="E347" s="784"/>
      <c r="F347" s="784"/>
      <c r="G347" s="784"/>
      <c r="H347" s="784"/>
      <c r="I347" s="784"/>
      <c r="J347" s="784"/>
      <c r="K347" s="784"/>
      <c r="L347" s="784"/>
      <c r="M347" s="784"/>
      <c r="N347" s="784"/>
      <c r="O347" s="784"/>
      <c r="P347" s="784"/>
      <c r="Q347" s="784"/>
      <c r="R347" s="784"/>
      <c r="S347" s="784"/>
      <c r="T347" s="784"/>
      <c r="U347" s="784"/>
      <c r="V347" s="784"/>
      <c r="W347" s="784"/>
      <c r="X347" s="784"/>
      <c r="Y347" s="784"/>
      <c r="Z347" s="784"/>
      <c r="AA347" s="784"/>
      <c r="AB347" s="784"/>
    </row>
    <row r="348" spans="3:28" ht="15.75" customHeight="1">
      <c r="C348" s="784"/>
      <c r="D348" s="784"/>
      <c r="E348" s="784"/>
      <c r="F348" s="784"/>
      <c r="G348" s="784"/>
      <c r="H348" s="784"/>
      <c r="I348" s="784"/>
      <c r="J348" s="784"/>
      <c r="K348" s="784"/>
      <c r="L348" s="784"/>
      <c r="M348" s="784"/>
      <c r="N348" s="784"/>
      <c r="O348" s="784"/>
      <c r="P348" s="784"/>
      <c r="Q348" s="784"/>
      <c r="R348" s="784"/>
      <c r="S348" s="784"/>
      <c r="T348" s="784"/>
      <c r="U348" s="784"/>
      <c r="V348" s="784"/>
      <c r="W348" s="784"/>
      <c r="X348" s="784"/>
      <c r="Y348" s="784"/>
      <c r="Z348" s="784"/>
      <c r="AA348" s="784"/>
      <c r="AB348" s="784"/>
    </row>
    <row r="349" spans="3:28" ht="15.75" customHeight="1">
      <c r="C349" s="784"/>
      <c r="D349" s="784"/>
      <c r="E349" s="784"/>
      <c r="F349" s="784"/>
      <c r="G349" s="784"/>
      <c r="H349" s="784"/>
      <c r="I349" s="784"/>
      <c r="J349" s="784"/>
      <c r="K349" s="784"/>
      <c r="L349" s="784"/>
      <c r="M349" s="784"/>
      <c r="N349" s="784"/>
      <c r="O349" s="784"/>
      <c r="P349" s="784"/>
      <c r="Q349" s="784"/>
      <c r="R349" s="784"/>
      <c r="S349" s="784"/>
      <c r="T349" s="784"/>
      <c r="U349" s="784"/>
      <c r="V349" s="784"/>
      <c r="W349" s="784"/>
      <c r="X349" s="784"/>
      <c r="Y349" s="784"/>
      <c r="Z349" s="784"/>
      <c r="AA349" s="784"/>
      <c r="AB349" s="784"/>
    </row>
    <row r="350" spans="3:28" ht="15.75" customHeight="1">
      <c r="C350" s="784"/>
      <c r="D350" s="784"/>
      <c r="E350" s="784"/>
      <c r="F350" s="784"/>
      <c r="G350" s="784"/>
      <c r="H350" s="784"/>
      <c r="I350" s="784"/>
      <c r="J350" s="784"/>
      <c r="K350" s="784"/>
      <c r="L350" s="784"/>
      <c r="M350" s="784"/>
      <c r="N350" s="784"/>
      <c r="O350" s="784"/>
      <c r="P350" s="784"/>
      <c r="Q350" s="784"/>
      <c r="R350" s="784"/>
      <c r="S350" s="784"/>
      <c r="T350" s="784"/>
      <c r="U350" s="784"/>
      <c r="V350" s="784"/>
      <c r="W350" s="784"/>
      <c r="X350" s="784"/>
      <c r="Y350" s="784"/>
      <c r="Z350" s="784"/>
      <c r="AA350" s="784"/>
      <c r="AB350" s="784"/>
    </row>
    <row r="351" spans="3:28" ht="15.75" customHeight="1">
      <c r="C351" s="784"/>
      <c r="D351" s="784"/>
      <c r="E351" s="784"/>
      <c r="F351" s="784"/>
      <c r="G351" s="784"/>
      <c r="H351" s="784"/>
      <c r="I351" s="784"/>
      <c r="J351" s="784"/>
      <c r="K351" s="784"/>
      <c r="L351" s="784"/>
      <c r="M351" s="784"/>
      <c r="N351" s="784"/>
      <c r="O351" s="784"/>
      <c r="P351" s="784"/>
      <c r="Q351" s="784"/>
      <c r="R351" s="784"/>
      <c r="S351" s="784"/>
      <c r="T351" s="784"/>
      <c r="U351" s="784"/>
      <c r="V351" s="784"/>
      <c r="W351" s="784"/>
      <c r="X351" s="784"/>
      <c r="Y351" s="784"/>
      <c r="Z351" s="784"/>
      <c r="AA351" s="784"/>
      <c r="AB351" s="784"/>
    </row>
    <row r="352" spans="3:28" ht="15.75" customHeight="1">
      <c r="C352" s="784"/>
      <c r="D352" s="784"/>
      <c r="E352" s="784"/>
      <c r="F352" s="784"/>
      <c r="G352" s="784"/>
      <c r="H352" s="784"/>
      <c r="I352" s="784"/>
      <c r="J352" s="784"/>
      <c r="K352" s="784"/>
      <c r="L352" s="784"/>
      <c r="M352" s="784"/>
      <c r="N352" s="784"/>
      <c r="O352" s="784"/>
      <c r="P352" s="784"/>
      <c r="Q352" s="784"/>
      <c r="R352" s="784"/>
      <c r="S352" s="784"/>
      <c r="T352" s="784"/>
      <c r="U352" s="784"/>
      <c r="V352" s="784"/>
      <c r="W352" s="784"/>
      <c r="X352" s="784"/>
      <c r="Y352" s="784"/>
      <c r="Z352" s="784"/>
      <c r="AA352" s="784"/>
      <c r="AB352" s="784"/>
    </row>
    <row r="353" spans="3:28" ht="15.75" customHeight="1">
      <c r="C353" s="784"/>
      <c r="D353" s="784"/>
      <c r="E353" s="784"/>
      <c r="F353" s="784"/>
      <c r="G353" s="784"/>
      <c r="H353" s="784"/>
      <c r="I353" s="784"/>
      <c r="J353" s="784"/>
      <c r="K353" s="784"/>
      <c r="L353" s="784"/>
      <c r="M353" s="784"/>
      <c r="N353" s="784"/>
      <c r="O353" s="784"/>
      <c r="P353" s="784"/>
      <c r="Q353" s="784"/>
      <c r="R353" s="784"/>
      <c r="S353" s="784"/>
      <c r="T353" s="784"/>
      <c r="U353" s="784"/>
      <c r="V353" s="784"/>
      <c r="W353" s="784"/>
      <c r="X353" s="784"/>
      <c r="Y353" s="784"/>
      <c r="Z353" s="784"/>
      <c r="AA353" s="784"/>
      <c r="AB353" s="784"/>
    </row>
    <row r="354" spans="3:28" ht="15.75" customHeight="1">
      <c r="C354" s="784"/>
      <c r="D354" s="784"/>
      <c r="E354" s="784"/>
      <c r="F354" s="784"/>
      <c r="G354" s="784"/>
      <c r="H354" s="784"/>
      <c r="I354" s="784"/>
      <c r="J354" s="784"/>
      <c r="K354" s="784"/>
      <c r="L354" s="784"/>
      <c r="M354" s="784"/>
      <c r="N354" s="784"/>
      <c r="O354" s="784"/>
      <c r="P354" s="784"/>
      <c r="Q354" s="784"/>
      <c r="R354" s="784"/>
      <c r="S354" s="784"/>
      <c r="T354" s="784"/>
      <c r="U354" s="784"/>
      <c r="V354" s="784"/>
      <c r="W354" s="784"/>
      <c r="X354" s="784"/>
      <c r="Y354" s="784"/>
      <c r="Z354" s="784"/>
      <c r="AA354" s="784"/>
      <c r="AB354" s="784"/>
    </row>
    <row r="355" spans="3:28" ht="15.75" customHeight="1">
      <c r="C355" s="784"/>
      <c r="D355" s="784"/>
      <c r="E355" s="784"/>
      <c r="F355" s="784"/>
      <c r="G355" s="784"/>
      <c r="H355" s="784"/>
      <c r="I355" s="784"/>
      <c r="J355" s="784"/>
      <c r="K355" s="784"/>
      <c r="L355" s="784"/>
      <c r="M355" s="784"/>
      <c r="N355" s="784"/>
      <c r="O355" s="784"/>
      <c r="P355" s="784"/>
      <c r="Q355" s="784"/>
      <c r="R355" s="784"/>
      <c r="S355" s="784"/>
      <c r="T355" s="784"/>
      <c r="U355" s="784"/>
      <c r="V355" s="784"/>
      <c r="W355" s="784"/>
      <c r="X355" s="784"/>
      <c r="Y355" s="784"/>
      <c r="Z355" s="784"/>
      <c r="AA355" s="784"/>
      <c r="AB355" s="784"/>
    </row>
    <row r="356" spans="3:28" ht="15.75" customHeight="1"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</row>
    <row r="357" spans="3:28" ht="15.75" customHeight="1">
      <c r="C357" s="784"/>
      <c r="D357" s="784"/>
      <c r="E357" s="784"/>
      <c r="F357" s="784"/>
      <c r="G357" s="784"/>
      <c r="H357" s="784"/>
      <c r="I357" s="784"/>
      <c r="J357" s="784"/>
      <c r="K357" s="784"/>
      <c r="L357" s="784"/>
      <c r="M357" s="784"/>
      <c r="N357" s="784"/>
      <c r="O357" s="784"/>
      <c r="P357" s="784"/>
      <c r="Q357" s="784"/>
      <c r="R357" s="784"/>
      <c r="S357" s="784"/>
      <c r="T357" s="784"/>
      <c r="U357" s="784"/>
      <c r="V357" s="784"/>
      <c r="W357" s="784"/>
      <c r="X357" s="784"/>
      <c r="Y357" s="784"/>
      <c r="Z357" s="784"/>
      <c r="AA357" s="784"/>
      <c r="AB357" s="784"/>
    </row>
    <row r="358" spans="3:28" ht="15.75" customHeight="1">
      <c r="C358" s="784"/>
      <c r="D358" s="784"/>
      <c r="E358" s="784"/>
      <c r="F358" s="784"/>
      <c r="G358" s="784"/>
      <c r="H358" s="784"/>
      <c r="I358" s="784"/>
      <c r="J358" s="784"/>
      <c r="K358" s="784"/>
      <c r="L358" s="784"/>
      <c r="M358" s="784"/>
      <c r="N358" s="784"/>
      <c r="O358" s="784"/>
      <c r="P358" s="784"/>
      <c r="Q358" s="784"/>
      <c r="R358" s="784"/>
      <c r="S358" s="784"/>
      <c r="T358" s="784"/>
      <c r="U358" s="784"/>
      <c r="V358" s="784"/>
      <c r="W358" s="784"/>
      <c r="X358" s="784"/>
      <c r="Y358" s="784"/>
      <c r="Z358" s="784"/>
      <c r="AA358" s="784"/>
      <c r="AB358" s="784"/>
    </row>
    <row r="359" spans="3:28" ht="15.75" customHeight="1">
      <c r="C359" s="784"/>
      <c r="D359" s="784"/>
      <c r="E359" s="784"/>
      <c r="F359" s="784"/>
      <c r="G359" s="784"/>
      <c r="H359" s="784"/>
      <c r="I359" s="784"/>
      <c r="J359" s="784"/>
      <c r="K359" s="784"/>
      <c r="L359" s="784"/>
      <c r="M359" s="784"/>
      <c r="N359" s="784"/>
      <c r="O359" s="784"/>
      <c r="P359" s="784"/>
      <c r="Q359" s="784"/>
      <c r="R359" s="784"/>
      <c r="S359" s="784"/>
      <c r="T359" s="784"/>
      <c r="U359" s="784"/>
      <c r="V359" s="784"/>
      <c r="W359" s="784"/>
      <c r="X359" s="784"/>
      <c r="Y359" s="784"/>
      <c r="Z359" s="784"/>
      <c r="AA359" s="784"/>
      <c r="AB359" s="784"/>
    </row>
    <row r="360" spans="3:28" ht="15.75" customHeight="1">
      <c r="C360" s="784"/>
      <c r="D360" s="784"/>
      <c r="E360" s="784"/>
      <c r="F360" s="784"/>
      <c r="G360" s="784"/>
      <c r="H360" s="784"/>
      <c r="I360" s="784"/>
      <c r="J360" s="784"/>
      <c r="K360" s="784"/>
      <c r="L360" s="784"/>
      <c r="M360" s="784"/>
      <c r="N360" s="784"/>
      <c r="O360" s="784"/>
      <c r="P360" s="784"/>
      <c r="Q360" s="784"/>
      <c r="R360" s="784"/>
      <c r="S360" s="784"/>
      <c r="T360" s="784"/>
      <c r="U360" s="784"/>
      <c r="V360" s="784"/>
      <c r="W360" s="784"/>
      <c r="X360" s="784"/>
      <c r="Y360" s="784"/>
      <c r="Z360" s="784"/>
      <c r="AA360" s="784"/>
      <c r="AB360" s="784"/>
    </row>
    <row r="361" spans="3:28" ht="15.75" customHeight="1">
      <c r="C361" s="784"/>
      <c r="D361" s="784"/>
      <c r="E361" s="784"/>
      <c r="F361" s="784"/>
      <c r="G361" s="784"/>
      <c r="H361" s="784"/>
      <c r="I361" s="784"/>
      <c r="J361" s="784"/>
      <c r="K361" s="784"/>
      <c r="L361" s="784"/>
      <c r="M361" s="784"/>
      <c r="N361" s="784"/>
      <c r="O361" s="784"/>
      <c r="P361" s="784"/>
      <c r="Q361" s="784"/>
      <c r="R361" s="784"/>
      <c r="S361" s="784"/>
      <c r="T361" s="784"/>
      <c r="U361" s="784"/>
      <c r="V361" s="784"/>
      <c r="W361" s="784"/>
      <c r="X361" s="784"/>
      <c r="Y361" s="784"/>
      <c r="Z361" s="784"/>
      <c r="AA361" s="784"/>
      <c r="AB361" s="784"/>
    </row>
    <row r="362" spans="3:28" ht="15.75" customHeight="1">
      <c r="C362" s="784"/>
      <c r="D362" s="784"/>
      <c r="E362" s="784"/>
      <c r="F362" s="784"/>
      <c r="G362" s="784"/>
      <c r="H362" s="784"/>
      <c r="I362" s="784"/>
      <c r="J362" s="784"/>
      <c r="K362" s="784"/>
      <c r="L362" s="784"/>
      <c r="M362" s="784"/>
      <c r="N362" s="784"/>
      <c r="O362" s="784"/>
      <c r="P362" s="784"/>
      <c r="Q362" s="784"/>
      <c r="R362" s="784"/>
      <c r="S362" s="784"/>
      <c r="T362" s="784"/>
      <c r="U362" s="784"/>
      <c r="V362" s="784"/>
      <c r="W362" s="784"/>
      <c r="X362" s="784"/>
      <c r="Y362" s="784"/>
      <c r="Z362" s="784"/>
      <c r="AA362" s="784"/>
      <c r="AB362" s="784"/>
    </row>
    <row r="363" spans="3:28" ht="15.75" customHeight="1">
      <c r="C363" s="784"/>
      <c r="D363" s="784"/>
      <c r="E363" s="784"/>
      <c r="F363" s="784"/>
      <c r="G363" s="784"/>
      <c r="H363" s="784"/>
      <c r="I363" s="784"/>
      <c r="J363" s="784"/>
      <c r="K363" s="784"/>
      <c r="L363" s="784"/>
      <c r="M363" s="784"/>
      <c r="N363" s="784"/>
      <c r="O363" s="784"/>
      <c r="P363" s="784"/>
      <c r="Q363" s="784"/>
      <c r="R363" s="784"/>
      <c r="S363" s="784"/>
      <c r="T363" s="784"/>
      <c r="U363" s="784"/>
      <c r="V363" s="784"/>
      <c r="W363" s="784"/>
      <c r="X363" s="784"/>
      <c r="Y363" s="784"/>
      <c r="Z363" s="784"/>
      <c r="AA363" s="784"/>
      <c r="AB363" s="784"/>
    </row>
    <row r="364" spans="3:28" ht="15.75" customHeight="1">
      <c r="C364" s="784"/>
      <c r="D364" s="784"/>
      <c r="E364" s="784"/>
      <c r="F364" s="784"/>
      <c r="G364" s="784"/>
      <c r="H364" s="784"/>
      <c r="I364" s="784"/>
      <c r="J364" s="784"/>
      <c r="K364" s="784"/>
      <c r="L364" s="784"/>
      <c r="M364" s="784"/>
      <c r="N364" s="784"/>
      <c r="O364" s="784"/>
      <c r="P364" s="784"/>
      <c r="Q364" s="784"/>
      <c r="R364" s="784"/>
      <c r="S364" s="784"/>
      <c r="T364" s="784"/>
      <c r="U364" s="784"/>
      <c r="V364" s="784"/>
      <c r="W364" s="784"/>
      <c r="X364" s="784"/>
      <c r="Y364" s="784"/>
      <c r="Z364" s="784"/>
      <c r="AA364" s="784"/>
      <c r="AB364" s="784"/>
    </row>
    <row r="365" spans="3:28" ht="15.75" customHeight="1">
      <c r="C365" s="784"/>
      <c r="D365" s="784"/>
      <c r="E365" s="784"/>
      <c r="F365" s="784"/>
      <c r="G365" s="784"/>
      <c r="H365" s="784"/>
      <c r="I365" s="784"/>
      <c r="J365" s="784"/>
      <c r="K365" s="784"/>
      <c r="L365" s="784"/>
      <c r="M365" s="784"/>
      <c r="N365" s="784"/>
      <c r="O365" s="784"/>
      <c r="P365" s="784"/>
      <c r="Q365" s="784"/>
      <c r="R365" s="784"/>
      <c r="S365" s="784"/>
      <c r="T365" s="784"/>
      <c r="U365" s="784"/>
      <c r="V365" s="784"/>
      <c r="W365" s="784"/>
      <c r="X365" s="784"/>
      <c r="Y365" s="784"/>
      <c r="Z365" s="784"/>
      <c r="AA365" s="784"/>
      <c r="AB365" s="784"/>
    </row>
    <row r="366" spans="3:28" ht="15.75" customHeight="1">
      <c r="C366" s="784"/>
      <c r="D366" s="784"/>
      <c r="E366" s="784"/>
      <c r="F366" s="784"/>
      <c r="G366" s="784"/>
      <c r="H366" s="784"/>
      <c r="I366" s="784"/>
      <c r="J366" s="784"/>
      <c r="K366" s="784"/>
      <c r="L366" s="784"/>
      <c r="M366" s="784"/>
      <c r="N366" s="784"/>
      <c r="O366" s="784"/>
      <c r="P366" s="784"/>
      <c r="Q366" s="784"/>
      <c r="R366" s="784"/>
      <c r="S366" s="784"/>
      <c r="T366" s="784"/>
      <c r="U366" s="784"/>
      <c r="V366" s="784"/>
      <c r="W366" s="784"/>
      <c r="X366" s="784"/>
      <c r="Y366" s="784"/>
      <c r="Z366" s="784"/>
      <c r="AA366" s="784"/>
      <c r="AB366" s="784"/>
    </row>
    <row r="367" spans="3:28" ht="15.75" customHeight="1">
      <c r="C367" s="784"/>
      <c r="D367" s="784"/>
      <c r="E367" s="784"/>
      <c r="F367" s="784"/>
      <c r="G367" s="784"/>
      <c r="H367" s="784"/>
      <c r="I367" s="784"/>
      <c r="J367" s="784"/>
      <c r="K367" s="784"/>
      <c r="L367" s="784"/>
      <c r="M367" s="784"/>
      <c r="N367" s="784"/>
      <c r="O367" s="784"/>
      <c r="P367" s="784"/>
      <c r="Q367" s="784"/>
      <c r="R367" s="784"/>
      <c r="S367" s="784"/>
      <c r="T367" s="784"/>
      <c r="U367" s="784"/>
      <c r="V367" s="784"/>
      <c r="W367" s="784"/>
      <c r="X367" s="784"/>
      <c r="Y367" s="784"/>
      <c r="Z367" s="784"/>
      <c r="AA367" s="784"/>
      <c r="AB367" s="784"/>
    </row>
    <row r="368" spans="3:28" ht="15.75" customHeight="1">
      <c r="C368" s="784"/>
      <c r="D368" s="784"/>
      <c r="E368" s="784"/>
      <c r="F368" s="784"/>
      <c r="G368" s="784"/>
      <c r="H368" s="784"/>
      <c r="I368" s="784"/>
      <c r="J368" s="784"/>
      <c r="K368" s="784"/>
      <c r="L368" s="784"/>
      <c r="M368" s="784"/>
      <c r="N368" s="784"/>
      <c r="O368" s="784"/>
      <c r="P368" s="784"/>
      <c r="Q368" s="784"/>
      <c r="R368" s="784"/>
      <c r="S368" s="784"/>
      <c r="T368" s="784"/>
      <c r="U368" s="784"/>
      <c r="V368" s="784"/>
      <c r="W368" s="784"/>
      <c r="X368" s="784"/>
      <c r="Y368" s="784"/>
      <c r="Z368" s="784"/>
      <c r="AA368" s="784"/>
      <c r="AB368" s="784"/>
    </row>
    <row r="369" spans="3:28" ht="15.75" customHeight="1">
      <c r="C369" s="784"/>
      <c r="D369" s="784"/>
      <c r="E369" s="784"/>
      <c r="F369" s="784"/>
      <c r="G369" s="784"/>
      <c r="H369" s="784"/>
      <c r="I369" s="784"/>
      <c r="J369" s="784"/>
      <c r="K369" s="784"/>
      <c r="L369" s="784"/>
      <c r="M369" s="784"/>
      <c r="N369" s="784"/>
      <c r="O369" s="784"/>
      <c r="P369" s="784"/>
      <c r="Q369" s="784"/>
      <c r="R369" s="784"/>
      <c r="S369" s="784"/>
      <c r="T369" s="784"/>
      <c r="U369" s="784"/>
      <c r="V369" s="784"/>
      <c r="W369" s="784"/>
      <c r="X369" s="784"/>
      <c r="Y369" s="784"/>
      <c r="Z369" s="784"/>
      <c r="AA369" s="784"/>
      <c r="AB369" s="784"/>
    </row>
    <row r="370" spans="3:28" ht="15.75" customHeight="1">
      <c r="C370" s="784"/>
      <c r="D370" s="784"/>
      <c r="E370" s="784"/>
      <c r="F370" s="784"/>
      <c r="G370" s="784"/>
      <c r="H370" s="784"/>
      <c r="I370" s="784"/>
      <c r="J370" s="784"/>
      <c r="K370" s="784"/>
      <c r="L370" s="784"/>
      <c r="M370" s="784"/>
      <c r="N370" s="784"/>
      <c r="O370" s="784"/>
      <c r="P370" s="784"/>
      <c r="Q370" s="784"/>
      <c r="R370" s="784"/>
      <c r="S370" s="784"/>
      <c r="T370" s="784"/>
      <c r="U370" s="784"/>
      <c r="V370" s="784"/>
      <c r="W370" s="784"/>
      <c r="X370" s="784"/>
      <c r="Y370" s="784"/>
      <c r="Z370" s="784"/>
      <c r="AA370" s="784"/>
      <c r="AB370" s="784"/>
    </row>
    <row r="371" spans="3:28" ht="15.75" customHeight="1">
      <c r="C371" s="784"/>
      <c r="D371" s="784"/>
      <c r="E371" s="784"/>
      <c r="F371" s="784"/>
      <c r="G371" s="784"/>
      <c r="H371" s="784"/>
      <c r="I371" s="784"/>
      <c r="J371" s="784"/>
      <c r="K371" s="784"/>
      <c r="L371" s="784"/>
      <c r="M371" s="784"/>
      <c r="N371" s="784"/>
      <c r="O371" s="784"/>
      <c r="P371" s="784"/>
      <c r="Q371" s="784"/>
      <c r="R371" s="784"/>
      <c r="S371" s="784"/>
      <c r="T371" s="784"/>
      <c r="U371" s="784"/>
      <c r="V371" s="784"/>
      <c r="W371" s="784"/>
      <c r="X371" s="784"/>
      <c r="Y371" s="784"/>
      <c r="Z371" s="784"/>
      <c r="AA371" s="784"/>
      <c r="AB371" s="784"/>
    </row>
    <row r="372" spans="3:28" ht="15.75" customHeight="1">
      <c r="C372" s="784"/>
      <c r="D372" s="784"/>
      <c r="E372" s="784"/>
      <c r="F372" s="784"/>
      <c r="G372" s="784"/>
      <c r="H372" s="784"/>
      <c r="I372" s="784"/>
      <c r="J372" s="784"/>
      <c r="K372" s="784"/>
      <c r="L372" s="784"/>
      <c r="M372" s="784"/>
      <c r="N372" s="784"/>
      <c r="O372" s="784"/>
      <c r="P372" s="784"/>
      <c r="Q372" s="784"/>
      <c r="R372" s="784"/>
      <c r="S372" s="784"/>
      <c r="T372" s="784"/>
      <c r="U372" s="784"/>
      <c r="V372" s="784"/>
      <c r="W372" s="784"/>
      <c r="X372" s="784"/>
      <c r="Y372" s="784"/>
      <c r="Z372" s="784"/>
      <c r="AA372" s="784"/>
      <c r="AB372" s="784"/>
    </row>
    <row r="373" spans="3:28" ht="15.75" customHeight="1">
      <c r="C373" s="784"/>
      <c r="D373" s="784"/>
      <c r="E373" s="784"/>
      <c r="F373" s="784"/>
      <c r="G373" s="784"/>
      <c r="H373" s="784"/>
      <c r="I373" s="784"/>
      <c r="J373" s="784"/>
      <c r="K373" s="784"/>
      <c r="L373" s="784"/>
      <c r="M373" s="784"/>
      <c r="N373" s="784"/>
      <c r="O373" s="784"/>
      <c r="P373" s="784"/>
      <c r="Q373" s="784"/>
      <c r="R373" s="784"/>
      <c r="S373" s="784"/>
      <c r="T373" s="784"/>
      <c r="U373" s="784"/>
      <c r="V373" s="784"/>
      <c r="W373" s="784"/>
      <c r="X373" s="784"/>
      <c r="Y373" s="784"/>
      <c r="Z373" s="784"/>
      <c r="AA373" s="784"/>
      <c r="AB373" s="784"/>
    </row>
    <row r="374" spans="3:28" ht="15.75" customHeight="1">
      <c r="C374" s="784"/>
      <c r="D374" s="784"/>
      <c r="E374" s="784"/>
      <c r="F374" s="784"/>
      <c r="G374" s="784"/>
      <c r="H374" s="784"/>
      <c r="I374" s="784"/>
      <c r="J374" s="784"/>
      <c r="K374" s="784"/>
      <c r="L374" s="784"/>
      <c r="M374" s="784"/>
      <c r="N374" s="784"/>
      <c r="O374" s="784"/>
      <c r="P374" s="784"/>
      <c r="Q374" s="784"/>
      <c r="R374" s="784"/>
      <c r="S374" s="784"/>
      <c r="T374" s="784"/>
      <c r="U374" s="784"/>
      <c r="V374" s="784"/>
      <c r="W374" s="784"/>
      <c r="X374" s="784"/>
      <c r="Y374" s="784"/>
      <c r="Z374" s="784"/>
      <c r="AA374" s="784"/>
      <c r="AB374" s="784"/>
    </row>
    <row r="375" spans="3:28" ht="15.75" customHeight="1">
      <c r="C375" s="784"/>
      <c r="D375" s="784"/>
      <c r="E375" s="784"/>
      <c r="F375" s="784"/>
      <c r="G375" s="784"/>
      <c r="H375" s="784"/>
      <c r="I375" s="784"/>
      <c r="J375" s="784"/>
      <c r="K375" s="784"/>
      <c r="L375" s="784"/>
      <c r="M375" s="784"/>
      <c r="N375" s="784"/>
      <c r="O375" s="784"/>
      <c r="P375" s="784"/>
      <c r="Q375" s="784"/>
      <c r="R375" s="784"/>
      <c r="S375" s="784"/>
      <c r="T375" s="784"/>
      <c r="U375" s="784"/>
      <c r="V375" s="784"/>
      <c r="W375" s="784"/>
      <c r="X375" s="784"/>
      <c r="Y375" s="784"/>
      <c r="Z375" s="784"/>
      <c r="AA375" s="784"/>
      <c r="AB375" s="784"/>
    </row>
    <row r="376" spans="3:28" ht="15.75" customHeight="1">
      <c r="C376" s="784"/>
      <c r="D376" s="784"/>
      <c r="E376" s="784"/>
      <c r="F376" s="784"/>
      <c r="G376" s="784"/>
      <c r="H376" s="784"/>
      <c r="I376" s="784"/>
      <c r="J376" s="784"/>
      <c r="K376" s="784"/>
      <c r="L376" s="784"/>
      <c r="M376" s="784"/>
      <c r="N376" s="784"/>
      <c r="O376" s="784"/>
      <c r="P376" s="784"/>
      <c r="Q376" s="784"/>
      <c r="R376" s="784"/>
      <c r="S376" s="784"/>
      <c r="T376" s="784"/>
      <c r="U376" s="784"/>
      <c r="V376" s="784"/>
      <c r="W376" s="784"/>
      <c r="X376" s="784"/>
      <c r="Y376" s="784"/>
      <c r="Z376" s="784"/>
      <c r="AA376" s="784"/>
      <c r="AB376" s="784"/>
    </row>
    <row r="377" spans="3:28" ht="15.75" customHeight="1">
      <c r="C377" s="784"/>
      <c r="D377" s="784"/>
      <c r="E377" s="784"/>
      <c r="F377" s="784"/>
      <c r="G377" s="784"/>
      <c r="H377" s="784"/>
      <c r="I377" s="784"/>
      <c r="J377" s="784"/>
      <c r="K377" s="784"/>
      <c r="L377" s="784"/>
      <c r="M377" s="784"/>
      <c r="N377" s="784"/>
      <c r="O377" s="784"/>
      <c r="P377" s="784"/>
      <c r="Q377" s="784"/>
      <c r="R377" s="784"/>
      <c r="S377" s="784"/>
      <c r="T377" s="784"/>
      <c r="U377" s="784"/>
      <c r="V377" s="784"/>
      <c r="W377" s="784"/>
      <c r="X377" s="784"/>
      <c r="Y377" s="784"/>
      <c r="Z377" s="784"/>
      <c r="AA377" s="784"/>
      <c r="AB377" s="784"/>
    </row>
    <row r="378" spans="3:28" ht="15.75" customHeight="1">
      <c r="C378" s="784"/>
      <c r="D378" s="784"/>
      <c r="E378" s="784"/>
      <c r="F378" s="784"/>
      <c r="G378" s="784"/>
      <c r="H378" s="784"/>
      <c r="I378" s="784"/>
      <c r="J378" s="784"/>
      <c r="K378" s="784"/>
      <c r="L378" s="784"/>
      <c r="M378" s="784"/>
      <c r="N378" s="784"/>
      <c r="O378" s="784"/>
      <c r="P378" s="784"/>
      <c r="Q378" s="784"/>
      <c r="R378" s="784"/>
      <c r="S378" s="784"/>
      <c r="T378" s="784"/>
      <c r="U378" s="784"/>
      <c r="V378" s="784"/>
      <c r="W378" s="784"/>
      <c r="X378" s="784"/>
      <c r="Y378" s="784"/>
      <c r="Z378" s="784"/>
      <c r="AA378" s="784"/>
      <c r="AB378" s="784"/>
    </row>
    <row r="379" spans="3:28" ht="15.75" customHeight="1">
      <c r="C379" s="784"/>
      <c r="D379" s="784"/>
      <c r="E379" s="784"/>
      <c r="F379" s="784"/>
      <c r="G379" s="784"/>
      <c r="H379" s="784"/>
      <c r="I379" s="784"/>
      <c r="J379" s="784"/>
      <c r="K379" s="784"/>
      <c r="L379" s="784"/>
      <c r="M379" s="784"/>
      <c r="N379" s="784"/>
      <c r="O379" s="784"/>
      <c r="P379" s="784"/>
      <c r="Q379" s="784"/>
      <c r="R379" s="784"/>
      <c r="S379" s="784"/>
      <c r="T379" s="784"/>
      <c r="U379" s="784"/>
      <c r="V379" s="784"/>
      <c r="W379" s="784"/>
      <c r="X379" s="784"/>
      <c r="Y379" s="784"/>
      <c r="Z379" s="784"/>
      <c r="AA379" s="784"/>
      <c r="AB379" s="784"/>
    </row>
    <row r="380" spans="3:28" ht="15.75" customHeight="1">
      <c r="C380" s="784"/>
      <c r="D380" s="784"/>
      <c r="E380" s="784"/>
      <c r="F380" s="784"/>
      <c r="G380" s="784"/>
      <c r="H380" s="784"/>
      <c r="I380" s="784"/>
      <c r="J380" s="784"/>
      <c r="K380" s="784"/>
      <c r="L380" s="784"/>
      <c r="M380" s="784"/>
      <c r="N380" s="784"/>
      <c r="O380" s="784"/>
      <c r="P380" s="784"/>
      <c r="Q380" s="784"/>
      <c r="R380" s="784"/>
      <c r="S380" s="784"/>
      <c r="T380" s="784"/>
      <c r="U380" s="784"/>
      <c r="V380" s="784"/>
      <c r="W380" s="784"/>
      <c r="X380" s="784"/>
      <c r="Y380" s="784"/>
      <c r="Z380" s="784"/>
      <c r="AA380" s="784"/>
      <c r="AB380" s="784"/>
    </row>
    <row r="381" spans="3:28" ht="15.75" customHeight="1">
      <c r="C381" s="784"/>
      <c r="D381" s="784"/>
      <c r="E381" s="784"/>
      <c r="F381" s="784"/>
      <c r="G381" s="784"/>
      <c r="H381" s="784"/>
      <c r="I381" s="784"/>
      <c r="J381" s="784"/>
      <c r="K381" s="784"/>
      <c r="L381" s="784"/>
      <c r="M381" s="784"/>
      <c r="N381" s="784"/>
      <c r="O381" s="784"/>
      <c r="P381" s="784"/>
      <c r="Q381" s="784"/>
      <c r="R381" s="784"/>
      <c r="S381" s="784"/>
      <c r="T381" s="784"/>
      <c r="U381" s="784"/>
      <c r="V381" s="784"/>
      <c r="W381" s="784"/>
      <c r="X381" s="784"/>
      <c r="Y381" s="784"/>
      <c r="Z381" s="784"/>
      <c r="AA381" s="784"/>
      <c r="AB381" s="784"/>
    </row>
    <row r="382" spans="3:28" ht="15.75" customHeight="1">
      <c r="C382" s="784"/>
      <c r="D382" s="784"/>
      <c r="E382" s="784"/>
      <c r="F382" s="784"/>
      <c r="G382" s="784"/>
      <c r="H382" s="784"/>
      <c r="I382" s="784"/>
      <c r="J382" s="784"/>
      <c r="K382" s="784"/>
      <c r="L382" s="784"/>
      <c r="M382" s="784"/>
      <c r="N382" s="784"/>
      <c r="O382" s="784"/>
      <c r="P382" s="784"/>
      <c r="Q382" s="784"/>
      <c r="R382" s="784"/>
      <c r="S382" s="784"/>
      <c r="T382" s="784"/>
      <c r="U382" s="784"/>
      <c r="V382" s="784"/>
      <c r="W382" s="784"/>
      <c r="X382" s="784"/>
      <c r="Y382" s="784"/>
      <c r="Z382" s="784"/>
      <c r="AA382" s="784"/>
      <c r="AB382" s="784"/>
    </row>
    <row r="383" spans="3:28" ht="15.75" customHeight="1">
      <c r="C383" s="784"/>
      <c r="D383" s="784"/>
      <c r="E383" s="784"/>
      <c r="F383" s="784"/>
      <c r="G383" s="784"/>
      <c r="H383" s="784"/>
      <c r="I383" s="784"/>
      <c r="J383" s="784"/>
      <c r="K383" s="784"/>
      <c r="L383" s="784"/>
      <c r="M383" s="784"/>
      <c r="N383" s="784"/>
      <c r="O383" s="784"/>
      <c r="P383" s="784"/>
      <c r="Q383" s="784"/>
      <c r="R383" s="784"/>
      <c r="S383" s="784"/>
      <c r="T383" s="784"/>
      <c r="U383" s="784"/>
      <c r="V383" s="784"/>
      <c r="W383" s="784"/>
      <c r="X383" s="784"/>
      <c r="Y383" s="784"/>
      <c r="Z383" s="784"/>
      <c r="AA383" s="784"/>
      <c r="AB383" s="784"/>
    </row>
    <row r="384" spans="3:28" ht="15.75" customHeight="1">
      <c r="C384" s="784"/>
      <c r="D384" s="784"/>
      <c r="E384" s="784"/>
      <c r="F384" s="784"/>
      <c r="G384" s="784"/>
      <c r="H384" s="784"/>
      <c r="I384" s="784"/>
      <c r="J384" s="784"/>
      <c r="K384" s="784"/>
      <c r="L384" s="784"/>
      <c r="M384" s="784"/>
      <c r="N384" s="784"/>
      <c r="O384" s="784"/>
      <c r="P384" s="784"/>
      <c r="Q384" s="784"/>
      <c r="R384" s="784"/>
      <c r="S384" s="784"/>
      <c r="T384" s="784"/>
      <c r="U384" s="784"/>
      <c r="V384" s="784"/>
      <c r="W384" s="784"/>
      <c r="X384" s="784"/>
      <c r="Y384" s="784"/>
      <c r="Z384" s="784"/>
      <c r="AA384" s="784"/>
      <c r="AB384" s="784"/>
    </row>
    <row r="385" spans="3:28" ht="15.75" customHeight="1">
      <c r="C385" s="784"/>
      <c r="D385" s="784"/>
      <c r="E385" s="784"/>
      <c r="F385" s="784"/>
      <c r="G385" s="784"/>
      <c r="H385" s="784"/>
      <c r="I385" s="784"/>
      <c r="J385" s="784"/>
      <c r="K385" s="784"/>
      <c r="L385" s="784"/>
      <c r="M385" s="784"/>
      <c r="N385" s="784"/>
      <c r="O385" s="784"/>
      <c r="P385" s="784"/>
      <c r="Q385" s="784"/>
      <c r="R385" s="784"/>
      <c r="S385" s="784"/>
      <c r="T385" s="784"/>
      <c r="U385" s="784"/>
      <c r="V385" s="784"/>
      <c r="W385" s="784"/>
      <c r="X385" s="784"/>
      <c r="Y385" s="784"/>
      <c r="Z385" s="784"/>
      <c r="AA385" s="784"/>
      <c r="AB385" s="784"/>
    </row>
    <row r="386" spans="3:28" ht="15.75" customHeight="1">
      <c r="C386" s="784"/>
      <c r="D386" s="784"/>
      <c r="E386" s="784"/>
      <c r="F386" s="784"/>
      <c r="G386" s="784"/>
      <c r="H386" s="784"/>
      <c r="I386" s="784"/>
      <c r="J386" s="784"/>
      <c r="K386" s="784"/>
      <c r="L386" s="784"/>
      <c r="M386" s="784"/>
      <c r="N386" s="784"/>
      <c r="O386" s="784"/>
      <c r="P386" s="784"/>
      <c r="Q386" s="784"/>
      <c r="R386" s="784"/>
      <c r="S386" s="784"/>
      <c r="T386" s="784"/>
      <c r="U386" s="784"/>
      <c r="V386" s="784"/>
      <c r="W386" s="784"/>
      <c r="X386" s="784"/>
      <c r="Y386" s="784"/>
      <c r="Z386" s="784"/>
      <c r="AA386" s="784"/>
      <c r="AB386" s="784"/>
    </row>
    <row r="387" spans="3:28" ht="15.75" customHeight="1">
      <c r="C387" s="784"/>
      <c r="D387" s="784"/>
      <c r="E387" s="784"/>
      <c r="F387" s="784"/>
      <c r="G387" s="784"/>
      <c r="H387" s="784"/>
      <c r="I387" s="784"/>
      <c r="J387" s="784"/>
      <c r="K387" s="784"/>
      <c r="L387" s="784"/>
      <c r="M387" s="784"/>
      <c r="N387" s="784"/>
      <c r="O387" s="784"/>
      <c r="P387" s="784"/>
      <c r="Q387" s="784"/>
      <c r="R387" s="784"/>
      <c r="S387" s="784"/>
      <c r="T387" s="784"/>
      <c r="U387" s="784"/>
      <c r="V387" s="784"/>
      <c r="W387" s="784"/>
      <c r="X387" s="784"/>
      <c r="Y387" s="784"/>
      <c r="Z387" s="784"/>
      <c r="AA387" s="784"/>
      <c r="AB387" s="784"/>
    </row>
    <row r="388" spans="3:28" ht="15.75" customHeight="1">
      <c r="C388" s="784"/>
      <c r="D388" s="784"/>
      <c r="E388" s="784"/>
      <c r="F388" s="784"/>
      <c r="G388" s="784"/>
      <c r="H388" s="784"/>
      <c r="I388" s="784"/>
      <c r="J388" s="784"/>
      <c r="K388" s="784"/>
      <c r="L388" s="784"/>
      <c r="M388" s="784"/>
      <c r="N388" s="784"/>
      <c r="O388" s="784"/>
      <c r="P388" s="784"/>
      <c r="Q388" s="784"/>
      <c r="R388" s="784"/>
      <c r="S388" s="784"/>
      <c r="T388" s="784"/>
      <c r="U388" s="784"/>
      <c r="V388" s="784"/>
      <c r="W388" s="784"/>
      <c r="X388" s="784"/>
      <c r="Y388" s="784"/>
      <c r="Z388" s="784"/>
      <c r="AA388" s="784"/>
      <c r="AB388" s="784"/>
    </row>
    <row r="389" spans="3:28" ht="15.75" customHeight="1">
      <c r="C389" s="784"/>
      <c r="D389" s="784"/>
      <c r="E389" s="784"/>
      <c r="F389" s="784"/>
      <c r="G389" s="784"/>
      <c r="H389" s="784"/>
      <c r="I389" s="784"/>
      <c r="J389" s="784"/>
      <c r="K389" s="784"/>
      <c r="L389" s="784"/>
      <c r="M389" s="784"/>
      <c r="N389" s="784"/>
      <c r="O389" s="784"/>
      <c r="P389" s="784"/>
      <c r="Q389" s="784"/>
      <c r="R389" s="784"/>
      <c r="S389" s="784"/>
      <c r="T389" s="784"/>
      <c r="U389" s="784"/>
      <c r="V389" s="784"/>
      <c r="W389" s="784"/>
      <c r="X389" s="784"/>
      <c r="Y389" s="784"/>
      <c r="Z389" s="784"/>
      <c r="AA389" s="784"/>
      <c r="AB389" s="784"/>
    </row>
    <row r="390" spans="3:28" ht="15.75" customHeight="1">
      <c r="C390" s="784"/>
      <c r="D390" s="784"/>
      <c r="E390" s="784"/>
      <c r="F390" s="784"/>
      <c r="G390" s="784"/>
      <c r="H390" s="784"/>
      <c r="I390" s="784"/>
      <c r="J390" s="784"/>
      <c r="K390" s="784"/>
      <c r="L390" s="784"/>
      <c r="M390" s="784"/>
      <c r="N390" s="784"/>
      <c r="O390" s="784"/>
      <c r="P390" s="784"/>
      <c r="Q390" s="784"/>
      <c r="R390" s="784"/>
      <c r="S390" s="784"/>
      <c r="T390" s="784"/>
      <c r="U390" s="784"/>
      <c r="V390" s="784"/>
      <c r="W390" s="784"/>
      <c r="X390" s="784"/>
      <c r="Y390" s="784"/>
      <c r="Z390" s="784"/>
      <c r="AA390" s="784"/>
      <c r="AB390" s="784"/>
    </row>
    <row r="391" spans="3:28" ht="15.75" customHeight="1">
      <c r="C391" s="784"/>
      <c r="D391" s="784"/>
      <c r="E391" s="784"/>
      <c r="F391" s="784"/>
      <c r="G391" s="784"/>
      <c r="H391" s="784"/>
      <c r="I391" s="784"/>
      <c r="J391" s="784"/>
      <c r="K391" s="784"/>
      <c r="L391" s="784"/>
      <c r="M391" s="784"/>
      <c r="N391" s="784"/>
      <c r="O391" s="784"/>
      <c r="P391" s="784"/>
      <c r="Q391" s="784"/>
      <c r="R391" s="784"/>
      <c r="S391" s="784"/>
      <c r="T391" s="784"/>
      <c r="U391" s="784"/>
      <c r="V391" s="784"/>
      <c r="W391" s="784"/>
      <c r="X391" s="784"/>
      <c r="Y391" s="784"/>
      <c r="Z391" s="784"/>
      <c r="AA391" s="784"/>
      <c r="AB391" s="784"/>
    </row>
    <row r="392" spans="3:28" ht="15.75" customHeight="1">
      <c r="C392" s="784"/>
      <c r="D392" s="784"/>
      <c r="E392" s="784"/>
      <c r="F392" s="784"/>
      <c r="G392" s="784"/>
      <c r="H392" s="784"/>
      <c r="I392" s="784"/>
      <c r="J392" s="784"/>
      <c r="K392" s="784"/>
      <c r="L392" s="784"/>
      <c r="M392" s="784"/>
      <c r="N392" s="784"/>
      <c r="O392" s="784"/>
      <c r="P392" s="784"/>
      <c r="Q392" s="784"/>
      <c r="R392" s="784"/>
      <c r="S392" s="784"/>
      <c r="T392" s="784"/>
      <c r="U392" s="784"/>
      <c r="V392" s="784"/>
      <c r="W392" s="784"/>
      <c r="X392" s="784"/>
      <c r="Y392" s="784"/>
      <c r="Z392" s="784"/>
      <c r="AA392" s="784"/>
      <c r="AB392" s="784"/>
    </row>
    <row r="393" spans="3:28" ht="15.75" customHeight="1">
      <c r="C393" s="784"/>
      <c r="D393" s="784"/>
      <c r="E393" s="784"/>
      <c r="F393" s="784"/>
      <c r="G393" s="784"/>
      <c r="H393" s="784"/>
      <c r="I393" s="784"/>
      <c r="J393" s="784"/>
      <c r="K393" s="784"/>
      <c r="L393" s="784"/>
      <c r="M393" s="784"/>
      <c r="N393" s="784"/>
      <c r="O393" s="784"/>
      <c r="P393" s="784"/>
      <c r="Q393" s="784"/>
      <c r="R393" s="784"/>
      <c r="S393" s="784"/>
      <c r="T393" s="784"/>
      <c r="U393" s="784"/>
      <c r="V393" s="784"/>
      <c r="W393" s="784"/>
      <c r="X393" s="784"/>
      <c r="Y393" s="784"/>
      <c r="Z393" s="784"/>
      <c r="AA393" s="784"/>
      <c r="AB393" s="784"/>
    </row>
    <row r="394" spans="3:28" ht="15.75" customHeight="1">
      <c r="C394" s="784"/>
      <c r="D394" s="784"/>
      <c r="E394" s="784"/>
      <c r="F394" s="784"/>
      <c r="G394" s="784"/>
      <c r="H394" s="784"/>
      <c r="I394" s="784"/>
      <c r="J394" s="784"/>
      <c r="K394" s="784"/>
      <c r="L394" s="784"/>
      <c r="M394" s="784"/>
      <c r="N394" s="784"/>
      <c r="O394" s="784"/>
      <c r="P394" s="784"/>
      <c r="Q394" s="784"/>
      <c r="R394" s="784"/>
      <c r="S394" s="784"/>
      <c r="T394" s="784"/>
      <c r="U394" s="784"/>
      <c r="V394" s="784"/>
      <c r="W394" s="784"/>
      <c r="X394" s="784"/>
      <c r="Y394" s="784"/>
      <c r="Z394" s="784"/>
      <c r="AA394" s="784"/>
      <c r="AB394" s="784"/>
    </row>
    <row r="395" spans="3:28" ht="15.75" customHeight="1">
      <c r="C395" s="784"/>
      <c r="D395" s="784"/>
      <c r="E395" s="784"/>
      <c r="F395" s="784"/>
      <c r="G395" s="784"/>
      <c r="H395" s="784"/>
      <c r="I395" s="784"/>
      <c r="J395" s="784"/>
      <c r="K395" s="784"/>
      <c r="L395" s="784"/>
      <c r="M395" s="784"/>
      <c r="N395" s="784"/>
      <c r="O395" s="784"/>
      <c r="P395" s="784"/>
      <c r="Q395" s="784"/>
      <c r="R395" s="784"/>
      <c r="S395" s="784"/>
      <c r="T395" s="784"/>
      <c r="U395" s="784"/>
      <c r="V395" s="784"/>
      <c r="W395" s="784"/>
      <c r="X395" s="784"/>
      <c r="Y395" s="784"/>
      <c r="Z395" s="784"/>
      <c r="AA395" s="784"/>
      <c r="AB395" s="784"/>
    </row>
    <row r="396" spans="3:28" ht="15.75" customHeight="1">
      <c r="C396" s="784"/>
      <c r="D396" s="784"/>
      <c r="E396" s="784"/>
      <c r="F396" s="784"/>
      <c r="G396" s="784"/>
      <c r="H396" s="784"/>
      <c r="I396" s="784"/>
      <c r="J396" s="784"/>
      <c r="K396" s="784"/>
      <c r="L396" s="784"/>
      <c r="M396" s="784"/>
      <c r="N396" s="784"/>
      <c r="O396" s="784"/>
      <c r="P396" s="784"/>
      <c r="Q396" s="784"/>
      <c r="R396" s="784"/>
      <c r="S396" s="784"/>
      <c r="T396" s="784"/>
      <c r="U396" s="784"/>
      <c r="V396" s="784"/>
      <c r="W396" s="784"/>
      <c r="X396" s="784"/>
      <c r="Y396" s="784"/>
      <c r="Z396" s="784"/>
      <c r="AA396" s="784"/>
      <c r="AB396" s="784"/>
    </row>
    <row r="397" spans="3:28" ht="15.75" customHeight="1">
      <c r="C397" s="784"/>
      <c r="D397" s="784"/>
      <c r="E397" s="784"/>
      <c r="F397" s="784"/>
      <c r="G397" s="784"/>
      <c r="H397" s="784"/>
      <c r="I397" s="784"/>
      <c r="J397" s="784"/>
      <c r="K397" s="784"/>
      <c r="L397" s="784"/>
      <c r="M397" s="784"/>
      <c r="N397" s="784"/>
      <c r="O397" s="784"/>
      <c r="P397" s="784"/>
      <c r="Q397" s="784"/>
      <c r="R397" s="784"/>
      <c r="S397" s="784"/>
      <c r="T397" s="784"/>
      <c r="U397" s="784"/>
      <c r="V397" s="784"/>
      <c r="W397" s="784"/>
      <c r="X397" s="784"/>
      <c r="Y397" s="784"/>
      <c r="Z397" s="784"/>
      <c r="AA397" s="784"/>
      <c r="AB397" s="784"/>
    </row>
    <row r="398" spans="3:28" ht="15.75" customHeight="1">
      <c r="C398" s="784"/>
      <c r="D398" s="784"/>
      <c r="E398" s="784"/>
      <c r="F398" s="784"/>
      <c r="G398" s="784"/>
      <c r="H398" s="784"/>
      <c r="I398" s="784"/>
      <c r="J398" s="784"/>
      <c r="K398" s="784"/>
      <c r="L398" s="784"/>
      <c r="M398" s="784"/>
      <c r="N398" s="784"/>
      <c r="O398" s="784"/>
      <c r="P398" s="784"/>
      <c r="Q398" s="784"/>
      <c r="R398" s="784"/>
      <c r="S398" s="784"/>
      <c r="T398" s="784"/>
      <c r="U398" s="784"/>
      <c r="V398" s="784"/>
      <c r="W398" s="784"/>
      <c r="X398" s="784"/>
      <c r="Y398" s="784"/>
      <c r="Z398" s="784"/>
      <c r="AA398" s="784"/>
      <c r="AB398" s="784"/>
    </row>
    <row r="399" spans="3:28" ht="15.75" customHeight="1">
      <c r="C399" s="784"/>
      <c r="D399" s="784"/>
      <c r="E399" s="784"/>
      <c r="F399" s="784"/>
      <c r="G399" s="784"/>
      <c r="H399" s="784"/>
      <c r="I399" s="784"/>
      <c r="J399" s="784"/>
      <c r="K399" s="784"/>
      <c r="L399" s="784"/>
      <c r="M399" s="784"/>
      <c r="N399" s="784"/>
      <c r="O399" s="784"/>
      <c r="P399" s="784"/>
      <c r="Q399" s="784"/>
      <c r="R399" s="784"/>
      <c r="S399" s="784"/>
      <c r="T399" s="784"/>
      <c r="U399" s="784"/>
      <c r="V399" s="784"/>
      <c r="W399" s="784"/>
      <c r="X399" s="784"/>
      <c r="Y399" s="784"/>
      <c r="Z399" s="784"/>
      <c r="AA399" s="784"/>
      <c r="AB399" s="784"/>
    </row>
    <row r="400" spans="3:28" ht="15.75" customHeight="1">
      <c r="C400" s="784"/>
      <c r="D400" s="784"/>
      <c r="E400" s="784"/>
      <c r="F400" s="784"/>
      <c r="G400" s="784"/>
      <c r="H400" s="784"/>
      <c r="I400" s="784"/>
      <c r="J400" s="784"/>
      <c r="K400" s="784"/>
      <c r="L400" s="784"/>
      <c r="M400" s="784"/>
      <c r="N400" s="784"/>
      <c r="O400" s="784"/>
      <c r="P400" s="784"/>
      <c r="Q400" s="784"/>
      <c r="R400" s="784"/>
      <c r="S400" s="784"/>
      <c r="T400" s="784"/>
      <c r="U400" s="784"/>
      <c r="V400" s="784"/>
      <c r="W400" s="784"/>
      <c r="X400" s="784"/>
      <c r="Y400" s="784"/>
      <c r="Z400" s="784"/>
      <c r="AA400" s="784"/>
      <c r="AB400" s="784"/>
    </row>
    <row r="401" spans="3:28" ht="15.75" customHeight="1">
      <c r="C401" s="784"/>
      <c r="D401" s="784"/>
      <c r="E401" s="784"/>
      <c r="F401" s="784"/>
      <c r="G401" s="784"/>
      <c r="H401" s="784"/>
      <c r="I401" s="784"/>
      <c r="J401" s="784"/>
      <c r="K401" s="784"/>
      <c r="L401" s="784"/>
      <c r="M401" s="784"/>
      <c r="N401" s="784"/>
      <c r="O401" s="784"/>
      <c r="P401" s="784"/>
      <c r="Q401" s="784"/>
      <c r="R401" s="784"/>
      <c r="S401" s="784"/>
      <c r="T401" s="784"/>
      <c r="U401" s="784"/>
      <c r="V401" s="784"/>
      <c r="W401" s="784"/>
      <c r="X401" s="784"/>
      <c r="Y401" s="784"/>
      <c r="Z401" s="784"/>
      <c r="AA401" s="784"/>
      <c r="AB401" s="784"/>
    </row>
    <row r="402" spans="3:28" ht="15.75" customHeight="1">
      <c r="C402" s="784"/>
      <c r="D402" s="784"/>
      <c r="E402" s="784"/>
      <c r="F402" s="784"/>
      <c r="G402" s="784"/>
      <c r="H402" s="784"/>
      <c r="I402" s="784"/>
      <c r="J402" s="784"/>
      <c r="K402" s="784"/>
      <c r="L402" s="784"/>
      <c r="M402" s="784"/>
      <c r="N402" s="784"/>
      <c r="O402" s="784"/>
      <c r="P402" s="784"/>
      <c r="Q402" s="784"/>
      <c r="R402" s="784"/>
      <c r="S402" s="784"/>
      <c r="T402" s="784"/>
      <c r="U402" s="784"/>
      <c r="V402" s="784"/>
      <c r="W402" s="784"/>
      <c r="X402" s="784"/>
      <c r="Y402" s="784"/>
      <c r="Z402" s="784"/>
      <c r="AA402" s="784"/>
      <c r="AB402" s="784"/>
    </row>
    <row r="403" spans="3:28" ht="15.75" customHeight="1">
      <c r="C403" s="784"/>
      <c r="D403" s="784"/>
      <c r="E403" s="784"/>
      <c r="F403" s="784"/>
      <c r="G403" s="784"/>
      <c r="H403" s="784"/>
      <c r="I403" s="784"/>
      <c r="J403" s="784"/>
      <c r="K403" s="784"/>
      <c r="L403" s="784"/>
      <c r="M403" s="784"/>
      <c r="N403" s="784"/>
      <c r="O403" s="784"/>
      <c r="P403" s="784"/>
      <c r="Q403" s="784"/>
      <c r="R403" s="784"/>
      <c r="S403" s="784"/>
      <c r="T403" s="784"/>
      <c r="U403" s="784"/>
      <c r="V403" s="784"/>
      <c r="W403" s="784"/>
      <c r="X403" s="784"/>
      <c r="Y403" s="784"/>
      <c r="Z403" s="784"/>
      <c r="AA403" s="784"/>
      <c r="AB403" s="784"/>
    </row>
    <row r="404" spans="3:28" ht="15.75" customHeight="1">
      <c r="C404" s="784"/>
      <c r="D404" s="784"/>
      <c r="E404" s="784"/>
      <c r="F404" s="784"/>
      <c r="G404" s="784"/>
      <c r="H404" s="784"/>
      <c r="I404" s="784"/>
      <c r="J404" s="784"/>
      <c r="K404" s="784"/>
      <c r="L404" s="784"/>
      <c r="M404" s="784"/>
      <c r="N404" s="784"/>
      <c r="O404" s="784"/>
      <c r="P404" s="784"/>
      <c r="Q404" s="784"/>
      <c r="R404" s="784"/>
      <c r="S404" s="784"/>
      <c r="T404" s="784"/>
      <c r="U404" s="784"/>
      <c r="V404" s="784"/>
      <c r="W404" s="784"/>
      <c r="X404" s="784"/>
      <c r="Y404" s="784"/>
      <c r="Z404" s="784"/>
      <c r="AA404" s="784"/>
      <c r="AB404" s="784"/>
    </row>
    <row r="405" spans="3:28" ht="15.75" customHeight="1">
      <c r="C405" s="784"/>
      <c r="D405" s="784"/>
      <c r="E405" s="784"/>
      <c r="F405" s="784"/>
      <c r="G405" s="784"/>
      <c r="H405" s="784"/>
      <c r="I405" s="784"/>
      <c r="J405" s="784"/>
      <c r="K405" s="784"/>
      <c r="L405" s="784"/>
      <c r="M405" s="784"/>
      <c r="N405" s="784"/>
      <c r="O405" s="784"/>
      <c r="P405" s="784"/>
      <c r="Q405" s="784"/>
      <c r="R405" s="784"/>
      <c r="S405" s="784"/>
      <c r="T405" s="784"/>
      <c r="U405" s="784"/>
      <c r="V405" s="784"/>
      <c r="W405" s="784"/>
      <c r="X405" s="784"/>
      <c r="Y405" s="784"/>
      <c r="Z405" s="784"/>
      <c r="AA405" s="784"/>
      <c r="AB405" s="784"/>
    </row>
    <row r="406" spans="3:28" ht="15.75" customHeight="1">
      <c r="C406" s="784"/>
      <c r="D406" s="784"/>
      <c r="E406" s="784"/>
      <c r="F406" s="784"/>
      <c r="G406" s="784"/>
      <c r="H406" s="784"/>
      <c r="I406" s="784"/>
      <c r="J406" s="784"/>
      <c r="K406" s="784"/>
      <c r="L406" s="784"/>
      <c r="M406" s="784"/>
      <c r="N406" s="784"/>
      <c r="O406" s="784"/>
      <c r="P406" s="784"/>
      <c r="Q406" s="784"/>
      <c r="R406" s="784"/>
      <c r="S406" s="784"/>
      <c r="T406" s="784"/>
      <c r="U406" s="784"/>
      <c r="V406" s="784"/>
      <c r="W406" s="784"/>
      <c r="X406" s="784"/>
      <c r="Y406" s="784"/>
      <c r="Z406" s="784"/>
      <c r="AA406" s="784"/>
      <c r="AB406" s="784"/>
    </row>
    <row r="407" spans="3:28" ht="15.75" customHeight="1">
      <c r="C407" s="784"/>
      <c r="D407" s="784"/>
      <c r="E407" s="784"/>
      <c r="F407" s="784"/>
      <c r="G407" s="784"/>
      <c r="H407" s="784"/>
      <c r="I407" s="784"/>
      <c r="J407" s="784"/>
      <c r="K407" s="784"/>
      <c r="L407" s="784"/>
      <c r="M407" s="784"/>
      <c r="N407" s="784"/>
      <c r="O407" s="784"/>
      <c r="P407" s="784"/>
      <c r="Q407" s="784"/>
      <c r="R407" s="784"/>
      <c r="S407" s="784"/>
      <c r="T407" s="784"/>
      <c r="U407" s="784"/>
      <c r="V407" s="784"/>
      <c r="W407" s="784"/>
      <c r="X407" s="784"/>
      <c r="Y407" s="784"/>
      <c r="Z407" s="784"/>
      <c r="AA407" s="784"/>
      <c r="AB407" s="784"/>
    </row>
    <row r="408" spans="3:28" ht="15.75" customHeight="1">
      <c r="C408" s="784"/>
      <c r="D408" s="784"/>
      <c r="E408" s="784"/>
      <c r="F408" s="784"/>
      <c r="G408" s="784"/>
      <c r="H408" s="784"/>
      <c r="I408" s="784"/>
      <c r="J408" s="784"/>
      <c r="K408" s="784"/>
      <c r="L408" s="784"/>
      <c r="M408" s="784"/>
      <c r="N408" s="784"/>
      <c r="O408" s="784"/>
      <c r="P408" s="784"/>
      <c r="Q408" s="784"/>
      <c r="R408" s="784"/>
      <c r="S408" s="784"/>
      <c r="T408" s="784"/>
      <c r="U408" s="784"/>
      <c r="V408" s="784"/>
      <c r="W408" s="784"/>
      <c r="X408" s="784"/>
      <c r="Y408" s="784"/>
      <c r="Z408" s="784"/>
      <c r="AA408" s="784"/>
      <c r="AB408" s="784"/>
    </row>
    <row r="409" spans="3:28" ht="15.75" customHeight="1">
      <c r="C409" s="784"/>
      <c r="D409" s="784"/>
      <c r="E409" s="784"/>
      <c r="F409" s="784"/>
      <c r="G409" s="784"/>
      <c r="H409" s="784"/>
      <c r="I409" s="784"/>
      <c r="J409" s="784"/>
      <c r="K409" s="784"/>
      <c r="L409" s="784"/>
      <c r="M409" s="784"/>
      <c r="N409" s="784"/>
      <c r="O409" s="784"/>
      <c r="P409" s="784"/>
      <c r="Q409" s="784"/>
      <c r="R409" s="784"/>
      <c r="S409" s="784"/>
      <c r="T409" s="784"/>
      <c r="U409" s="784"/>
      <c r="V409" s="784"/>
      <c r="W409" s="784"/>
      <c r="X409" s="784"/>
      <c r="Y409" s="784"/>
      <c r="Z409" s="784"/>
      <c r="AA409" s="784"/>
      <c r="AB409" s="784"/>
    </row>
    <row r="410" spans="3:28" ht="15.75" customHeight="1">
      <c r="C410" s="784"/>
      <c r="D410" s="784"/>
      <c r="E410" s="784"/>
      <c r="F410" s="784"/>
      <c r="G410" s="784"/>
      <c r="H410" s="784"/>
      <c r="I410" s="784"/>
      <c r="J410" s="784"/>
      <c r="K410" s="784"/>
      <c r="L410" s="784"/>
      <c r="M410" s="784"/>
      <c r="N410" s="784"/>
      <c r="O410" s="784"/>
      <c r="P410" s="784"/>
      <c r="Q410" s="784"/>
      <c r="R410" s="784"/>
      <c r="S410" s="784"/>
      <c r="T410" s="784"/>
      <c r="U410" s="784"/>
      <c r="V410" s="784"/>
      <c r="W410" s="784"/>
      <c r="X410" s="784"/>
      <c r="Y410" s="784"/>
      <c r="Z410" s="784"/>
      <c r="AA410" s="784"/>
      <c r="AB410" s="784"/>
    </row>
    <row r="411" spans="3:28" ht="15.75" customHeight="1">
      <c r="C411" s="784"/>
      <c r="D411" s="784"/>
      <c r="E411" s="784"/>
      <c r="F411" s="784"/>
      <c r="G411" s="784"/>
      <c r="H411" s="784"/>
      <c r="I411" s="784"/>
      <c r="J411" s="784"/>
      <c r="K411" s="784"/>
      <c r="L411" s="784"/>
      <c r="M411" s="784"/>
      <c r="N411" s="784"/>
      <c r="O411" s="784"/>
      <c r="P411" s="784"/>
      <c r="Q411" s="784"/>
      <c r="R411" s="784"/>
      <c r="S411" s="784"/>
      <c r="T411" s="784"/>
      <c r="U411" s="784"/>
      <c r="V411" s="784"/>
      <c r="W411" s="784"/>
      <c r="X411" s="784"/>
      <c r="Y411" s="784"/>
      <c r="Z411" s="784"/>
      <c r="AA411" s="784"/>
      <c r="AB411" s="784"/>
    </row>
    <row r="412" spans="3:28" ht="15.75" customHeight="1">
      <c r="C412" s="784"/>
      <c r="D412" s="784"/>
      <c r="E412" s="784"/>
      <c r="F412" s="784"/>
      <c r="G412" s="784"/>
      <c r="H412" s="784"/>
      <c r="I412" s="784"/>
      <c r="J412" s="784"/>
      <c r="K412" s="784"/>
      <c r="L412" s="784"/>
      <c r="M412" s="784"/>
      <c r="N412" s="784"/>
      <c r="O412" s="784"/>
      <c r="P412" s="784"/>
      <c r="Q412" s="784"/>
      <c r="R412" s="784"/>
      <c r="S412" s="784"/>
      <c r="T412" s="784"/>
      <c r="U412" s="784"/>
      <c r="V412" s="784"/>
      <c r="W412" s="784"/>
      <c r="X412" s="784"/>
      <c r="Y412" s="784"/>
      <c r="Z412" s="784"/>
      <c r="AA412" s="784"/>
      <c r="AB412" s="784"/>
    </row>
    <row r="413" spans="3:28" ht="15.75" customHeight="1">
      <c r="C413" s="784"/>
      <c r="D413" s="784"/>
      <c r="E413" s="784"/>
      <c r="F413" s="784"/>
      <c r="G413" s="784"/>
      <c r="H413" s="784"/>
      <c r="I413" s="784"/>
      <c r="J413" s="784"/>
      <c r="K413" s="784"/>
      <c r="L413" s="784"/>
      <c r="M413" s="784"/>
      <c r="N413" s="784"/>
      <c r="O413" s="784"/>
      <c r="P413" s="784"/>
      <c r="Q413" s="784"/>
      <c r="R413" s="784"/>
      <c r="S413" s="784"/>
      <c r="T413" s="784"/>
      <c r="U413" s="784"/>
      <c r="V413" s="784"/>
      <c r="W413" s="784"/>
      <c r="X413" s="784"/>
      <c r="Y413" s="784"/>
      <c r="Z413" s="784"/>
      <c r="AA413" s="784"/>
      <c r="AB413" s="784"/>
    </row>
    <row r="414" spans="3:28" ht="15.75" customHeight="1">
      <c r="C414" s="784"/>
      <c r="D414" s="784"/>
      <c r="E414" s="784"/>
      <c r="F414" s="784"/>
      <c r="G414" s="784"/>
      <c r="H414" s="784"/>
      <c r="I414" s="784"/>
      <c r="J414" s="784"/>
      <c r="K414" s="784"/>
      <c r="L414" s="784"/>
      <c r="M414" s="784"/>
      <c r="N414" s="784"/>
      <c r="O414" s="784"/>
      <c r="P414" s="784"/>
      <c r="Q414" s="784"/>
      <c r="R414" s="784"/>
      <c r="S414" s="784"/>
      <c r="T414" s="784"/>
      <c r="U414" s="784"/>
      <c r="V414" s="784"/>
      <c r="W414" s="784"/>
      <c r="X414" s="784"/>
      <c r="Y414" s="784"/>
      <c r="Z414" s="784"/>
      <c r="AA414" s="784"/>
      <c r="AB414" s="784"/>
    </row>
    <row r="415" spans="3:28" ht="15.75" customHeight="1">
      <c r="C415" s="784"/>
      <c r="D415" s="784"/>
      <c r="E415" s="784"/>
      <c r="F415" s="784"/>
      <c r="G415" s="784"/>
      <c r="H415" s="784"/>
      <c r="I415" s="784"/>
      <c r="J415" s="784"/>
      <c r="K415" s="784"/>
      <c r="L415" s="784"/>
      <c r="M415" s="784"/>
      <c r="N415" s="784"/>
      <c r="O415" s="784"/>
      <c r="P415" s="784"/>
      <c r="Q415" s="784"/>
      <c r="R415" s="784"/>
      <c r="S415" s="784"/>
      <c r="T415" s="784"/>
      <c r="U415" s="784"/>
      <c r="V415" s="784"/>
      <c r="W415" s="784"/>
      <c r="X415" s="784"/>
      <c r="Y415" s="784"/>
      <c r="Z415" s="784"/>
      <c r="AA415" s="784"/>
      <c r="AB415" s="784"/>
    </row>
    <row r="416" spans="3:28" ht="15.75" customHeight="1">
      <c r="C416" s="784"/>
      <c r="D416" s="784"/>
      <c r="E416" s="784"/>
      <c r="F416" s="784"/>
      <c r="G416" s="784"/>
      <c r="H416" s="784"/>
      <c r="I416" s="784"/>
      <c r="J416" s="784"/>
      <c r="K416" s="784"/>
      <c r="L416" s="784"/>
      <c r="M416" s="784"/>
      <c r="N416" s="784"/>
      <c r="O416" s="784"/>
      <c r="P416" s="784"/>
      <c r="Q416" s="784"/>
      <c r="R416" s="784"/>
      <c r="S416" s="784"/>
      <c r="T416" s="784"/>
      <c r="U416" s="784"/>
      <c r="V416" s="784"/>
      <c r="W416" s="784"/>
      <c r="X416" s="784"/>
      <c r="Y416" s="784"/>
      <c r="Z416" s="784"/>
      <c r="AA416" s="784"/>
      <c r="AB416" s="784"/>
    </row>
    <row r="417" spans="3:28" ht="15.75" customHeight="1">
      <c r="C417" s="784"/>
      <c r="D417" s="784"/>
      <c r="E417" s="784"/>
      <c r="F417" s="784"/>
      <c r="G417" s="784"/>
      <c r="H417" s="784"/>
      <c r="I417" s="784"/>
      <c r="J417" s="784"/>
      <c r="K417" s="784"/>
      <c r="L417" s="784"/>
      <c r="M417" s="784"/>
      <c r="N417" s="784"/>
      <c r="O417" s="784"/>
      <c r="P417" s="784"/>
      <c r="Q417" s="784"/>
      <c r="R417" s="784"/>
      <c r="S417" s="784"/>
      <c r="T417" s="784"/>
      <c r="U417" s="784"/>
      <c r="V417" s="784"/>
      <c r="W417" s="784"/>
      <c r="X417" s="784"/>
      <c r="Y417" s="784"/>
      <c r="Z417" s="784"/>
      <c r="AA417" s="784"/>
      <c r="AB417" s="784"/>
    </row>
    <row r="418" spans="3:28" ht="15.75" customHeight="1">
      <c r="C418" s="784"/>
      <c r="D418" s="784"/>
      <c r="E418" s="784"/>
      <c r="F418" s="784"/>
      <c r="G418" s="784"/>
      <c r="H418" s="784"/>
      <c r="I418" s="784"/>
      <c r="J418" s="784"/>
      <c r="K418" s="784"/>
      <c r="L418" s="784"/>
      <c r="M418" s="784"/>
      <c r="N418" s="784"/>
      <c r="O418" s="784"/>
      <c r="P418" s="784"/>
      <c r="Q418" s="784"/>
      <c r="R418" s="784"/>
      <c r="S418" s="784"/>
      <c r="T418" s="784"/>
      <c r="U418" s="784"/>
      <c r="V418" s="784"/>
      <c r="W418" s="784"/>
      <c r="X418" s="784"/>
      <c r="Y418" s="784"/>
      <c r="Z418" s="784"/>
      <c r="AA418" s="784"/>
      <c r="AB418" s="784"/>
    </row>
    <row r="419" spans="3:28" ht="15.75" customHeight="1">
      <c r="C419" s="784"/>
      <c r="D419" s="784"/>
      <c r="E419" s="784"/>
      <c r="F419" s="784"/>
      <c r="G419" s="784"/>
      <c r="H419" s="784"/>
      <c r="I419" s="784"/>
      <c r="J419" s="784"/>
      <c r="K419" s="784"/>
      <c r="L419" s="784"/>
      <c r="M419" s="784"/>
      <c r="N419" s="784"/>
      <c r="O419" s="784"/>
      <c r="P419" s="784"/>
      <c r="Q419" s="784"/>
      <c r="R419" s="784"/>
      <c r="S419" s="784"/>
      <c r="T419" s="784"/>
      <c r="U419" s="784"/>
      <c r="V419" s="784"/>
      <c r="W419" s="784"/>
      <c r="X419" s="784"/>
      <c r="Y419" s="784"/>
      <c r="Z419" s="784"/>
      <c r="AA419" s="784"/>
      <c r="AB419" s="784"/>
    </row>
    <row r="420" spans="3:28" ht="15.75" customHeight="1">
      <c r="C420" s="784"/>
      <c r="D420" s="784"/>
      <c r="E420" s="784"/>
      <c r="F420" s="784"/>
      <c r="G420" s="784"/>
      <c r="H420" s="784"/>
      <c r="I420" s="784"/>
      <c r="J420" s="784"/>
      <c r="K420" s="784"/>
      <c r="L420" s="784"/>
      <c r="M420" s="784"/>
      <c r="N420" s="784"/>
      <c r="O420" s="784"/>
      <c r="P420" s="784"/>
      <c r="Q420" s="784"/>
      <c r="R420" s="784"/>
      <c r="S420" s="784"/>
      <c r="T420" s="784"/>
      <c r="U420" s="784"/>
      <c r="V420" s="784"/>
      <c r="W420" s="784"/>
      <c r="X420" s="784"/>
      <c r="Y420" s="784"/>
      <c r="Z420" s="784"/>
      <c r="AA420" s="784"/>
      <c r="AB420" s="784"/>
    </row>
    <row r="421" spans="3:28" ht="15.75" customHeight="1">
      <c r="C421" s="784"/>
      <c r="D421" s="784"/>
      <c r="E421" s="784"/>
      <c r="F421" s="784"/>
      <c r="G421" s="784"/>
      <c r="H421" s="784"/>
      <c r="I421" s="784"/>
      <c r="J421" s="784"/>
      <c r="K421" s="784"/>
      <c r="L421" s="784"/>
      <c r="M421" s="784"/>
      <c r="N421" s="784"/>
      <c r="O421" s="784"/>
      <c r="P421" s="784"/>
      <c r="Q421" s="784"/>
      <c r="R421" s="784"/>
      <c r="S421" s="784"/>
      <c r="T421" s="784"/>
      <c r="U421" s="784"/>
      <c r="V421" s="784"/>
      <c r="W421" s="784"/>
      <c r="X421" s="784"/>
      <c r="Y421" s="784"/>
      <c r="Z421" s="784"/>
      <c r="AA421" s="784"/>
      <c r="AB421" s="784"/>
    </row>
    <row r="422" spans="3:28" ht="15.75" customHeight="1">
      <c r="C422" s="784"/>
      <c r="D422" s="784"/>
      <c r="E422" s="784"/>
      <c r="F422" s="784"/>
      <c r="G422" s="784"/>
      <c r="H422" s="784"/>
      <c r="I422" s="784"/>
      <c r="J422" s="784"/>
      <c r="K422" s="784"/>
      <c r="L422" s="784"/>
      <c r="M422" s="784"/>
      <c r="N422" s="784"/>
      <c r="O422" s="784"/>
      <c r="P422" s="784"/>
      <c r="Q422" s="784"/>
      <c r="R422" s="784"/>
      <c r="S422" s="784"/>
      <c r="T422" s="784"/>
      <c r="U422" s="784"/>
      <c r="V422" s="784"/>
      <c r="W422" s="784"/>
      <c r="X422" s="784"/>
      <c r="Y422" s="784"/>
      <c r="Z422" s="784"/>
      <c r="AA422" s="784"/>
      <c r="AB422" s="784"/>
    </row>
    <row r="423" spans="3:28" ht="15.75" customHeight="1">
      <c r="C423" s="784"/>
      <c r="D423" s="784"/>
      <c r="E423" s="784"/>
      <c r="F423" s="784"/>
      <c r="G423" s="784"/>
      <c r="H423" s="784"/>
      <c r="I423" s="784"/>
      <c r="J423" s="784"/>
      <c r="K423" s="784"/>
      <c r="L423" s="784"/>
      <c r="M423" s="784"/>
      <c r="N423" s="784"/>
      <c r="O423" s="784"/>
      <c r="P423" s="784"/>
      <c r="Q423" s="784"/>
      <c r="R423" s="784"/>
      <c r="S423" s="784"/>
      <c r="T423" s="784"/>
      <c r="U423" s="784"/>
      <c r="V423" s="784"/>
      <c r="W423" s="784"/>
      <c r="X423" s="784"/>
      <c r="Y423" s="784"/>
      <c r="Z423" s="784"/>
      <c r="AA423" s="784"/>
      <c r="AB423" s="784"/>
    </row>
    <row r="424" spans="3:28" ht="15.75" customHeight="1">
      <c r="C424" s="784"/>
      <c r="D424" s="784"/>
      <c r="E424" s="784"/>
      <c r="F424" s="784"/>
      <c r="G424" s="784"/>
      <c r="H424" s="784"/>
      <c r="I424" s="784"/>
      <c r="J424" s="784"/>
      <c r="K424" s="784"/>
      <c r="L424" s="784"/>
      <c r="M424" s="784"/>
      <c r="N424" s="784"/>
      <c r="O424" s="784"/>
      <c r="P424" s="784"/>
      <c r="Q424" s="784"/>
      <c r="R424" s="784"/>
      <c r="S424" s="784"/>
      <c r="T424" s="784"/>
      <c r="U424" s="784"/>
      <c r="V424" s="784"/>
      <c r="W424" s="784"/>
      <c r="X424" s="784"/>
      <c r="Y424" s="784"/>
      <c r="Z424" s="784"/>
      <c r="AA424" s="784"/>
      <c r="AB424" s="784"/>
    </row>
    <row r="425" spans="3:28" ht="15.75" customHeight="1">
      <c r="C425" s="784"/>
      <c r="D425" s="784"/>
      <c r="E425" s="784"/>
      <c r="F425" s="784"/>
      <c r="G425" s="784"/>
      <c r="H425" s="784"/>
      <c r="I425" s="784"/>
      <c r="J425" s="784"/>
      <c r="K425" s="784"/>
      <c r="L425" s="784"/>
      <c r="M425" s="784"/>
      <c r="N425" s="784"/>
      <c r="O425" s="784"/>
      <c r="P425" s="784"/>
      <c r="Q425" s="784"/>
      <c r="R425" s="784"/>
      <c r="S425" s="784"/>
      <c r="T425" s="784"/>
      <c r="U425" s="784"/>
      <c r="V425" s="784"/>
      <c r="W425" s="784"/>
      <c r="X425" s="784"/>
      <c r="Y425" s="784"/>
      <c r="Z425" s="784"/>
      <c r="AA425" s="784"/>
      <c r="AB425" s="784"/>
    </row>
    <row r="426" spans="3:28" ht="15.75" customHeight="1">
      <c r="C426" s="784"/>
      <c r="D426" s="784"/>
      <c r="E426" s="784"/>
      <c r="F426" s="784"/>
      <c r="G426" s="784"/>
      <c r="H426" s="784"/>
      <c r="I426" s="784"/>
      <c r="J426" s="784"/>
      <c r="K426" s="784"/>
      <c r="L426" s="784"/>
      <c r="M426" s="784"/>
      <c r="N426" s="784"/>
      <c r="O426" s="784"/>
      <c r="P426" s="784"/>
      <c r="Q426" s="784"/>
      <c r="R426" s="784"/>
      <c r="S426" s="784"/>
      <c r="T426" s="784"/>
      <c r="U426" s="784"/>
      <c r="V426" s="784"/>
      <c r="W426" s="784"/>
      <c r="X426" s="784"/>
      <c r="Y426" s="784"/>
      <c r="Z426" s="784"/>
      <c r="AA426" s="784"/>
      <c r="AB426" s="784"/>
    </row>
    <row r="427" spans="3:28" ht="15.75" customHeight="1">
      <c r="C427" s="784"/>
      <c r="D427" s="784"/>
      <c r="E427" s="784"/>
      <c r="F427" s="784"/>
      <c r="G427" s="784"/>
      <c r="H427" s="784"/>
      <c r="I427" s="784"/>
      <c r="J427" s="784"/>
      <c r="K427" s="784"/>
      <c r="L427" s="784"/>
      <c r="M427" s="784"/>
      <c r="N427" s="784"/>
      <c r="O427" s="784"/>
      <c r="P427" s="784"/>
      <c r="Q427" s="784"/>
      <c r="R427" s="784"/>
      <c r="S427" s="784"/>
      <c r="T427" s="784"/>
      <c r="U427" s="784"/>
      <c r="V427" s="784"/>
      <c r="W427" s="784"/>
      <c r="X427" s="784"/>
      <c r="Y427" s="784"/>
      <c r="Z427" s="784"/>
      <c r="AA427" s="784"/>
      <c r="AB427" s="784"/>
    </row>
    <row r="428" spans="3:28" ht="15.75" customHeight="1">
      <c r="C428" s="784"/>
      <c r="D428" s="784"/>
      <c r="E428" s="784"/>
      <c r="F428" s="784"/>
      <c r="G428" s="784"/>
      <c r="H428" s="784"/>
      <c r="I428" s="784"/>
      <c r="J428" s="784"/>
      <c r="K428" s="784"/>
      <c r="L428" s="784"/>
      <c r="M428" s="784"/>
      <c r="N428" s="784"/>
      <c r="O428" s="784"/>
      <c r="P428" s="784"/>
      <c r="Q428" s="784"/>
      <c r="R428" s="784"/>
      <c r="S428" s="784"/>
      <c r="T428" s="784"/>
      <c r="U428" s="784"/>
      <c r="V428" s="784"/>
      <c r="W428" s="784"/>
      <c r="X428" s="784"/>
      <c r="Y428" s="784"/>
      <c r="Z428" s="784"/>
      <c r="AA428" s="784"/>
      <c r="AB428" s="784"/>
    </row>
    <row r="429" spans="3:28" ht="15.75" customHeight="1">
      <c r="C429" s="784"/>
      <c r="D429" s="784"/>
      <c r="E429" s="784"/>
      <c r="F429" s="784"/>
      <c r="G429" s="784"/>
      <c r="H429" s="784"/>
      <c r="I429" s="784"/>
      <c r="J429" s="784"/>
      <c r="K429" s="784"/>
      <c r="L429" s="784"/>
      <c r="M429" s="784"/>
      <c r="N429" s="784"/>
      <c r="O429" s="784"/>
      <c r="P429" s="784"/>
      <c r="Q429" s="784"/>
      <c r="R429" s="784"/>
      <c r="S429" s="784"/>
      <c r="T429" s="784"/>
      <c r="U429" s="784"/>
      <c r="V429" s="784"/>
      <c r="W429" s="784"/>
      <c r="X429" s="784"/>
      <c r="Y429" s="784"/>
      <c r="Z429" s="784"/>
      <c r="AA429" s="784"/>
      <c r="AB429" s="784"/>
    </row>
    <row r="430" spans="3:28" ht="15.75" customHeight="1">
      <c r="C430" s="784"/>
      <c r="D430" s="784"/>
      <c r="E430" s="784"/>
      <c r="F430" s="784"/>
      <c r="G430" s="784"/>
      <c r="H430" s="784"/>
      <c r="I430" s="784"/>
      <c r="J430" s="784"/>
      <c r="K430" s="784"/>
      <c r="L430" s="784"/>
      <c r="M430" s="784"/>
      <c r="N430" s="784"/>
      <c r="O430" s="784"/>
      <c r="P430" s="784"/>
      <c r="Q430" s="784"/>
      <c r="R430" s="784"/>
      <c r="S430" s="784"/>
      <c r="T430" s="784"/>
      <c r="U430" s="784"/>
      <c r="V430" s="784"/>
      <c r="W430" s="784"/>
      <c r="X430" s="784"/>
      <c r="Y430" s="784"/>
      <c r="Z430" s="784"/>
      <c r="AA430" s="784"/>
      <c r="AB430" s="784"/>
    </row>
    <row r="431" spans="3:28" ht="15.75" customHeight="1">
      <c r="C431" s="784"/>
      <c r="D431" s="784"/>
      <c r="E431" s="784"/>
      <c r="F431" s="784"/>
      <c r="G431" s="784"/>
      <c r="H431" s="784"/>
      <c r="I431" s="784"/>
      <c r="J431" s="784"/>
      <c r="K431" s="784"/>
      <c r="L431" s="784"/>
      <c r="M431" s="784"/>
      <c r="N431" s="784"/>
      <c r="O431" s="784"/>
      <c r="P431" s="784"/>
      <c r="Q431" s="784"/>
      <c r="R431" s="784"/>
      <c r="S431" s="784"/>
      <c r="T431" s="784"/>
      <c r="U431" s="784"/>
      <c r="V431" s="784"/>
      <c r="W431" s="784"/>
      <c r="X431" s="784"/>
      <c r="Y431" s="784"/>
      <c r="Z431" s="784"/>
      <c r="AA431" s="784"/>
      <c r="AB431" s="784"/>
    </row>
    <row r="432" spans="3:28" ht="15.75" customHeight="1">
      <c r="C432" s="784"/>
      <c r="D432" s="784"/>
      <c r="E432" s="784"/>
      <c r="F432" s="784"/>
      <c r="G432" s="784"/>
      <c r="H432" s="784"/>
      <c r="I432" s="784"/>
      <c r="J432" s="784"/>
      <c r="K432" s="784"/>
      <c r="L432" s="784"/>
      <c r="M432" s="784"/>
      <c r="N432" s="784"/>
      <c r="O432" s="784"/>
      <c r="P432" s="784"/>
      <c r="Q432" s="784"/>
      <c r="R432" s="784"/>
      <c r="S432" s="784"/>
      <c r="T432" s="784"/>
      <c r="U432" s="784"/>
      <c r="V432" s="784"/>
      <c r="W432" s="784"/>
      <c r="X432" s="784"/>
      <c r="Y432" s="784"/>
      <c r="Z432" s="784"/>
      <c r="AA432" s="784"/>
      <c r="AB432" s="784"/>
    </row>
    <row r="433" spans="3:28" ht="15.75" customHeight="1">
      <c r="C433" s="784"/>
      <c r="D433" s="784"/>
      <c r="E433" s="784"/>
      <c r="F433" s="784"/>
      <c r="G433" s="784"/>
      <c r="H433" s="784"/>
      <c r="I433" s="784"/>
      <c r="J433" s="784"/>
      <c r="K433" s="784"/>
      <c r="L433" s="784"/>
      <c r="M433" s="784"/>
      <c r="N433" s="784"/>
      <c r="O433" s="784"/>
      <c r="P433" s="784"/>
      <c r="Q433" s="784"/>
      <c r="R433" s="784"/>
      <c r="S433" s="784"/>
      <c r="T433" s="784"/>
      <c r="U433" s="784"/>
      <c r="V433" s="784"/>
      <c r="W433" s="784"/>
      <c r="X433" s="784"/>
      <c r="Y433" s="784"/>
      <c r="Z433" s="784"/>
      <c r="AA433" s="784"/>
      <c r="AB433" s="784"/>
    </row>
    <row r="434" spans="3:28" ht="15.75" customHeight="1">
      <c r="C434" s="784"/>
      <c r="D434" s="784"/>
      <c r="E434" s="784"/>
      <c r="F434" s="784"/>
      <c r="G434" s="784"/>
      <c r="H434" s="784"/>
      <c r="I434" s="784"/>
      <c r="J434" s="784"/>
      <c r="K434" s="784"/>
      <c r="L434" s="784"/>
      <c r="M434" s="784"/>
      <c r="N434" s="784"/>
      <c r="O434" s="784"/>
      <c r="P434" s="784"/>
      <c r="Q434" s="784"/>
      <c r="R434" s="784"/>
      <c r="S434" s="784"/>
      <c r="T434" s="784"/>
      <c r="U434" s="784"/>
      <c r="V434" s="784"/>
      <c r="W434" s="784"/>
      <c r="X434" s="784"/>
      <c r="Y434" s="784"/>
      <c r="Z434" s="784"/>
      <c r="AA434" s="784"/>
      <c r="AB434" s="784"/>
    </row>
    <row r="435" spans="3:28" ht="15.75" customHeight="1">
      <c r="C435" s="784"/>
      <c r="D435" s="784"/>
      <c r="E435" s="784"/>
      <c r="F435" s="784"/>
      <c r="G435" s="784"/>
      <c r="H435" s="784"/>
      <c r="I435" s="784"/>
      <c r="J435" s="784"/>
      <c r="K435" s="784"/>
      <c r="L435" s="784"/>
      <c r="M435" s="784"/>
      <c r="N435" s="784"/>
      <c r="O435" s="784"/>
      <c r="P435" s="784"/>
      <c r="Q435" s="784"/>
      <c r="R435" s="784"/>
      <c r="S435" s="784"/>
      <c r="T435" s="784"/>
      <c r="U435" s="784"/>
      <c r="V435" s="784"/>
      <c r="W435" s="784"/>
      <c r="X435" s="784"/>
      <c r="Y435" s="784"/>
      <c r="Z435" s="784"/>
      <c r="AA435" s="784"/>
      <c r="AB435" s="784"/>
    </row>
    <row r="436" spans="3:28" ht="15.75" customHeight="1">
      <c r="C436" s="784"/>
      <c r="D436" s="784"/>
      <c r="E436" s="784"/>
      <c r="F436" s="784"/>
      <c r="G436" s="784"/>
      <c r="H436" s="784"/>
      <c r="I436" s="784"/>
      <c r="J436" s="784"/>
      <c r="K436" s="784"/>
      <c r="L436" s="784"/>
      <c r="M436" s="784"/>
      <c r="N436" s="784"/>
      <c r="O436" s="784"/>
      <c r="P436" s="784"/>
      <c r="Q436" s="784"/>
      <c r="R436" s="784"/>
      <c r="S436" s="784"/>
      <c r="T436" s="784"/>
      <c r="U436" s="784"/>
      <c r="V436" s="784"/>
      <c r="W436" s="784"/>
      <c r="X436" s="784"/>
      <c r="Y436" s="784"/>
      <c r="Z436" s="784"/>
      <c r="AA436" s="784"/>
      <c r="AB436" s="784"/>
    </row>
    <row r="437" spans="3:28" ht="15.75" customHeight="1">
      <c r="C437" s="784"/>
      <c r="D437" s="784"/>
      <c r="E437" s="784"/>
      <c r="F437" s="784"/>
      <c r="G437" s="784"/>
      <c r="H437" s="784"/>
      <c r="I437" s="784"/>
      <c r="J437" s="784"/>
      <c r="K437" s="784"/>
      <c r="L437" s="784"/>
      <c r="M437" s="784"/>
      <c r="N437" s="784"/>
      <c r="O437" s="784"/>
      <c r="P437" s="784"/>
      <c r="Q437" s="784"/>
      <c r="R437" s="784"/>
      <c r="S437" s="784"/>
      <c r="T437" s="784"/>
      <c r="U437" s="784"/>
      <c r="V437" s="784"/>
      <c r="W437" s="784"/>
      <c r="X437" s="784"/>
      <c r="Y437" s="784"/>
      <c r="Z437" s="784"/>
      <c r="AA437" s="784"/>
      <c r="AB437" s="784"/>
    </row>
    <row r="438" spans="3:28" ht="15.75" customHeight="1">
      <c r="C438" s="784"/>
      <c r="D438" s="784"/>
      <c r="E438" s="784"/>
      <c r="F438" s="784"/>
      <c r="G438" s="784"/>
      <c r="H438" s="784"/>
      <c r="I438" s="784"/>
      <c r="J438" s="784"/>
      <c r="K438" s="784"/>
      <c r="L438" s="784"/>
      <c r="M438" s="784"/>
      <c r="N438" s="784"/>
      <c r="O438" s="784"/>
      <c r="P438" s="784"/>
      <c r="Q438" s="784"/>
      <c r="R438" s="784"/>
      <c r="S438" s="784"/>
      <c r="T438" s="784"/>
      <c r="U438" s="784"/>
      <c r="V438" s="784"/>
      <c r="W438" s="784"/>
      <c r="X438" s="784"/>
      <c r="Y438" s="784"/>
      <c r="Z438" s="784"/>
      <c r="AA438" s="784"/>
      <c r="AB438" s="784"/>
    </row>
    <row r="439" spans="3:28" ht="15.75" customHeight="1">
      <c r="C439" s="784"/>
      <c r="D439" s="784"/>
      <c r="E439" s="784"/>
      <c r="F439" s="784"/>
      <c r="G439" s="784"/>
      <c r="H439" s="784"/>
      <c r="I439" s="784"/>
      <c r="J439" s="784"/>
      <c r="K439" s="784"/>
      <c r="L439" s="784"/>
      <c r="M439" s="784"/>
      <c r="N439" s="784"/>
      <c r="O439" s="784"/>
      <c r="P439" s="784"/>
      <c r="Q439" s="784"/>
      <c r="R439" s="784"/>
      <c r="S439" s="784"/>
      <c r="T439" s="784"/>
      <c r="U439" s="784"/>
      <c r="V439" s="784"/>
      <c r="W439" s="784"/>
      <c r="X439" s="784"/>
      <c r="Y439" s="784"/>
      <c r="Z439" s="784"/>
      <c r="AA439" s="784"/>
      <c r="AB439" s="784"/>
    </row>
    <row r="440" spans="3:28" ht="15.75" customHeight="1">
      <c r="C440" s="784"/>
      <c r="D440" s="784"/>
      <c r="E440" s="784"/>
      <c r="F440" s="784"/>
      <c r="G440" s="784"/>
      <c r="H440" s="784"/>
      <c r="I440" s="784"/>
      <c r="J440" s="784"/>
      <c r="K440" s="784"/>
      <c r="L440" s="784"/>
      <c r="M440" s="784"/>
      <c r="N440" s="784"/>
      <c r="O440" s="784"/>
      <c r="P440" s="784"/>
      <c r="Q440" s="784"/>
      <c r="R440" s="784"/>
      <c r="S440" s="784"/>
      <c r="T440" s="784"/>
      <c r="U440" s="784"/>
      <c r="V440" s="784"/>
      <c r="W440" s="784"/>
      <c r="X440" s="784"/>
      <c r="Y440" s="784"/>
      <c r="Z440" s="784"/>
      <c r="AA440" s="784"/>
      <c r="AB440" s="784"/>
    </row>
    <row r="441" spans="3:28" ht="15.75" customHeight="1">
      <c r="C441" s="784"/>
      <c r="D441" s="784"/>
      <c r="E441" s="784"/>
      <c r="F441" s="784"/>
      <c r="G441" s="784"/>
      <c r="H441" s="784"/>
      <c r="I441" s="784"/>
      <c r="J441" s="784"/>
      <c r="K441" s="784"/>
      <c r="L441" s="784"/>
      <c r="M441" s="784"/>
      <c r="N441" s="784"/>
      <c r="O441" s="784"/>
      <c r="P441" s="784"/>
      <c r="Q441" s="784"/>
      <c r="R441" s="784"/>
      <c r="S441" s="784"/>
      <c r="T441" s="784"/>
      <c r="U441" s="784"/>
      <c r="V441" s="784"/>
      <c r="W441" s="784"/>
      <c r="X441" s="784"/>
      <c r="Y441" s="784"/>
      <c r="Z441" s="784"/>
      <c r="AA441" s="784"/>
      <c r="AB441" s="784"/>
    </row>
    <row r="442" spans="3:28" ht="15.75" customHeight="1">
      <c r="C442" s="784"/>
      <c r="D442" s="784"/>
      <c r="E442" s="784"/>
      <c r="F442" s="784"/>
      <c r="G442" s="784"/>
      <c r="H442" s="784"/>
      <c r="I442" s="784"/>
      <c r="J442" s="784"/>
      <c r="K442" s="784"/>
      <c r="L442" s="784"/>
      <c r="M442" s="784"/>
      <c r="N442" s="784"/>
      <c r="O442" s="784"/>
      <c r="P442" s="784"/>
      <c r="Q442" s="784"/>
      <c r="R442" s="784"/>
      <c r="S442" s="784"/>
      <c r="T442" s="784"/>
      <c r="U442" s="784"/>
      <c r="V442" s="784"/>
      <c r="W442" s="784"/>
      <c r="X442" s="784"/>
      <c r="Y442" s="784"/>
      <c r="Z442" s="784"/>
      <c r="AA442" s="784"/>
      <c r="AB442" s="784"/>
    </row>
    <row r="443" spans="3:28" ht="15.75" customHeight="1">
      <c r="C443" s="784"/>
      <c r="D443" s="784"/>
      <c r="E443" s="784"/>
      <c r="F443" s="784"/>
      <c r="G443" s="784"/>
      <c r="H443" s="784"/>
      <c r="I443" s="784"/>
      <c r="J443" s="784"/>
      <c r="K443" s="784"/>
      <c r="L443" s="784"/>
      <c r="M443" s="784"/>
      <c r="N443" s="784"/>
      <c r="O443" s="784"/>
      <c r="P443" s="784"/>
      <c r="Q443" s="784"/>
      <c r="R443" s="784"/>
      <c r="S443" s="784"/>
      <c r="T443" s="784"/>
      <c r="U443" s="784"/>
      <c r="V443" s="784"/>
      <c r="W443" s="784"/>
      <c r="X443" s="784"/>
      <c r="Y443" s="784"/>
      <c r="Z443" s="784"/>
      <c r="AA443" s="784"/>
      <c r="AB443" s="784"/>
    </row>
    <row r="444" spans="3:28" ht="15.75" customHeight="1">
      <c r="C444" s="784"/>
      <c r="D444" s="784"/>
      <c r="E444" s="784"/>
      <c r="F444" s="784"/>
      <c r="G444" s="784"/>
      <c r="H444" s="784"/>
      <c r="I444" s="784"/>
      <c r="J444" s="784"/>
      <c r="K444" s="784"/>
      <c r="L444" s="784"/>
      <c r="M444" s="784"/>
      <c r="N444" s="784"/>
      <c r="O444" s="784"/>
      <c r="P444" s="784"/>
      <c r="Q444" s="784"/>
      <c r="R444" s="784"/>
      <c r="S444" s="784"/>
      <c r="T444" s="784"/>
      <c r="U444" s="784"/>
      <c r="V444" s="784"/>
      <c r="W444" s="784"/>
      <c r="X444" s="784"/>
      <c r="Y444" s="784"/>
      <c r="Z444" s="784"/>
      <c r="AA444" s="784"/>
      <c r="AB444" s="784"/>
    </row>
    <row r="445" spans="3:28" ht="15.75" customHeight="1">
      <c r="C445" s="784"/>
      <c r="D445" s="784"/>
      <c r="E445" s="784"/>
      <c r="F445" s="784"/>
      <c r="G445" s="784"/>
      <c r="H445" s="784"/>
      <c r="I445" s="784"/>
      <c r="J445" s="784"/>
      <c r="K445" s="784"/>
      <c r="L445" s="784"/>
      <c r="M445" s="784"/>
      <c r="N445" s="784"/>
      <c r="O445" s="784"/>
      <c r="P445" s="784"/>
      <c r="Q445" s="784"/>
      <c r="R445" s="784"/>
      <c r="S445" s="784"/>
      <c r="T445" s="784"/>
      <c r="U445" s="784"/>
      <c r="V445" s="784"/>
      <c r="W445" s="784"/>
      <c r="X445" s="784"/>
      <c r="Y445" s="784"/>
      <c r="Z445" s="784"/>
      <c r="AA445" s="784"/>
      <c r="AB445" s="784"/>
    </row>
    <row r="446" spans="3:28" ht="15.75" customHeight="1">
      <c r="C446" s="784"/>
      <c r="D446" s="784"/>
      <c r="E446" s="784"/>
      <c r="F446" s="784"/>
      <c r="G446" s="784"/>
      <c r="H446" s="784"/>
      <c r="I446" s="784"/>
      <c r="J446" s="784"/>
      <c r="K446" s="784"/>
      <c r="L446" s="784"/>
      <c r="M446" s="784"/>
      <c r="N446" s="784"/>
      <c r="O446" s="784"/>
      <c r="P446" s="784"/>
      <c r="Q446" s="784"/>
      <c r="R446" s="784"/>
      <c r="S446" s="784"/>
      <c r="T446" s="784"/>
      <c r="U446" s="784"/>
      <c r="V446" s="784"/>
      <c r="W446" s="784"/>
      <c r="X446" s="784"/>
      <c r="Y446" s="784"/>
      <c r="Z446" s="784"/>
      <c r="AA446" s="784"/>
      <c r="AB446" s="784"/>
    </row>
    <row r="447" spans="3:28" ht="15.75" customHeight="1">
      <c r="C447" s="784"/>
      <c r="D447" s="784"/>
      <c r="E447" s="784"/>
      <c r="F447" s="784"/>
      <c r="G447" s="784"/>
      <c r="H447" s="784"/>
      <c r="I447" s="784"/>
      <c r="J447" s="784"/>
      <c r="K447" s="784"/>
      <c r="L447" s="784"/>
      <c r="M447" s="784"/>
      <c r="N447" s="784"/>
      <c r="O447" s="784"/>
      <c r="P447" s="784"/>
      <c r="Q447" s="784"/>
      <c r="R447" s="784"/>
      <c r="S447" s="784"/>
      <c r="T447" s="784"/>
      <c r="U447" s="784"/>
      <c r="V447" s="784"/>
      <c r="W447" s="784"/>
      <c r="X447" s="784"/>
      <c r="Y447" s="784"/>
      <c r="Z447" s="784"/>
      <c r="AA447" s="784"/>
      <c r="AB447" s="784"/>
    </row>
    <row r="448" spans="3:28" ht="15.75" customHeight="1">
      <c r="C448" s="784"/>
      <c r="D448" s="784"/>
      <c r="E448" s="784"/>
      <c r="F448" s="784"/>
      <c r="G448" s="784"/>
      <c r="H448" s="784"/>
      <c r="I448" s="784"/>
      <c r="J448" s="784"/>
      <c r="K448" s="784"/>
      <c r="L448" s="784"/>
      <c r="M448" s="784"/>
      <c r="N448" s="784"/>
      <c r="O448" s="784"/>
      <c r="P448" s="784"/>
      <c r="Q448" s="784"/>
      <c r="R448" s="784"/>
      <c r="S448" s="784"/>
      <c r="T448" s="784"/>
      <c r="U448" s="784"/>
      <c r="V448" s="784"/>
      <c r="W448" s="784"/>
      <c r="X448" s="784"/>
      <c r="Y448" s="784"/>
      <c r="Z448" s="784"/>
      <c r="AA448" s="784"/>
      <c r="AB448" s="784"/>
    </row>
    <row r="449" spans="3:28" ht="15.75" customHeight="1">
      <c r="C449" s="784"/>
      <c r="D449" s="784"/>
      <c r="E449" s="784"/>
      <c r="F449" s="784"/>
      <c r="G449" s="784"/>
      <c r="H449" s="784"/>
      <c r="I449" s="784"/>
      <c r="J449" s="784"/>
      <c r="K449" s="784"/>
      <c r="L449" s="784"/>
      <c r="M449" s="784"/>
      <c r="N449" s="784"/>
      <c r="O449" s="784"/>
      <c r="P449" s="784"/>
      <c r="Q449" s="784"/>
      <c r="R449" s="784"/>
      <c r="S449" s="784"/>
      <c r="T449" s="784"/>
      <c r="U449" s="784"/>
      <c r="V449" s="784"/>
      <c r="W449" s="784"/>
      <c r="X449" s="784"/>
      <c r="Y449" s="784"/>
      <c r="Z449" s="784"/>
      <c r="AA449" s="784"/>
      <c r="AB449" s="784"/>
    </row>
    <row r="450" spans="3:28" ht="15.75" customHeight="1">
      <c r="C450" s="784"/>
      <c r="D450" s="784"/>
      <c r="E450" s="784"/>
      <c r="F450" s="784"/>
      <c r="G450" s="784"/>
      <c r="H450" s="784"/>
      <c r="I450" s="784"/>
      <c r="J450" s="784"/>
      <c r="K450" s="784"/>
      <c r="L450" s="784"/>
      <c r="M450" s="784"/>
      <c r="N450" s="784"/>
      <c r="O450" s="784"/>
      <c r="P450" s="784"/>
      <c r="Q450" s="784"/>
      <c r="R450" s="784"/>
      <c r="S450" s="784"/>
      <c r="T450" s="784"/>
      <c r="U450" s="784"/>
      <c r="V450" s="784"/>
      <c r="W450" s="784"/>
      <c r="X450" s="784"/>
      <c r="Y450" s="784"/>
      <c r="Z450" s="784"/>
      <c r="AA450" s="784"/>
      <c r="AB450" s="784"/>
    </row>
    <row r="451" spans="3:28" ht="15.75" customHeight="1">
      <c r="C451" s="784"/>
      <c r="D451" s="784"/>
      <c r="E451" s="784"/>
      <c r="F451" s="784"/>
      <c r="G451" s="784"/>
      <c r="H451" s="784"/>
      <c r="I451" s="784"/>
      <c r="J451" s="784"/>
      <c r="K451" s="784"/>
      <c r="L451" s="784"/>
      <c r="M451" s="784"/>
      <c r="N451" s="784"/>
      <c r="O451" s="784"/>
      <c r="P451" s="784"/>
      <c r="Q451" s="784"/>
      <c r="R451" s="784"/>
      <c r="S451" s="784"/>
      <c r="T451" s="784"/>
      <c r="U451" s="784"/>
      <c r="V451" s="784"/>
      <c r="W451" s="784"/>
      <c r="X451" s="784"/>
      <c r="Y451" s="784"/>
      <c r="Z451" s="784"/>
      <c r="AA451" s="784"/>
      <c r="AB451" s="784"/>
    </row>
    <row r="452" spans="3:28" ht="15.75" customHeight="1">
      <c r="C452" s="784"/>
      <c r="D452" s="784"/>
      <c r="E452" s="784"/>
      <c r="F452" s="784"/>
      <c r="G452" s="784"/>
      <c r="H452" s="784"/>
      <c r="I452" s="784"/>
      <c r="J452" s="784"/>
      <c r="K452" s="784"/>
      <c r="L452" s="784"/>
      <c r="M452" s="784"/>
      <c r="N452" s="784"/>
      <c r="O452" s="784"/>
      <c r="P452" s="784"/>
      <c r="Q452" s="784"/>
      <c r="R452" s="784"/>
      <c r="S452" s="784"/>
      <c r="T452" s="784"/>
      <c r="U452" s="784"/>
      <c r="V452" s="784"/>
      <c r="W452" s="784"/>
      <c r="X452" s="784"/>
      <c r="Y452" s="784"/>
      <c r="Z452" s="784"/>
      <c r="AA452" s="784"/>
      <c r="AB452" s="784"/>
    </row>
    <row r="453" spans="3:28" ht="15.75" customHeight="1">
      <c r="C453" s="784"/>
      <c r="D453" s="784"/>
      <c r="E453" s="784"/>
      <c r="F453" s="784"/>
      <c r="G453" s="784"/>
      <c r="H453" s="784"/>
      <c r="I453" s="784"/>
      <c r="J453" s="784"/>
      <c r="K453" s="784"/>
      <c r="L453" s="784"/>
      <c r="M453" s="784"/>
      <c r="N453" s="784"/>
      <c r="O453" s="784"/>
      <c r="P453" s="784"/>
      <c r="Q453" s="784"/>
      <c r="R453" s="784"/>
      <c r="S453" s="784"/>
      <c r="T453" s="784"/>
      <c r="U453" s="784"/>
      <c r="V453" s="784"/>
      <c r="W453" s="784"/>
      <c r="X453" s="784"/>
      <c r="Y453" s="784"/>
      <c r="Z453" s="784"/>
      <c r="AA453" s="784"/>
      <c r="AB453" s="784"/>
    </row>
    <row r="454" spans="3:28" ht="15.75" customHeight="1">
      <c r="C454" s="784"/>
      <c r="D454" s="784"/>
      <c r="E454" s="784"/>
      <c r="F454" s="784"/>
      <c r="G454" s="784"/>
      <c r="H454" s="784"/>
      <c r="I454" s="784"/>
      <c r="J454" s="784"/>
      <c r="K454" s="784"/>
      <c r="L454" s="784"/>
      <c r="M454" s="784"/>
      <c r="N454" s="784"/>
      <c r="O454" s="784"/>
      <c r="P454" s="784"/>
      <c r="Q454" s="784"/>
      <c r="R454" s="784"/>
      <c r="S454" s="784"/>
      <c r="T454" s="784"/>
      <c r="U454" s="784"/>
      <c r="V454" s="784"/>
      <c r="W454" s="784"/>
      <c r="X454" s="784"/>
      <c r="Y454" s="784"/>
      <c r="Z454" s="784"/>
      <c r="AA454" s="784"/>
      <c r="AB454" s="784"/>
    </row>
    <row r="455" spans="3:28" ht="15.75" customHeight="1">
      <c r="C455" s="784"/>
      <c r="D455" s="784"/>
      <c r="E455" s="784"/>
      <c r="F455" s="784"/>
      <c r="G455" s="784"/>
      <c r="H455" s="784"/>
      <c r="I455" s="784"/>
      <c r="J455" s="784"/>
      <c r="K455" s="784"/>
      <c r="L455" s="784"/>
      <c r="M455" s="784"/>
      <c r="N455" s="784"/>
      <c r="O455" s="784"/>
      <c r="P455" s="784"/>
      <c r="Q455" s="784"/>
      <c r="R455" s="784"/>
      <c r="S455" s="784"/>
      <c r="T455" s="784"/>
      <c r="U455" s="784"/>
      <c r="V455" s="784"/>
      <c r="W455" s="784"/>
      <c r="X455" s="784"/>
      <c r="Y455" s="784"/>
      <c r="Z455" s="784"/>
      <c r="AA455" s="784"/>
      <c r="AB455" s="784"/>
    </row>
    <row r="456" spans="3:28" ht="15.75" customHeight="1">
      <c r="C456" s="784"/>
      <c r="D456" s="784"/>
      <c r="E456" s="784"/>
      <c r="F456" s="784"/>
      <c r="G456" s="784"/>
      <c r="H456" s="784"/>
      <c r="I456" s="784"/>
      <c r="J456" s="784"/>
      <c r="K456" s="784"/>
      <c r="L456" s="784"/>
      <c r="M456" s="784"/>
      <c r="N456" s="784"/>
      <c r="O456" s="784"/>
      <c r="P456" s="784"/>
      <c r="Q456" s="784"/>
      <c r="R456" s="784"/>
      <c r="S456" s="784"/>
      <c r="T456" s="784"/>
      <c r="U456" s="784"/>
      <c r="V456" s="784"/>
      <c r="W456" s="784"/>
      <c r="X456" s="784"/>
      <c r="Y456" s="784"/>
      <c r="Z456" s="784"/>
      <c r="AA456" s="784"/>
      <c r="AB456" s="784"/>
    </row>
    <row r="457" spans="3:28" ht="15.75" customHeight="1">
      <c r="C457" s="784"/>
      <c r="D457" s="784"/>
      <c r="E457" s="784"/>
      <c r="F457" s="784"/>
      <c r="G457" s="784"/>
      <c r="H457" s="784"/>
      <c r="I457" s="784"/>
      <c r="J457" s="784"/>
      <c r="K457" s="784"/>
      <c r="L457" s="784"/>
      <c r="M457" s="784"/>
      <c r="N457" s="784"/>
      <c r="O457" s="784"/>
      <c r="P457" s="784"/>
      <c r="Q457" s="784"/>
      <c r="R457" s="784"/>
      <c r="S457" s="784"/>
      <c r="T457" s="784"/>
      <c r="U457" s="784"/>
      <c r="V457" s="784"/>
      <c r="W457" s="784"/>
      <c r="X457" s="784"/>
      <c r="Y457" s="784"/>
      <c r="Z457" s="784"/>
      <c r="AA457" s="784"/>
      <c r="AB457" s="784"/>
    </row>
    <row r="458" spans="3:28" ht="15.75" customHeight="1">
      <c r="C458" s="784"/>
      <c r="D458" s="784"/>
      <c r="E458" s="784"/>
      <c r="F458" s="784"/>
      <c r="G458" s="784"/>
      <c r="H458" s="784"/>
      <c r="I458" s="784"/>
      <c r="J458" s="784"/>
      <c r="K458" s="784"/>
      <c r="L458" s="784"/>
      <c r="M458" s="784"/>
      <c r="N458" s="784"/>
      <c r="O458" s="784"/>
      <c r="P458" s="784"/>
      <c r="Q458" s="784"/>
      <c r="R458" s="784"/>
      <c r="S458" s="784"/>
      <c r="T458" s="784"/>
      <c r="U458" s="784"/>
      <c r="V458" s="784"/>
      <c r="W458" s="784"/>
      <c r="X458" s="784"/>
      <c r="Y458" s="784"/>
      <c r="Z458" s="784"/>
      <c r="AA458" s="784"/>
      <c r="AB458" s="784"/>
    </row>
    <row r="459" spans="3:28" ht="15.75" customHeight="1">
      <c r="C459" s="784"/>
      <c r="D459" s="784"/>
      <c r="E459" s="784"/>
      <c r="F459" s="784"/>
      <c r="G459" s="784"/>
      <c r="H459" s="784"/>
      <c r="I459" s="784"/>
      <c r="J459" s="784"/>
      <c r="K459" s="784"/>
      <c r="L459" s="784"/>
      <c r="M459" s="784"/>
      <c r="N459" s="784"/>
      <c r="O459" s="784"/>
      <c r="P459" s="784"/>
      <c r="Q459" s="784"/>
      <c r="R459" s="784"/>
      <c r="S459" s="784"/>
      <c r="T459" s="784"/>
      <c r="U459" s="784"/>
      <c r="V459" s="784"/>
      <c r="W459" s="784"/>
      <c r="X459" s="784"/>
      <c r="Y459" s="784"/>
      <c r="Z459" s="784"/>
      <c r="AA459" s="784"/>
      <c r="AB459" s="784"/>
    </row>
    <row r="460" spans="3:28" ht="15.75" customHeight="1">
      <c r="C460" s="784"/>
      <c r="D460" s="784"/>
      <c r="E460" s="784"/>
      <c r="F460" s="784"/>
      <c r="G460" s="784"/>
      <c r="H460" s="784"/>
      <c r="I460" s="784"/>
      <c r="J460" s="784"/>
      <c r="K460" s="784"/>
      <c r="L460" s="784"/>
      <c r="M460" s="784"/>
      <c r="N460" s="784"/>
      <c r="O460" s="784"/>
      <c r="P460" s="784"/>
      <c r="Q460" s="784"/>
      <c r="R460" s="784"/>
      <c r="S460" s="784"/>
      <c r="T460" s="784"/>
      <c r="U460" s="784"/>
      <c r="V460" s="784"/>
      <c r="W460" s="784"/>
      <c r="X460" s="784"/>
      <c r="Y460" s="784"/>
      <c r="Z460" s="784"/>
      <c r="AA460" s="784"/>
      <c r="AB460" s="784"/>
    </row>
    <row r="461" spans="3:28" ht="15.75" customHeight="1">
      <c r="C461" s="784"/>
      <c r="D461" s="784"/>
      <c r="E461" s="784"/>
      <c r="F461" s="784"/>
      <c r="G461" s="784"/>
      <c r="H461" s="784"/>
      <c r="I461" s="784"/>
      <c r="J461" s="784"/>
      <c r="K461" s="784"/>
      <c r="L461" s="784"/>
      <c r="M461" s="784"/>
      <c r="N461" s="784"/>
      <c r="O461" s="784"/>
      <c r="P461" s="784"/>
      <c r="Q461" s="784"/>
      <c r="R461" s="784"/>
      <c r="S461" s="784"/>
      <c r="T461" s="784"/>
      <c r="U461" s="784"/>
      <c r="V461" s="784"/>
      <c r="W461" s="784"/>
      <c r="X461" s="784"/>
      <c r="Y461" s="784"/>
      <c r="Z461" s="784"/>
      <c r="AA461" s="784"/>
      <c r="AB461" s="784"/>
    </row>
    <row r="462" spans="3:28" ht="15.75" customHeight="1">
      <c r="C462" s="784"/>
      <c r="D462" s="784"/>
      <c r="E462" s="784"/>
      <c r="F462" s="784"/>
      <c r="G462" s="784"/>
      <c r="H462" s="784"/>
      <c r="I462" s="784"/>
      <c r="J462" s="784"/>
      <c r="K462" s="784"/>
      <c r="L462" s="784"/>
      <c r="M462" s="784"/>
      <c r="N462" s="784"/>
      <c r="O462" s="784"/>
      <c r="P462" s="784"/>
      <c r="Q462" s="784"/>
      <c r="R462" s="784"/>
      <c r="S462" s="784"/>
      <c r="T462" s="784"/>
      <c r="U462" s="784"/>
      <c r="V462" s="784"/>
      <c r="W462" s="784"/>
      <c r="X462" s="784"/>
      <c r="Y462" s="784"/>
      <c r="Z462" s="784"/>
      <c r="AA462" s="784"/>
      <c r="AB462" s="784"/>
    </row>
    <row r="463" spans="3:28" ht="15.75" customHeight="1">
      <c r="C463" s="784"/>
      <c r="D463" s="784"/>
      <c r="E463" s="784"/>
      <c r="F463" s="784"/>
      <c r="G463" s="784"/>
      <c r="H463" s="784"/>
      <c r="I463" s="784"/>
      <c r="J463" s="784"/>
      <c r="K463" s="784"/>
      <c r="L463" s="784"/>
      <c r="M463" s="784"/>
      <c r="N463" s="784"/>
      <c r="O463" s="784"/>
      <c r="P463" s="784"/>
      <c r="Q463" s="784"/>
      <c r="R463" s="784"/>
      <c r="S463" s="784"/>
      <c r="T463" s="784"/>
      <c r="U463" s="784"/>
      <c r="V463" s="784"/>
      <c r="W463" s="784"/>
      <c r="X463" s="784"/>
      <c r="Y463" s="784"/>
      <c r="Z463" s="784"/>
      <c r="AA463" s="784"/>
      <c r="AB463" s="784"/>
    </row>
    <row r="464" spans="3:28" ht="15.75" customHeight="1">
      <c r="C464" s="784"/>
      <c r="D464" s="784"/>
      <c r="E464" s="784"/>
      <c r="F464" s="784"/>
      <c r="G464" s="784"/>
      <c r="H464" s="784"/>
      <c r="I464" s="784"/>
      <c r="J464" s="784"/>
      <c r="K464" s="784"/>
      <c r="L464" s="784"/>
      <c r="M464" s="784"/>
      <c r="N464" s="784"/>
      <c r="O464" s="784"/>
      <c r="P464" s="784"/>
      <c r="Q464" s="784"/>
      <c r="R464" s="784"/>
      <c r="S464" s="784"/>
      <c r="T464" s="784"/>
      <c r="U464" s="784"/>
      <c r="V464" s="784"/>
      <c r="W464" s="784"/>
      <c r="X464" s="784"/>
      <c r="Y464" s="784"/>
      <c r="Z464" s="784"/>
      <c r="AA464" s="784"/>
      <c r="AB464" s="784"/>
    </row>
    <row r="465" spans="3:28" ht="15.75" customHeight="1">
      <c r="C465" s="784"/>
      <c r="D465" s="784"/>
      <c r="E465" s="784"/>
      <c r="F465" s="784"/>
      <c r="G465" s="784"/>
      <c r="H465" s="784"/>
      <c r="I465" s="784"/>
      <c r="J465" s="784"/>
      <c r="K465" s="784"/>
      <c r="L465" s="784"/>
      <c r="M465" s="784"/>
      <c r="N465" s="784"/>
      <c r="O465" s="784"/>
      <c r="P465" s="784"/>
      <c r="Q465" s="784"/>
      <c r="R465" s="784"/>
      <c r="S465" s="784"/>
      <c r="T465" s="784"/>
      <c r="U465" s="784"/>
      <c r="V465" s="784"/>
      <c r="W465" s="784"/>
      <c r="X465" s="784"/>
      <c r="Y465" s="784"/>
      <c r="Z465" s="784"/>
      <c r="AA465" s="784"/>
      <c r="AB465" s="784"/>
    </row>
    <row r="466" spans="3:28" ht="15.75" customHeight="1">
      <c r="C466" s="784"/>
      <c r="D466" s="784"/>
      <c r="E466" s="784"/>
      <c r="F466" s="784"/>
      <c r="G466" s="784"/>
      <c r="H466" s="784"/>
      <c r="I466" s="784"/>
      <c r="J466" s="784"/>
      <c r="K466" s="784"/>
      <c r="L466" s="784"/>
      <c r="M466" s="784"/>
      <c r="N466" s="784"/>
      <c r="O466" s="784"/>
      <c r="P466" s="784"/>
      <c r="Q466" s="784"/>
      <c r="R466" s="784"/>
      <c r="S466" s="784"/>
      <c r="T466" s="784"/>
      <c r="U466" s="784"/>
      <c r="V466" s="784"/>
      <c r="W466" s="784"/>
      <c r="X466" s="784"/>
      <c r="Y466" s="784"/>
      <c r="Z466" s="784"/>
      <c r="AA466" s="784"/>
      <c r="AB466" s="784"/>
    </row>
    <row r="467" spans="3:28" ht="15.75" customHeight="1">
      <c r="C467" s="784"/>
      <c r="D467" s="784"/>
      <c r="E467" s="784"/>
      <c r="F467" s="784"/>
      <c r="G467" s="784"/>
      <c r="H467" s="784"/>
      <c r="I467" s="784"/>
      <c r="J467" s="784"/>
      <c r="K467" s="784"/>
      <c r="L467" s="784"/>
      <c r="M467" s="784"/>
      <c r="N467" s="784"/>
      <c r="O467" s="784"/>
      <c r="P467" s="784"/>
      <c r="Q467" s="784"/>
      <c r="R467" s="784"/>
      <c r="S467" s="784"/>
      <c r="T467" s="784"/>
      <c r="U467" s="784"/>
      <c r="V467" s="784"/>
      <c r="W467" s="784"/>
      <c r="X467" s="784"/>
      <c r="Y467" s="784"/>
      <c r="Z467" s="784"/>
      <c r="AA467" s="784"/>
      <c r="AB467" s="784"/>
    </row>
    <row r="468" spans="3:28" ht="15.75" customHeight="1">
      <c r="C468" s="784"/>
      <c r="D468" s="784"/>
      <c r="E468" s="784"/>
      <c r="F468" s="784"/>
      <c r="G468" s="784"/>
      <c r="H468" s="784"/>
      <c r="I468" s="784"/>
      <c r="J468" s="784"/>
      <c r="K468" s="784"/>
      <c r="L468" s="784"/>
      <c r="M468" s="784"/>
      <c r="N468" s="784"/>
      <c r="O468" s="784"/>
      <c r="P468" s="784"/>
      <c r="Q468" s="784"/>
      <c r="R468" s="784"/>
      <c r="S468" s="784"/>
      <c r="T468" s="784"/>
      <c r="U468" s="784"/>
      <c r="V468" s="784"/>
      <c r="W468" s="784"/>
      <c r="X468" s="784"/>
      <c r="Y468" s="784"/>
      <c r="Z468" s="784"/>
      <c r="AA468" s="784"/>
      <c r="AB468" s="784"/>
    </row>
    <row r="469" spans="3:28" ht="15.75" customHeight="1">
      <c r="C469" s="784"/>
      <c r="D469" s="784"/>
      <c r="E469" s="784"/>
      <c r="F469" s="784"/>
      <c r="G469" s="784"/>
      <c r="H469" s="784"/>
      <c r="I469" s="784"/>
      <c r="J469" s="784"/>
      <c r="K469" s="784"/>
      <c r="L469" s="784"/>
      <c r="M469" s="784"/>
      <c r="N469" s="784"/>
      <c r="O469" s="784"/>
      <c r="P469" s="784"/>
      <c r="Q469" s="784"/>
      <c r="R469" s="784"/>
      <c r="S469" s="784"/>
      <c r="T469" s="784"/>
      <c r="U469" s="784"/>
      <c r="V469" s="784"/>
      <c r="W469" s="784"/>
      <c r="X469" s="784"/>
      <c r="Y469" s="784"/>
      <c r="Z469" s="784"/>
      <c r="AA469" s="784"/>
      <c r="AB469" s="784"/>
    </row>
    <row r="470" spans="3:28" ht="15.75" customHeight="1">
      <c r="C470" s="784"/>
      <c r="D470" s="784"/>
      <c r="E470" s="784"/>
      <c r="F470" s="784"/>
      <c r="G470" s="784"/>
      <c r="H470" s="784"/>
      <c r="I470" s="784"/>
      <c r="J470" s="784"/>
      <c r="K470" s="784"/>
      <c r="L470" s="784"/>
      <c r="M470" s="784"/>
      <c r="N470" s="784"/>
      <c r="O470" s="784"/>
      <c r="P470" s="784"/>
      <c r="Q470" s="784"/>
      <c r="R470" s="784"/>
      <c r="S470" s="784"/>
      <c r="T470" s="784"/>
      <c r="U470" s="784"/>
      <c r="V470" s="784"/>
      <c r="W470" s="784"/>
      <c r="X470" s="784"/>
      <c r="Y470" s="784"/>
      <c r="Z470" s="784"/>
      <c r="AA470" s="784"/>
      <c r="AB470" s="784"/>
    </row>
    <row r="471" spans="3:28" ht="15.75" customHeight="1">
      <c r="C471" s="784"/>
      <c r="D471" s="784"/>
      <c r="E471" s="784"/>
      <c r="F471" s="784"/>
      <c r="G471" s="784"/>
      <c r="H471" s="784"/>
      <c r="I471" s="784"/>
      <c r="J471" s="784"/>
      <c r="K471" s="784"/>
      <c r="L471" s="784"/>
      <c r="M471" s="784"/>
      <c r="N471" s="784"/>
      <c r="O471" s="784"/>
      <c r="P471" s="784"/>
      <c r="Q471" s="784"/>
      <c r="R471" s="784"/>
      <c r="S471" s="784"/>
      <c r="T471" s="784"/>
      <c r="U471" s="784"/>
      <c r="V471" s="784"/>
      <c r="W471" s="784"/>
      <c r="X471" s="784"/>
      <c r="Y471" s="784"/>
      <c r="Z471" s="784"/>
      <c r="AA471" s="784"/>
      <c r="AB471" s="784"/>
    </row>
    <row r="472" spans="3:28" ht="15.75" customHeight="1">
      <c r="C472" s="784"/>
      <c r="D472" s="784"/>
      <c r="E472" s="784"/>
      <c r="F472" s="784"/>
      <c r="G472" s="784"/>
      <c r="H472" s="784"/>
      <c r="I472" s="784"/>
      <c r="J472" s="784"/>
      <c r="K472" s="784"/>
      <c r="L472" s="784"/>
      <c r="M472" s="784"/>
      <c r="N472" s="784"/>
      <c r="O472" s="784"/>
      <c r="P472" s="784"/>
      <c r="Q472" s="784"/>
      <c r="R472" s="784"/>
      <c r="S472" s="784"/>
      <c r="T472" s="784"/>
      <c r="U472" s="784"/>
      <c r="V472" s="784"/>
      <c r="W472" s="784"/>
      <c r="X472" s="784"/>
      <c r="Y472" s="784"/>
      <c r="Z472" s="784"/>
      <c r="AA472" s="784"/>
      <c r="AB472" s="784"/>
    </row>
    <row r="473" spans="3:28" ht="15.75" customHeight="1">
      <c r="C473" s="784"/>
      <c r="D473" s="784"/>
      <c r="E473" s="784"/>
      <c r="F473" s="784"/>
      <c r="G473" s="784"/>
      <c r="H473" s="784"/>
      <c r="I473" s="784"/>
      <c r="J473" s="784"/>
      <c r="K473" s="784"/>
      <c r="L473" s="784"/>
      <c r="M473" s="784"/>
      <c r="N473" s="784"/>
      <c r="O473" s="784"/>
      <c r="P473" s="784"/>
      <c r="Q473" s="784"/>
      <c r="R473" s="784"/>
      <c r="S473" s="784"/>
      <c r="T473" s="784"/>
      <c r="U473" s="784"/>
      <c r="V473" s="784"/>
      <c r="W473" s="784"/>
      <c r="X473" s="784"/>
      <c r="Y473" s="784"/>
      <c r="Z473" s="784"/>
      <c r="AA473" s="784"/>
      <c r="AB473" s="784"/>
    </row>
    <row r="474" spans="3:28" ht="15.75" customHeight="1">
      <c r="C474" s="784"/>
      <c r="D474" s="784"/>
      <c r="E474" s="784"/>
      <c r="F474" s="784"/>
      <c r="G474" s="784"/>
      <c r="H474" s="784"/>
      <c r="I474" s="784"/>
      <c r="J474" s="784"/>
      <c r="K474" s="784"/>
      <c r="L474" s="784"/>
      <c r="M474" s="784"/>
      <c r="N474" s="784"/>
      <c r="O474" s="784"/>
      <c r="P474" s="784"/>
      <c r="Q474" s="784"/>
      <c r="R474" s="784"/>
      <c r="S474" s="784"/>
      <c r="T474" s="784"/>
      <c r="U474" s="784"/>
      <c r="V474" s="784"/>
      <c r="W474" s="784"/>
      <c r="X474" s="784"/>
      <c r="Y474" s="784"/>
      <c r="Z474" s="784"/>
      <c r="AA474" s="784"/>
      <c r="AB474" s="784"/>
    </row>
    <row r="475" spans="3:28" ht="15.75" customHeight="1">
      <c r="C475" s="784"/>
      <c r="D475" s="784"/>
      <c r="E475" s="784"/>
      <c r="F475" s="784"/>
      <c r="G475" s="784"/>
      <c r="H475" s="784"/>
      <c r="I475" s="784"/>
      <c r="J475" s="784"/>
      <c r="K475" s="784"/>
      <c r="L475" s="784"/>
      <c r="M475" s="784"/>
      <c r="N475" s="784"/>
      <c r="O475" s="784"/>
      <c r="P475" s="784"/>
      <c r="Q475" s="784"/>
      <c r="R475" s="784"/>
      <c r="S475" s="784"/>
      <c r="T475" s="784"/>
      <c r="U475" s="784"/>
      <c r="V475" s="784"/>
      <c r="W475" s="784"/>
      <c r="X475" s="784"/>
      <c r="Y475" s="784"/>
      <c r="Z475" s="784"/>
      <c r="AA475" s="784"/>
      <c r="AB475" s="784"/>
    </row>
    <row r="476" spans="3:28" ht="15.75" customHeight="1">
      <c r="C476" s="784"/>
      <c r="D476" s="784"/>
      <c r="E476" s="784"/>
      <c r="F476" s="784"/>
      <c r="G476" s="784"/>
      <c r="H476" s="784"/>
      <c r="I476" s="784"/>
      <c r="J476" s="784"/>
      <c r="K476" s="784"/>
      <c r="L476" s="784"/>
      <c r="M476" s="784"/>
      <c r="N476" s="784"/>
      <c r="O476" s="784"/>
      <c r="P476" s="784"/>
      <c r="Q476" s="784"/>
      <c r="R476" s="784"/>
      <c r="S476" s="784"/>
      <c r="T476" s="784"/>
      <c r="U476" s="784"/>
      <c r="V476" s="784"/>
      <c r="W476" s="784"/>
      <c r="X476" s="784"/>
      <c r="Y476" s="784"/>
      <c r="Z476" s="784"/>
      <c r="AA476" s="784"/>
      <c r="AB476" s="784"/>
    </row>
    <row r="477" spans="3:28" ht="15.75" customHeight="1">
      <c r="C477" s="784"/>
      <c r="D477" s="784"/>
      <c r="E477" s="784"/>
      <c r="F477" s="784"/>
      <c r="G477" s="784"/>
      <c r="H477" s="784"/>
      <c r="I477" s="784"/>
      <c r="J477" s="784"/>
      <c r="K477" s="784"/>
      <c r="L477" s="784"/>
      <c r="M477" s="784"/>
      <c r="N477" s="784"/>
      <c r="O477" s="784"/>
      <c r="P477" s="784"/>
      <c r="Q477" s="784"/>
      <c r="R477" s="784"/>
      <c r="S477" s="784"/>
      <c r="T477" s="784"/>
      <c r="U477" s="784"/>
      <c r="V477" s="784"/>
      <c r="W477" s="784"/>
      <c r="X477" s="784"/>
      <c r="Y477" s="784"/>
      <c r="Z477" s="784"/>
      <c r="AA477" s="784"/>
      <c r="AB477" s="784"/>
    </row>
    <row r="478" spans="3:28" ht="15.75" customHeight="1">
      <c r="C478" s="784"/>
      <c r="D478" s="784"/>
      <c r="E478" s="784"/>
      <c r="F478" s="784"/>
      <c r="G478" s="784"/>
      <c r="H478" s="784"/>
      <c r="I478" s="784"/>
      <c r="J478" s="784"/>
      <c r="K478" s="784"/>
      <c r="L478" s="784"/>
      <c r="M478" s="784"/>
      <c r="N478" s="784"/>
      <c r="O478" s="784"/>
      <c r="P478" s="784"/>
      <c r="Q478" s="784"/>
      <c r="R478" s="784"/>
      <c r="S478" s="784"/>
      <c r="T478" s="784"/>
      <c r="U478" s="784"/>
      <c r="V478" s="784"/>
      <c r="W478" s="784"/>
      <c r="X478" s="784"/>
      <c r="Y478" s="784"/>
      <c r="Z478" s="784"/>
      <c r="AA478" s="784"/>
      <c r="AB478" s="784"/>
    </row>
    <row r="479" spans="3:28" ht="15.75" customHeight="1">
      <c r="C479" s="784"/>
      <c r="D479" s="784"/>
      <c r="E479" s="784"/>
      <c r="F479" s="784"/>
      <c r="G479" s="784"/>
      <c r="H479" s="784"/>
      <c r="I479" s="784"/>
      <c r="J479" s="784"/>
      <c r="K479" s="784"/>
      <c r="L479" s="784"/>
      <c r="M479" s="784"/>
      <c r="N479" s="784"/>
      <c r="O479" s="784"/>
      <c r="P479" s="784"/>
      <c r="Q479" s="784"/>
      <c r="R479" s="784"/>
      <c r="S479" s="784"/>
      <c r="T479" s="784"/>
      <c r="U479" s="784"/>
      <c r="V479" s="784"/>
      <c r="W479" s="784"/>
      <c r="X479" s="784"/>
      <c r="Y479" s="784"/>
      <c r="Z479" s="784"/>
      <c r="AA479" s="784"/>
      <c r="AB479" s="784"/>
    </row>
    <row r="480" spans="3:28" ht="15.75" customHeight="1">
      <c r="C480" s="784"/>
      <c r="D480" s="784"/>
      <c r="E480" s="784"/>
      <c r="F480" s="784"/>
      <c r="G480" s="784"/>
      <c r="H480" s="784"/>
      <c r="I480" s="784"/>
      <c r="J480" s="784"/>
      <c r="K480" s="784"/>
      <c r="L480" s="784"/>
      <c r="M480" s="784"/>
      <c r="N480" s="784"/>
      <c r="O480" s="784"/>
      <c r="P480" s="784"/>
      <c r="Q480" s="784"/>
      <c r="R480" s="784"/>
      <c r="S480" s="784"/>
      <c r="T480" s="784"/>
      <c r="U480" s="784"/>
      <c r="V480" s="784"/>
      <c r="W480" s="784"/>
      <c r="X480" s="784"/>
      <c r="Y480" s="784"/>
      <c r="Z480" s="784"/>
      <c r="AA480" s="784"/>
      <c r="AB480" s="784"/>
    </row>
    <row r="481" spans="3:28" ht="15.75" customHeight="1">
      <c r="C481" s="784"/>
      <c r="D481" s="784"/>
      <c r="E481" s="784"/>
      <c r="F481" s="784"/>
      <c r="G481" s="784"/>
      <c r="H481" s="784"/>
      <c r="I481" s="784"/>
      <c r="J481" s="784"/>
      <c r="K481" s="784"/>
      <c r="L481" s="784"/>
      <c r="M481" s="784"/>
      <c r="N481" s="784"/>
      <c r="O481" s="784"/>
      <c r="P481" s="784"/>
      <c r="Q481" s="784"/>
      <c r="R481" s="784"/>
      <c r="S481" s="784"/>
      <c r="T481" s="784"/>
      <c r="U481" s="784"/>
      <c r="V481" s="784"/>
      <c r="W481" s="784"/>
      <c r="X481" s="784"/>
      <c r="Y481" s="784"/>
      <c r="Z481" s="784"/>
      <c r="AA481" s="784"/>
      <c r="AB481" s="784"/>
    </row>
    <row r="482" spans="3:28" ht="15.75" customHeight="1">
      <c r="C482" s="784"/>
      <c r="D482" s="784"/>
      <c r="E482" s="784"/>
      <c r="F482" s="784"/>
      <c r="G482" s="784"/>
      <c r="H482" s="784"/>
      <c r="I482" s="784"/>
      <c r="J482" s="784"/>
      <c r="K482" s="784"/>
      <c r="L482" s="784"/>
      <c r="M482" s="784"/>
      <c r="N482" s="784"/>
      <c r="O482" s="784"/>
      <c r="P482" s="784"/>
      <c r="Q482" s="784"/>
      <c r="R482" s="784"/>
      <c r="S482" s="784"/>
      <c r="T482" s="784"/>
      <c r="U482" s="784"/>
      <c r="V482" s="784"/>
      <c r="W482" s="784"/>
      <c r="X482" s="784"/>
      <c r="Y482" s="784"/>
      <c r="Z482" s="784"/>
      <c r="AA482" s="784"/>
      <c r="AB482" s="784"/>
    </row>
    <row r="483" spans="3:28" ht="15.75" customHeight="1">
      <c r="C483" s="784"/>
      <c r="D483" s="784"/>
      <c r="E483" s="784"/>
      <c r="F483" s="784"/>
      <c r="G483" s="784"/>
      <c r="H483" s="784"/>
      <c r="I483" s="784"/>
      <c r="J483" s="784"/>
      <c r="K483" s="784"/>
      <c r="L483" s="784"/>
      <c r="M483" s="784"/>
      <c r="N483" s="784"/>
      <c r="O483" s="784"/>
      <c r="P483" s="784"/>
      <c r="Q483" s="784"/>
      <c r="R483" s="784"/>
      <c r="S483" s="784"/>
      <c r="T483" s="784"/>
      <c r="U483" s="784"/>
      <c r="V483" s="784"/>
      <c r="W483" s="784"/>
      <c r="X483" s="784"/>
      <c r="Y483" s="784"/>
      <c r="Z483" s="784"/>
      <c r="AA483" s="784"/>
      <c r="AB483" s="784"/>
    </row>
    <row r="484" spans="3:28" ht="15.75" customHeight="1">
      <c r="C484" s="784"/>
      <c r="D484" s="784"/>
      <c r="E484" s="784"/>
      <c r="F484" s="784"/>
      <c r="G484" s="784"/>
      <c r="H484" s="784"/>
      <c r="I484" s="784"/>
      <c r="J484" s="784"/>
      <c r="K484" s="784"/>
      <c r="L484" s="784"/>
      <c r="M484" s="784"/>
      <c r="N484" s="784"/>
      <c r="O484" s="784"/>
      <c r="P484" s="784"/>
      <c r="Q484" s="784"/>
      <c r="R484" s="784"/>
      <c r="S484" s="784"/>
      <c r="T484" s="784"/>
      <c r="U484" s="784"/>
      <c r="V484" s="784"/>
      <c r="W484" s="784"/>
      <c r="X484" s="784"/>
      <c r="Y484" s="784"/>
      <c r="Z484" s="784"/>
      <c r="AA484" s="784"/>
      <c r="AB484" s="784"/>
    </row>
    <row r="485" spans="3:28" ht="15.75" customHeight="1">
      <c r="C485" s="784"/>
      <c r="D485" s="784"/>
      <c r="E485" s="784"/>
      <c r="F485" s="784"/>
      <c r="G485" s="784"/>
      <c r="H485" s="784"/>
      <c r="I485" s="784"/>
      <c r="J485" s="784"/>
      <c r="K485" s="784"/>
      <c r="L485" s="784"/>
      <c r="M485" s="784"/>
      <c r="N485" s="784"/>
      <c r="O485" s="784"/>
      <c r="P485" s="784"/>
      <c r="Q485" s="784"/>
      <c r="R485" s="784"/>
      <c r="S485" s="784"/>
      <c r="T485" s="784"/>
      <c r="U485" s="784"/>
      <c r="V485" s="784"/>
      <c r="W485" s="784"/>
      <c r="X485" s="784"/>
      <c r="Y485" s="784"/>
      <c r="Z485" s="784"/>
      <c r="AA485" s="784"/>
      <c r="AB485" s="784"/>
    </row>
    <row r="486" spans="3:28" ht="15.75" customHeight="1">
      <c r="C486" s="784"/>
      <c r="D486" s="784"/>
      <c r="E486" s="784"/>
      <c r="F486" s="784"/>
      <c r="G486" s="784"/>
      <c r="H486" s="784"/>
      <c r="I486" s="784"/>
      <c r="J486" s="784"/>
      <c r="K486" s="784"/>
      <c r="L486" s="784"/>
      <c r="M486" s="784"/>
      <c r="N486" s="784"/>
      <c r="O486" s="784"/>
      <c r="P486" s="784"/>
      <c r="Q486" s="784"/>
      <c r="R486" s="784"/>
      <c r="S486" s="784"/>
      <c r="T486" s="784"/>
      <c r="U486" s="784"/>
      <c r="V486" s="784"/>
      <c r="W486" s="784"/>
      <c r="X486" s="784"/>
      <c r="Y486" s="784"/>
      <c r="Z486" s="784"/>
      <c r="AA486" s="784"/>
      <c r="AB486" s="784"/>
    </row>
    <row r="487" spans="3:28" ht="15.75" customHeight="1">
      <c r="C487" s="784"/>
      <c r="D487" s="784"/>
      <c r="E487" s="784"/>
      <c r="F487" s="784"/>
      <c r="G487" s="784"/>
      <c r="H487" s="784"/>
      <c r="I487" s="784"/>
      <c r="J487" s="784"/>
      <c r="K487" s="784"/>
      <c r="L487" s="784"/>
      <c r="M487" s="784"/>
      <c r="N487" s="784"/>
      <c r="O487" s="784"/>
      <c r="P487" s="784"/>
      <c r="Q487" s="784"/>
      <c r="R487" s="784"/>
      <c r="S487" s="784"/>
      <c r="T487" s="784"/>
      <c r="U487" s="784"/>
      <c r="V487" s="784"/>
      <c r="W487" s="784"/>
      <c r="X487" s="784"/>
      <c r="Y487" s="784"/>
      <c r="Z487" s="784"/>
      <c r="AA487" s="784"/>
      <c r="AB487" s="784"/>
    </row>
    <row r="488" spans="3:28" ht="15.75" customHeight="1">
      <c r="C488" s="784"/>
      <c r="D488" s="784"/>
      <c r="E488" s="784"/>
      <c r="F488" s="784"/>
      <c r="G488" s="784"/>
      <c r="H488" s="784"/>
      <c r="I488" s="784"/>
      <c r="J488" s="784"/>
      <c r="K488" s="784"/>
      <c r="L488" s="784"/>
      <c r="M488" s="784"/>
      <c r="N488" s="784"/>
      <c r="O488" s="784"/>
      <c r="P488" s="784"/>
      <c r="Q488" s="784"/>
      <c r="R488" s="784"/>
      <c r="S488" s="784"/>
      <c r="T488" s="784"/>
      <c r="U488" s="784"/>
      <c r="V488" s="784"/>
      <c r="W488" s="784"/>
      <c r="X488" s="784"/>
      <c r="Y488" s="784"/>
      <c r="Z488" s="784"/>
      <c r="AA488" s="784"/>
      <c r="AB488" s="784"/>
    </row>
    <row r="489" spans="3:28" ht="15.75" customHeight="1">
      <c r="C489" s="784"/>
      <c r="D489" s="784"/>
      <c r="E489" s="784"/>
      <c r="F489" s="784"/>
      <c r="G489" s="784"/>
      <c r="H489" s="784"/>
      <c r="I489" s="784"/>
      <c r="J489" s="784"/>
      <c r="K489" s="784"/>
      <c r="L489" s="784"/>
      <c r="M489" s="784"/>
      <c r="N489" s="784"/>
      <c r="O489" s="784"/>
      <c r="P489" s="784"/>
      <c r="Q489" s="784"/>
      <c r="R489" s="784"/>
      <c r="S489" s="784"/>
      <c r="T489" s="784"/>
      <c r="U489" s="784"/>
      <c r="V489" s="784"/>
      <c r="W489" s="784"/>
      <c r="X489" s="784"/>
      <c r="Y489" s="784"/>
      <c r="Z489" s="784"/>
      <c r="AA489" s="784"/>
      <c r="AB489" s="784"/>
    </row>
    <row r="490" spans="3:28" ht="15.75" customHeight="1">
      <c r="C490" s="784"/>
      <c r="D490" s="784"/>
      <c r="E490" s="784"/>
      <c r="F490" s="784"/>
      <c r="G490" s="784"/>
      <c r="H490" s="784"/>
      <c r="I490" s="784"/>
      <c r="J490" s="784"/>
      <c r="K490" s="784"/>
      <c r="L490" s="784"/>
      <c r="M490" s="784"/>
      <c r="N490" s="784"/>
      <c r="O490" s="784"/>
      <c r="P490" s="784"/>
      <c r="Q490" s="784"/>
      <c r="R490" s="784"/>
      <c r="S490" s="784"/>
      <c r="T490" s="784"/>
      <c r="U490" s="784"/>
      <c r="V490" s="784"/>
      <c r="W490" s="784"/>
      <c r="X490" s="784"/>
      <c r="Y490" s="784"/>
      <c r="Z490" s="784"/>
      <c r="AA490" s="784"/>
      <c r="AB490" s="784"/>
    </row>
    <row r="491" spans="3:28" ht="15.75" customHeight="1">
      <c r="C491" s="784"/>
      <c r="D491" s="784"/>
      <c r="E491" s="784"/>
      <c r="F491" s="784"/>
      <c r="G491" s="784"/>
      <c r="H491" s="784"/>
      <c r="I491" s="784"/>
      <c r="J491" s="784"/>
      <c r="K491" s="784"/>
      <c r="L491" s="784"/>
      <c r="M491" s="784"/>
      <c r="N491" s="784"/>
      <c r="O491" s="784"/>
      <c r="P491" s="784"/>
      <c r="Q491" s="784"/>
      <c r="R491" s="784"/>
      <c r="S491" s="784"/>
      <c r="T491" s="784"/>
      <c r="U491" s="784"/>
      <c r="V491" s="784"/>
      <c r="W491" s="784"/>
      <c r="X491" s="784"/>
      <c r="Y491" s="784"/>
      <c r="Z491" s="784"/>
      <c r="AA491" s="784"/>
      <c r="AB491" s="784"/>
    </row>
    <row r="492" spans="3:28" ht="15.75" customHeight="1">
      <c r="C492" s="784"/>
      <c r="D492" s="784"/>
      <c r="E492" s="784"/>
      <c r="F492" s="784"/>
      <c r="G492" s="784"/>
      <c r="H492" s="784"/>
      <c r="I492" s="784"/>
      <c r="J492" s="784"/>
      <c r="K492" s="784"/>
      <c r="L492" s="784"/>
      <c r="M492" s="784"/>
      <c r="N492" s="784"/>
      <c r="O492" s="784"/>
      <c r="P492" s="784"/>
      <c r="Q492" s="784"/>
      <c r="R492" s="784"/>
      <c r="S492" s="784"/>
      <c r="T492" s="784"/>
      <c r="U492" s="784"/>
      <c r="V492" s="784"/>
      <c r="W492" s="784"/>
      <c r="X492" s="784"/>
      <c r="Y492" s="784"/>
      <c r="Z492" s="784"/>
      <c r="AA492" s="784"/>
      <c r="AB492" s="784"/>
    </row>
    <row r="493" spans="3:28" ht="15.75" customHeight="1">
      <c r="C493" s="784"/>
      <c r="D493" s="784"/>
      <c r="E493" s="784"/>
      <c r="F493" s="784"/>
      <c r="G493" s="784"/>
      <c r="H493" s="784"/>
      <c r="I493" s="784"/>
      <c r="J493" s="784"/>
      <c r="K493" s="784"/>
      <c r="L493" s="784"/>
      <c r="M493" s="784"/>
      <c r="N493" s="784"/>
      <c r="O493" s="784"/>
      <c r="P493" s="784"/>
      <c r="Q493" s="784"/>
      <c r="R493" s="784"/>
      <c r="S493" s="784"/>
      <c r="T493" s="784"/>
      <c r="U493" s="784"/>
      <c r="V493" s="784"/>
      <c r="W493" s="784"/>
      <c r="X493" s="784"/>
      <c r="Y493" s="784"/>
      <c r="Z493" s="784"/>
      <c r="AA493" s="784"/>
      <c r="AB493" s="784"/>
    </row>
    <row r="494" spans="3:28" ht="15.75" customHeight="1">
      <c r="C494" s="784"/>
      <c r="D494" s="784"/>
      <c r="E494" s="784"/>
      <c r="F494" s="784"/>
      <c r="G494" s="784"/>
      <c r="H494" s="784"/>
      <c r="I494" s="784"/>
      <c r="J494" s="784"/>
      <c r="K494" s="784"/>
      <c r="L494" s="784"/>
      <c r="M494" s="784"/>
      <c r="N494" s="784"/>
      <c r="O494" s="784"/>
      <c r="P494" s="784"/>
      <c r="Q494" s="784"/>
      <c r="R494" s="784"/>
      <c r="S494" s="784"/>
      <c r="T494" s="784"/>
      <c r="U494" s="784"/>
      <c r="V494" s="784"/>
      <c r="W494" s="784"/>
      <c r="X494" s="784"/>
      <c r="Y494" s="784"/>
      <c r="Z494" s="784"/>
      <c r="AA494" s="784"/>
      <c r="AB494" s="784"/>
    </row>
    <row r="495" spans="3:28" ht="15.75" customHeight="1">
      <c r="C495" s="784"/>
      <c r="D495" s="784"/>
      <c r="E495" s="784"/>
      <c r="F495" s="784"/>
      <c r="G495" s="784"/>
      <c r="H495" s="784"/>
      <c r="I495" s="784"/>
      <c r="J495" s="784"/>
      <c r="K495" s="784"/>
      <c r="L495" s="784"/>
      <c r="M495" s="784"/>
      <c r="N495" s="784"/>
      <c r="O495" s="784"/>
      <c r="P495" s="784"/>
      <c r="Q495" s="784"/>
      <c r="R495" s="784"/>
      <c r="S495" s="784"/>
      <c r="T495" s="784"/>
      <c r="U495" s="784"/>
      <c r="V495" s="784"/>
      <c r="W495" s="784"/>
      <c r="X495" s="784"/>
      <c r="Y495" s="784"/>
      <c r="Z495" s="784"/>
      <c r="AA495" s="784"/>
      <c r="AB495" s="784"/>
    </row>
    <row r="496" spans="3:28" ht="15.75" customHeight="1">
      <c r="C496" s="784"/>
      <c r="D496" s="784"/>
      <c r="E496" s="784"/>
      <c r="F496" s="784"/>
      <c r="G496" s="784"/>
      <c r="H496" s="784"/>
      <c r="I496" s="784"/>
      <c r="J496" s="784"/>
      <c r="K496" s="784"/>
      <c r="L496" s="784"/>
      <c r="M496" s="784"/>
      <c r="N496" s="784"/>
      <c r="O496" s="784"/>
      <c r="P496" s="784"/>
      <c r="Q496" s="784"/>
      <c r="R496" s="784"/>
      <c r="S496" s="784"/>
      <c r="T496" s="784"/>
      <c r="U496" s="784"/>
      <c r="V496" s="784"/>
      <c r="W496" s="784"/>
      <c r="X496" s="784"/>
      <c r="Y496" s="784"/>
      <c r="Z496" s="784"/>
      <c r="AA496" s="784"/>
      <c r="AB496" s="784"/>
    </row>
    <row r="497" spans="3:28" ht="15.75" customHeight="1">
      <c r="C497" s="784"/>
      <c r="D497" s="784"/>
      <c r="E497" s="784"/>
      <c r="F497" s="784"/>
      <c r="G497" s="784"/>
      <c r="H497" s="784"/>
      <c r="I497" s="784"/>
      <c r="J497" s="784"/>
      <c r="K497" s="784"/>
      <c r="L497" s="784"/>
      <c r="M497" s="784"/>
      <c r="N497" s="784"/>
      <c r="O497" s="784"/>
      <c r="P497" s="784"/>
      <c r="Q497" s="784"/>
      <c r="R497" s="784"/>
      <c r="S497" s="784"/>
      <c r="T497" s="784"/>
      <c r="U497" s="784"/>
      <c r="V497" s="784"/>
      <c r="W497" s="784"/>
      <c r="X497" s="784"/>
      <c r="Y497" s="784"/>
      <c r="Z497" s="784"/>
      <c r="AA497" s="784"/>
      <c r="AB497" s="784"/>
    </row>
    <row r="498" spans="3:28" ht="15.75" customHeight="1">
      <c r="C498" s="784"/>
      <c r="D498" s="784"/>
      <c r="E498" s="784"/>
      <c r="F498" s="784"/>
      <c r="G498" s="784"/>
      <c r="H498" s="784"/>
      <c r="I498" s="784"/>
      <c r="J498" s="784"/>
      <c r="K498" s="784"/>
      <c r="L498" s="784"/>
      <c r="M498" s="784"/>
      <c r="N498" s="784"/>
      <c r="O498" s="784"/>
      <c r="P498" s="784"/>
      <c r="Q498" s="784"/>
      <c r="R498" s="784"/>
      <c r="S498" s="784"/>
      <c r="T498" s="784"/>
      <c r="U498" s="784"/>
      <c r="V498" s="784"/>
      <c r="W498" s="784"/>
      <c r="X498" s="784"/>
      <c r="Y498" s="784"/>
      <c r="Z498" s="784"/>
      <c r="AA498" s="784"/>
      <c r="AB498" s="784"/>
    </row>
    <row r="499" spans="3:28" ht="15.75" customHeight="1">
      <c r="C499" s="784"/>
      <c r="D499" s="784"/>
      <c r="E499" s="784"/>
      <c r="F499" s="784"/>
      <c r="G499" s="784"/>
      <c r="H499" s="784"/>
      <c r="I499" s="784"/>
      <c r="J499" s="784"/>
      <c r="K499" s="784"/>
      <c r="L499" s="784"/>
      <c r="M499" s="784"/>
      <c r="N499" s="784"/>
      <c r="O499" s="784"/>
      <c r="P499" s="784"/>
      <c r="Q499" s="784"/>
      <c r="R499" s="784"/>
      <c r="S499" s="784"/>
      <c r="T499" s="784"/>
      <c r="U499" s="784"/>
      <c r="V499" s="784"/>
      <c r="W499" s="784"/>
      <c r="X499" s="784"/>
      <c r="Y499" s="784"/>
      <c r="Z499" s="784"/>
      <c r="AA499" s="784"/>
      <c r="AB499" s="784"/>
    </row>
    <row r="500" spans="3:28" ht="15.75" customHeight="1">
      <c r="C500" s="784"/>
      <c r="D500" s="784"/>
      <c r="E500" s="784"/>
      <c r="F500" s="784"/>
      <c r="G500" s="784"/>
      <c r="H500" s="784"/>
      <c r="I500" s="784"/>
      <c r="J500" s="784"/>
      <c r="K500" s="784"/>
      <c r="L500" s="784"/>
      <c r="M500" s="784"/>
      <c r="N500" s="784"/>
      <c r="O500" s="784"/>
      <c r="P500" s="784"/>
      <c r="Q500" s="784"/>
      <c r="R500" s="784"/>
      <c r="S500" s="784"/>
      <c r="T500" s="784"/>
      <c r="U500" s="784"/>
      <c r="V500" s="784"/>
      <c r="W500" s="784"/>
      <c r="X500" s="784"/>
      <c r="Y500" s="784"/>
      <c r="Z500" s="784"/>
      <c r="AA500" s="784"/>
      <c r="AB500" s="784"/>
    </row>
    <row r="501" spans="3:28" ht="15.75" customHeight="1">
      <c r="C501" s="784"/>
      <c r="D501" s="784"/>
      <c r="E501" s="784"/>
      <c r="F501" s="784"/>
      <c r="G501" s="784"/>
      <c r="H501" s="784"/>
      <c r="I501" s="784"/>
      <c r="J501" s="784"/>
      <c r="K501" s="784"/>
      <c r="L501" s="784"/>
      <c r="M501" s="784"/>
      <c r="N501" s="784"/>
      <c r="O501" s="784"/>
      <c r="P501" s="784"/>
      <c r="Q501" s="784"/>
      <c r="R501" s="784"/>
      <c r="S501" s="784"/>
      <c r="T501" s="784"/>
      <c r="U501" s="784"/>
      <c r="V501" s="784"/>
      <c r="W501" s="784"/>
      <c r="X501" s="784"/>
      <c r="Y501" s="784"/>
      <c r="Z501" s="784"/>
      <c r="AA501" s="784"/>
      <c r="AB501" s="784"/>
    </row>
    <row r="502" spans="3:28" ht="15.75" customHeight="1">
      <c r="C502" s="784"/>
      <c r="D502" s="784"/>
      <c r="E502" s="784"/>
      <c r="F502" s="784"/>
      <c r="G502" s="784"/>
      <c r="H502" s="784"/>
      <c r="I502" s="784"/>
      <c r="J502" s="784"/>
      <c r="K502" s="784"/>
      <c r="L502" s="784"/>
      <c r="M502" s="784"/>
      <c r="N502" s="784"/>
      <c r="O502" s="784"/>
      <c r="P502" s="784"/>
      <c r="Q502" s="784"/>
      <c r="R502" s="784"/>
      <c r="S502" s="784"/>
      <c r="T502" s="784"/>
      <c r="U502" s="784"/>
      <c r="V502" s="784"/>
      <c r="W502" s="784"/>
      <c r="X502" s="784"/>
      <c r="Y502" s="784"/>
      <c r="Z502" s="784"/>
      <c r="AA502" s="784"/>
      <c r="AB502" s="784"/>
    </row>
    <row r="503" spans="3:28" ht="15.75" customHeight="1">
      <c r="C503" s="784"/>
      <c r="D503" s="784"/>
      <c r="E503" s="784"/>
      <c r="F503" s="784"/>
      <c r="G503" s="784"/>
      <c r="H503" s="784"/>
      <c r="I503" s="784"/>
      <c r="J503" s="784"/>
      <c r="K503" s="784"/>
      <c r="L503" s="784"/>
      <c r="M503" s="784"/>
      <c r="N503" s="784"/>
      <c r="O503" s="784"/>
      <c r="P503" s="784"/>
      <c r="Q503" s="784"/>
      <c r="R503" s="784"/>
      <c r="S503" s="784"/>
      <c r="T503" s="784"/>
      <c r="U503" s="784"/>
      <c r="V503" s="784"/>
      <c r="W503" s="784"/>
      <c r="X503" s="784"/>
      <c r="Y503" s="784"/>
      <c r="Z503" s="784"/>
      <c r="AA503" s="784"/>
      <c r="AB503" s="784"/>
    </row>
    <row r="504" spans="3:28" ht="15.75" customHeight="1">
      <c r="C504" s="784"/>
      <c r="D504" s="784"/>
      <c r="E504" s="784"/>
      <c r="F504" s="784"/>
      <c r="G504" s="784"/>
      <c r="H504" s="784"/>
      <c r="I504" s="784"/>
      <c r="J504" s="784"/>
      <c r="K504" s="784"/>
      <c r="L504" s="784"/>
      <c r="M504" s="784"/>
      <c r="N504" s="784"/>
      <c r="O504" s="784"/>
      <c r="P504" s="784"/>
      <c r="Q504" s="784"/>
      <c r="R504" s="784"/>
      <c r="S504" s="784"/>
      <c r="T504" s="784"/>
      <c r="U504" s="784"/>
      <c r="V504" s="784"/>
      <c r="W504" s="784"/>
      <c r="X504" s="784"/>
      <c r="Y504" s="784"/>
      <c r="Z504" s="784"/>
      <c r="AA504" s="784"/>
      <c r="AB504" s="784"/>
    </row>
    <row r="505" spans="3:28" ht="15.75" customHeight="1">
      <c r="C505" s="784"/>
      <c r="D505" s="784"/>
      <c r="E505" s="784"/>
      <c r="F505" s="784"/>
      <c r="G505" s="784"/>
      <c r="H505" s="784"/>
      <c r="I505" s="784"/>
      <c r="J505" s="784"/>
      <c r="K505" s="784"/>
      <c r="L505" s="784"/>
      <c r="M505" s="784"/>
      <c r="N505" s="784"/>
      <c r="O505" s="784"/>
      <c r="P505" s="784"/>
      <c r="Q505" s="784"/>
      <c r="R505" s="784"/>
      <c r="S505" s="784"/>
      <c r="T505" s="784"/>
      <c r="U505" s="784"/>
      <c r="V505" s="784"/>
      <c r="W505" s="784"/>
      <c r="X505" s="784"/>
      <c r="Y505" s="784"/>
      <c r="Z505" s="784"/>
      <c r="AA505" s="784"/>
      <c r="AB505" s="784"/>
    </row>
    <row r="506" spans="3:28" ht="15.75" customHeight="1">
      <c r="C506" s="784"/>
      <c r="D506" s="784"/>
      <c r="E506" s="784"/>
      <c r="F506" s="784"/>
      <c r="G506" s="784"/>
      <c r="H506" s="784"/>
      <c r="I506" s="784"/>
      <c r="J506" s="784"/>
      <c r="K506" s="784"/>
      <c r="L506" s="784"/>
      <c r="M506" s="784"/>
      <c r="N506" s="784"/>
      <c r="O506" s="784"/>
      <c r="P506" s="784"/>
      <c r="Q506" s="784"/>
      <c r="R506" s="784"/>
      <c r="S506" s="784"/>
      <c r="T506" s="784"/>
      <c r="U506" s="784"/>
      <c r="V506" s="784"/>
      <c r="W506" s="784"/>
      <c r="X506" s="784"/>
      <c r="Y506" s="784"/>
      <c r="Z506" s="784"/>
      <c r="AA506" s="784"/>
      <c r="AB506" s="784"/>
    </row>
    <row r="507" spans="3:28" ht="15.75" customHeight="1">
      <c r="C507" s="784"/>
      <c r="D507" s="784"/>
      <c r="E507" s="784"/>
      <c r="F507" s="784"/>
      <c r="G507" s="784"/>
      <c r="H507" s="784"/>
      <c r="I507" s="784"/>
      <c r="J507" s="784"/>
      <c r="K507" s="784"/>
      <c r="L507" s="784"/>
      <c r="M507" s="784"/>
      <c r="N507" s="784"/>
      <c r="O507" s="784"/>
      <c r="P507" s="784"/>
      <c r="Q507" s="784"/>
      <c r="R507" s="784"/>
      <c r="S507" s="784"/>
      <c r="T507" s="784"/>
      <c r="U507" s="784"/>
      <c r="V507" s="784"/>
      <c r="W507" s="784"/>
      <c r="X507" s="784"/>
      <c r="Y507" s="784"/>
      <c r="Z507" s="784"/>
      <c r="AA507" s="784"/>
      <c r="AB507" s="784"/>
    </row>
    <row r="508" spans="3:28" ht="15.75" customHeight="1">
      <c r="C508" s="784"/>
      <c r="D508" s="784"/>
      <c r="E508" s="784"/>
      <c r="F508" s="784"/>
      <c r="G508" s="784"/>
      <c r="H508" s="784"/>
      <c r="I508" s="784"/>
      <c r="J508" s="784"/>
      <c r="K508" s="784"/>
      <c r="L508" s="784"/>
      <c r="M508" s="784"/>
      <c r="N508" s="784"/>
      <c r="O508" s="784"/>
      <c r="P508" s="784"/>
      <c r="Q508" s="784"/>
      <c r="R508" s="784"/>
      <c r="S508" s="784"/>
      <c r="T508" s="784"/>
      <c r="U508" s="784"/>
      <c r="V508" s="784"/>
      <c r="W508" s="784"/>
      <c r="X508" s="784"/>
      <c r="Y508" s="784"/>
      <c r="Z508" s="784"/>
      <c r="AA508" s="784"/>
      <c r="AB508" s="784"/>
    </row>
    <row r="509" spans="3:28" ht="15.75" customHeight="1">
      <c r="C509" s="784"/>
      <c r="D509" s="784"/>
      <c r="E509" s="784"/>
      <c r="F509" s="784"/>
      <c r="G509" s="784"/>
      <c r="H509" s="784"/>
      <c r="I509" s="784"/>
      <c r="J509" s="784"/>
      <c r="K509" s="784"/>
      <c r="L509" s="784"/>
      <c r="M509" s="784"/>
      <c r="N509" s="784"/>
      <c r="O509" s="784"/>
      <c r="P509" s="784"/>
      <c r="Q509" s="784"/>
      <c r="R509" s="784"/>
      <c r="S509" s="784"/>
      <c r="T509" s="784"/>
      <c r="U509" s="784"/>
      <c r="V509" s="784"/>
      <c r="W509" s="784"/>
      <c r="X509" s="784"/>
      <c r="Y509" s="784"/>
      <c r="Z509" s="784"/>
      <c r="AA509" s="784"/>
      <c r="AB509" s="784"/>
    </row>
    <row r="510" spans="3:28" ht="15.75" customHeight="1">
      <c r="C510" s="784"/>
      <c r="D510" s="784"/>
      <c r="E510" s="784"/>
      <c r="F510" s="784"/>
      <c r="G510" s="784"/>
      <c r="H510" s="784"/>
      <c r="I510" s="784"/>
      <c r="J510" s="784"/>
      <c r="K510" s="784"/>
      <c r="L510" s="784"/>
      <c r="M510" s="784"/>
      <c r="N510" s="784"/>
      <c r="O510" s="784"/>
      <c r="P510" s="784"/>
      <c r="Q510" s="784"/>
      <c r="R510" s="784"/>
      <c r="S510" s="784"/>
      <c r="T510" s="784"/>
      <c r="U510" s="784"/>
      <c r="V510" s="784"/>
      <c r="W510" s="784"/>
      <c r="X510" s="784"/>
      <c r="Y510" s="784"/>
      <c r="Z510" s="784"/>
      <c r="AA510" s="784"/>
      <c r="AB510" s="784"/>
    </row>
    <row r="511" spans="3:28" ht="15.75" customHeight="1">
      <c r="C511" s="784"/>
      <c r="D511" s="784"/>
      <c r="E511" s="784"/>
      <c r="F511" s="784"/>
      <c r="G511" s="784"/>
      <c r="H511" s="784"/>
      <c r="I511" s="784"/>
      <c r="J511" s="784"/>
      <c r="K511" s="784"/>
      <c r="L511" s="784"/>
      <c r="M511" s="784"/>
      <c r="N511" s="784"/>
      <c r="O511" s="784"/>
      <c r="P511" s="784"/>
      <c r="Q511" s="784"/>
      <c r="R511" s="784"/>
      <c r="S511" s="784"/>
      <c r="T511" s="784"/>
      <c r="U511" s="784"/>
      <c r="V511" s="784"/>
      <c r="W511" s="784"/>
      <c r="X511" s="784"/>
      <c r="Y511" s="784"/>
      <c r="Z511" s="784"/>
      <c r="AA511" s="784"/>
      <c r="AB511" s="784"/>
    </row>
    <row r="512" spans="3:28" ht="15.75" customHeight="1">
      <c r="C512" s="784"/>
      <c r="D512" s="784"/>
      <c r="E512" s="784"/>
      <c r="F512" s="784"/>
      <c r="G512" s="784"/>
      <c r="H512" s="784"/>
      <c r="I512" s="784"/>
      <c r="J512" s="784"/>
      <c r="K512" s="784"/>
      <c r="L512" s="784"/>
      <c r="M512" s="784"/>
      <c r="N512" s="784"/>
      <c r="O512" s="784"/>
      <c r="P512" s="784"/>
      <c r="Q512" s="784"/>
      <c r="R512" s="784"/>
      <c r="S512" s="784"/>
      <c r="T512" s="784"/>
      <c r="U512" s="784"/>
      <c r="V512" s="784"/>
      <c r="W512" s="784"/>
      <c r="X512" s="784"/>
      <c r="Y512" s="784"/>
      <c r="Z512" s="784"/>
      <c r="AA512" s="784"/>
      <c r="AB512" s="784"/>
    </row>
    <row r="513" spans="3:28" ht="15.75" customHeight="1">
      <c r="C513" s="784"/>
      <c r="D513" s="784"/>
      <c r="E513" s="784"/>
      <c r="F513" s="784"/>
      <c r="G513" s="784"/>
      <c r="H513" s="784"/>
      <c r="I513" s="784"/>
      <c r="J513" s="784"/>
      <c r="K513" s="784"/>
      <c r="L513" s="784"/>
      <c r="M513" s="784"/>
      <c r="N513" s="784"/>
      <c r="O513" s="784"/>
      <c r="P513" s="784"/>
      <c r="Q513" s="784"/>
      <c r="R513" s="784"/>
      <c r="S513" s="784"/>
      <c r="T513" s="784"/>
      <c r="U513" s="784"/>
      <c r="V513" s="784"/>
      <c r="W513" s="784"/>
      <c r="X513" s="784"/>
      <c r="Y513" s="784"/>
      <c r="Z513" s="784"/>
      <c r="AA513" s="784"/>
      <c r="AB513" s="784"/>
    </row>
    <row r="514" spans="3:28" ht="15.75" customHeight="1">
      <c r="C514" s="784"/>
      <c r="D514" s="784"/>
      <c r="E514" s="784"/>
      <c r="F514" s="784"/>
      <c r="G514" s="784"/>
      <c r="H514" s="784"/>
      <c r="I514" s="784"/>
      <c r="J514" s="784"/>
      <c r="K514" s="784"/>
      <c r="L514" s="784"/>
      <c r="M514" s="784"/>
      <c r="N514" s="784"/>
      <c r="O514" s="784"/>
      <c r="P514" s="784"/>
      <c r="Q514" s="784"/>
      <c r="R514" s="784"/>
      <c r="S514" s="784"/>
      <c r="T514" s="784"/>
      <c r="U514" s="784"/>
      <c r="V514" s="784"/>
      <c r="W514" s="784"/>
      <c r="X514" s="784"/>
      <c r="Y514" s="784"/>
      <c r="Z514" s="784"/>
      <c r="AA514" s="784"/>
      <c r="AB514" s="784"/>
    </row>
    <row r="515" spans="3:28" ht="15.75" customHeight="1">
      <c r="C515" s="784"/>
      <c r="D515" s="784"/>
      <c r="E515" s="784"/>
      <c r="F515" s="784"/>
      <c r="G515" s="784"/>
      <c r="H515" s="784"/>
      <c r="I515" s="784"/>
      <c r="J515" s="784"/>
      <c r="K515" s="784"/>
      <c r="L515" s="784"/>
      <c r="M515" s="784"/>
      <c r="N515" s="784"/>
      <c r="O515" s="784"/>
      <c r="P515" s="784"/>
      <c r="Q515" s="784"/>
      <c r="R515" s="784"/>
      <c r="S515" s="784"/>
      <c r="T515" s="784"/>
      <c r="U515" s="784"/>
      <c r="V515" s="784"/>
      <c r="W515" s="784"/>
      <c r="X515" s="784"/>
      <c r="Y515" s="784"/>
      <c r="Z515" s="784"/>
      <c r="AA515" s="784"/>
      <c r="AB515" s="784"/>
    </row>
    <row r="516" spans="3:28" ht="15.75" customHeight="1">
      <c r="C516" s="784"/>
      <c r="D516" s="784"/>
      <c r="E516" s="784"/>
      <c r="F516" s="784"/>
      <c r="G516" s="784"/>
      <c r="H516" s="784"/>
      <c r="I516" s="784"/>
      <c r="J516" s="784"/>
      <c r="K516" s="784"/>
      <c r="L516" s="784"/>
      <c r="M516" s="784"/>
      <c r="N516" s="784"/>
      <c r="O516" s="784"/>
      <c r="P516" s="784"/>
      <c r="Q516" s="784"/>
      <c r="R516" s="784"/>
      <c r="S516" s="784"/>
      <c r="T516" s="784"/>
      <c r="U516" s="784"/>
      <c r="V516" s="784"/>
      <c r="W516" s="784"/>
      <c r="X516" s="784"/>
      <c r="Y516" s="784"/>
      <c r="Z516" s="784"/>
      <c r="AA516" s="784"/>
      <c r="AB516" s="784"/>
    </row>
    <row r="517" spans="3:28" ht="15.75" customHeight="1">
      <c r="C517" s="784"/>
      <c r="D517" s="784"/>
      <c r="E517" s="784"/>
      <c r="F517" s="784"/>
      <c r="G517" s="784"/>
      <c r="H517" s="784"/>
      <c r="I517" s="784"/>
      <c r="J517" s="784"/>
      <c r="K517" s="784"/>
      <c r="L517" s="784"/>
      <c r="M517" s="784"/>
      <c r="N517" s="784"/>
      <c r="O517" s="784"/>
      <c r="P517" s="784"/>
      <c r="Q517" s="784"/>
      <c r="R517" s="784"/>
      <c r="S517" s="784"/>
      <c r="T517" s="784"/>
      <c r="U517" s="784"/>
      <c r="V517" s="784"/>
      <c r="W517" s="784"/>
      <c r="X517" s="784"/>
      <c r="Y517" s="784"/>
      <c r="Z517" s="784"/>
      <c r="AA517" s="784"/>
      <c r="AB517" s="784"/>
    </row>
    <row r="518" spans="3:28" ht="15.75" customHeight="1">
      <c r="C518" s="784"/>
      <c r="D518" s="784"/>
      <c r="E518" s="784"/>
      <c r="F518" s="784"/>
      <c r="G518" s="784"/>
      <c r="H518" s="784"/>
      <c r="I518" s="784"/>
      <c r="J518" s="784"/>
      <c r="K518" s="784"/>
      <c r="L518" s="784"/>
      <c r="M518" s="784"/>
      <c r="N518" s="784"/>
      <c r="O518" s="784"/>
      <c r="P518" s="784"/>
      <c r="Q518" s="784"/>
      <c r="R518" s="784"/>
      <c r="S518" s="784"/>
      <c r="T518" s="784"/>
      <c r="U518" s="784"/>
      <c r="V518" s="784"/>
      <c r="W518" s="784"/>
      <c r="X518" s="784"/>
      <c r="Y518" s="784"/>
      <c r="Z518" s="784"/>
      <c r="AA518" s="784"/>
      <c r="AB518" s="784"/>
    </row>
    <row r="519" spans="3:28" ht="15.75" customHeight="1">
      <c r="C519" s="784"/>
      <c r="D519" s="784"/>
      <c r="E519" s="784"/>
      <c r="F519" s="784"/>
      <c r="G519" s="784"/>
      <c r="H519" s="784"/>
      <c r="I519" s="784"/>
      <c r="J519" s="784"/>
      <c r="K519" s="784"/>
      <c r="L519" s="784"/>
      <c r="M519" s="784"/>
      <c r="N519" s="784"/>
      <c r="O519" s="784"/>
      <c r="P519" s="784"/>
      <c r="Q519" s="784"/>
      <c r="R519" s="784"/>
      <c r="S519" s="784"/>
      <c r="T519" s="784"/>
      <c r="U519" s="784"/>
      <c r="V519" s="784"/>
      <c r="W519" s="784"/>
      <c r="X519" s="784"/>
      <c r="Y519" s="784"/>
      <c r="Z519" s="784"/>
      <c r="AA519" s="784"/>
      <c r="AB519" s="784"/>
    </row>
    <row r="520" spans="3:28" ht="15.75" customHeight="1">
      <c r="C520" s="784"/>
      <c r="D520" s="784"/>
      <c r="E520" s="784"/>
      <c r="F520" s="784"/>
      <c r="G520" s="784"/>
      <c r="H520" s="784"/>
      <c r="I520" s="784"/>
      <c r="J520" s="784"/>
      <c r="K520" s="784"/>
      <c r="L520" s="784"/>
      <c r="M520" s="784"/>
      <c r="N520" s="784"/>
      <c r="O520" s="784"/>
      <c r="P520" s="784"/>
      <c r="Q520" s="784"/>
      <c r="R520" s="784"/>
      <c r="S520" s="784"/>
      <c r="T520" s="784"/>
      <c r="U520" s="784"/>
      <c r="V520" s="784"/>
      <c r="W520" s="784"/>
      <c r="X520" s="784"/>
      <c r="Y520" s="784"/>
      <c r="Z520" s="784"/>
      <c r="AA520" s="784"/>
      <c r="AB520" s="784"/>
    </row>
    <row r="521" spans="3:28" ht="15.75" customHeight="1">
      <c r="C521" s="784"/>
      <c r="D521" s="784"/>
      <c r="E521" s="784"/>
      <c r="F521" s="784"/>
      <c r="G521" s="784"/>
      <c r="H521" s="784"/>
      <c r="I521" s="784"/>
      <c r="J521" s="784"/>
      <c r="K521" s="784"/>
      <c r="L521" s="784"/>
      <c r="M521" s="784"/>
      <c r="N521" s="784"/>
      <c r="O521" s="784"/>
      <c r="P521" s="784"/>
      <c r="Q521" s="784"/>
      <c r="R521" s="784"/>
      <c r="S521" s="784"/>
      <c r="T521" s="784"/>
      <c r="U521" s="784"/>
      <c r="V521" s="784"/>
      <c r="W521" s="784"/>
      <c r="X521" s="784"/>
      <c r="Y521" s="784"/>
      <c r="Z521" s="784"/>
      <c r="AA521" s="784"/>
      <c r="AB521" s="784"/>
    </row>
    <row r="522" spans="3:28" ht="15.75" customHeight="1">
      <c r="C522" s="784"/>
      <c r="D522" s="784"/>
      <c r="E522" s="784"/>
      <c r="F522" s="784"/>
      <c r="G522" s="784"/>
      <c r="H522" s="784"/>
      <c r="I522" s="784"/>
      <c r="J522" s="784"/>
      <c r="K522" s="784"/>
      <c r="L522" s="784"/>
      <c r="M522" s="784"/>
      <c r="N522" s="784"/>
      <c r="O522" s="784"/>
      <c r="P522" s="784"/>
      <c r="Q522" s="784"/>
      <c r="R522" s="784"/>
      <c r="S522" s="784"/>
      <c r="T522" s="784"/>
      <c r="U522" s="784"/>
      <c r="V522" s="784"/>
      <c r="W522" s="784"/>
      <c r="X522" s="784"/>
      <c r="Y522" s="784"/>
      <c r="Z522" s="784"/>
      <c r="AA522" s="784"/>
      <c r="AB522" s="784"/>
    </row>
    <row r="523" spans="3:28" ht="15.75" customHeight="1">
      <c r="C523" s="784"/>
      <c r="D523" s="784"/>
      <c r="E523" s="784"/>
      <c r="F523" s="784"/>
      <c r="G523" s="784"/>
      <c r="H523" s="784"/>
      <c r="I523" s="784"/>
      <c r="J523" s="784"/>
      <c r="K523" s="784"/>
      <c r="L523" s="784"/>
      <c r="M523" s="784"/>
      <c r="N523" s="784"/>
      <c r="O523" s="784"/>
      <c r="P523" s="784"/>
      <c r="Q523" s="784"/>
      <c r="R523" s="784"/>
      <c r="S523" s="784"/>
      <c r="T523" s="784"/>
      <c r="U523" s="784"/>
      <c r="V523" s="784"/>
      <c r="W523" s="784"/>
      <c r="X523" s="784"/>
      <c r="Y523" s="784"/>
      <c r="Z523" s="784"/>
      <c r="AA523" s="784"/>
      <c r="AB523" s="784"/>
    </row>
    <row r="524" spans="3:28" ht="15.75" customHeight="1">
      <c r="C524" s="784"/>
      <c r="D524" s="784"/>
      <c r="E524" s="784"/>
      <c r="F524" s="784"/>
      <c r="G524" s="784"/>
      <c r="H524" s="784"/>
      <c r="I524" s="784"/>
      <c r="J524" s="784"/>
      <c r="K524" s="784"/>
      <c r="L524" s="784"/>
      <c r="M524" s="784"/>
      <c r="N524" s="784"/>
      <c r="O524" s="784"/>
      <c r="P524" s="784"/>
      <c r="Q524" s="784"/>
      <c r="R524" s="784"/>
      <c r="S524" s="784"/>
      <c r="T524" s="784"/>
      <c r="U524" s="784"/>
      <c r="V524" s="784"/>
      <c r="W524" s="784"/>
      <c r="X524" s="784"/>
      <c r="Y524" s="784"/>
      <c r="Z524" s="784"/>
      <c r="AA524" s="784"/>
      <c r="AB524" s="784"/>
    </row>
    <row r="525" spans="3:28" ht="15.75" customHeight="1">
      <c r="C525" s="784"/>
      <c r="D525" s="784"/>
      <c r="E525" s="784"/>
      <c r="F525" s="784"/>
      <c r="G525" s="784"/>
      <c r="H525" s="784"/>
      <c r="I525" s="784"/>
      <c r="J525" s="784"/>
      <c r="K525" s="784"/>
      <c r="L525" s="784"/>
      <c r="M525" s="784"/>
      <c r="N525" s="784"/>
      <c r="O525" s="784"/>
      <c r="P525" s="784"/>
      <c r="Q525" s="784"/>
      <c r="R525" s="784"/>
      <c r="S525" s="784"/>
      <c r="T525" s="784"/>
      <c r="U525" s="784"/>
      <c r="V525" s="784"/>
      <c r="W525" s="784"/>
      <c r="X525" s="784"/>
      <c r="Y525" s="784"/>
      <c r="Z525" s="784"/>
      <c r="AA525" s="784"/>
      <c r="AB525" s="784"/>
    </row>
    <row r="526" spans="3:28" ht="15.75" customHeight="1">
      <c r="C526" s="784"/>
      <c r="D526" s="784"/>
      <c r="E526" s="784"/>
      <c r="F526" s="784"/>
      <c r="G526" s="784"/>
      <c r="H526" s="784"/>
      <c r="I526" s="784"/>
      <c r="J526" s="784"/>
      <c r="K526" s="784"/>
      <c r="L526" s="784"/>
      <c r="M526" s="784"/>
      <c r="N526" s="784"/>
      <c r="O526" s="784"/>
      <c r="P526" s="784"/>
      <c r="Q526" s="784"/>
      <c r="R526" s="784"/>
      <c r="S526" s="784"/>
      <c r="T526" s="784"/>
      <c r="U526" s="784"/>
      <c r="V526" s="784"/>
      <c r="W526" s="784"/>
      <c r="X526" s="784"/>
      <c r="Y526" s="784"/>
      <c r="Z526" s="784"/>
      <c r="AA526" s="784"/>
      <c r="AB526" s="784"/>
    </row>
    <row r="527" spans="3:28" ht="15.75" customHeight="1">
      <c r="C527" s="784"/>
      <c r="D527" s="784"/>
      <c r="E527" s="784"/>
      <c r="F527" s="784"/>
      <c r="G527" s="784"/>
      <c r="H527" s="784"/>
      <c r="I527" s="784"/>
      <c r="J527" s="784"/>
      <c r="K527" s="784"/>
      <c r="L527" s="784"/>
      <c r="M527" s="784"/>
      <c r="N527" s="784"/>
      <c r="O527" s="784"/>
      <c r="P527" s="784"/>
      <c r="Q527" s="784"/>
      <c r="R527" s="784"/>
      <c r="S527" s="784"/>
      <c r="T527" s="784"/>
      <c r="U527" s="784"/>
      <c r="V527" s="784"/>
      <c r="W527" s="784"/>
      <c r="X527" s="784"/>
      <c r="Y527" s="784"/>
      <c r="Z527" s="784"/>
      <c r="AA527" s="784"/>
      <c r="AB527" s="784"/>
    </row>
    <row r="528" spans="3:28" ht="15.75" customHeight="1">
      <c r="C528" s="784"/>
      <c r="D528" s="784"/>
      <c r="E528" s="784"/>
      <c r="F528" s="784"/>
      <c r="G528" s="784"/>
      <c r="H528" s="784"/>
      <c r="I528" s="784"/>
      <c r="J528" s="784"/>
      <c r="K528" s="784"/>
      <c r="L528" s="784"/>
      <c r="M528" s="784"/>
      <c r="N528" s="784"/>
      <c r="O528" s="784"/>
      <c r="P528" s="784"/>
      <c r="Q528" s="784"/>
      <c r="R528" s="784"/>
      <c r="S528" s="784"/>
      <c r="T528" s="784"/>
      <c r="U528" s="784"/>
      <c r="V528" s="784"/>
      <c r="W528" s="784"/>
      <c r="X528" s="784"/>
      <c r="Y528" s="784"/>
      <c r="Z528" s="784"/>
      <c r="AA528" s="784"/>
      <c r="AB528" s="784"/>
    </row>
    <row r="529" spans="3:28" ht="15.75" customHeight="1">
      <c r="C529" s="784"/>
      <c r="D529" s="784"/>
      <c r="E529" s="784"/>
      <c r="F529" s="784"/>
      <c r="G529" s="784"/>
      <c r="H529" s="784"/>
      <c r="I529" s="784"/>
      <c r="J529" s="784"/>
      <c r="K529" s="784"/>
      <c r="L529" s="784"/>
      <c r="M529" s="784"/>
      <c r="N529" s="784"/>
      <c r="O529" s="784"/>
      <c r="P529" s="784"/>
      <c r="Q529" s="784"/>
      <c r="R529" s="784"/>
      <c r="S529" s="784"/>
      <c r="T529" s="784"/>
      <c r="U529" s="784"/>
      <c r="V529" s="784"/>
      <c r="W529" s="784"/>
      <c r="X529" s="784"/>
      <c r="Y529" s="784"/>
      <c r="Z529" s="784"/>
      <c r="AA529" s="784"/>
      <c r="AB529" s="784"/>
    </row>
    <row r="530" spans="3:28" ht="15.75" customHeight="1">
      <c r="C530" s="784"/>
      <c r="D530" s="784"/>
      <c r="E530" s="784"/>
      <c r="F530" s="784"/>
      <c r="G530" s="784"/>
      <c r="H530" s="784"/>
      <c r="I530" s="784"/>
      <c r="J530" s="784"/>
      <c r="K530" s="784"/>
      <c r="L530" s="784"/>
      <c r="M530" s="784"/>
      <c r="N530" s="784"/>
      <c r="O530" s="784"/>
      <c r="P530" s="784"/>
      <c r="Q530" s="784"/>
      <c r="R530" s="784"/>
      <c r="S530" s="784"/>
      <c r="T530" s="784"/>
      <c r="U530" s="784"/>
      <c r="V530" s="784"/>
      <c r="W530" s="784"/>
      <c r="X530" s="784"/>
      <c r="Y530" s="784"/>
      <c r="Z530" s="784"/>
      <c r="AA530" s="784"/>
      <c r="AB530" s="784"/>
    </row>
    <row r="531" spans="3:28" ht="15.75" customHeight="1">
      <c r="C531" s="784"/>
      <c r="D531" s="784"/>
      <c r="E531" s="784"/>
      <c r="F531" s="784"/>
      <c r="G531" s="784"/>
      <c r="H531" s="784"/>
      <c r="I531" s="784"/>
      <c r="J531" s="784"/>
      <c r="K531" s="784"/>
      <c r="L531" s="784"/>
      <c r="M531" s="784"/>
      <c r="N531" s="784"/>
      <c r="O531" s="784"/>
      <c r="P531" s="784"/>
      <c r="Q531" s="784"/>
      <c r="R531" s="784"/>
      <c r="S531" s="784"/>
      <c r="T531" s="784"/>
      <c r="U531" s="784"/>
      <c r="V531" s="784"/>
      <c r="W531" s="784"/>
      <c r="X531" s="784"/>
      <c r="Y531" s="784"/>
      <c r="Z531" s="784"/>
      <c r="AA531" s="784"/>
      <c r="AB531" s="784"/>
    </row>
    <row r="532" spans="3:28" ht="15.75" customHeight="1">
      <c r="C532" s="784"/>
      <c r="D532" s="784"/>
      <c r="E532" s="784"/>
      <c r="F532" s="784"/>
      <c r="G532" s="784"/>
      <c r="H532" s="784"/>
      <c r="I532" s="784"/>
      <c r="J532" s="784"/>
      <c r="K532" s="784"/>
      <c r="L532" s="784"/>
      <c r="M532" s="784"/>
      <c r="N532" s="784"/>
      <c r="O532" s="784"/>
      <c r="P532" s="784"/>
      <c r="Q532" s="784"/>
      <c r="R532" s="784"/>
      <c r="S532" s="784"/>
      <c r="T532" s="784"/>
      <c r="U532" s="784"/>
      <c r="V532" s="784"/>
      <c r="W532" s="784"/>
      <c r="X532" s="784"/>
      <c r="Y532" s="784"/>
      <c r="Z532" s="784"/>
      <c r="AA532" s="784"/>
      <c r="AB532" s="784"/>
    </row>
    <row r="533" spans="3:28" ht="15.75" customHeight="1">
      <c r="C533" s="784"/>
      <c r="D533" s="784"/>
      <c r="E533" s="784"/>
      <c r="F533" s="784"/>
      <c r="G533" s="784"/>
      <c r="H533" s="784"/>
      <c r="I533" s="784"/>
      <c r="J533" s="784"/>
      <c r="K533" s="784"/>
      <c r="L533" s="784"/>
      <c r="M533" s="784"/>
      <c r="N533" s="784"/>
      <c r="O533" s="784"/>
      <c r="P533" s="784"/>
      <c r="Q533" s="784"/>
      <c r="R533" s="784"/>
      <c r="S533" s="784"/>
      <c r="T533" s="784"/>
      <c r="U533" s="784"/>
      <c r="V533" s="784"/>
      <c r="W533" s="784"/>
      <c r="X533" s="784"/>
      <c r="Y533" s="784"/>
      <c r="Z533" s="784"/>
      <c r="AA533" s="784"/>
      <c r="AB533" s="784"/>
    </row>
    <row r="534" spans="3:28" ht="15.75" customHeight="1">
      <c r="C534" s="784"/>
      <c r="D534" s="784"/>
      <c r="E534" s="784"/>
      <c r="F534" s="784"/>
      <c r="G534" s="784"/>
      <c r="H534" s="784"/>
      <c r="I534" s="784"/>
      <c r="J534" s="784"/>
      <c r="K534" s="784"/>
      <c r="L534" s="784"/>
      <c r="M534" s="784"/>
      <c r="N534" s="784"/>
      <c r="O534" s="784"/>
      <c r="P534" s="784"/>
      <c r="Q534" s="784"/>
      <c r="R534" s="784"/>
      <c r="S534" s="784"/>
      <c r="T534" s="784"/>
      <c r="U534" s="784"/>
      <c r="V534" s="784"/>
      <c r="W534" s="784"/>
      <c r="X534" s="784"/>
      <c r="Y534" s="784"/>
      <c r="Z534" s="784"/>
      <c r="AA534" s="784"/>
      <c r="AB534" s="784"/>
    </row>
    <row r="535" spans="3:28" ht="15.75" customHeight="1">
      <c r="C535" s="784"/>
      <c r="D535" s="784"/>
      <c r="E535" s="784"/>
      <c r="F535" s="784"/>
      <c r="G535" s="784"/>
      <c r="H535" s="784"/>
      <c r="I535" s="784"/>
      <c r="J535" s="784"/>
      <c r="K535" s="784"/>
      <c r="L535" s="784"/>
      <c r="M535" s="784"/>
      <c r="N535" s="784"/>
      <c r="O535" s="784"/>
      <c r="P535" s="784"/>
      <c r="Q535" s="784"/>
      <c r="R535" s="784"/>
      <c r="S535" s="784"/>
      <c r="T535" s="784"/>
      <c r="U535" s="784"/>
      <c r="V535" s="784"/>
      <c r="W535" s="784"/>
      <c r="X535" s="784"/>
      <c r="Y535" s="784"/>
      <c r="Z535" s="784"/>
      <c r="AA535" s="784"/>
      <c r="AB535" s="784"/>
    </row>
    <row r="536" spans="3:28" ht="15.75" customHeight="1">
      <c r="C536" s="784"/>
      <c r="D536" s="784"/>
      <c r="E536" s="784"/>
      <c r="F536" s="784"/>
      <c r="G536" s="784"/>
      <c r="H536" s="784"/>
      <c r="I536" s="784"/>
      <c r="J536" s="784"/>
      <c r="K536" s="784"/>
      <c r="L536" s="784"/>
      <c r="M536" s="784"/>
      <c r="N536" s="784"/>
      <c r="O536" s="784"/>
      <c r="P536" s="784"/>
      <c r="Q536" s="784"/>
      <c r="R536" s="784"/>
      <c r="S536" s="784"/>
      <c r="T536" s="784"/>
      <c r="U536" s="784"/>
      <c r="V536" s="784"/>
      <c r="W536" s="784"/>
      <c r="X536" s="784"/>
      <c r="Y536" s="784"/>
      <c r="Z536" s="784"/>
      <c r="AA536" s="784"/>
      <c r="AB536" s="784"/>
    </row>
    <row r="537" spans="3:28" ht="15.75" customHeight="1">
      <c r="C537" s="784"/>
      <c r="D537" s="784"/>
      <c r="E537" s="784"/>
      <c r="F537" s="784"/>
      <c r="G537" s="784"/>
      <c r="H537" s="784"/>
      <c r="I537" s="784"/>
      <c r="J537" s="784"/>
      <c r="K537" s="784"/>
      <c r="L537" s="784"/>
      <c r="M537" s="784"/>
      <c r="N537" s="784"/>
      <c r="O537" s="784"/>
      <c r="P537" s="784"/>
      <c r="Q537" s="784"/>
      <c r="R537" s="784"/>
      <c r="S537" s="784"/>
      <c r="T537" s="784"/>
      <c r="U537" s="784"/>
      <c r="V537" s="784"/>
      <c r="W537" s="784"/>
      <c r="X537" s="784"/>
      <c r="Y537" s="784"/>
      <c r="Z537" s="784"/>
      <c r="AA537" s="784"/>
      <c r="AB537" s="784"/>
    </row>
    <row r="538" spans="3:28" ht="15.75" customHeight="1">
      <c r="C538" s="784"/>
      <c r="D538" s="784"/>
      <c r="E538" s="784"/>
      <c r="F538" s="784"/>
      <c r="G538" s="784"/>
      <c r="H538" s="784"/>
      <c r="I538" s="784"/>
      <c r="J538" s="784"/>
      <c r="K538" s="784"/>
      <c r="L538" s="784"/>
      <c r="M538" s="784"/>
      <c r="N538" s="784"/>
      <c r="O538" s="784"/>
      <c r="P538" s="784"/>
      <c r="Q538" s="784"/>
      <c r="R538" s="784"/>
      <c r="S538" s="784"/>
      <c r="T538" s="784"/>
      <c r="U538" s="784"/>
      <c r="V538" s="784"/>
      <c r="W538" s="784"/>
      <c r="X538" s="784"/>
      <c r="Y538" s="784"/>
      <c r="Z538" s="784"/>
      <c r="AA538" s="784"/>
      <c r="AB538" s="784"/>
    </row>
    <row r="539" spans="3:28" ht="15.75" customHeight="1">
      <c r="C539" s="784"/>
      <c r="D539" s="784"/>
      <c r="E539" s="784"/>
      <c r="F539" s="784"/>
      <c r="G539" s="784"/>
      <c r="H539" s="784"/>
      <c r="I539" s="784"/>
      <c r="J539" s="784"/>
      <c r="K539" s="784"/>
      <c r="L539" s="784"/>
      <c r="M539" s="784"/>
      <c r="N539" s="784"/>
      <c r="O539" s="784"/>
      <c r="P539" s="784"/>
      <c r="Q539" s="784"/>
      <c r="R539" s="784"/>
      <c r="S539" s="784"/>
      <c r="T539" s="784"/>
      <c r="U539" s="784"/>
      <c r="V539" s="784"/>
      <c r="W539" s="784"/>
      <c r="X539" s="784"/>
      <c r="Y539" s="784"/>
      <c r="Z539" s="784"/>
      <c r="AA539" s="784"/>
      <c r="AB539" s="784"/>
    </row>
    <row r="540" spans="3:28" ht="15.75" customHeight="1">
      <c r="C540" s="784"/>
      <c r="D540" s="784"/>
      <c r="E540" s="784"/>
      <c r="F540" s="784"/>
      <c r="G540" s="784"/>
      <c r="H540" s="784"/>
      <c r="I540" s="784"/>
      <c r="J540" s="784"/>
      <c r="K540" s="784"/>
      <c r="L540" s="784"/>
      <c r="M540" s="784"/>
      <c r="N540" s="784"/>
      <c r="O540" s="784"/>
      <c r="P540" s="784"/>
      <c r="Q540" s="784"/>
      <c r="R540" s="784"/>
      <c r="S540" s="784"/>
      <c r="T540" s="784"/>
      <c r="U540" s="784"/>
      <c r="V540" s="784"/>
      <c r="W540" s="784"/>
      <c r="X540" s="784"/>
      <c r="Y540" s="784"/>
      <c r="Z540" s="784"/>
      <c r="AA540" s="784"/>
      <c r="AB540" s="784"/>
    </row>
    <row r="541" spans="3:28" ht="15.75" customHeight="1">
      <c r="C541" s="784"/>
      <c r="D541" s="784"/>
      <c r="E541" s="784"/>
      <c r="F541" s="784"/>
      <c r="G541" s="784"/>
      <c r="H541" s="784"/>
      <c r="I541" s="784"/>
      <c r="J541" s="784"/>
      <c r="K541" s="784"/>
      <c r="L541" s="784"/>
      <c r="M541" s="784"/>
      <c r="N541" s="784"/>
      <c r="O541" s="784"/>
      <c r="P541" s="784"/>
      <c r="Q541" s="784"/>
      <c r="R541" s="784"/>
      <c r="S541" s="784"/>
      <c r="T541" s="784"/>
      <c r="U541" s="784"/>
      <c r="V541" s="784"/>
      <c r="W541" s="784"/>
      <c r="X541" s="784"/>
      <c r="Y541" s="784"/>
      <c r="Z541" s="784"/>
      <c r="AA541" s="784"/>
      <c r="AB541" s="784"/>
    </row>
    <row r="542" spans="3:28" ht="15.75" customHeight="1">
      <c r="C542" s="784"/>
      <c r="D542" s="784"/>
      <c r="E542" s="784"/>
      <c r="F542" s="784"/>
      <c r="G542" s="784"/>
      <c r="H542" s="784"/>
      <c r="I542" s="784"/>
      <c r="J542" s="784"/>
      <c r="K542" s="784"/>
      <c r="L542" s="784"/>
      <c r="M542" s="784"/>
      <c r="N542" s="784"/>
      <c r="O542" s="784"/>
      <c r="P542" s="784"/>
      <c r="Q542" s="784"/>
      <c r="R542" s="784"/>
      <c r="S542" s="784"/>
      <c r="T542" s="784"/>
      <c r="U542" s="784"/>
      <c r="V542" s="784"/>
      <c r="W542" s="784"/>
      <c r="X542" s="784"/>
      <c r="Y542" s="784"/>
      <c r="Z542" s="784"/>
      <c r="AA542" s="784"/>
      <c r="AB542" s="784"/>
    </row>
    <row r="543" spans="3:28" ht="15.75" customHeight="1">
      <c r="C543" s="784"/>
      <c r="D543" s="784"/>
      <c r="E543" s="784"/>
      <c r="F543" s="784"/>
      <c r="G543" s="784"/>
      <c r="H543" s="784"/>
      <c r="I543" s="784"/>
      <c r="J543" s="784"/>
      <c r="K543" s="784"/>
      <c r="L543" s="784"/>
      <c r="M543" s="784"/>
      <c r="N543" s="784"/>
      <c r="O543" s="784"/>
      <c r="P543" s="784"/>
      <c r="Q543" s="784"/>
      <c r="R543" s="784"/>
      <c r="S543" s="784"/>
      <c r="T543" s="784"/>
      <c r="U543" s="784"/>
      <c r="V543" s="784"/>
      <c r="W543" s="784"/>
      <c r="X543" s="784"/>
      <c r="Y543" s="784"/>
      <c r="Z543" s="784"/>
      <c r="AA543" s="784"/>
      <c r="AB543" s="784"/>
    </row>
    <row r="544" spans="3:28" ht="15.75" customHeight="1">
      <c r="C544" s="784"/>
      <c r="D544" s="784"/>
      <c r="E544" s="784"/>
      <c r="F544" s="784"/>
      <c r="G544" s="784"/>
      <c r="H544" s="784"/>
      <c r="I544" s="784"/>
      <c r="J544" s="784"/>
      <c r="K544" s="784"/>
      <c r="L544" s="784"/>
      <c r="M544" s="784"/>
      <c r="N544" s="784"/>
      <c r="O544" s="784"/>
      <c r="P544" s="784"/>
      <c r="Q544" s="784"/>
      <c r="R544" s="784"/>
      <c r="S544" s="784"/>
      <c r="T544" s="784"/>
      <c r="U544" s="784"/>
      <c r="V544" s="784"/>
      <c r="W544" s="784"/>
      <c r="X544" s="784"/>
      <c r="Y544" s="784"/>
      <c r="Z544" s="784"/>
      <c r="AA544" s="784"/>
      <c r="AB544" s="784"/>
    </row>
    <row r="545" spans="3:28" ht="15.75" customHeight="1">
      <c r="C545" s="784"/>
      <c r="D545" s="784"/>
      <c r="E545" s="784"/>
      <c r="F545" s="784"/>
      <c r="G545" s="784"/>
      <c r="H545" s="784"/>
      <c r="I545" s="784"/>
      <c r="J545" s="784"/>
      <c r="K545" s="784"/>
      <c r="L545" s="784"/>
      <c r="M545" s="784"/>
      <c r="N545" s="784"/>
      <c r="O545" s="784"/>
      <c r="P545" s="784"/>
      <c r="Q545" s="784"/>
      <c r="R545" s="784"/>
      <c r="S545" s="784"/>
      <c r="T545" s="784"/>
      <c r="U545" s="784"/>
      <c r="V545" s="784"/>
      <c r="W545" s="784"/>
      <c r="X545" s="784"/>
      <c r="Y545" s="784"/>
      <c r="Z545" s="784"/>
      <c r="AA545" s="784"/>
      <c r="AB545" s="784"/>
    </row>
    <row r="546" spans="3:28" ht="15.75" customHeight="1">
      <c r="C546" s="784"/>
      <c r="D546" s="784"/>
      <c r="E546" s="784"/>
      <c r="F546" s="784"/>
      <c r="G546" s="784"/>
      <c r="H546" s="784"/>
      <c r="I546" s="784"/>
      <c r="J546" s="784"/>
      <c r="K546" s="784"/>
      <c r="L546" s="784"/>
      <c r="M546" s="784"/>
      <c r="N546" s="784"/>
      <c r="O546" s="784"/>
      <c r="P546" s="784"/>
      <c r="Q546" s="784"/>
      <c r="R546" s="784"/>
      <c r="S546" s="784"/>
      <c r="T546" s="784"/>
      <c r="U546" s="784"/>
      <c r="V546" s="784"/>
      <c r="W546" s="784"/>
      <c r="X546" s="784"/>
      <c r="Y546" s="784"/>
      <c r="Z546" s="784"/>
      <c r="AA546" s="784"/>
      <c r="AB546" s="784"/>
    </row>
    <row r="547" spans="3:28" ht="15.75" customHeight="1">
      <c r="C547" s="784"/>
      <c r="D547" s="784"/>
      <c r="E547" s="784"/>
      <c r="F547" s="784"/>
      <c r="G547" s="784"/>
      <c r="H547" s="784"/>
      <c r="I547" s="784"/>
      <c r="J547" s="784"/>
      <c r="K547" s="784"/>
      <c r="L547" s="784"/>
      <c r="M547" s="784"/>
      <c r="N547" s="784"/>
      <c r="O547" s="784"/>
      <c r="P547" s="784"/>
      <c r="Q547" s="784"/>
      <c r="R547" s="784"/>
      <c r="S547" s="784"/>
      <c r="T547" s="784"/>
      <c r="U547" s="784"/>
      <c r="V547" s="784"/>
      <c r="W547" s="784"/>
      <c r="X547" s="784"/>
      <c r="Y547" s="784"/>
      <c r="Z547" s="784"/>
      <c r="AA547" s="784"/>
      <c r="AB547" s="784"/>
    </row>
    <row r="548" spans="3:28" ht="15.75" customHeight="1">
      <c r="C548" s="784"/>
      <c r="D548" s="784"/>
      <c r="E548" s="784"/>
      <c r="F548" s="784"/>
      <c r="G548" s="784"/>
      <c r="H548" s="784"/>
      <c r="I548" s="784"/>
      <c r="J548" s="784"/>
      <c r="K548" s="784"/>
      <c r="L548" s="784"/>
      <c r="M548" s="784"/>
      <c r="N548" s="784"/>
      <c r="O548" s="784"/>
      <c r="P548" s="784"/>
      <c r="Q548" s="784"/>
      <c r="R548" s="784"/>
      <c r="S548" s="784"/>
      <c r="T548" s="784"/>
      <c r="U548" s="784"/>
      <c r="V548" s="784"/>
      <c r="W548" s="784"/>
      <c r="X548" s="784"/>
      <c r="Y548" s="784"/>
      <c r="Z548" s="784"/>
      <c r="AA548" s="784"/>
      <c r="AB548" s="784"/>
    </row>
    <row r="549" spans="3:28" ht="15.75" customHeight="1">
      <c r="C549" s="784"/>
      <c r="D549" s="784"/>
      <c r="E549" s="784"/>
      <c r="F549" s="784"/>
      <c r="G549" s="784"/>
      <c r="H549" s="784"/>
      <c r="I549" s="784"/>
      <c r="J549" s="784"/>
      <c r="K549" s="784"/>
      <c r="L549" s="784"/>
      <c r="M549" s="784"/>
      <c r="N549" s="784"/>
      <c r="O549" s="784"/>
      <c r="P549" s="784"/>
      <c r="Q549" s="784"/>
      <c r="R549" s="784"/>
      <c r="S549" s="784"/>
      <c r="T549" s="784"/>
      <c r="U549" s="784"/>
      <c r="V549" s="784"/>
      <c r="W549" s="784"/>
      <c r="X549" s="784"/>
      <c r="Y549" s="784"/>
      <c r="Z549" s="784"/>
      <c r="AA549" s="784"/>
      <c r="AB549" s="784"/>
    </row>
    <row r="550" spans="3:28" ht="15.75" customHeight="1">
      <c r="C550" s="784"/>
      <c r="D550" s="784"/>
      <c r="E550" s="784"/>
      <c r="F550" s="784"/>
      <c r="G550" s="784"/>
      <c r="H550" s="784"/>
      <c r="I550" s="784"/>
      <c r="J550" s="784"/>
      <c r="K550" s="784"/>
      <c r="L550" s="784"/>
      <c r="M550" s="784"/>
      <c r="N550" s="784"/>
      <c r="O550" s="784"/>
      <c r="P550" s="784"/>
      <c r="Q550" s="784"/>
      <c r="R550" s="784"/>
      <c r="S550" s="784"/>
      <c r="T550" s="784"/>
      <c r="U550" s="784"/>
      <c r="V550" s="784"/>
      <c r="W550" s="784"/>
      <c r="X550" s="784"/>
      <c r="Y550" s="784"/>
      <c r="Z550" s="784"/>
      <c r="AA550" s="784"/>
      <c r="AB550" s="784"/>
    </row>
    <row r="551" spans="3:28" ht="15.75" customHeight="1">
      <c r="C551" s="784"/>
      <c r="D551" s="784"/>
      <c r="E551" s="784"/>
      <c r="F551" s="784"/>
      <c r="G551" s="784"/>
      <c r="H551" s="784"/>
      <c r="I551" s="784"/>
      <c r="J551" s="784"/>
      <c r="K551" s="784"/>
      <c r="L551" s="784"/>
      <c r="M551" s="784"/>
      <c r="N551" s="784"/>
      <c r="O551" s="784"/>
      <c r="P551" s="784"/>
      <c r="Q551" s="784"/>
      <c r="R551" s="784"/>
      <c r="S551" s="784"/>
      <c r="T551" s="784"/>
      <c r="U551" s="784"/>
      <c r="V551" s="784"/>
      <c r="W551" s="784"/>
      <c r="X551" s="784"/>
      <c r="Y551" s="784"/>
      <c r="Z551" s="784"/>
      <c r="AA551" s="784"/>
      <c r="AB551" s="784"/>
    </row>
    <row r="552" spans="3:28" ht="15.75" customHeight="1">
      <c r="C552" s="784"/>
      <c r="D552" s="784"/>
      <c r="E552" s="784"/>
      <c r="F552" s="784"/>
      <c r="G552" s="784"/>
      <c r="H552" s="784"/>
      <c r="I552" s="784"/>
      <c r="J552" s="784"/>
      <c r="K552" s="784"/>
      <c r="L552" s="784"/>
      <c r="M552" s="784"/>
      <c r="N552" s="784"/>
      <c r="O552" s="784"/>
      <c r="P552" s="784"/>
      <c r="Q552" s="784"/>
      <c r="R552" s="784"/>
      <c r="S552" s="784"/>
      <c r="T552" s="784"/>
      <c r="U552" s="784"/>
      <c r="V552" s="784"/>
      <c r="W552" s="784"/>
      <c r="X552" s="784"/>
      <c r="Y552" s="784"/>
      <c r="Z552" s="784"/>
      <c r="AA552" s="784"/>
      <c r="AB552" s="784"/>
    </row>
    <row r="553" spans="3:28" ht="15.75" customHeight="1">
      <c r="C553" s="784"/>
      <c r="D553" s="784"/>
      <c r="E553" s="784"/>
      <c r="F553" s="784"/>
      <c r="G553" s="784"/>
      <c r="H553" s="784"/>
      <c r="I553" s="784"/>
      <c r="J553" s="784"/>
      <c r="K553" s="784"/>
      <c r="L553" s="784"/>
      <c r="M553" s="784"/>
      <c r="N553" s="784"/>
      <c r="O553" s="784"/>
      <c r="P553" s="784"/>
      <c r="Q553" s="784"/>
      <c r="R553" s="784"/>
      <c r="S553" s="784"/>
      <c r="T553" s="784"/>
      <c r="U553" s="784"/>
      <c r="V553" s="784"/>
      <c r="W553" s="784"/>
      <c r="X553" s="784"/>
      <c r="Y553" s="784"/>
      <c r="Z553" s="784"/>
      <c r="AA553" s="784"/>
      <c r="AB553" s="784"/>
    </row>
    <row r="554" spans="3:28" ht="15.75" customHeight="1">
      <c r="C554" s="784"/>
      <c r="D554" s="784"/>
      <c r="E554" s="784"/>
      <c r="F554" s="784"/>
      <c r="G554" s="784"/>
      <c r="H554" s="784"/>
      <c r="I554" s="784"/>
      <c r="J554" s="784"/>
      <c r="K554" s="784"/>
      <c r="L554" s="784"/>
      <c r="M554" s="784"/>
      <c r="N554" s="784"/>
      <c r="O554" s="784"/>
      <c r="P554" s="784"/>
      <c r="Q554" s="784"/>
      <c r="R554" s="784"/>
      <c r="S554" s="784"/>
      <c r="T554" s="784"/>
      <c r="U554" s="784"/>
      <c r="V554" s="784"/>
      <c r="W554" s="784"/>
      <c r="X554" s="784"/>
      <c r="Y554" s="784"/>
      <c r="Z554" s="784"/>
      <c r="AA554" s="784"/>
      <c r="AB554" s="784"/>
    </row>
    <row r="555" spans="3:28" ht="15.75" customHeight="1">
      <c r="C555" s="784"/>
      <c r="D555" s="784"/>
      <c r="E555" s="784"/>
      <c r="F555" s="784"/>
      <c r="G555" s="784"/>
      <c r="H555" s="784"/>
      <c r="I555" s="784"/>
      <c r="J555" s="784"/>
      <c r="K555" s="784"/>
      <c r="L555" s="784"/>
      <c r="M555" s="784"/>
      <c r="N555" s="784"/>
      <c r="O555" s="784"/>
      <c r="P555" s="784"/>
      <c r="Q555" s="784"/>
      <c r="R555" s="784"/>
      <c r="S555" s="784"/>
      <c r="T555" s="784"/>
      <c r="U555" s="784"/>
      <c r="V555" s="784"/>
      <c r="W555" s="784"/>
      <c r="X555" s="784"/>
      <c r="Y555" s="784"/>
      <c r="Z555" s="784"/>
      <c r="AA555" s="784"/>
      <c r="AB555" s="784"/>
    </row>
    <row r="556" spans="3:28" ht="15.75" customHeight="1">
      <c r="C556" s="784"/>
      <c r="D556" s="784"/>
      <c r="E556" s="784"/>
      <c r="F556" s="784"/>
      <c r="G556" s="784"/>
      <c r="H556" s="784"/>
      <c r="I556" s="784"/>
      <c r="J556" s="784"/>
      <c r="K556" s="784"/>
      <c r="L556" s="784"/>
      <c r="M556" s="784"/>
      <c r="N556" s="784"/>
      <c r="O556" s="784"/>
      <c r="P556" s="784"/>
      <c r="Q556" s="784"/>
      <c r="R556" s="784"/>
      <c r="S556" s="784"/>
      <c r="T556" s="784"/>
      <c r="U556" s="784"/>
      <c r="V556" s="784"/>
      <c r="W556" s="784"/>
      <c r="X556" s="784"/>
      <c r="Y556" s="784"/>
      <c r="Z556" s="784"/>
      <c r="AA556" s="784"/>
      <c r="AB556" s="784"/>
    </row>
    <row r="557" spans="3:28" ht="15.75" customHeight="1">
      <c r="C557" s="784"/>
      <c r="D557" s="784"/>
      <c r="E557" s="784"/>
      <c r="F557" s="784"/>
      <c r="G557" s="784"/>
      <c r="H557" s="784"/>
      <c r="I557" s="784"/>
      <c r="J557" s="784"/>
      <c r="K557" s="784"/>
      <c r="L557" s="784"/>
      <c r="M557" s="784"/>
      <c r="N557" s="784"/>
      <c r="O557" s="784"/>
      <c r="P557" s="784"/>
      <c r="Q557" s="784"/>
      <c r="R557" s="784"/>
      <c r="S557" s="784"/>
      <c r="T557" s="784"/>
      <c r="U557" s="784"/>
      <c r="V557" s="784"/>
      <c r="W557" s="784"/>
      <c r="X557" s="784"/>
      <c r="Y557" s="784"/>
      <c r="Z557" s="784"/>
      <c r="AA557" s="784"/>
      <c r="AB557" s="784"/>
    </row>
    <row r="558" spans="3:28" ht="15.75" customHeight="1">
      <c r="C558" s="784"/>
      <c r="D558" s="784"/>
      <c r="E558" s="784"/>
      <c r="F558" s="784"/>
      <c r="G558" s="784"/>
      <c r="H558" s="784"/>
      <c r="I558" s="784"/>
      <c r="J558" s="784"/>
      <c r="K558" s="784"/>
      <c r="L558" s="784"/>
      <c r="M558" s="784"/>
      <c r="N558" s="784"/>
      <c r="O558" s="784"/>
      <c r="P558" s="784"/>
      <c r="Q558" s="784"/>
      <c r="R558" s="784"/>
      <c r="S558" s="784"/>
      <c r="T558" s="784"/>
      <c r="U558" s="784"/>
      <c r="V558" s="784"/>
      <c r="W558" s="784"/>
      <c r="X558" s="784"/>
      <c r="Y558" s="784"/>
      <c r="Z558" s="784"/>
      <c r="AA558" s="784"/>
      <c r="AB558" s="784"/>
    </row>
    <row r="559" spans="3:28" ht="15.75" customHeight="1">
      <c r="C559" s="784"/>
      <c r="D559" s="784"/>
      <c r="E559" s="784"/>
      <c r="F559" s="784"/>
      <c r="G559" s="784"/>
      <c r="H559" s="784"/>
      <c r="I559" s="784"/>
      <c r="J559" s="784"/>
      <c r="K559" s="784"/>
      <c r="L559" s="784"/>
      <c r="M559" s="784"/>
      <c r="N559" s="784"/>
      <c r="O559" s="784"/>
      <c r="P559" s="784"/>
      <c r="Q559" s="784"/>
      <c r="R559" s="784"/>
      <c r="S559" s="784"/>
      <c r="T559" s="784"/>
      <c r="U559" s="784"/>
      <c r="V559" s="784"/>
      <c r="W559" s="784"/>
      <c r="X559" s="784"/>
      <c r="Y559" s="784"/>
      <c r="Z559" s="784"/>
      <c r="AA559" s="784"/>
      <c r="AB559" s="784"/>
    </row>
    <row r="560" spans="3:28" ht="15.75" customHeight="1">
      <c r="C560" s="784"/>
      <c r="D560" s="784"/>
      <c r="E560" s="784"/>
      <c r="F560" s="784"/>
      <c r="G560" s="784"/>
      <c r="H560" s="784"/>
      <c r="I560" s="784"/>
      <c r="J560" s="784"/>
      <c r="K560" s="784"/>
      <c r="L560" s="784"/>
      <c r="M560" s="784"/>
      <c r="N560" s="784"/>
      <c r="O560" s="784"/>
      <c r="P560" s="784"/>
      <c r="Q560" s="784"/>
      <c r="R560" s="784"/>
      <c r="S560" s="784"/>
      <c r="T560" s="784"/>
      <c r="U560" s="784"/>
      <c r="V560" s="784"/>
      <c r="W560" s="784"/>
      <c r="X560" s="784"/>
      <c r="Y560" s="784"/>
      <c r="Z560" s="784"/>
      <c r="AA560" s="784"/>
      <c r="AB560" s="784"/>
    </row>
    <row r="561" spans="3:28" ht="15.75" customHeight="1">
      <c r="C561" s="784"/>
      <c r="D561" s="784"/>
      <c r="E561" s="784"/>
      <c r="F561" s="784"/>
      <c r="G561" s="784"/>
      <c r="H561" s="784"/>
      <c r="I561" s="784"/>
      <c r="J561" s="784"/>
      <c r="K561" s="784"/>
      <c r="L561" s="784"/>
      <c r="M561" s="784"/>
      <c r="N561" s="784"/>
      <c r="O561" s="784"/>
      <c r="P561" s="784"/>
      <c r="Q561" s="784"/>
      <c r="R561" s="784"/>
      <c r="S561" s="784"/>
      <c r="T561" s="784"/>
      <c r="U561" s="784"/>
      <c r="V561" s="784"/>
      <c r="W561" s="784"/>
      <c r="X561" s="784"/>
      <c r="Y561" s="784"/>
      <c r="Z561" s="784"/>
      <c r="AA561" s="784"/>
      <c r="AB561" s="784"/>
    </row>
    <row r="562" spans="3:28" ht="15.75" customHeight="1">
      <c r="C562" s="784"/>
      <c r="D562" s="784"/>
      <c r="E562" s="784"/>
      <c r="F562" s="784"/>
      <c r="G562" s="784"/>
      <c r="H562" s="784"/>
      <c r="I562" s="784"/>
      <c r="J562" s="784"/>
      <c r="K562" s="784"/>
      <c r="L562" s="784"/>
      <c r="M562" s="784"/>
      <c r="N562" s="784"/>
      <c r="O562" s="784"/>
      <c r="P562" s="784"/>
      <c r="Q562" s="784"/>
      <c r="R562" s="784"/>
      <c r="S562" s="784"/>
      <c r="T562" s="784"/>
      <c r="U562" s="784"/>
      <c r="V562" s="784"/>
      <c r="W562" s="784"/>
      <c r="X562" s="784"/>
      <c r="Y562" s="784"/>
      <c r="Z562" s="784"/>
      <c r="AA562" s="784"/>
      <c r="AB562" s="784"/>
    </row>
    <row r="563" spans="3:28" ht="15.75" customHeight="1">
      <c r="C563" s="784"/>
      <c r="D563" s="784"/>
      <c r="E563" s="784"/>
      <c r="F563" s="784"/>
      <c r="G563" s="784"/>
      <c r="H563" s="784"/>
      <c r="I563" s="784"/>
      <c r="J563" s="784"/>
      <c r="K563" s="784"/>
      <c r="L563" s="784"/>
      <c r="M563" s="784"/>
      <c r="N563" s="784"/>
      <c r="O563" s="784"/>
      <c r="P563" s="784"/>
      <c r="Q563" s="784"/>
      <c r="R563" s="784"/>
      <c r="S563" s="784"/>
      <c r="T563" s="784"/>
      <c r="U563" s="784"/>
      <c r="V563" s="784"/>
      <c r="W563" s="784"/>
      <c r="X563" s="784"/>
      <c r="Y563" s="784"/>
      <c r="Z563" s="784"/>
      <c r="AA563" s="784"/>
      <c r="AB563" s="784"/>
    </row>
    <row r="564" spans="3:28" ht="15.75" customHeight="1">
      <c r="C564" s="784"/>
      <c r="D564" s="784"/>
      <c r="E564" s="784"/>
      <c r="F564" s="784"/>
      <c r="G564" s="784"/>
      <c r="H564" s="784"/>
      <c r="I564" s="784"/>
      <c r="J564" s="784"/>
      <c r="K564" s="784"/>
      <c r="L564" s="784"/>
      <c r="M564" s="784"/>
      <c r="N564" s="784"/>
      <c r="O564" s="784"/>
      <c r="P564" s="784"/>
      <c r="Q564" s="784"/>
      <c r="R564" s="784"/>
      <c r="S564" s="784"/>
      <c r="T564" s="784"/>
      <c r="U564" s="784"/>
      <c r="V564" s="784"/>
      <c r="W564" s="784"/>
      <c r="X564" s="784"/>
      <c r="Y564" s="784"/>
      <c r="Z564" s="784"/>
      <c r="AA564" s="784"/>
      <c r="AB564" s="784"/>
    </row>
    <row r="565" spans="3:28" ht="15.75" customHeight="1">
      <c r="C565" s="784"/>
      <c r="D565" s="784"/>
      <c r="E565" s="784"/>
      <c r="F565" s="784"/>
      <c r="G565" s="784"/>
      <c r="H565" s="784"/>
      <c r="I565" s="784"/>
      <c r="J565" s="784"/>
      <c r="K565" s="784"/>
      <c r="L565" s="784"/>
      <c r="M565" s="784"/>
      <c r="N565" s="784"/>
      <c r="O565" s="784"/>
      <c r="P565" s="784"/>
      <c r="Q565" s="784"/>
      <c r="R565" s="784"/>
      <c r="S565" s="784"/>
      <c r="T565" s="784"/>
      <c r="U565" s="784"/>
      <c r="V565" s="784"/>
      <c r="W565" s="784"/>
      <c r="X565" s="784"/>
      <c r="Y565" s="784"/>
      <c r="Z565" s="784"/>
      <c r="AA565" s="784"/>
      <c r="AB565" s="784"/>
    </row>
    <row r="566" spans="3:28" ht="15.75" customHeight="1">
      <c r="C566" s="784"/>
      <c r="D566" s="784"/>
      <c r="E566" s="784"/>
      <c r="F566" s="784"/>
      <c r="G566" s="784"/>
      <c r="H566" s="784"/>
      <c r="I566" s="784"/>
      <c r="J566" s="784"/>
      <c r="K566" s="784"/>
      <c r="L566" s="784"/>
      <c r="M566" s="784"/>
      <c r="N566" s="784"/>
      <c r="O566" s="784"/>
      <c r="P566" s="784"/>
      <c r="Q566" s="784"/>
      <c r="R566" s="784"/>
      <c r="S566" s="784"/>
      <c r="T566" s="784"/>
      <c r="U566" s="784"/>
      <c r="V566" s="784"/>
      <c r="W566" s="784"/>
      <c r="X566" s="784"/>
      <c r="Y566" s="784"/>
      <c r="Z566" s="784"/>
      <c r="AA566" s="784"/>
      <c r="AB566" s="784"/>
    </row>
    <row r="567" spans="3:28" ht="15.75" customHeight="1">
      <c r="C567" s="784"/>
      <c r="D567" s="784"/>
      <c r="E567" s="784"/>
      <c r="F567" s="784"/>
      <c r="G567" s="784"/>
      <c r="H567" s="784"/>
      <c r="I567" s="784"/>
      <c r="J567" s="784"/>
      <c r="K567" s="784"/>
      <c r="L567" s="784"/>
      <c r="M567" s="784"/>
      <c r="N567" s="784"/>
      <c r="O567" s="784"/>
      <c r="P567" s="784"/>
      <c r="Q567" s="784"/>
      <c r="R567" s="784"/>
      <c r="S567" s="784"/>
      <c r="T567" s="784"/>
      <c r="U567" s="784"/>
      <c r="V567" s="784"/>
      <c r="W567" s="784"/>
      <c r="X567" s="784"/>
      <c r="Y567" s="784"/>
      <c r="Z567" s="784"/>
      <c r="AA567" s="784"/>
      <c r="AB567" s="784"/>
    </row>
    <row r="568" spans="3:28" ht="15.75" customHeight="1">
      <c r="C568" s="784"/>
      <c r="D568" s="784"/>
      <c r="E568" s="784"/>
      <c r="F568" s="784"/>
      <c r="G568" s="784"/>
      <c r="H568" s="784"/>
      <c r="I568" s="784"/>
      <c r="J568" s="784"/>
      <c r="K568" s="784"/>
      <c r="L568" s="784"/>
      <c r="M568" s="784"/>
      <c r="N568" s="784"/>
      <c r="O568" s="784"/>
      <c r="P568" s="784"/>
      <c r="Q568" s="784"/>
      <c r="R568" s="784"/>
      <c r="S568" s="784"/>
      <c r="T568" s="784"/>
      <c r="U568" s="784"/>
      <c r="V568" s="784"/>
      <c r="W568" s="784"/>
      <c r="X568" s="784"/>
      <c r="Y568" s="784"/>
      <c r="Z568" s="784"/>
      <c r="AA568" s="784"/>
      <c r="AB568" s="784"/>
    </row>
    <row r="569" spans="3:28" ht="15.75" customHeight="1">
      <c r="C569" s="784"/>
      <c r="D569" s="784"/>
      <c r="E569" s="784"/>
      <c r="F569" s="784"/>
      <c r="G569" s="784"/>
      <c r="H569" s="784"/>
      <c r="I569" s="784"/>
      <c r="J569" s="784"/>
      <c r="K569" s="784"/>
      <c r="L569" s="784"/>
      <c r="M569" s="784"/>
      <c r="N569" s="784"/>
      <c r="O569" s="784"/>
      <c r="P569" s="784"/>
      <c r="Q569" s="784"/>
      <c r="R569" s="784"/>
      <c r="S569" s="784"/>
      <c r="T569" s="784"/>
      <c r="U569" s="784"/>
      <c r="V569" s="784"/>
      <c r="W569" s="784"/>
      <c r="X569" s="784"/>
      <c r="Y569" s="784"/>
      <c r="Z569" s="784"/>
      <c r="AA569" s="784"/>
      <c r="AB569" s="784"/>
    </row>
    <row r="570" spans="3:28" ht="15.75" customHeight="1">
      <c r="C570" s="784"/>
      <c r="D570" s="784"/>
      <c r="E570" s="784"/>
      <c r="F570" s="784"/>
      <c r="G570" s="784"/>
      <c r="H570" s="784"/>
      <c r="I570" s="784"/>
      <c r="J570" s="784"/>
      <c r="K570" s="784"/>
      <c r="L570" s="784"/>
      <c r="M570" s="784"/>
      <c r="N570" s="784"/>
      <c r="O570" s="784"/>
      <c r="P570" s="784"/>
      <c r="Q570" s="784"/>
      <c r="R570" s="784"/>
      <c r="S570" s="784"/>
      <c r="T570" s="784"/>
      <c r="U570" s="784"/>
      <c r="V570" s="784"/>
      <c r="W570" s="784"/>
      <c r="X570" s="784"/>
      <c r="Y570" s="784"/>
      <c r="Z570" s="784"/>
      <c r="AA570" s="784"/>
      <c r="AB570" s="784"/>
    </row>
    <row r="571" spans="3:28" ht="15.75" customHeight="1">
      <c r="C571" s="784"/>
      <c r="D571" s="784"/>
      <c r="E571" s="784"/>
      <c r="F571" s="784"/>
      <c r="G571" s="784"/>
      <c r="H571" s="784"/>
      <c r="I571" s="784"/>
      <c r="J571" s="784"/>
      <c r="K571" s="784"/>
      <c r="L571" s="784"/>
      <c r="M571" s="784"/>
      <c r="N571" s="784"/>
      <c r="O571" s="784"/>
      <c r="P571" s="784"/>
      <c r="Q571" s="784"/>
      <c r="R571" s="784"/>
      <c r="S571" s="784"/>
      <c r="T571" s="784"/>
      <c r="U571" s="784"/>
      <c r="V571" s="784"/>
      <c r="W571" s="784"/>
      <c r="X571" s="784"/>
      <c r="Y571" s="784"/>
      <c r="Z571" s="784"/>
      <c r="AA571" s="784"/>
      <c r="AB571" s="784"/>
    </row>
    <row r="572" spans="3:28" ht="15.75" customHeight="1">
      <c r="C572" s="784"/>
      <c r="D572" s="784"/>
      <c r="E572" s="784"/>
      <c r="F572" s="784"/>
      <c r="G572" s="784"/>
      <c r="H572" s="784"/>
      <c r="I572" s="784"/>
      <c r="J572" s="784"/>
      <c r="K572" s="784"/>
      <c r="L572" s="784"/>
      <c r="M572" s="784"/>
      <c r="N572" s="784"/>
      <c r="O572" s="784"/>
      <c r="P572" s="784"/>
      <c r="Q572" s="784"/>
      <c r="R572" s="784"/>
      <c r="S572" s="784"/>
      <c r="T572" s="784"/>
      <c r="U572" s="784"/>
      <c r="V572" s="784"/>
      <c r="W572" s="784"/>
      <c r="X572" s="784"/>
      <c r="Y572" s="784"/>
      <c r="Z572" s="784"/>
      <c r="AA572" s="784"/>
      <c r="AB572" s="784"/>
    </row>
    <row r="573" spans="3:28" ht="15.75" customHeight="1">
      <c r="C573" s="784"/>
      <c r="D573" s="784"/>
      <c r="E573" s="784"/>
      <c r="F573" s="784"/>
      <c r="G573" s="784"/>
      <c r="H573" s="784"/>
      <c r="I573" s="784"/>
      <c r="J573" s="784"/>
      <c r="K573" s="784"/>
      <c r="L573" s="784"/>
      <c r="M573" s="784"/>
      <c r="N573" s="784"/>
      <c r="O573" s="784"/>
      <c r="P573" s="784"/>
      <c r="Q573" s="784"/>
      <c r="R573" s="784"/>
      <c r="S573" s="784"/>
      <c r="T573" s="784"/>
      <c r="U573" s="784"/>
      <c r="V573" s="784"/>
      <c r="W573" s="784"/>
      <c r="X573" s="784"/>
      <c r="Y573" s="784"/>
      <c r="Z573" s="784"/>
      <c r="AA573" s="784"/>
      <c r="AB573" s="784"/>
    </row>
    <row r="574" spans="3:28" ht="15.75" customHeight="1">
      <c r="C574" s="784"/>
      <c r="D574" s="784"/>
      <c r="E574" s="784"/>
      <c r="F574" s="784"/>
      <c r="G574" s="784"/>
      <c r="H574" s="784"/>
      <c r="I574" s="784"/>
      <c r="J574" s="784"/>
      <c r="K574" s="784"/>
      <c r="L574" s="784"/>
      <c r="M574" s="784"/>
      <c r="N574" s="784"/>
      <c r="O574" s="784"/>
      <c r="P574" s="784"/>
      <c r="Q574" s="784"/>
      <c r="R574" s="784"/>
      <c r="S574" s="784"/>
      <c r="T574" s="784"/>
      <c r="U574" s="784"/>
      <c r="V574" s="784"/>
      <c r="W574" s="784"/>
      <c r="X574" s="784"/>
      <c r="Y574" s="784"/>
      <c r="Z574" s="784"/>
      <c r="AA574" s="784"/>
      <c r="AB574" s="784"/>
    </row>
    <row r="575" spans="3:28" ht="15.75" customHeight="1">
      <c r="C575" s="784"/>
      <c r="D575" s="784"/>
      <c r="E575" s="784"/>
      <c r="F575" s="784"/>
      <c r="G575" s="784"/>
      <c r="H575" s="784"/>
      <c r="I575" s="784"/>
      <c r="J575" s="784"/>
      <c r="K575" s="784"/>
      <c r="L575" s="784"/>
      <c r="M575" s="784"/>
      <c r="N575" s="784"/>
      <c r="O575" s="784"/>
      <c r="P575" s="784"/>
      <c r="Q575" s="784"/>
      <c r="R575" s="784"/>
      <c r="S575" s="784"/>
      <c r="T575" s="784"/>
      <c r="U575" s="784"/>
      <c r="V575" s="784"/>
      <c r="W575" s="784"/>
      <c r="X575" s="784"/>
      <c r="Y575" s="784"/>
      <c r="Z575" s="784"/>
      <c r="AA575" s="784"/>
      <c r="AB575" s="784"/>
    </row>
    <row r="576" spans="3:28" ht="15.75" customHeight="1">
      <c r="C576" s="784"/>
      <c r="D576" s="784"/>
      <c r="E576" s="784"/>
      <c r="F576" s="784"/>
      <c r="G576" s="784"/>
      <c r="H576" s="784"/>
      <c r="I576" s="784"/>
      <c r="J576" s="784"/>
      <c r="K576" s="784"/>
      <c r="L576" s="784"/>
      <c r="M576" s="784"/>
      <c r="N576" s="784"/>
      <c r="O576" s="784"/>
      <c r="P576" s="784"/>
      <c r="Q576" s="784"/>
      <c r="R576" s="784"/>
      <c r="S576" s="784"/>
      <c r="T576" s="784"/>
      <c r="U576" s="784"/>
      <c r="V576" s="784"/>
      <c r="W576" s="784"/>
      <c r="X576" s="784"/>
      <c r="Y576" s="784"/>
      <c r="Z576" s="784"/>
      <c r="AA576" s="784"/>
      <c r="AB576" s="784"/>
    </row>
    <row r="577" spans="3:28" ht="15.75" customHeight="1">
      <c r="C577" s="784"/>
      <c r="D577" s="784"/>
      <c r="E577" s="784"/>
      <c r="F577" s="784"/>
      <c r="G577" s="784"/>
      <c r="H577" s="784"/>
      <c r="I577" s="784"/>
      <c r="J577" s="784"/>
      <c r="K577" s="784"/>
      <c r="L577" s="784"/>
      <c r="M577" s="784"/>
      <c r="N577" s="784"/>
      <c r="O577" s="784"/>
      <c r="P577" s="784"/>
      <c r="Q577" s="784"/>
      <c r="R577" s="784"/>
      <c r="S577" s="784"/>
      <c r="T577" s="784"/>
      <c r="U577" s="784"/>
      <c r="V577" s="784"/>
      <c r="W577" s="784"/>
      <c r="X577" s="784"/>
      <c r="Y577" s="784"/>
      <c r="Z577" s="784"/>
      <c r="AA577" s="784"/>
      <c r="AB577" s="784"/>
    </row>
    <row r="578" spans="3:28" ht="15.75" customHeight="1">
      <c r="C578" s="784"/>
      <c r="D578" s="784"/>
      <c r="E578" s="784"/>
      <c r="F578" s="784"/>
      <c r="G578" s="784"/>
      <c r="H578" s="784"/>
      <c r="I578" s="784"/>
      <c r="J578" s="784"/>
      <c r="K578" s="784"/>
      <c r="L578" s="784"/>
      <c r="M578" s="784"/>
      <c r="N578" s="784"/>
      <c r="O578" s="784"/>
      <c r="P578" s="784"/>
      <c r="Q578" s="784"/>
      <c r="R578" s="784"/>
      <c r="S578" s="784"/>
      <c r="T578" s="784"/>
      <c r="U578" s="784"/>
      <c r="V578" s="784"/>
      <c r="W578" s="784"/>
      <c r="X578" s="784"/>
      <c r="Y578" s="784"/>
      <c r="Z578" s="784"/>
      <c r="AA578" s="784"/>
      <c r="AB578" s="784"/>
    </row>
    <row r="579" spans="3:28" ht="15.75" customHeight="1">
      <c r="C579" s="784"/>
      <c r="D579" s="784"/>
      <c r="E579" s="784"/>
      <c r="F579" s="784"/>
      <c r="G579" s="784"/>
      <c r="H579" s="784"/>
      <c r="I579" s="784"/>
      <c r="J579" s="784"/>
      <c r="K579" s="784"/>
      <c r="L579" s="784"/>
      <c r="M579" s="784"/>
      <c r="N579" s="784"/>
      <c r="O579" s="784"/>
      <c r="P579" s="784"/>
      <c r="Q579" s="784"/>
      <c r="R579" s="784"/>
      <c r="S579" s="784"/>
      <c r="T579" s="784"/>
      <c r="U579" s="784"/>
      <c r="V579" s="784"/>
      <c r="W579" s="784"/>
      <c r="X579" s="784"/>
      <c r="Y579" s="784"/>
      <c r="Z579" s="784"/>
      <c r="AA579" s="784"/>
      <c r="AB579" s="784"/>
    </row>
    <row r="580" spans="3:28" ht="15.75" customHeight="1">
      <c r="C580" s="784"/>
      <c r="D580" s="784"/>
      <c r="E580" s="784"/>
      <c r="F580" s="784"/>
      <c r="G580" s="784"/>
      <c r="H580" s="784"/>
      <c r="I580" s="784"/>
      <c r="J580" s="784"/>
      <c r="K580" s="784"/>
      <c r="L580" s="784"/>
      <c r="M580" s="784"/>
      <c r="N580" s="784"/>
      <c r="O580" s="784"/>
      <c r="P580" s="784"/>
      <c r="Q580" s="784"/>
      <c r="R580" s="784"/>
      <c r="S580" s="784"/>
      <c r="T580" s="784"/>
      <c r="U580" s="784"/>
      <c r="V580" s="784"/>
      <c r="W580" s="784"/>
      <c r="X580" s="784"/>
      <c r="Y580" s="784"/>
      <c r="Z580" s="784"/>
      <c r="AA580" s="784"/>
      <c r="AB580" s="784"/>
    </row>
    <row r="581" spans="3:28" ht="15.75" customHeight="1">
      <c r="C581" s="784"/>
      <c r="D581" s="784"/>
      <c r="E581" s="784"/>
      <c r="F581" s="784"/>
      <c r="G581" s="784"/>
      <c r="H581" s="784"/>
      <c r="I581" s="784"/>
      <c r="J581" s="784"/>
      <c r="K581" s="784"/>
      <c r="L581" s="784"/>
      <c r="M581" s="784"/>
      <c r="N581" s="784"/>
      <c r="O581" s="784"/>
      <c r="P581" s="784"/>
      <c r="Q581" s="784"/>
      <c r="R581" s="784"/>
      <c r="S581" s="784"/>
      <c r="T581" s="784"/>
      <c r="U581" s="784"/>
      <c r="V581" s="784"/>
      <c r="W581" s="784"/>
      <c r="X581" s="784"/>
      <c r="Y581" s="784"/>
      <c r="Z581" s="784"/>
      <c r="AA581" s="784"/>
      <c r="AB581" s="784"/>
    </row>
    <row r="582" spans="3:28" ht="15.75" customHeight="1">
      <c r="C582" s="784"/>
      <c r="D582" s="784"/>
      <c r="E582" s="784"/>
      <c r="F582" s="784"/>
      <c r="G582" s="784"/>
      <c r="H582" s="784"/>
      <c r="I582" s="784"/>
      <c r="J582" s="784"/>
      <c r="K582" s="784"/>
      <c r="L582" s="784"/>
      <c r="M582" s="784"/>
      <c r="N582" s="784"/>
      <c r="O582" s="784"/>
      <c r="P582" s="784"/>
      <c r="Q582" s="784"/>
      <c r="R582" s="784"/>
      <c r="S582" s="784"/>
      <c r="T582" s="784"/>
      <c r="U582" s="784"/>
      <c r="V582" s="784"/>
      <c r="W582" s="784"/>
      <c r="X582" s="784"/>
      <c r="Y582" s="784"/>
      <c r="Z582" s="784"/>
      <c r="AA582" s="784"/>
      <c r="AB582" s="784"/>
    </row>
    <row r="583" spans="3:28" ht="15.75" customHeight="1">
      <c r="C583" s="784"/>
      <c r="D583" s="784"/>
      <c r="E583" s="784"/>
      <c r="F583" s="784"/>
      <c r="G583" s="784"/>
      <c r="H583" s="784"/>
      <c r="I583" s="784"/>
      <c r="J583" s="784"/>
      <c r="K583" s="784"/>
      <c r="L583" s="784"/>
      <c r="M583" s="784"/>
      <c r="N583" s="784"/>
      <c r="O583" s="784"/>
      <c r="P583" s="784"/>
      <c r="Q583" s="784"/>
      <c r="R583" s="784"/>
      <c r="S583" s="784"/>
      <c r="T583" s="784"/>
      <c r="U583" s="784"/>
      <c r="V583" s="784"/>
      <c r="W583" s="784"/>
      <c r="X583" s="784"/>
      <c r="Y583" s="784"/>
      <c r="Z583" s="784"/>
      <c r="AA583" s="784"/>
      <c r="AB583" s="784"/>
    </row>
    <row r="584" spans="3:28" ht="15.75" customHeight="1">
      <c r="C584" s="784"/>
      <c r="D584" s="784"/>
      <c r="E584" s="784"/>
      <c r="F584" s="784"/>
      <c r="G584" s="784"/>
      <c r="H584" s="784"/>
      <c r="I584" s="784"/>
      <c r="J584" s="784"/>
      <c r="K584" s="784"/>
      <c r="L584" s="784"/>
      <c r="M584" s="784"/>
      <c r="N584" s="784"/>
      <c r="O584" s="784"/>
      <c r="P584" s="784"/>
      <c r="Q584" s="784"/>
      <c r="R584" s="784"/>
      <c r="S584" s="784"/>
      <c r="T584" s="784"/>
      <c r="U584" s="784"/>
      <c r="V584" s="784"/>
      <c r="W584" s="784"/>
      <c r="X584" s="784"/>
      <c r="Y584" s="784"/>
      <c r="Z584" s="784"/>
      <c r="AA584" s="784"/>
      <c r="AB584" s="784"/>
    </row>
    <row r="585" spans="3:28" ht="15.75" customHeight="1">
      <c r="C585" s="784"/>
      <c r="D585" s="784"/>
      <c r="E585" s="784"/>
      <c r="F585" s="784"/>
      <c r="G585" s="784"/>
      <c r="H585" s="784"/>
      <c r="I585" s="784"/>
      <c r="J585" s="784"/>
      <c r="K585" s="784"/>
      <c r="L585" s="784"/>
      <c r="M585" s="784"/>
      <c r="N585" s="784"/>
      <c r="O585" s="784"/>
      <c r="P585" s="784"/>
      <c r="Q585" s="784"/>
      <c r="R585" s="784"/>
      <c r="S585" s="784"/>
      <c r="T585" s="784"/>
      <c r="U585" s="784"/>
      <c r="V585" s="784"/>
      <c r="W585" s="784"/>
      <c r="X585" s="784"/>
      <c r="Y585" s="784"/>
      <c r="Z585" s="784"/>
      <c r="AA585" s="784"/>
      <c r="AB585" s="784"/>
    </row>
    <row r="586" spans="3:28" ht="15.75" customHeight="1">
      <c r="C586" s="784"/>
      <c r="D586" s="784"/>
      <c r="E586" s="784"/>
      <c r="F586" s="784"/>
      <c r="G586" s="784"/>
      <c r="H586" s="784"/>
      <c r="I586" s="784"/>
      <c r="J586" s="784"/>
      <c r="K586" s="784"/>
      <c r="L586" s="784"/>
      <c r="M586" s="784"/>
      <c r="N586" s="784"/>
      <c r="O586" s="784"/>
      <c r="P586" s="784"/>
      <c r="Q586" s="784"/>
      <c r="R586" s="784"/>
      <c r="S586" s="784"/>
      <c r="T586" s="784"/>
      <c r="U586" s="784"/>
      <c r="V586" s="784"/>
      <c r="W586" s="784"/>
      <c r="X586" s="784"/>
      <c r="Y586" s="784"/>
      <c r="Z586" s="784"/>
      <c r="AA586" s="784"/>
      <c r="AB586" s="784"/>
    </row>
    <row r="587" spans="3:28" ht="15.75" customHeight="1">
      <c r="C587" s="784"/>
      <c r="D587" s="784"/>
      <c r="E587" s="784"/>
      <c r="F587" s="784"/>
      <c r="G587" s="784"/>
      <c r="H587" s="784"/>
      <c r="I587" s="784"/>
      <c r="J587" s="784"/>
      <c r="K587" s="784"/>
      <c r="L587" s="784"/>
      <c r="M587" s="784"/>
      <c r="N587" s="784"/>
      <c r="O587" s="784"/>
      <c r="P587" s="784"/>
      <c r="Q587" s="784"/>
      <c r="R587" s="784"/>
      <c r="S587" s="784"/>
      <c r="T587" s="784"/>
      <c r="U587" s="784"/>
      <c r="V587" s="784"/>
      <c r="W587" s="784"/>
      <c r="X587" s="784"/>
      <c r="Y587" s="784"/>
      <c r="Z587" s="784"/>
      <c r="AA587" s="784"/>
      <c r="AB587" s="784"/>
    </row>
    <row r="588" spans="3:28" ht="15.75" customHeight="1">
      <c r="C588" s="784"/>
      <c r="D588" s="784"/>
      <c r="E588" s="784"/>
      <c r="F588" s="784"/>
      <c r="G588" s="784"/>
      <c r="H588" s="784"/>
      <c r="I588" s="784"/>
      <c r="J588" s="784"/>
      <c r="K588" s="784"/>
      <c r="L588" s="784"/>
      <c r="M588" s="784"/>
      <c r="N588" s="784"/>
      <c r="O588" s="784"/>
      <c r="P588" s="784"/>
      <c r="Q588" s="784"/>
      <c r="R588" s="784"/>
      <c r="S588" s="784"/>
      <c r="T588" s="784"/>
      <c r="U588" s="784"/>
      <c r="V588" s="784"/>
      <c r="W588" s="784"/>
      <c r="X588" s="784"/>
      <c r="Y588" s="784"/>
      <c r="Z588" s="784"/>
      <c r="AA588" s="784"/>
      <c r="AB588" s="784"/>
    </row>
    <row r="589" spans="3:28" ht="15.75" customHeight="1">
      <c r="C589" s="784"/>
      <c r="D589" s="784"/>
      <c r="E589" s="784"/>
      <c r="F589" s="784"/>
      <c r="G589" s="784"/>
      <c r="H589" s="784"/>
      <c r="I589" s="784"/>
      <c r="J589" s="784"/>
      <c r="K589" s="784"/>
      <c r="L589" s="784"/>
      <c r="M589" s="784"/>
      <c r="N589" s="784"/>
      <c r="O589" s="784"/>
      <c r="P589" s="784"/>
      <c r="Q589" s="784"/>
      <c r="R589" s="784"/>
      <c r="S589" s="784"/>
      <c r="T589" s="784"/>
      <c r="U589" s="784"/>
      <c r="V589" s="784"/>
      <c r="W589" s="784"/>
      <c r="X589" s="784"/>
      <c r="Y589" s="784"/>
      <c r="Z589" s="784"/>
      <c r="AA589" s="784"/>
      <c r="AB589" s="784"/>
    </row>
    <row r="590" spans="3:28" ht="15.75" customHeight="1">
      <c r="C590" s="784"/>
      <c r="D590" s="784"/>
      <c r="E590" s="784"/>
      <c r="F590" s="784"/>
      <c r="G590" s="784"/>
      <c r="H590" s="784"/>
      <c r="I590" s="784"/>
      <c r="J590" s="784"/>
      <c r="K590" s="784"/>
      <c r="L590" s="784"/>
      <c r="M590" s="784"/>
      <c r="N590" s="784"/>
      <c r="O590" s="784"/>
      <c r="P590" s="784"/>
      <c r="Q590" s="784"/>
      <c r="R590" s="784"/>
      <c r="S590" s="784"/>
      <c r="T590" s="784"/>
      <c r="U590" s="784"/>
      <c r="V590" s="784"/>
      <c r="W590" s="784"/>
      <c r="X590" s="784"/>
      <c r="Y590" s="784"/>
      <c r="Z590" s="784"/>
      <c r="AA590" s="784"/>
      <c r="AB590" s="784"/>
    </row>
    <row r="591" spans="3:28" ht="15.75" customHeight="1">
      <c r="C591" s="784"/>
      <c r="D591" s="784"/>
      <c r="E591" s="784"/>
      <c r="F591" s="784"/>
      <c r="G591" s="784"/>
      <c r="H591" s="784"/>
      <c r="I591" s="784"/>
      <c r="J591" s="784"/>
      <c r="K591" s="784"/>
      <c r="L591" s="784"/>
      <c r="M591" s="784"/>
      <c r="N591" s="784"/>
      <c r="O591" s="784"/>
      <c r="P591" s="784"/>
      <c r="Q591" s="784"/>
      <c r="R591" s="784"/>
      <c r="S591" s="784"/>
      <c r="T591" s="784"/>
      <c r="U591" s="784"/>
      <c r="V591" s="784"/>
      <c r="W591" s="784"/>
      <c r="X591" s="784"/>
      <c r="Y591" s="784"/>
      <c r="Z591" s="784"/>
      <c r="AA591" s="784"/>
      <c r="AB591" s="784"/>
    </row>
    <row r="592" spans="3:28" ht="15.75" customHeight="1">
      <c r="C592" s="784"/>
      <c r="D592" s="784"/>
      <c r="E592" s="784"/>
      <c r="F592" s="784"/>
      <c r="G592" s="784"/>
      <c r="H592" s="784"/>
      <c r="I592" s="784"/>
      <c r="J592" s="784"/>
      <c r="K592" s="784"/>
      <c r="L592" s="784"/>
      <c r="M592" s="784"/>
      <c r="N592" s="784"/>
      <c r="O592" s="784"/>
      <c r="P592" s="784"/>
      <c r="Q592" s="784"/>
      <c r="R592" s="784"/>
      <c r="S592" s="784"/>
      <c r="T592" s="784"/>
      <c r="U592" s="784"/>
      <c r="V592" s="784"/>
      <c r="W592" s="784"/>
      <c r="X592" s="784"/>
      <c r="Y592" s="784"/>
      <c r="Z592" s="784"/>
      <c r="AA592" s="784"/>
      <c r="AB592" s="784"/>
    </row>
    <row r="593" spans="3:28" ht="15.75" customHeight="1">
      <c r="C593" s="784"/>
      <c r="D593" s="784"/>
      <c r="E593" s="784"/>
      <c r="F593" s="784"/>
      <c r="G593" s="784"/>
      <c r="H593" s="784"/>
      <c r="I593" s="784"/>
      <c r="J593" s="784"/>
      <c r="K593" s="784"/>
      <c r="L593" s="784"/>
      <c r="M593" s="784"/>
      <c r="N593" s="784"/>
      <c r="O593" s="784"/>
      <c r="P593" s="784"/>
      <c r="Q593" s="784"/>
      <c r="R593" s="784"/>
      <c r="S593" s="784"/>
      <c r="T593" s="784"/>
      <c r="U593" s="784"/>
      <c r="V593" s="784"/>
      <c r="W593" s="784"/>
      <c r="X593" s="784"/>
      <c r="Y593" s="784"/>
      <c r="Z593" s="784"/>
      <c r="AA593" s="784"/>
      <c r="AB593" s="784"/>
    </row>
    <row r="594" spans="3:28" ht="15.75" customHeight="1">
      <c r="C594" s="784"/>
      <c r="D594" s="784"/>
      <c r="E594" s="784"/>
      <c r="F594" s="784"/>
      <c r="G594" s="784"/>
      <c r="H594" s="784"/>
      <c r="I594" s="784"/>
      <c r="J594" s="784"/>
      <c r="K594" s="784"/>
      <c r="L594" s="784"/>
      <c r="M594" s="784"/>
      <c r="N594" s="784"/>
      <c r="O594" s="784"/>
      <c r="P594" s="784"/>
      <c r="Q594" s="784"/>
      <c r="R594" s="784"/>
      <c r="S594" s="784"/>
      <c r="T594" s="784"/>
      <c r="U594" s="784"/>
      <c r="V594" s="784"/>
      <c r="W594" s="784"/>
      <c r="X594" s="784"/>
      <c r="Y594" s="784"/>
      <c r="Z594" s="784"/>
      <c r="AA594" s="784"/>
      <c r="AB594" s="784"/>
    </row>
    <row r="595" spans="3:28" ht="15.75" customHeight="1">
      <c r="C595" s="784"/>
      <c r="D595" s="784"/>
      <c r="E595" s="784"/>
      <c r="F595" s="784"/>
      <c r="G595" s="784"/>
      <c r="H595" s="784"/>
      <c r="I595" s="784"/>
      <c r="J595" s="784"/>
      <c r="K595" s="784"/>
      <c r="L595" s="784"/>
      <c r="M595" s="784"/>
      <c r="N595" s="784"/>
      <c r="O595" s="784"/>
      <c r="P595" s="784"/>
      <c r="Q595" s="784"/>
      <c r="R595" s="784"/>
      <c r="S595" s="784"/>
      <c r="T595" s="784"/>
      <c r="U595" s="784"/>
      <c r="V595" s="784"/>
      <c r="W595" s="784"/>
      <c r="X595" s="784"/>
      <c r="Y595" s="784"/>
      <c r="Z595" s="784"/>
      <c r="AA595" s="784"/>
      <c r="AB595" s="784"/>
    </row>
    <row r="596" spans="3:28" ht="15.75" customHeight="1">
      <c r="C596" s="784"/>
      <c r="D596" s="784"/>
      <c r="E596" s="784"/>
      <c r="F596" s="784"/>
      <c r="G596" s="784"/>
      <c r="H596" s="784"/>
      <c r="I596" s="784"/>
      <c r="J596" s="784"/>
      <c r="K596" s="784"/>
      <c r="L596" s="784"/>
      <c r="M596" s="784"/>
      <c r="N596" s="784"/>
      <c r="O596" s="784"/>
      <c r="P596" s="784"/>
      <c r="Q596" s="784"/>
      <c r="R596" s="784"/>
      <c r="S596" s="784"/>
      <c r="T596" s="784"/>
      <c r="U596" s="784"/>
      <c r="V596" s="784"/>
      <c r="W596" s="784"/>
      <c r="X596" s="784"/>
      <c r="Y596" s="784"/>
      <c r="Z596" s="784"/>
      <c r="AA596" s="784"/>
      <c r="AB596" s="784"/>
    </row>
    <row r="597" spans="3:28" ht="15.75" customHeight="1">
      <c r="C597" s="784"/>
      <c r="D597" s="784"/>
      <c r="E597" s="784"/>
      <c r="F597" s="784"/>
      <c r="G597" s="784"/>
      <c r="H597" s="784"/>
      <c r="I597" s="784"/>
      <c r="J597" s="784"/>
      <c r="K597" s="784"/>
      <c r="L597" s="784"/>
      <c r="M597" s="784"/>
      <c r="N597" s="784"/>
      <c r="O597" s="784"/>
      <c r="P597" s="784"/>
      <c r="Q597" s="784"/>
      <c r="R597" s="784"/>
      <c r="S597" s="784"/>
      <c r="T597" s="784"/>
      <c r="U597" s="784"/>
      <c r="V597" s="784"/>
      <c r="W597" s="784"/>
      <c r="X597" s="784"/>
      <c r="Y597" s="784"/>
      <c r="Z597" s="784"/>
      <c r="AA597" s="784"/>
      <c r="AB597" s="784"/>
    </row>
    <row r="598" spans="3:28" ht="15.75" customHeight="1">
      <c r="C598" s="784"/>
      <c r="D598" s="784"/>
      <c r="E598" s="784"/>
      <c r="F598" s="784"/>
      <c r="G598" s="784"/>
      <c r="H598" s="784"/>
      <c r="I598" s="784"/>
      <c r="J598" s="784"/>
      <c r="K598" s="784"/>
      <c r="L598" s="784"/>
      <c r="M598" s="784"/>
      <c r="N598" s="784"/>
      <c r="O598" s="784"/>
      <c r="P598" s="784"/>
      <c r="Q598" s="784"/>
      <c r="R598" s="784"/>
      <c r="S598" s="784"/>
      <c r="T598" s="784"/>
      <c r="U598" s="784"/>
      <c r="V598" s="784"/>
      <c r="W598" s="784"/>
      <c r="X598" s="784"/>
      <c r="Y598" s="784"/>
      <c r="Z598" s="784"/>
      <c r="AA598" s="784"/>
      <c r="AB598" s="784"/>
    </row>
    <row r="599" spans="3:28" ht="15.75" customHeight="1">
      <c r="C599" s="784"/>
      <c r="D599" s="784"/>
      <c r="E599" s="784"/>
      <c r="F599" s="784"/>
      <c r="G599" s="784"/>
      <c r="H599" s="784"/>
      <c r="I599" s="784"/>
      <c r="J599" s="784"/>
      <c r="K599" s="784"/>
      <c r="L599" s="784"/>
      <c r="M599" s="784"/>
      <c r="N599" s="784"/>
      <c r="O599" s="784"/>
      <c r="P599" s="784"/>
      <c r="Q599" s="784"/>
      <c r="R599" s="784"/>
      <c r="S599" s="784"/>
      <c r="T599" s="784"/>
      <c r="U599" s="784"/>
      <c r="V599" s="784"/>
      <c r="W599" s="784"/>
      <c r="X599" s="784"/>
      <c r="Y599" s="784"/>
      <c r="Z599" s="784"/>
      <c r="AA599" s="784"/>
      <c r="AB599" s="784"/>
    </row>
    <row r="600" spans="3:28" ht="15.75" customHeight="1">
      <c r="C600" s="784"/>
      <c r="D600" s="784"/>
      <c r="E600" s="784"/>
      <c r="F600" s="784"/>
      <c r="G600" s="784"/>
      <c r="H600" s="784"/>
      <c r="I600" s="784"/>
      <c r="J600" s="784"/>
      <c r="K600" s="784"/>
      <c r="L600" s="784"/>
      <c r="M600" s="784"/>
      <c r="N600" s="784"/>
      <c r="O600" s="784"/>
      <c r="P600" s="784"/>
      <c r="Q600" s="784"/>
      <c r="R600" s="784"/>
      <c r="S600" s="784"/>
      <c r="T600" s="784"/>
      <c r="U600" s="784"/>
      <c r="V600" s="784"/>
      <c r="W600" s="784"/>
      <c r="X600" s="784"/>
      <c r="Y600" s="784"/>
      <c r="Z600" s="784"/>
      <c r="AA600" s="784"/>
      <c r="AB600" s="784"/>
    </row>
    <row r="601" spans="3:28" ht="15.75" customHeight="1">
      <c r="C601" s="784"/>
      <c r="D601" s="784"/>
      <c r="E601" s="784"/>
      <c r="F601" s="784"/>
      <c r="G601" s="784"/>
      <c r="H601" s="784"/>
      <c r="I601" s="784"/>
      <c r="J601" s="784"/>
      <c r="K601" s="784"/>
      <c r="L601" s="784"/>
      <c r="M601" s="784"/>
      <c r="N601" s="784"/>
      <c r="O601" s="784"/>
      <c r="P601" s="784"/>
      <c r="Q601" s="784"/>
      <c r="R601" s="784"/>
      <c r="S601" s="784"/>
      <c r="T601" s="784"/>
      <c r="U601" s="784"/>
      <c r="V601" s="784"/>
      <c r="W601" s="784"/>
      <c r="X601" s="784"/>
      <c r="Y601" s="784"/>
      <c r="Z601" s="784"/>
      <c r="AA601" s="784"/>
      <c r="AB601" s="784"/>
    </row>
    <row r="602" spans="3:28" ht="15.75" customHeight="1">
      <c r="C602" s="784"/>
      <c r="D602" s="784"/>
      <c r="E602" s="784"/>
      <c r="F602" s="784"/>
      <c r="G602" s="784"/>
      <c r="H602" s="784"/>
      <c r="I602" s="784"/>
      <c r="J602" s="784"/>
      <c r="K602" s="784"/>
      <c r="L602" s="784"/>
      <c r="M602" s="784"/>
      <c r="N602" s="784"/>
      <c r="O602" s="784"/>
      <c r="P602" s="784"/>
      <c r="Q602" s="784"/>
      <c r="R602" s="784"/>
      <c r="S602" s="784"/>
      <c r="T602" s="784"/>
      <c r="U602" s="784"/>
      <c r="V602" s="784"/>
      <c r="W602" s="784"/>
      <c r="X602" s="784"/>
      <c r="Y602" s="784"/>
      <c r="Z602" s="784"/>
      <c r="AA602" s="784"/>
      <c r="AB602" s="784"/>
    </row>
    <row r="603" spans="3:28" ht="15.75" customHeight="1">
      <c r="C603" s="784"/>
      <c r="D603" s="784"/>
      <c r="E603" s="784"/>
      <c r="F603" s="784"/>
      <c r="G603" s="784"/>
      <c r="H603" s="784"/>
      <c r="I603" s="784"/>
      <c r="J603" s="784"/>
      <c r="K603" s="784"/>
      <c r="L603" s="784"/>
      <c r="M603" s="784"/>
      <c r="N603" s="784"/>
      <c r="O603" s="784"/>
      <c r="P603" s="784"/>
      <c r="Q603" s="784"/>
      <c r="R603" s="784"/>
      <c r="S603" s="784"/>
      <c r="T603" s="784"/>
      <c r="U603" s="784"/>
      <c r="V603" s="784"/>
      <c r="W603" s="784"/>
      <c r="X603" s="784"/>
      <c r="Y603" s="784"/>
      <c r="Z603" s="784"/>
      <c r="AA603" s="784"/>
      <c r="AB603" s="784"/>
    </row>
    <row r="604" spans="3:28" ht="15.75" customHeight="1">
      <c r="C604" s="784"/>
      <c r="D604" s="784"/>
      <c r="E604" s="784"/>
      <c r="F604" s="784"/>
      <c r="G604" s="784"/>
      <c r="H604" s="784"/>
      <c r="I604" s="784"/>
      <c r="J604" s="784"/>
      <c r="K604" s="784"/>
      <c r="L604" s="784"/>
      <c r="M604" s="784"/>
      <c r="N604" s="784"/>
      <c r="O604" s="784"/>
      <c r="P604" s="784"/>
      <c r="Q604" s="784"/>
      <c r="R604" s="784"/>
      <c r="S604" s="784"/>
      <c r="T604" s="784"/>
      <c r="U604" s="784"/>
      <c r="V604" s="784"/>
      <c r="W604" s="784"/>
      <c r="X604" s="784"/>
      <c r="Y604" s="784"/>
      <c r="Z604" s="784"/>
      <c r="AA604" s="784"/>
      <c r="AB604" s="784"/>
    </row>
    <row r="605" spans="3:28" ht="15.75" customHeight="1">
      <c r="C605" s="784"/>
      <c r="D605" s="784"/>
      <c r="E605" s="784"/>
      <c r="F605" s="784"/>
      <c r="G605" s="784"/>
      <c r="H605" s="784"/>
      <c r="I605" s="784"/>
      <c r="J605" s="784"/>
      <c r="K605" s="784"/>
      <c r="L605" s="784"/>
      <c r="M605" s="784"/>
      <c r="N605" s="784"/>
      <c r="O605" s="784"/>
      <c r="P605" s="784"/>
      <c r="Q605" s="784"/>
      <c r="R605" s="784"/>
      <c r="S605" s="784"/>
      <c r="T605" s="784"/>
      <c r="U605" s="784"/>
      <c r="V605" s="784"/>
      <c r="W605" s="784"/>
      <c r="X605" s="784"/>
      <c r="Y605" s="784"/>
      <c r="Z605" s="784"/>
      <c r="AA605" s="784"/>
      <c r="AB605" s="784"/>
    </row>
    <row r="606" spans="3:28" ht="15.75" customHeight="1">
      <c r="C606" s="784"/>
      <c r="D606" s="784"/>
      <c r="E606" s="784"/>
      <c r="F606" s="784"/>
      <c r="G606" s="784"/>
      <c r="H606" s="784"/>
      <c r="I606" s="784"/>
      <c r="J606" s="784"/>
      <c r="K606" s="784"/>
      <c r="L606" s="784"/>
      <c r="M606" s="784"/>
      <c r="N606" s="784"/>
      <c r="O606" s="784"/>
      <c r="P606" s="784"/>
      <c r="Q606" s="784"/>
      <c r="R606" s="784"/>
      <c r="S606" s="784"/>
      <c r="T606" s="784"/>
      <c r="U606" s="784"/>
      <c r="V606" s="784"/>
      <c r="W606" s="784"/>
      <c r="X606" s="784"/>
      <c r="Y606" s="784"/>
      <c r="Z606" s="784"/>
      <c r="AA606" s="784"/>
      <c r="AB606" s="784"/>
    </row>
    <row r="607" spans="3:28" ht="15.75" customHeight="1">
      <c r="C607" s="784"/>
      <c r="D607" s="784"/>
      <c r="E607" s="784"/>
      <c r="F607" s="784"/>
      <c r="G607" s="784"/>
      <c r="H607" s="784"/>
      <c r="I607" s="784"/>
      <c r="J607" s="784"/>
      <c r="K607" s="784"/>
      <c r="L607" s="784"/>
      <c r="M607" s="784"/>
      <c r="N607" s="784"/>
      <c r="O607" s="784"/>
      <c r="P607" s="784"/>
      <c r="Q607" s="784"/>
      <c r="R607" s="784"/>
      <c r="S607" s="784"/>
      <c r="T607" s="784"/>
      <c r="U607" s="784"/>
      <c r="V607" s="784"/>
      <c r="W607" s="784"/>
      <c r="X607" s="784"/>
      <c r="Y607" s="784"/>
      <c r="Z607" s="784"/>
      <c r="AA607" s="784"/>
      <c r="AB607" s="784"/>
    </row>
    <row r="608" spans="3:28" ht="15.75" customHeight="1">
      <c r="C608" s="784"/>
      <c r="D608" s="784"/>
      <c r="E608" s="784"/>
      <c r="F608" s="784"/>
      <c r="G608" s="784"/>
      <c r="H608" s="784"/>
      <c r="I608" s="784"/>
      <c r="J608" s="784"/>
      <c r="K608" s="784"/>
      <c r="L608" s="784"/>
      <c r="M608" s="784"/>
      <c r="N608" s="784"/>
      <c r="O608" s="784"/>
      <c r="P608" s="784"/>
      <c r="Q608" s="784"/>
      <c r="R608" s="784"/>
      <c r="S608" s="784"/>
      <c r="T608" s="784"/>
      <c r="U608" s="784"/>
      <c r="V608" s="784"/>
      <c r="W608" s="784"/>
      <c r="X608" s="784"/>
      <c r="Y608" s="784"/>
      <c r="Z608" s="784"/>
      <c r="AA608" s="784"/>
      <c r="AB608" s="784"/>
    </row>
    <row r="609" spans="3:28" ht="15.75" customHeight="1">
      <c r="C609" s="784"/>
      <c r="D609" s="784"/>
      <c r="E609" s="784"/>
      <c r="F609" s="784"/>
      <c r="G609" s="784"/>
      <c r="H609" s="784"/>
      <c r="I609" s="784"/>
      <c r="J609" s="784"/>
      <c r="K609" s="784"/>
      <c r="L609" s="784"/>
      <c r="M609" s="784"/>
      <c r="N609" s="784"/>
      <c r="O609" s="784"/>
      <c r="P609" s="784"/>
      <c r="Q609" s="784"/>
      <c r="R609" s="784"/>
      <c r="S609" s="784"/>
      <c r="T609" s="784"/>
      <c r="U609" s="784"/>
      <c r="V609" s="784"/>
      <c r="W609" s="784"/>
      <c r="X609" s="784"/>
      <c r="Y609" s="784"/>
      <c r="Z609" s="784"/>
      <c r="AA609" s="784"/>
      <c r="AB609" s="784"/>
    </row>
    <row r="610" spans="3:28" ht="15.75" customHeight="1">
      <c r="C610" s="784"/>
      <c r="D610" s="784"/>
      <c r="E610" s="784"/>
      <c r="F610" s="784"/>
      <c r="G610" s="784"/>
      <c r="H610" s="784"/>
      <c r="I610" s="784"/>
      <c r="J610" s="784"/>
      <c r="K610" s="784"/>
      <c r="L610" s="784"/>
      <c r="M610" s="784"/>
      <c r="N610" s="784"/>
      <c r="O610" s="784"/>
      <c r="P610" s="784"/>
      <c r="Q610" s="784"/>
      <c r="R610" s="784"/>
      <c r="S610" s="784"/>
      <c r="T610" s="784"/>
      <c r="U610" s="784"/>
      <c r="V610" s="784"/>
      <c r="W610" s="784"/>
      <c r="X610" s="784"/>
      <c r="Y610" s="784"/>
      <c r="Z610" s="784"/>
      <c r="AA610" s="784"/>
      <c r="AB610" s="784"/>
    </row>
    <row r="611" spans="3:28" ht="15.75" customHeight="1">
      <c r="C611" s="784"/>
      <c r="D611" s="784"/>
      <c r="E611" s="784"/>
      <c r="F611" s="784"/>
      <c r="G611" s="784"/>
      <c r="H611" s="784"/>
      <c r="I611" s="784"/>
      <c r="J611" s="784"/>
      <c r="K611" s="784"/>
      <c r="L611" s="784"/>
      <c r="M611" s="784"/>
      <c r="N611" s="784"/>
      <c r="O611" s="784"/>
      <c r="P611" s="784"/>
      <c r="Q611" s="784"/>
      <c r="R611" s="784"/>
      <c r="S611" s="784"/>
      <c r="T611" s="784"/>
      <c r="U611" s="784"/>
      <c r="V611" s="784"/>
      <c r="W611" s="784"/>
      <c r="X611" s="784"/>
      <c r="Y611" s="784"/>
      <c r="Z611" s="784"/>
      <c r="AA611" s="784"/>
      <c r="AB611" s="784"/>
    </row>
    <row r="612" spans="3:28" ht="15.75" customHeight="1">
      <c r="C612" s="784"/>
      <c r="D612" s="784"/>
      <c r="E612" s="784"/>
      <c r="F612" s="784"/>
      <c r="G612" s="784"/>
      <c r="H612" s="784"/>
      <c r="I612" s="784"/>
      <c r="J612" s="784"/>
      <c r="K612" s="784"/>
      <c r="L612" s="784"/>
      <c r="M612" s="784"/>
      <c r="N612" s="784"/>
      <c r="O612" s="784"/>
      <c r="P612" s="784"/>
      <c r="Q612" s="784"/>
      <c r="R612" s="784"/>
      <c r="S612" s="784"/>
      <c r="T612" s="784"/>
      <c r="U612" s="784"/>
      <c r="V612" s="784"/>
      <c r="W612" s="784"/>
      <c r="X612" s="784"/>
      <c r="Y612" s="784"/>
      <c r="Z612" s="784"/>
      <c r="AA612" s="784"/>
      <c r="AB612" s="784"/>
    </row>
    <row r="613" spans="3:28" ht="15.75" customHeight="1">
      <c r="C613" s="784"/>
      <c r="D613" s="784"/>
      <c r="E613" s="784"/>
      <c r="F613" s="784"/>
      <c r="G613" s="784"/>
      <c r="H613" s="784"/>
      <c r="I613" s="784"/>
      <c r="J613" s="784"/>
      <c r="K613" s="784"/>
      <c r="L613" s="784"/>
      <c r="M613" s="784"/>
      <c r="N613" s="784"/>
      <c r="O613" s="784"/>
      <c r="P613" s="784"/>
      <c r="Q613" s="784"/>
      <c r="R613" s="784"/>
      <c r="S613" s="784"/>
      <c r="T613" s="784"/>
      <c r="U613" s="784"/>
      <c r="V613" s="784"/>
      <c r="W613" s="784"/>
      <c r="X613" s="784"/>
      <c r="Y613" s="784"/>
      <c r="Z613" s="784"/>
      <c r="AA613" s="784"/>
      <c r="AB613" s="784"/>
    </row>
    <row r="614" spans="3:28" ht="15.75" customHeight="1">
      <c r="C614" s="784"/>
      <c r="D614" s="784"/>
      <c r="E614" s="784"/>
      <c r="F614" s="784"/>
      <c r="G614" s="784"/>
      <c r="H614" s="784"/>
      <c r="I614" s="784"/>
      <c r="J614" s="784"/>
      <c r="K614" s="784"/>
      <c r="L614" s="784"/>
      <c r="M614" s="784"/>
      <c r="N614" s="784"/>
      <c r="O614" s="784"/>
      <c r="P614" s="784"/>
      <c r="Q614" s="784"/>
      <c r="R614" s="784"/>
      <c r="S614" s="784"/>
      <c r="T614" s="784"/>
      <c r="U614" s="784"/>
      <c r="V614" s="784"/>
      <c r="W614" s="784"/>
      <c r="X614" s="784"/>
      <c r="Y614" s="784"/>
      <c r="Z614" s="784"/>
      <c r="AA614" s="784"/>
      <c r="AB614" s="784"/>
    </row>
    <row r="615" spans="3:28" ht="15.75" customHeight="1">
      <c r="C615" s="784"/>
      <c r="D615" s="784"/>
      <c r="E615" s="784"/>
      <c r="F615" s="784"/>
      <c r="G615" s="784"/>
      <c r="H615" s="784"/>
      <c r="I615" s="784"/>
      <c r="J615" s="784"/>
      <c r="K615" s="784"/>
      <c r="L615" s="784"/>
      <c r="M615" s="784"/>
      <c r="N615" s="784"/>
      <c r="O615" s="784"/>
      <c r="P615" s="784"/>
      <c r="Q615" s="784"/>
      <c r="R615" s="784"/>
      <c r="S615" s="784"/>
      <c r="T615" s="784"/>
      <c r="U615" s="784"/>
      <c r="V615" s="784"/>
      <c r="W615" s="784"/>
      <c r="X615" s="784"/>
      <c r="Y615" s="784"/>
      <c r="Z615" s="784"/>
      <c r="AA615" s="784"/>
      <c r="AB615" s="784"/>
    </row>
    <row r="616" spans="3:28" ht="15.75" customHeight="1">
      <c r="C616" s="784"/>
      <c r="D616" s="784"/>
      <c r="E616" s="784"/>
      <c r="F616" s="784"/>
      <c r="G616" s="784"/>
      <c r="H616" s="784"/>
      <c r="I616" s="784"/>
      <c r="J616" s="784"/>
      <c r="K616" s="784"/>
      <c r="L616" s="784"/>
      <c r="M616" s="784"/>
      <c r="N616" s="784"/>
      <c r="O616" s="784"/>
      <c r="P616" s="784"/>
      <c r="Q616" s="784"/>
      <c r="R616" s="784"/>
      <c r="S616" s="784"/>
      <c r="T616" s="784"/>
      <c r="U616" s="784"/>
      <c r="V616" s="784"/>
      <c r="W616" s="784"/>
      <c r="X616" s="784"/>
      <c r="Y616" s="784"/>
      <c r="Z616" s="784"/>
      <c r="AA616" s="784"/>
      <c r="AB616" s="784"/>
    </row>
    <row r="617" spans="3:28" ht="15.75" customHeight="1">
      <c r="C617" s="784"/>
      <c r="D617" s="784"/>
      <c r="E617" s="784"/>
      <c r="F617" s="784"/>
      <c r="G617" s="784"/>
      <c r="H617" s="784"/>
      <c r="I617" s="784"/>
      <c r="J617" s="784"/>
      <c r="K617" s="784"/>
      <c r="L617" s="784"/>
      <c r="M617" s="784"/>
      <c r="N617" s="784"/>
      <c r="O617" s="784"/>
      <c r="P617" s="784"/>
      <c r="Q617" s="784"/>
      <c r="R617" s="784"/>
      <c r="S617" s="784"/>
      <c r="T617" s="784"/>
      <c r="U617" s="784"/>
      <c r="V617" s="784"/>
      <c r="W617" s="784"/>
      <c r="X617" s="784"/>
      <c r="Y617" s="784"/>
      <c r="Z617" s="784"/>
      <c r="AA617" s="784"/>
      <c r="AB617" s="784"/>
    </row>
    <row r="618" spans="3:28" ht="15.75" customHeight="1">
      <c r="C618" s="784"/>
      <c r="D618" s="784"/>
      <c r="E618" s="784"/>
      <c r="F618" s="784"/>
      <c r="G618" s="784"/>
      <c r="H618" s="784"/>
      <c r="I618" s="784"/>
      <c r="J618" s="784"/>
      <c r="K618" s="784"/>
      <c r="L618" s="784"/>
      <c r="M618" s="784"/>
      <c r="N618" s="784"/>
      <c r="O618" s="784"/>
      <c r="P618" s="784"/>
      <c r="Q618" s="784"/>
      <c r="R618" s="784"/>
      <c r="S618" s="784"/>
      <c r="T618" s="784"/>
      <c r="U618" s="784"/>
      <c r="V618" s="784"/>
      <c r="W618" s="784"/>
      <c r="X618" s="784"/>
      <c r="Y618" s="784"/>
      <c r="Z618" s="784"/>
      <c r="AA618" s="784"/>
      <c r="AB618" s="784"/>
    </row>
    <row r="619" spans="3:28" ht="15.75" customHeight="1">
      <c r="C619" s="784"/>
      <c r="D619" s="784"/>
      <c r="E619" s="784"/>
      <c r="F619" s="784"/>
      <c r="G619" s="784"/>
      <c r="H619" s="784"/>
      <c r="I619" s="784"/>
      <c r="J619" s="784"/>
      <c r="K619" s="784"/>
      <c r="L619" s="784"/>
      <c r="M619" s="784"/>
      <c r="N619" s="784"/>
      <c r="O619" s="784"/>
      <c r="P619" s="784"/>
      <c r="Q619" s="784"/>
      <c r="R619" s="784"/>
      <c r="S619" s="784"/>
      <c r="T619" s="784"/>
      <c r="U619" s="784"/>
      <c r="V619" s="784"/>
      <c r="W619" s="784"/>
      <c r="X619" s="784"/>
      <c r="Y619" s="784"/>
      <c r="Z619" s="784"/>
      <c r="AA619" s="784"/>
      <c r="AB619" s="784"/>
    </row>
    <row r="620" spans="3:28" ht="15.75" customHeight="1">
      <c r="C620" s="784"/>
      <c r="D620" s="784"/>
      <c r="E620" s="784"/>
      <c r="F620" s="784"/>
      <c r="G620" s="784"/>
      <c r="H620" s="784"/>
      <c r="I620" s="784"/>
      <c r="J620" s="784"/>
      <c r="K620" s="784"/>
      <c r="L620" s="784"/>
      <c r="M620" s="784"/>
      <c r="N620" s="784"/>
      <c r="O620" s="784"/>
      <c r="P620" s="784"/>
      <c r="Q620" s="784"/>
      <c r="R620" s="784"/>
      <c r="S620" s="784"/>
      <c r="T620" s="784"/>
      <c r="U620" s="784"/>
      <c r="V620" s="784"/>
      <c r="W620" s="784"/>
      <c r="X620" s="784"/>
      <c r="Y620" s="784"/>
      <c r="Z620" s="784"/>
      <c r="AA620" s="784"/>
      <c r="AB620" s="784"/>
    </row>
    <row r="621" spans="3:28" ht="15.75" customHeight="1">
      <c r="C621" s="784"/>
      <c r="D621" s="784"/>
      <c r="E621" s="784"/>
      <c r="F621" s="784"/>
      <c r="G621" s="784"/>
      <c r="H621" s="784"/>
      <c r="I621" s="784"/>
      <c r="J621" s="784"/>
      <c r="K621" s="784"/>
      <c r="L621" s="784"/>
      <c r="M621" s="784"/>
      <c r="N621" s="784"/>
      <c r="O621" s="784"/>
      <c r="P621" s="784"/>
      <c r="Q621" s="784"/>
      <c r="R621" s="784"/>
      <c r="S621" s="784"/>
      <c r="T621" s="784"/>
      <c r="U621" s="784"/>
      <c r="V621" s="784"/>
      <c r="W621" s="784"/>
      <c r="X621" s="784"/>
      <c r="Y621" s="784"/>
      <c r="Z621" s="784"/>
      <c r="AA621" s="784"/>
      <c r="AB621" s="784"/>
    </row>
    <row r="622" spans="3:28" ht="15.75" customHeight="1">
      <c r="C622" s="784"/>
      <c r="D622" s="784"/>
      <c r="E622" s="784"/>
      <c r="F622" s="784"/>
      <c r="G622" s="784"/>
      <c r="H622" s="784"/>
      <c r="I622" s="784"/>
      <c r="J622" s="784"/>
      <c r="K622" s="784"/>
      <c r="L622" s="784"/>
      <c r="M622" s="784"/>
      <c r="N622" s="784"/>
      <c r="O622" s="784"/>
      <c r="P622" s="784"/>
      <c r="Q622" s="784"/>
      <c r="R622" s="784"/>
      <c r="S622" s="784"/>
      <c r="T622" s="784"/>
      <c r="U622" s="784"/>
      <c r="V622" s="784"/>
      <c r="W622" s="784"/>
      <c r="X622" s="784"/>
      <c r="Y622" s="784"/>
      <c r="Z622" s="784"/>
      <c r="AA622" s="784"/>
      <c r="AB622" s="784"/>
    </row>
    <row r="623" spans="3:28" ht="15.75" customHeight="1">
      <c r="C623" s="784"/>
      <c r="D623" s="784"/>
      <c r="E623" s="784"/>
      <c r="F623" s="784"/>
      <c r="G623" s="784"/>
      <c r="H623" s="784"/>
      <c r="I623" s="784"/>
      <c r="J623" s="784"/>
      <c r="K623" s="784"/>
      <c r="L623" s="784"/>
      <c r="M623" s="784"/>
      <c r="N623" s="784"/>
      <c r="O623" s="784"/>
      <c r="P623" s="784"/>
      <c r="Q623" s="784"/>
      <c r="R623" s="784"/>
      <c r="S623" s="784"/>
      <c r="T623" s="784"/>
      <c r="U623" s="784"/>
      <c r="V623" s="784"/>
      <c r="W623" s="784"/>
      <c r="X623" s="784"/>
      <c r="Y623" s="784"/>
      <c r="Z623" s="784"/>
      <c r="AA623" s="784"/>
      <c r="AB623" s="784"/>
    </row>
    <row r="624" spans="3:28" ht="15.75" customHeight="1">
      <c r="C624" s="784"/>
      <c r="D624" s="784"/>
      <c r="E624" s="784"/>
      <c r="F624" s="784"/>
      <c r="G624" s="784"/>
      <c r="H624" s="784"/>
      <c r="I624" s="784"/>
      <c r="J624" s="784"/>
      <c r="K624" s="784"/>
      <c r="L624" s="784"/>
      <c r="M624" s="784"/>
      <c r="N624" s="784"/>
      <c r="O624" s="784"/>
      <c r="P624" s="784"/>
      <c r="Q624" s="784"/>
      <c r="R624" s="784"/>
      <c r="S624" s="784"/>
      <c r="T624" s="784"/>
      <c r="U624" s="784"/>
      <c r="V624" s="784"/>
      <c r="W624" s="784"/>
      <c r="X624" s="784"/>
      <c r="Y624" s="784"/>
      <c r="Z624" s="784"/>
      <c r="AA624" s="784"/>
      <c r="AB624" s="784"/>
    </row>
    <row r="625" spans="3:28" ht="15.75" customHeight="1">
      <c r="C625" s="784"/>
      <c r="D625" s="784"/>
      <c r="E625" s="784"/>
      <c r="F625" s="784"/>
      <c r="G625" s="784"/>
      <c r="H625" s="784"/>
      <c r="I625" s="784"/>
      <c r="J625" s="784"/>
      <c r="K625" s="784"/>
      <c r="L625" s="784"/>
      <c r="M625" s="784"/>
      <c r="N625" s="784"/>
      <c r="O625" s="784"/>
      <c r="P625" s="784"/>
      <c r="Q625" s="784"/>
      <c r="R625" s="784"/>
      <c r="S625" s="784"/>
      <c r="T625" s="784"/>
      <c r="U625" s="784"/>
      <c r="V625" s="784"/>
      <c r="W625" s="784"/>
      <c r="X625" s="784"/>
      <c r="Y625" s="784"/>
      <c r="Z625" s="784"/>
      <c r="AA625" s="784"/>
      <c r="AB625" s="784"/>
    </row>
    <row r="626" spans="3:28" ht="15.75" customHeight="1">
      <c r="C626" s="784"/>
      <c r="D626" s="784"/>
      <c r="E626" s="784"/>
      <c r="F626" s="784"/>
      <c r="G626" s="784"/>
      <c r="H626" s="784"/>
      <c r="I626" s="784"/>
      <c r="J626" s="784"/>
      <c r="K626" s="784"/>
      <c r="L626" s="784"/>
      <c r="M626" s="784"/>
      <c r="N626" s="784"/>
      <c r="O626" s="784"/>
      <c r="P626" s="784"/>
      <c r="Q626" s="784"/>
      <c r="R626" s="784"/>
      <c r="S626" s="784"/>
      <c r="T626" s="784"/>
      <c r="U626" s="784"/>
      <c r="V626" s="784"/>
      <c r="W626" s="784"/>
      <c r="X626" s="784"/>
      <c r="Y626" s="784"/>
      <c r="Z626" s="784"/>
      <c r="AA626" s="784"/>
      <c r="AB626" s="784"/>
    </row>
    <row r="627" spans="3:28" ht="15.75" customHeight="1">
      <c r="C627" s="784"/>
      <c r="D627" s="784"/>
      <c r="E627" s="784"/>
      <c r="F627" s="784"/>
      <c r="G627" s="784"/>
      <c r="H627" s="784"/>
      <c r="I627" s="784"/>
      <c r="J627" s="784"/>
      <c r="K627" s="784"/>
      <c r="L627" s="784"/>
      <c r="M627" s="784"/>
      <c r="N627" s="784"/>
      <c r="O627" s="784"/>
      <c r="P627" s="784"/>
      <c r="Q627" s="784"/>
      <c r="R627" s="784"/>
      <c r="S627" s="784"/>
      <c r="T627" s="784"/>
      <c r="U627" s="784"/>
      <c r="V627" s="784"/>
      <c r="W627" s="784"/>
      <c r="X627" s="784"/>
      <c r="Y627" s="784"/>
      <c r="Z627" s="784"/>
      <c r="AA627" s="784"/>
      <c r="AB627" s="784"/>
    </row>
    <row r="628" spans="3:28" ht="15.75" customHeight="1">
      <c r="C628" s="784"/>
      <c r="D628" s="784"/>
      <c r="E628" s="784"/>
      <c r="F628" s="784"/>
      <c r="G628" s="784"/>
      <c r="H628" s="784"/>
      <c r="I628" s="784"/>
      <c r="J628" s="784"/>
      <c r="K628" s="784"/>
      <c r="L628" s="784"/>
      <c r="M628" s="784"/>
      <c r="N628" s="784"/>
      <c r="O628" s="784"/>
      <c r="P628" s="784"/>
      <c r="Q628" s="784"/>
      <c r="R628" s="784"/>
      <c r="S628" s="784"/>
      <c r="T628" s="784"/>
      <c r="U628" s="784"/>
      <c r="V628" s="784"/>
      <c r="W628" s="784"/>
      <c r="X628" s="784"/>
      <c r="Y628" s="784"/>
      <c r="Z628" s="784"/>
      <c r="AA628" s="784"/>
      <c r="AB628" s="784"/>
    </row>
    <row r="629" spans="3:28" ht="15.75" customHeight="1">
      <c r="C629" s="784"/>
      <c r="D629" s="784"/>
      <c r="E629" s="784"/>
      <c r="F629" s="784"/>
      <c r="G629" s="784"/>
      <c r="H629" s="784"/>
      <c r="I629" s="784"/>
      <c r="J629" s="784"/>
      <c r="K629" s="784"/>
      <c r="L629" s="784"/>
      <c r="M629" s="784"/>
      <c r="N629" s="784"/>
      <c r="O629" s="784"/>
      <c r="P629" s="784"/>
      <c r="Q629" s="784"/>
      <c r="R629" s="784"/>
      <c r="S629" s="784"/>
      <c r="T629" s="784"/>
      <c r="U629" s="784"/>
      <c r="V629" s="784"/>
      <c r="W629" s="784"/>
      <c r="X629" s="784"/>
      <c r="Y629" s="784"/>
      <c r="Z629" s="784"/>
      <c r="AA629" s="784"/>
      <c r="AB629" s="784"/>
    </row>
    <row r="630" spans="3:28" ht="15.75" customHeight="1">
      <c r="C630" s="784"/>
      <c r="D630" s="784"/>
      <c r="E630" s="784"/>
      <c r="F630" s="784"/>
      <c r="G630" s="784"/>
      <c r="H630" s="784"/>
      <c r="I630" s="784"/>
      <c r="J630" s="784"/>
      <c r="K630" s="784"/>
      <c r="L630" s="784"/>
      <c r="M630" s="784"/>
      <c r="N630" s="784"/>
      <c r="O630" s="784"/>
      <c r="P630" s="784"/>
      <c r="Q630" s="784"/>
      <c r="R630" s="784"/>
      <c r="S630" s="784"/>
      <c r="T630" s="784"/>
      <c r="U630" s="784"/>
      <c r="V630" s="784"/>
      <c r="W630" s="784"/>
      <c r="X630" s="784"/>
      <c r="Y630" s="784"/>
      <c r="Z630" s="784"/>
      <c r="AA630" s="784"/>
      <c r="AB630" s="784"/>
    </row>
    <row r="631" spans="3:28" ht="15.75" customHeight="1">
      <c r="C631" s="784"/>
      <c r="D631" s="784"/>
      <c r="E631" s="784"/>
      <c r="F631" s="784"/>
      <c r="G631" s="784"/>
      <c r="H631" s="784"/>
      <c r="I631" s="784"/>
      <c r="J631" s="784"/>
      <c r="K631" s="784"/>
      <c r="L631" s="784"/>
      <c r="M631" s="784"/>
      <c r="N631" s="784"/>
      <c r="O631" s="784"/>
      <c r="P631" s="784"/>
      <c r="Q631" s="784"/>
      <c r="R631" s="784"/>
      <c r="S631" s="784"/>
      <c r="T631" s="784"/>
      <c r="U631" s="784"/>
      <c r="V631" s="784"/>
      <c r="W631" s="784"/>
      <c r="X631" s="784"/>
      <c r="Y631" s="784"/>
      <c r="Z631" s="784"/>
      <c r="AA631" s="784"/>
      <c r="AB631" s="784"/>
    </row>
    <row r="632" spans="3:28" ht="15.75" customHeight="1">
      <c r="C632" s="784"/>
      <c r="D632" s="784"/>
      <c r="E632" s="784"/>
      <c r="F632" s="784"/>
      <c r="G632" s="784"/>
      <c r="H632" s="784"/>
      <c r="I632" s="784"/>
      <c r="J632" s="784"/>
      <c r="K632" s="784"/>
      <c r="L632" s="784"/>
      <c r="M632" s="784"/>
      <c r="N632" s="784"/>
      <c r="O632" s="784"/>
      <c r="P632" s="784"/>
      <c r="Q632" s="784"/>
      <c r="R632" s="784"/>
      <c r="S632" s="784"/>
      <c r="T632" s="784"/>
      <c r="U632" s="784"/>
      <c r="V632" s="784"/>
      <c r="W632" s="784"/>
      <c r="X632" s="784"/>
      <c r="Y632" s="784"/>
      <c r="Z632" s="784"/>
      <c r="AA632" s="784"/>
      <c r="AB632" s="784"/>
    </row>
    <row r="633" spans="3:28" ht="15.75" customHeight="1">
      <c r="C633" s="784"/>
      <c r="D633" s="784"/>
      <c r="E633" s="784"/>
      <c r="F633" s="784"/>
      <c r="G633" s="784"/>
      <c r="H633" s="784"/>
      <c r="I633" s="784"/>
      <c r="J633" s="784"/>
      <c r="K633" s="784"/>
      <c r="L633" s="784"/>
      <c r="M633" s="784"/>
      <c r="N633" s="784"/>
      <c r="O633" s="784"/>
      <c r="P633" s="784"/>
      <c r="Q633" s="784"/>
      <c r="R633" s="784"/>
      <c r="S633" s="784"/>
      <c r="T633" s="784"/>
      <c r="U633" s="784"/>
      <c r="V633" s="784"/>
      <c r="W633" s="784"/>
      <c r="X633" s="784"/>
      <c r="Y633" s="784"/>
      <c r="Z633" s="784"/>
      <c r="AA633" s="784"/>
      <c r="AB633" s="784"/>
    </row>
    <row r="634" spans="3:28" ht="15.75" customHeight="1">
      <c r="C634" s="784"/>
      <c r="D634" s="784"/>
      <c r="E634" s="784"/>
      <c r="F634" s="784"/>
      <c r="G634" s="784"/>
      <c r="H634" s="784"/>
      <c r="I634" s="784"/>
      <c r="J634" s="784"/>
      <c r="K634" s="784"/>
      <c r="L634" s="784"/>
      <c r="M634" s="784"/>
      <c r="N634" s="784"/>
      <c r="O634" s="784"/>
      <c r="P634" s="784"/>
      <c r="Q634" s="784"/>
      <c r="R634" s="784"/>
      <c r="S634" s="784"/>
      <c r="T634" s="784"/>
      <c r="U634" s="784"/>
      <c r="V634" s="784"/>
      <c r="W634" s="784"/>
      <c r="X634" s="784"/>
      <c r="Y634" s="784"/>
      <c r="Z634" s="784"/>
      <c r="AA634" s="784"/>
      <c r="AB634" s="784"/>
    </row>
    <row r="635" spans="3:28" ht="15.75" customHeight="1">
      <c r="C635" s="784"/>
      <c r="D635" s="784"/>
      <c r="E635" s="784"/>
      <c r="F635" s="784"/>
      <c r="G635" s="784"/>
      <c r="H635" s="784"/>
      <c r="I635" s="784"/>
      <c r="J635" s="784"/>
      <c r="K635" s="784"/>
      <c r="L635" s="784"/>
      <c r="M635" s="784"/>
      <c r="N635" s="784"/>
      <c r="O635" s="784"/>
      <c r="P635" s="784"/>
      <c r="Q635" s="784"/>
      <c r="R635" s="784"/>
      <c r="S635" s="784"/>
      <c r="T635" s="784"/>
      <c r="U635" s="784"/>
      <c r="V635" s="784"/>
      <c r="W635" s="784"/>
      <c r="X635" s="784"/>
      <c r="Y635" s="784"/>
      <c r="Z635" s="784"/>
      <c r="AA635" s="784"/>
      <c r="AB635" s="784"/>
    </row>
    <row r="636" spans="3:28" ht="15.75" customHeight="1">
      <c r="C636" s="784"/>
      <c r="D636" s="784"/>
      <c r="E636" s="784"/>
      <c r="F636" s="784"/>
      <c r="G636" s="784"/>
      <c r="H636" s="784"/>
      <c r="I636" s="784"/>
      <c r="J636" s="784"/>
      <c r="K636" s="784"/>
      <c r="L636" s="784"/>
      <c r="M636" s="784"/>
      <c r="N636" s="784"/>
      <c r="O636" s="784"/>
      <c r="P636" s="784"/>
      <c r="Q636" s="784"/>
      <c r="R636" s="784"/>
      <c r="S636" s="784"/>
      <c r="T636" s="784"/>
      <c r="U636" s="784"/>
      <c r="V636" s="784"/>
      <c r="W636" s="784"/>
      <c r="X636" s="784"/>
      <c r="Y636" s="784"/>
      <c r="Z636" s="784"/>
      <c r="AA636" s="784"/>
      <c r="AB636" s="784"/>
    </row>
    <row r="637" spans="3:28" ht="15.75" customHeight="1">
      <c r="C637" s="784"/>
      <c r="D637" s="784"/>
      <c r="E637" s="784"/>
      <c r="F637" s="784"/>
      <c r="G637" s="784"/>
      <c r="H637" s="784"/>
      <c r="I637" s="784"/>
      <c r="J637" s="784"/>
      <c r="K637" s="784"/>
      <c r="L637" s="784"/>
      <c r="M637" s="784"/>
      <c r="N637" s="784"/>
      <c r="O637" s="784"/>
      <c r="P637" s="784"/>
      <c r="Q637" s="784"/>
      <c r="R637" s="784"/>
      <c r="S637" s="784"/>
      <c r="T637" s="784"/>
      <c r="U637" s="784"/>
      <c r="V637" s="784"/>
      <c r="W637" s="784"/>
      <c r="X637" s="784"/>
      <c r="Y637" s="784"/>
      <c r="Z637" s="784"/>
      <c r="AA637" s="784"/>
      <c r="AB637" s="784"/>
    </row>
    <row r="638" spans="3:28" ht="15.75" customHeight="1">
      <c r="C638" s="784"/>
      <c r="D638" s="784"/>
      <c r="E638" s="784"/>
      <c r="F638" s="784"/>
      <c r="G638" s="784"/>
      <c r="H638" s="784"/>
      <c r="I638" s="784"/>
      <c r="J638" s="784"/>
      <c r="K638" s="784"/>
      <c r="L638" s="784"/>
      <c r="M638" s="784"/>
      <c r="N638" s="784"/>
      <c r="O638" s="784"/>
      <c r="P638" s="784"/>
      <c r="Q638" s="784"/>
      <c r="R638" s="784"/>
      <c r="S638" s="784"/>
      <c r="T638" s="784"/>
      <c r="U638" s="784"/>
      <c r="V638" s="784"/>
      <c r="W638" s="784"/>
      <c r="X638" s="784"/>
      <c r="Y638" s="784"/>
      <c r="Z638" s="784"/>
      <c r="AA638" s="784"/>
      <c r="AB638" s="784"/>
    </row>
    <row r="639" spans="3:28" ht="15.75" customHeight="1">
      <c r="C639" s="784"/>
      <c r="D639" s="784"/>
      <c r="E639" s="784"/>
      <c r="F639" s="784"/>
      <c r="G639" s="784"/>
      <c r="H639" s="784"/>
      <c r="I639" s="784"/>
      <c r="J639" s="784"/>
      <c r="K639" s="784"/>
      <c r="L639" s="784"/>
      <c r="M639" s="784"/>
      <c r="N639" s="784"/>
      <c r="O639" s="784"/>
      <c r="P639" s="784"/>
      <c r="Q639" s="784"/>
      <c r="R639" s="784"/>
      <c r="S639" s="784"/>
      <c r="T639" s="784"/>
      <c r="U639" s="784"/>
      <c r="V639" s="784"/>
      <c r="W639" s="784"/>
      <c r="X639" s="784"/>
      <c r="Y639" s="784"/>
      <c r="Z639" s="784"/>
      <c r="AA639" s="784"/>
      <c r="AB639" s="784"/>
    </row>
    <row r="640" spans="3:28" ht="15.75" customHeight="1">
      <c r="C640" s="784"/>
      <c r="D640" s="784"/>
      <c r="E640" s="784"/>
      <c r="F640" s="784"/>
      <c r="G640" s="784"/>
      <c r="H640" s="784"/>
      <c r="I640" s="784"/>
      <c r="J640" s="784"/>
      <c r="K640" s="784"/>
      <c r="L640" s="784"/>
      <c r="M640" s="784"/>
      <c r="N640" s="784"/>
      <c r="O640" s="784"/>
      <c r="P640" s="784"/>
      <c r="Q640" s="784"/>
      <c r="R640" s="784"/>
      <c r="S640" s="784"/>
      <c r="T640" s="784"/>
      <c r="U640" s="784"/>
      <c r="V640" s="784"/>
      <c r="W640" s="784"/>
      <c r="X640" s="784"/>
      <c r="Y640" s="784"/>
      <c r="Z640" s="784"/>
      <c r="AA640" s="784"/>
      <c r="AB640" s="784"/>
    </row>
    <row r="641" spans="3:28" ht="15.75" customHeight="1">
      <c r="C641" s="784"/>
      <c r="D641" s="784"/>
      <c r="E641" s="784"/>
      <c r="F641" s="784"/>
      <c r="G641" s="784"/>
      <c r="H641" s="784"/>
      <c r="I641" s="784"/>
      <c r="J641" s="784"/>
      <c r="K641" s="784"/>
      <c r="L641" s="784"/>
      <c r="M641" s="784"/>
      <c r="N641" s="784"/>
      <c r="O641" s="784"/>
      <c r="P641" s="784"/>
      <c r="Q641" s="784"/>
      <c r="R641" s="784"/>
      <c r="S641" s="784"/>
      <c r="T641" s="784"/>
      <c r="U641" s="784"/>
      <c r="V641" s="784"/>
      <c r="W641" s="784"/>
      <c r="X641" s="784"/>
      <c r="Y641" s="784"/>
      <c r="Z641" s="784"/>
      <c r="AA641" s="784"/>
      <c r="AB641" s="784"/>
    </row>
    <row r="642" spans="3:28" ht="15.75" customHeight="1">
      <c r="C642" s="784"/>
      <c r="D642" s="784"/>
      <c r="E642" s="784"/>
      <c r="F642" s="784"/>
      <c r="G642" s="784"/>
      <c r="H642" s="784"/>
      <c r="I642" s="784"/>
      <c r="J642" s="784"/>
      <c r="K642" s="784"/>
      <c r="L642" s="784"/>
      <c r="M642" s="784"/>
      <c r="N642" s="784"/>
      <c r="O642" s="784"/>
      <c r="P642" s="784"/>
      <c r="Q642" s="784"/>
      <c r="R642" s="784"/>
      <c r="S642" s="784"/>
      <c r="T642" s="784"/>
      <c r="U642" s="784"/>
      <c r="V642" s="784"/>
      <c r="W642" s="784"/>
      <c r="X642" s="784"/>
      <c r="Y642" s="784"/>
      <c r="Z642" s="784"/>
      <c r="AA642" s="784"/>
      <c r="AB642" s="784"/>
    </row>
    <row r="643" spans="3:28" ht="15.75" customHeight="1">
      <c r="C643" s="784"/>
      <c r="D643" s="784"/>
      <c r="E643" s="784"/>
      <c r="F643" s="784"/>
      <c r="G643" s="784"/>
      <c r="H643" s="784"/>
      <c r="I643" s="784"/>
      <c r="J643" s="784"/>
      <c r="K643" s="784"/>
      <c r="L643" s="784"/>
      <c r="M643" s="784"/>
      <c r="N643" s="784"/>
      <c r="O643" s="784"/>
      <c r="P643" s="784"/>
      <c r="Q643" s="784"/>
      <c r="R643" s="784"/>
      <c r="S643" s="784"/>
      <c r="T643" s="784"/>
      <c r="U643" s="784"/>
      <c r="V643" s="784"/>
      <c r="W643" s="784"/>
      <c r="X643" s="784"/>
      <c r="Y643" s="784"/>
      <c r="Z643" s="784"/>
      <c r="AA643" s="784"/>
      <c r="AB643" s="784"/>
    </row>
    <row r="644" spans="3:28" ht="15.75" customHeight="1">
      <c r="C644" s="784"/>
      <c r="D644" s="784"/>
      <c r="E644" s="784"/>
      <c r="F644" s="784"/>
      <c r="G644" s="784"/>
      <c r="H644" s="784"/>
      <c r="I644" s="784"/>
      <c r="J644" s="784"/>
      <c r="K644" s="784"/>
      <c r="L644" s="784"/>
      <c r="M644" s="784"/>
      <c r="N644" s="784"/>
      <c r="O644" s="784"/>
      <c r="P644" s="784"/>
      <c r="Q644" s="784"/>
      <c r="R644" s="784"/>
      <c r="S644" s="784"/>
      <c r="T644" s="784"/>
      <c r="U644" s="784"/>
      <c r="V644" s="784"/>
      <c r="W644" s="784"/>
      <c r="X644" s="784"/>
      <c r="Y644" s="784"/>
      <c r="Z644" s="784"/>
      <c r="AA644" s="784"/>
      <c r="AB644" s="784"/>
    </row>
    <row r="645" spans="3:28" ht="15.75" customHeight="1">
      <c r="C645" s="784"/>
      <c r="D645" s="784"/>
      <c r="E645" s="784"/>
      <c r="F645" s="784"/>
      <c r="G645" s="784"/>
      <c r="H645" s="784"/>
      <c r="I645" s="784"/>
      <c r="J645" s="784"/>
      <c r="K645" s="784"/>
      <c r="L645" s="784"/>
      <c r="M645" s="784"/>
      <c r="N645" s="784"/>
      <c r="O645" s="784"/>
      <c r="P645" s="784"/>
      <c r="Q645" s="784"/>
      <c r="R645" s="784"/>
      <c r="S645" s="784"/>
      <c r="T645" s="784"/>
      <c r="U645" s="784"/>
      <c r="V645" s="784"/>
      <c r="W645" s="784"/>
      <c r="X645" s="784"/>
      <c r="Y645" s="784"/>
      <c r="Z645" s="784"/>
      <c r="AA645" s="784"/>
      <c r="AB645" s="784"/>
    </row>
    <row r="646" spans="3:28" ht="15.75" customHeight="1">
      <c r="C646" s="784"/>
      <c r="D646" s="784"/>
      <c r="E646" s="784"/>
      <c r="F646" s="784"/>
      <c r="G646" s="784"/>
      <c r="H646" s="784"/>
      <c r="I646" s="784"/>
      <c r="J646" s="784"/>
      <c r="K646" s="784"/>
      <c r="L646" s="784"/>
      <c r="M646" s="784"/>
      <c r="N646" s="784"/>
      <c r="O646" s="784"/>
      <c r="P646" s="784"/>
      <c r="Q646" s="784"/>
      <c r="R646" s="784"/>
      <c r="S646" s="784"/>
      <c r="T646" s="784"/>
      <c r="U646" s="784"/>
      <c r="V646" s="784"/>
      <c r="W646" s="784"/>
      <c r="X646" s="784"/>
      <c r="Y646" s="784"/>
      <c r="Z646" s="784"/>
      <c r="AA646" s="784"/>
      <c r="AB646" s="784"/>
    </row>
    <row r="647" spans="3:28" ht="15.75" customHeight="1">
      <c r="C647" s="784"/>
      <c r="D647" s="784"/>
      <c r="E647" s="784"/>
      <c r="F647" s="784"/>
      <c r="G647" s="784"/>
      <c r="H647" s="784"/>
      <c r="I647" s="784"/>
      <c r="J647" s="784"/>
      <c r="K647" s="784"/>
      <c r="L647" s="784"/>
      <c r="M647" s="784"/>
      <c r="N647" s="784"/>
      <c r="O647" s="784"/>
      <c r="P647" s="784"/>
      <c r="Q647" s="784"/>
      <c r="R647" s="784"/>
      <c r="S647" s="784"/>
      <c r="T647" s="784"/>
      <c r="U647" s="784"/>
      <c r="V647" s="784"/>
      <c r="W647" s="784"/>
      <c r="X647" s="784"/>
      <c r="Y647" s="784"/>
      <c r="Z647" s="784"/>
      <c r="AA647" s="784"/>
      <c r="AB647" s="784"/>
    </row>
    <row r="648" spans="3:28" ht="15.75" customHeight="1">
      <c r="C648" s="784"/>
      <c r="D648" s="784"/>
      <c r="E648" s="784"/>
      <c r="F648" s="784"/>
      <c r="G648" s="784"/>
      <c r="H648" s="784"/>
      <c r="I648" s="784"/>
      <c r="J648" s="784"/>
      <c r="K648" s="784"/>
      <c r="L648" s="784"/>
      <c r="M648" s="784"/>
      <c r="N648" s="784"/>
      <c r="O648" s="784"/>
      <c r="P648" s="784"/>
      <c r="Q648" s="784"/>
      <c r="R648" s="784"/>
      <c r="S648" s="784"/>
      <c r="T648" s="784"/>
      <c r="U648" s="784"/>
      <c r="V648" s="784"/>
      <c r="W648" s="784"/>
      <c r="X648" s="784"/>
      <c r="Y648" s="784"/>
      <c r="Z648" s="784"/>
      <c r="AA648" s="784"/>
      <c r="AB648" s="784"/>
    </row>
    <row r="649" spans="3:28" ht="15.75" customHeight="1">
      <c r="C649" s="784"/>
      <c r="D649" s="784"/>
      <c r="E649" s="784"/>
      <c r="F649" s="784"/>
      <c r="G649" s="784"/>
      <c r="H649" s="784"/>
      <c r="I649" s="784"/>
      <c r="J649" s="784"/>
      <c r="K649" s="784"/>
      <c r="L649" s="784"/>
      <c r="M649" s="784"/>
      <c r="N649" s="784"/>
      <c r="O649" s="784"/>
      <c r="P649" s="784"/>
      <c r="Q649" s="784"/>
      <c r="R649" s="784"/>
      <c r="S649" s="784"/>
      <c r="T649" s="784"/>
      <c r="U649" s="784"/>
      <c r="V649" s="784"/>
      <c r="W649" s="784"/>
      <c r="X649" s="784"/>
      <c r="Y649" s="784"/>
      <c r="Z649" s="784"/>
      <c r="AA649" s="784"/>
      <c r="AB649" s="784"/>
    </row>
    <row r="650" spans="3:28" ht="15.75" customHeight="1">
      <c r="C650" s="784"/>
      <c r="D650" s="784"/>
      <c r="E650" s="784"/>
      <c r="F650" s="784"/>
      <c r="G650" s="784"/>
      <c r="H650" s="784"/>
      <c r="I650" s="784"/>
      <c r="J650" s="784"/>
      <c r="K650" s="784"/>
      <c r="L650" s="784"/>
      <c r="M650" s="784"/>
      <c r="N650" s="784"/>
      <c r="O650" s="784"/>
      <c r="P650" s="784"/>
      <c r="Q650" s="784"/>
      <c r="R650" s="784"/>
      <c r="S650" s="784"/>
      <c r="T650" s="784"/>
      <c r="U650" s="784"/>
      <c r="V650" s="784"/>
      <c r="W650" s="784"/>
      <c r="X650" s="784"/>
      <c r="Y650" s="784"/>
      <c r="Z650" s="784"/>
      <c r="AA650" s="784"/>
      <c r="AB650" s="784"/>
    </row>
    <row r="651" spans="3:28" ht="15.75" customHeight="1">
      <c r="C651" s="784"/>
      <c r="D651" s="784"/>
      <c r="E651" s="784"/>
      <c r="F651" s="784"/>
      <c r="G651" s="784"/>
      <c r="H651" s="784"/>
      <c r="I651" s="784"/>
      <c r="J651" s="784"/>
      <c r="K651" s="784"/>
      <c r="L651" s="784"/>
      <c r="M651" s="784"/>
      <c r="N651" s="784"/>
      <c r="O651" s="784"/>
      <c r="P651" s="784"/>
      <c r="Q651" s="784"/>
      <c r="R651" s="784"/>
      <c r="S651" s="784"/>
      <c r="T651" s="784"/>
      <c r="U651" s="784"/>
      <c r="V651" s="784"/>
      <c r="W651" s="784"/>
      <c r="X651" s="784"/>
      <c r="Y651" s="784"/>
      <c r="Z651" s="784"/>
      <c r="AA651" s="784"/>
      <c r="AB651" s="784"/>
    </row>
    <row r="652" spans="3:28" ht="15.75" customHeight="1">
      <c r="C652" s="784"/>
      <c r="D652" s="784"/>
      <c r="E652" s="784"/>
      <c r="F652" s="784"/>
      <c r="G652" s="784"/>
      <c r="H652" s="784"/>
      <c r="I652" s="784"/>
      <c r="J652" s="784"/>
      <c r="K652" s="784"/>
      <c r="L652" s="784"/>
      <c r="M652" s="784"/>
      <c r="N652" s="784"/>
      <c r="O652" s="784"/>
      <c r="P652" s="784"/>
      <c r="Q652" s="784"/>
      <c r="R652" s="784"/>
      <c r="S652" s="784"/>
      <c r="T652" s="784"/>
      <c r="U652" s="784"/>
      <c r="V652" s="784"/>
      <c r="W652" s="784"/>
      <c r="X652" s="784"/>
      <c r="Y652" s="784"/>
      <c r="Z652" s="784"/>
      <c r="AA652" s="784"/>
      <c r="AB652" s="784"/>
    </row>
    <row r="653" spans="3:28" ht="15.75" customHeight="1">
      <c r="C653" s="784"/>
      <c r="D653" s="784"/>
      <c r="E653" s="784"/>
      <c r="F653" s="784"/>
      <c r="G653" s="784"/>
      <c r="H653" s="784"/>
      <c r="I653" s="784"/>
      <c r="J653" s="784"/>
      <c r="K653" s="784"/>
      <c r="L653" s="784"/>
      <c r="M653" s="784"/>
      <c r="N653" s="784"/>
      <c r="O653" s="784"/>
      <c r="P653" s="784"/>
      <c r="Q653" s="784"/>
      <c r="R653" s="784"/>
      <c r="S653" s="784"/>
      <c r="T653" s="784"/>
      <c r="U653" s="784"/>
      <c r="V653" s="784"/>
      <c r="W653" s="784"/>
      <c r="X653" s="784"/>
      <c r="Y653" s="784"/>
      <c r="Z653" s="784"/>
      <c r="AA653" s="784"/>
      <c r="AB653" s="784"/>
    </row>
    <row r="654" spans="3:28" ht="15.75" customHeight="1">
      <c r="C654" s="784"/>
      <c r="D654" s="784"/>
      <c r="E654" s="784"/>
      <c r="F654" s="784"/>
      <c r="G654" s="784"/>
      <c r="H654" s="784"/>
      <c r="I654" s="784"/>
      <c r="J654" s="784"/>
      <c r="K654" s="784"/>
      <c r="L654" s="784"/>
      <c r="M654" s="784"/>
      <c r="N654" s="784"/>
      <c r="O654" s="784"/>
      <c r="P654" s="784"/>
      <c r="Q654" s="784"/>
      <c r="R654" s="784"/>
      <c r="S654" s="784"/>
      <c r="T654" s="784"/>
      <c r="U654" s="784"/>
      <c r="V654" s="784"/>
      <c r="W654" s="784"/>
      <c r="X654" s="784"/>
      <c r="Y654" s="784"/>
      <c r="Z654" s="784"/>
      <c r="AA654" s="784"/>
      <c r="AB654" s="784"/>
    </row>
    <row r="655" spans="3:28" ht="15.75" customHeight="1">
      <c r="C655" s="784"/>
      <c r="D655" s="784"/>
      <c r="E655" s="784"/>
      <c r="F655" s="784"/>
      <c r="G655" s="784"/>
      <c r="H655" s="784"/>
      <c r="I655" s="784"/>
      <c r="J655" s="784"/>
      <c r="K655" s="784"/>
      <c r="L655" s="784"/>
      <c r="M655" s="784"/>
      <c r="N655" s="784"/>
      <c r="O655" s="784"/>
      <c r="P655" s="784"/>
      <c r="Q655" s="784"/>
      <c r="R655" s="784"/>
      <c r="S655" s="784"/>
      <c r="T655" s="784"/>
      <c r="U655" s="784"/>
      <c r="V655" s="784"/>
      <c r="W655" s="784"/>
      <c r="X655" s="784"/>
      <c r="Y655" s="784"/>
      <c r="Z655" s="784"/>
      <c r="AA655" s="784"/>
      <c r="AB655" s="784"/>
    </row>
    <row r="656" spans="3:28" ht="15.75" customHeight="1">
      <c r="C656" s="784"/>
      <c r="D656" s="784"/>
      <c r="E656" s="784"/>
      <c r="F656" s="784"/>
      <c r="G656" s="784"/>
      <c r="H656" s="784"/>
      <c r="I656" s="784"/>
      <c r="J656" s="784"/>
      <c r="K656" s="784"/>
      <c r="L656" s="784"/>
      <c r="M656" s="784"/>
      <c r="N656" s="784"/>
      <c r="O656" s="784"/>
      <c r="P656" s="784"/>
      <c r="Q656" s="784"/>
      <c r="R656" s="784"/>
      <c r="S656" s="784"/>
      <c r="T656" s="784"/>
      <c r="U656" s="784"/>
      <c r="V656" s="784"/>
      <c r="W656" s="784"/>
      <c r="X656" s="784"/>
      <c r="Y656" s="784"/>
      <c r="Z656" s="784"/>
      <c r="AA656" s="784"/>
      <c r="AB656" s="784"/>
    </row>
    <row r="657" spans="3:28" ht="15.75" customHeight="1">
      <c r="C657" s="784"/>
      <c r="D657" s="784"/>
      <c r="E657" s="784"/>
      <c r="F657" s="784"/>
      <c r="G657" s="784"/>
      <c r="H657" s="784"/>
      <c r="I657" s="784"/>
      <c r="J657" s="784"/>
      <c r="K657" s="784"/>
      <c r="L657" s="784"/>
      <c r="M657" s="784"/>
      <c r="N657" s="784"/>
      <c r="O657" s="784"/>
      <c r="P657" s="784"/>
      <c r="Q657" s="784"/>
      <c r="R657" s="784"/>
      <c r="S657" s="784"/>
      <c r="T657" s="784"/>
      <c r="U657" s="784"/>
      <c r="V657" s="784"/>
      <c r="W657" s="784"/>
      <c r="X657" s="784"/>
      <c r="Y657" s="784"/>
      <c r="Z657" s="784"/>
      <c r="AA657" s="784"/>
      <c r="AB657" s="784"/>
    </row>
    <row r="658" spans="3:28" ht="15.75" customHeight="1">
      <c r="C658" s="784"/>
      <c r="D658" s="784"/>
      <c r="E658" s="784"/>
      <c r="F658" s="784"/>
      <c r="G658" s="784"/>
      <c r="H658" s="784"/>
      <c r="I658" s="784"/>
      <c r="J658" s="784"/>
      <c r="K658" s="784"/>
      <c r="L658" s="784"/>
      <c r="M658" s="784"/>
      <c r="N658" s="784"/>
      <c r="O658" s="784"/>
      <c r="P658" s="784"/>
      <c r="Q658" s="784"/>
      <c r="R658" s="784"/>
      <c r="S658" s="784"/>
      <c r="T658" s="784"/>
      <c r="U658" s="784"/>
      <c r="V658" s="784"/>
      <c r="W658" s="784"/>
      <c r="X658" s="784"/>
      <c r="Y658" s="784"/>
      <c r="Z658" s="784"/>
      <c r="AA658" s="784"/>
      <c r="AB658" s="784"/>
    </row>
    <row r="659" spans="3:28" ht="15.75" customHeight="1">
      <c r="C659" s="784"/>
      <c r="D659" s="784"/>
      <c r="E659" s="784"/>
      <c r="F659" s="784"/>
      <c r="G659" s="784"/>
      <c r="H659" s="784"/>
      <c r="I659" s="784"/>
      <c r="J659" s="784"/>
      <c r="K659" s="784"/>
      <c r="L659" s="784"/>
      <c r="M659" s="784"/>
      <c r="N659" s="784"/>
      <c r="O659" s="784"/>
      <c r="P659" s="784"/>
      <c r="Q659" s="784"/>
      <c r="R659" s="784"/>
      <c r="S659" s="784"/>
      <c r="T659" s="784"/>
      <c r="U659" s="784"/>
      <c r="V659" s="784"/>
      <c r="W659" s="784"/>
      <c r="X659" s="784"/>
      <c r="Y659" s="784"/>
      <c r="Z659" s="784"/>
      <c r="AA659" s="784"/>
      <c r="AB659" s="784"/>
    </row>
    <row r="660" spans="3:28" ht="15.75" customHeight="1">
      <c r="C660" s="784"/>
      <c r="D660" s="784"/>
      <c r="E660" s="784"/>
      <c r="F660" s="784"/>
      <c r="G660" s="784"/>
      <c r="H660" s="784"/>
      <c r="I660" s="784"/>
      <c r="J660" s="784"/>
      <c r="K660" s="784"/>
      <c r="L660" s="784"/>
      <c r="M660" s="784"/>
      <c r="N660" s="784"/>
      <c r="O660" s="784"/>
      <c r="P660" s="784"/>
      <c r="Q660" s="784"/>
      <c r="R660" s="784"/>
      <c r="S660" s="784"/>
      <c r="T660" s="784"/>
      <c r="U660" s="784"/>
      <c r="V660" s="784"/>
      <c r="W660" s="784"/>
      <c r="X660" s="784"/>
      <c r="Y660" s="784"/>
      <c r="Z660" s="784"/>
      <c r="AA660" s="784"/>
      <c r="AB660" s="784"/>
    </row>
    <row r="661" spans="3:28" ht="15.75" customHeight="1">
      <c r="C661" s="784"/>
      <c r="D661" s="784"/>
      <c r="E661" s="784"/>
      <c r="F661" s="784"/>
      <c r="G661" s="784"/>
      <c r="H661" s="784"/>
      <c r="I661" s="784"/>
      <c r="J661" s="784"/>
      <c r="K661" s="784"/>
      <c r="L661" s="784"/>
      <c r="M661" s="784"/>
      <c r="N661" s="784"/>
      <c r="O661" s="784"/>
      <c r="P661" s="784"/>
      <c r="Q661" s="784"/>
      <c r="R661" s="784"/>
      <c r="S661" s="784"/>
      <c r="T661" s="784"/>
      <c r="U661" s="784"/>
      <c r="V661" s="784"/>
      <c r="W661" s="784"/>
      <c r="X661" s="784"/>
      <c r="Y661" s="784"/>
      <c r="Z661" s="784"/>
      <c r="AA661" s="784"/>
      <c r="AB661" s="784"/>
    </row>
    <row r="662" spans="3:28" ht="15.75" customHeight="1">
      <c r="C662" s="784"/>
      <c r="D662" s="784"/>
      <c r="E662" s="784"/>
      <c r="F662" s="784"/>
      <c r="G662" s="784"/>
      <c r="H662" s="784"/>
      <c r="I662" s="784"/>
      <c r="J662" s="784"/>
      <c r="K662" s="784"/>
      <c r="L662" s="784"/>
      <c r="M662" s="784"/>
      <c r="N662" s="784"/>
      <c r="O662" s="784"/>
      <c r="P662" s="784"/>
      <c r="Q662" s="784"/>
      <c r="R662" s="784"/>
      <c r="S662" s="784"/>
      <c r="T662" s="784"/>
      <c r="U662" s="784"/>
      <c r="V662" s="784"/>
      <c r="W662" s="784"/>
      <c r="X662" s="784"/>
      <c r="Y662" s="784"/>
      <c r="Z662" s="784"/>
      <c r="AA662" s="784"/>
      <c r="AB662" s="784"/>
    </row>
    <row r="663" spans="3:28" ht="15.75" customHeight="1">
      <c r="C663" s="784"/>
      <c r="D663" s="784"/>
      <c r="E663" s="784"/>
      <c r="F663" s="784"/>
      <c r="G663" s="784"/>
      <c r="H663" s="784"/>
      <c r="I663" s="784"/>
      <c r="J663" s="784"/>
      <c r="K663" s="784"/>
      <c r="L663" s="784"/>
      <c r="M663" s="784"/>
      <c r="N663" s="784"/>
      <c r="O663" s="784"/>
      <c r="P663" s="784"/>
      <c r="Q663" s="784"/>
      <c r="R663" s="784"/>
      <c r="S663" s="784"/>
      <c r="T663" s="784"/>
      <c r="U663" s="784"/>
      <c r="V663" s="784"/>
      <c r="W663" s="784"/>
      <c r="X663" s="784"/>
      <c r="Y663" s="784"/>
      <c r="Z663" s="784"/>
      <c r="AA663" s="784"/>
      <c r="AB663" s="784"/>
    </row>
    <row r="664" spans="3:28" ht="15.75" customHeight="1">
      <c r="C664" s="784"/>
      <c r="D664" s="784"/>
      <c r="E664" s="784"/>
      <c r="F664" s="784"/>
      <c r="G664" s="784"/>
      <c r="H664" s="784"/>
      <c r="I664" s="784"/>
      <c r="J664" s="784"/>
      <c r="K664" s="784"/>
      <c r="L664" s="784"/>
      <c r="M664" s="784"/>
      <c r="N664" s="784"/>
      <c r="O664" s="784"/>
      <c r="P664" s="784"/>
      <c r="Q664" s="784"/>
      <c r="R664" s="784"/>
      <c r="S664" s="784"/>
      <c r="T664" s="784"/>
      <c r="U664" s="784"/>
      <c r="V664" s="784"/>
      <c r="W664" s="784"/>
      <c r="X664" s="784"/>
      <c r="Y664" s="784"/>
      <c r="Z664" s="784"/>
      <c r="AA664" s="784"/>
      <c r="AB664" s="784"/>
    </row>
    <row r="665" spans="3:28" ht="15.75" customHeight="1">
      <c r="C665" s="784"/>
      <c r="D665" s="784"/>
      <c r="E665" s="784"/>
      <c r="F665" s="784"/>
      <c r="G665" s="784"/>
      <c r="H665" s="784"/>
      <c r="I665" s="784"/>
      <c r="J665" s="784"/>
      <c r="K665" s="784"/>
      <c r="L665" s="784"/>
      <c r="M665" s="784"/>
      <c r="N665" s="784"/>
      <c r="O665" s="784"/>
      <c r="P665" s="784"/>
      <c r="Q665" s="784"/>
      <c r="R665" s="784"/>
      <c r="S665" s="784"/>
      <c r="T665" s="784"/>
      <c r="U665" s="784"/>
      <c r="V665" s="784"/>
      <c r="W665" s="784"/>
      <c r="X665" s="784"/>
      <c r="Y665" s="784"/>
      <c r="Z665" s="784"/>
      <c r="AA665" s="784"/>
      <c r="AB665" s="784"/>
    </row>
    <row r="666" spans="3:28" ht="15.75" customHeight="1">
      <c r="C666" s="784"/>
      <c r="D666" s="784"/>
      <c r="E666" s="784"/>
      <c r="F666" s="784"/>
      <c r="G666" s="784"/>
      <c r="H666" s="784"/>
      <c r="I666" s="784"/>
      <c r="J666" s="784"/>
      <c r="K666" s="784"/>
      <c r="L666" s="784"/>
      <c r="M666" s="784"/>
      <c r="N666" s="784"/>
      <c r="O666" s="784"/>
      <c r="P666" s="784"/>
      <c r="Q666" s="784"/>
      <c r="R666" s="784"/>
      <c r="S666" s="784"/>
      <c r="T666" s="784"/>
      <c r="U666" s="784"/>
      <c r="V666" s="784"/>
      <c r="W666" s="784"/>
      <c r="X666" s="784"/>
      <c r="Y666" s="784"/>
      <c r="Z666" s="784"/>
      <c r="AA666" s="784"/>
      <c r="AB666" s="784"/>
    </row>
    <row r="667" spans="3:28" ht="15.75" customHeight="1">
      <c r="C667" s="784"/>
      <c r="D667" s="784"/>
      <c r="E667" s="784"/>
      <c r="F667" s="784"/>
      <c r="G667" s="784"/>
      <c r="H667" s="784"/>
      <c r="I667" s="784"/>
      <c r="J667" s="784"/>
      <c r="K667" s="784"/>
      <c r="L667" s="784"/>
      <c r="M667" s="784"/>
      <c r="N667" s="784"/>
      <c r="O667" s="784"/>
      <c r="P667" s="784"/>
      <c r="Q667" s="784"/>
      <c r="R667" s="784"/>
      <c r="S667" s="784"/>
      <c r="T667" s="784"/>
      <c r="U667" s="784"/>
      <c r="V667" s="784"/>
      <c r="W667" s="784"/>
      <c r="X667" s="784"/>
      <c r="Y667" s="784"/>
      <c r="Z667" s="784"/>
      <c r="AA667" s="784"/>
      <c r="AB667" s="784"/>
    </row>
    <row r="668" spans="3:28" ht="15.75" customHeight="1">
      <c r="C668" s="784"/>
      <c r="D668" s="784"/>
      <c r="E668" s="784"/>
      <c r="F668" s="784"/>
      <c r="G668" s="784"/>
      <c r="H668" s="784"/>
      <c r="I668" s="784"/>
      <c r="J668" s="784"/>
      <c r="K668" s="784"/>
      <c r="L668" s="784"/>
      <c r="M668" s="784"/>
      <c r="N668" s="784"/>
      <c r="O668" s="784"/>
      <c r="P668" s="784"/>
      <c r="Q668" s="784"/>
      <c r="R668" s="784"/>
      <c r="S668" s="784"/>
      <c r="T668" s="784"/>
      <c r="U668" s="784"/>
      <c r="V668" s="784"/>
      <c r="W668" s="784"/>
      <c r="X668" s="784"/>
      <c r="Y668" s="784"/>
      <c r="Z668" s="784"/>
      <c r="AA668" s="784"/>
      <c r="AB668" s="784"/>
    </row>
    <row r="669" spans="3:28" ht="15.75" customHeight="1">
      <c r="C669" s="784"/>
      <c r="D669" s="784"/>
      <c r="E669" s="784"/>
      <c r="F669" s="784"/>
      <c r="G669" s="784"/>
      <c r="H669" s="784"/>
      <c r="I669" s="784"/>
      <c r="J669" s="784"/>
      <c r="K669" s="784"/>
      <c r="L669" s="784"/>
      <c r="M669" s="784"/>
      <c r="N669" s="784"/>
      <c r="O669" s="784"/>
      <c r="P669" s="784"/>
      <c r="Q669" s="784"/>
      <c r="R669" s="784"/>
      <c r="S669" s="784"/>
      <c r="T669" s="784"/>
      <c r="U669" s="784"/>
      <c r="V669" s="784"/>
      <c r="W669" s="784"/>
      <c r="X669" s="784"/>
      <c r="Y669" s="784"/>
      <c r="Z669" s="784"/>
      <c r="AA669" s="784"/>
      <c r="AB669" s="784"/>
    </row>
    <row r="670" spans="3:28" ht="15.75" customHeight="1">
      <c r="C670" s="784"/>
      <c r="D670" s="784"/>
      <c r="E670" s="784"/>
      <c r="F670" s="784"/>
      <c r="G670" s="784"/>
      <c r="H670" s="784"/>
      <c r="I670" s="784"/>
      <c r="J670" s="784"/>
      <c r="K670" s="784"/>
      <c r="L670" s="784"/>
      <c r="M670" s="784"/>
      <c r="N670" s="784"/>
      <c r="O670" s="784"/>
      <c r="P670" s="784"/>
      <c r="Q670" s="784"/>
      <c r="R670" s="784"/>
      <c r="S670" s="784"/>
      <c r="T670" s="784"/>
      <c r="U670" s="784"/>
      <c r="V670" s="784"/>
      <c r="W670" s="784"/>
      <c r="X670" s="784"/>
      <c r="Y670" s="784"/>
      <c r="Z670" s="784"/>
      <c r="AA670" s="784"/>
      <c r="AB670" s="784"/>
    </row>
    <row r="671" spans="3:28" ht="15.75" customHeight="1">
      <c r="C671" s="784"/>
      <c r="D671" s="784"/>
      <c r="E671" s="784"/>
      <c r="F671" s="784"/>
      <c r="G671" s="784"/>
      <c r="H671" s="784"/>
      <c r="I671" s="784"/>
      <c r="J671" s="784"/>
      <c r="K671" s="784"/>
      <c r="L671" s="784"/>
      <c r="M671" s="784"/>
      <c r="N671" s="784"/>
      <c r="O671" s="784"/>
      <c r="P671" s="784"/>
      <c r="Q671" s="784"/>
      <c r="R671" s="784"/>
      <c r="S671" s="784"/>
      <c r="T671" s="784"/>
      <c r="U671" s="784"/>
      <c r="V671" s="784"/>
      <c r="W671" s="784"/>
      <c r="X671" s="784"/>
      <c r="Y671" s="784"/>
      <c r="Z671" s="784"/>
      <c r="AA671" s="784"/>
      <c r="AB671" s="784"/>
    </row>
    <row r="672" spans="3:28" ht="15.75" customHeight="1">
      <c r="C672" s="784"/>
      <c r="D672" s="784"/>
      <c r="E672" s="784"/>
      <c r="F672" s="784"/>
      <c r="G672" s="784"/>
      <c r="H672" s="784"/>
      <c r="I672" s="784"/>
      <c r="J672" s="784"/>
      <c r="K672" s="784"/>
      <c r="L672" s="784"/>
      <c r="M672" s="784"/>
      <c r="N672" s="784"/>
      <c r="O672" s="784"/>
      <c r="P672" s="784"/>
      <c r="Q672" s="784"/>
      <c r="R672" s="784"/>
      <c r="S672" s="784"/>
      <c r="T672" s="784"/>
      <c r="U672" s="784"/>
      <c r="V672" s="784"/>
      <c r="W672" s="784"/>
      <c r="X672" s="784"/>
      <c r="Y672" s="784"/>
      <c r="Z672" s="784"/>
      <c r="AA672" s="784"/>
      <c r="AB672" s="784"/>
    </row>
    <row r="673" spans="3:28" ht="15.75" customHeight="1">
      <c r="C673" s="784"/>
      <c r="D673" s="784"/>
      <c r="E673" s="784"/>
      <c r="F673" s="784"/>
      <c r="G673" s="784"/>
      <c r="H673" s="784"/>
      <c r="I673" s="784"/>
      <c r="J673" s="784"/>
      <c r="K673" s="784"/>
      <c r="L673" s="784"/>
      <c r="M673" s="784"/>
      <c r="N673" s="784"/>
      <c r="O673" s="784"/>
      <c r="P673" s="784"/>
      <c r="Q673" s="784"/>
      <c r="R673" s="784"/>
      <c r="S673" s="784"/>
      <c r="T673" s="784"/>
      <c r="U673" s="784"/>
      <c r="V673" s="784"/>
      <c r="W673" s="784"/>
      <c r="X673" s="784"/>
      <c r="Y673" s="784"/>
      <c r="Z673" s="784"/>
      <c r="AA673" s="784"/>
      <c r="AB673" s="784"/>
    </row>
    <row r="674" spans="3:28" ht="15.75" customHeight="1">
      <c r="C674" s="784"/>
      <c r="D674" s="784"/>
      <c r="E674" s="784"/>
      <c r="F674" s="784"/>
      <c r="G674" s="784"/>
      <c r="H674" s="784"/>
      <c r="I674" s="784"/>
      <c r="J674" s="784"/>
      <c r="K674" s="784"/>
      <c r="L674" s="784"/>
      <c r="M674" s="784"/>
      <c r="N674" s="784"/>
      <c r="O674" s="784"/>
      <c r="P674" s="784"/>
      <c r="Q674" s="784"/>
      <c r="R674" s="784"/>
      <c r="S674" s="784"/>
      <c r="T674" s="784"/>
      <c r="U674" s="784"/>
      <c r="V674" s="784"/>
      <c r="W674" s="784"/>
      <c r="X674" s="784"/>
      <c r="Y674" s="784"/>
      <c r="Z674" s="784"/>
      <c r="AA674" s="784"/>
      <c r="AB674" s="784"/>
    </row>
    <row r="675" spans="3:28" ht="15.75" customHeight="1">
      <c r="C675" s="784"/>
      <c r="D675" s="784"/>
      <c r="E675" s="784"/>
      <c r="F675" s="784"/>
      <c r="G675" s="784"/>
      <c r="H675" s="784"/>
      <c r="I675" s="784"/>
      <c r="J675" s="784"/>
      <c r="K675" s="784"/>
      <c r="L675" s="784"/>
      <c r="M675" s="784"/>
      <c r="N675" s="784"/>
      <c r="O675" s="784"/>
      <c r="P675" s="784"/>
      <c r="Q675" s="784"/>
      <c r="R675" s="784"/>
      <c r="S675" s="784"/>
      <c r="T675" s="784"/>
      <c r="U675" s="784"/>
      <c r="V675" s="784"/>
      <c r="W675" s="784"/>
      <c r="X675" s="784"/>
      <c r="Y675" s="784"/>
      <c r="Z675" s="784"/>
      <c r="AA675" s="784"/>
      <c r="AB675" s="784"/>
    </row>
    <row r="676" spans="3:28" ht="15.75" customHeight="1">
      <c r="C676" s="784"/>
      <c r="D676" s="784"/>
      <c r="E676" s="784"/>
      <c r="F676" s="784"/>
      <c r="G676" s="784"/>
      <c r="H676" s="784"/>
      <c r="I676" s="784"/>
      <c r="J676" s="784"/>
      <c r="K676" s="784"/>
      <c r="L676" s="784"/>
      <c r="M676" s="784"/>
      <c r="N676" s="784"/>
      <c r="O676" s="784"/>
      <c r="P676" s="784"/>
      <c r="Q676" s="784"/>
      <c r="R676" s="784"/>
      <c r="S676" s="784"/>
      <c r="T676" s="784"/>
      <c r="U676" s="784"/>
      <c r="V676" s="784"/>
      <c r="W676" s="784"/>
      <c r="X676" s="784"/>
      <c r="Y676" s="784"/>
      <c r="Z676" s="784"/>
      <c r="AA676" s="784"/>
      <c r="AB676" s="784"/>
    </row>
    <row r="677" spans="3:28" ht="15.75" customHeight="1">
      <c r="C677" s="784"/>
      <c r="D677" s="784"/>
      <c r="E677" s="784"/>
      <c r="F677" s="784"/>
      <c r="G677" s="784"/>
      <c r="H677" s="784"/>
      <c r="I677" s="784"/>
      <c r="J677" s="784"/>
      <c r="K677" s="784"/>
      <c r="L677" s="784"/>
      <c r="M677" s="784"/>
      <c r="N677" s="784"/>
      <c r="O677" s="784"/>
      <c r="P677" s="784"/>
      <c r="Q677" s="784"/>
      <c r="R677" s="784"/>
      <c r="S677" s="784"/>
      <c r="T677" s="784"/>
      <c r="U677" s="784"/>
      <c r="V677" s="784"/>
      <c r="W677" s="784"/>
      <c r="X677" s="784"/>
      <c r="Y677" s="784"/>
      <c r="Z677" s="784"/>
      <c r="AA677" s="784"/>
      <c r="AB677" s="784"/>
    </row>
    <row r="678" spans="3:28" ht="15.75" customHeight="1">
      <c r="C678" s="784"/>
      <c r="D678" s="784"/>
      <c r="E678" s="784"/>
      <c r="F678" s="784"/>
      <c r="G678" s="784"/>
      <c r="H678" s="784"/>
      <c r="I678" s="784"/>
      <c r="J678" s="784"/>
      <c r="K678" s="784"/>
      <c r="L678" s="784"/>
      <c r="M678" s="784"/>
      <c r="N678" s="784"/>
      <c r="O678" s="784"/>
      <c r="P678" s="784"/>
      <c r="Q678" s="784"/>
      <c r="R678" s="784"/>
      <c r="S678" s="784"/>
      <c r="T678" s="784"/>
      <c r="U678" s="784"/>
      <c r="V678" s="784"/>
      <c r="W678" s="784"/>
      <c r="X678" s="784"/>
      <c r="Y678" s="784"/>
      <c r="Z678" s="784"/>
      <c r="AA678" s="784"/>
      <c r="AB678" s="784"/>
    </row>
    <row r="679" spans="3:28" ht="15.75" customHeight="1">
      <c r="C679" s="784"/>
      <c r="D679" s="784"/>
      <c r="E679" s="784"/>
      <c r="F679" s="784"/>
      <c r="G679" s="784"/>
      <c r="H679" s="784"/>
      <c r="I679" s="784"/>
      <c r="J679" s="784"/>
      <c r="K679" s="784"/>
      <c r="L679" s="784"/>
      <c r="M679" s="784"/>
      <c r="N679" s="784"/>
      <c r="O679" s="784"/>
      <c r="P679" s="784"/>
      <c r="Q679" s="784"/>
      <c r="R679" s="784"/>
      <c r="S679" s="784"/>
      <c r="T679" s="784"/>
      <c r="U679" s="784"/>
      <c r="V679" s="784"/>
      <c r="W679" s="784"/>
      <c r="X679" s="784"/>
      <c r="Y679" s="784"/>
      <c r="Z679" s="784"/>
      <c r="AA679" s="784"/>
      <c r="AB679" s="784"/>
    </row>
    <row r="680" spans="3:28" ht="15.75" customHeight="1">
      <c r="C680" s="784"/>
      <c r="D680" s="784"/>
      <c r="E680" s="784"/>
      <c r="F680" s="784"/>
      <c r="G680" s="784"/>
      <c r="H680" s="784"/>
      <c r="I680" s="784"/>
      <c r="J680" s="784"/>
      <c r="K680" s="784"/>
      <c r="L680" s="784"/>
      <c r="M680" s="784"/>
      <c r="N680" s="784"/>
      <c r="O680" s="784"/>
      <c r="P680" s="784"/>
      <c r="Q680" s="784"/>
      <c r="R680" s="784"/>
      <c r="S680" s="784"/>
      <c r="T680" s="784"/>
      <c r="U680" s="784"/>
      <c r="V680" s="784"/>
      <c r="W680" s="784"/>
      <c r="X680" s="784"/>
      <c r="Y680" s="784"/>
      <c r="Z680" s="784"/>
      <c r="AA680" s="784"/>
      <c r="AB680" s="784"/>
    </row>
    <row r="681" spans="3:28" ht="15.75" customHeight="1">
      <c r="C681" s="784"/>
      <c r="D681" s="784"/>
      <c r="E681" s="784"/>
      <c r="F681" s="784"/>
      <c r="G681" s="784"/>
      <c r="H681" s="784"/>
      <c r="I681" s="784"/>
      <c r="J681" s="784"/>
      <c r="K681" s="784"/>
      <c r="L681" s="784"/>
      <c r="M681" s="784"/>
      <c r="N681" s="784"/>
      <c r="O681" s="784"/>
      <c r="P681" s="784"/>
      <c r="Q681" s="784"/>
      <c r="R681" s="784"/>
      <c r="S681" s="784"/>
      <c r="T681" s="784"/>
      <c r="U681" s="784"/>
      <c r="V681" s="784"/>
      <c r="W681" s="784"/>
      <c r="X681" s="784"/>
      <c r="Y681" s="784"/>
      <c r="Z681" s="784"/>
      <c r="AA681" s="784"/>
      <c r="AB681" s="784"/>
    </row>
    <row r="682" spans="3:28" ht="15.75" customHeight="1">
      <c r="C682" s="784"/>
      <c r="D682" s="784"/>
      <c r="E682" s="784"/>
      <c r="F682" s="784"/>
      <c r="G682" s="784"/>
      <c r="H682" s="784"/>
      <c r="I682" s="784"/>
      <c r="J682" s="784"/>
      <c r="K682" s="784"/>
      <c r="L682" s="784"/>
      <c r="M682" s="784"/>
      <c r="N682" s="784"/>
      <c r="O682" s="784"/>
      <c r="P682" s="784"/>
      <c r="Q682" s="784"/>
      <c r="R682" s="784"/>
      <c r="S682" s="784"/>
      <c r="T682" s="784"/>
      <c r="U682" s="784"/>
      <c r="V682" s="784"/>
      <c r="W682" s="784"/>
      <c r="X682" s="784"/>
      <c r="Y682" s="784"/>
      <c r="Z682" s="784"/>
      <c r="AA682" s="784"/>
      <c r="AB682" s="784"/>
    </row>
    <row r="683" spans="3:28" ht="15.75" customHeight="1">
      <c r="C683" s="784"/>
      <c r="D683" s="784"/>
      <c r="E683" s="784"/>
      <c r="F683" s="784"/>
      <c r="G683" s="784"/>
      <c r="H683" s="784"/>
      <c r="I683" s="784"/>
      <c r="J683" s="784"/>
      <c r="K683" s="784"/>
      <c r="L683" s="784"/>
      <c r="M683" s="784"/>
      <c r="N683" s="784"/>
      <c r="O683" s="784"/>
      <c r="P683" s="784"/>
      <c r="Q683" s="784"/>
      <c r="R683" s="784"/>
      <c r="S683" s="784"/>
      <c r="T683" s="784"/>
      <c r="U683" s="784"/>
      <c r="V683" s="784"/>
      <c r="W683" s="784"/>
      <c r="X683" s="784"/>
      <c r="Y683" s="784"/>
      <c r="Z683" s="784"/>
      <c r="AA683" s="784"/>
      <c r="AB683" s="784"/>
    </row>
    <row r="684" spans="3:28" ht="15.75" customHeight="1">
      <c r="C684" s="784"/>
      <c r="D684" s="784"/>
      <c r="E684" s="784"/>
      <c r="F684" s="784"/>
      <c r="G684" s="784"/>
      <c r="H684" s="784"/>
      <c r="I684" s="784"/>
      <c r="J684" s="784"/>
      <c r="K684" s="784"/>
      <c r="L684" s="784"/>
      <c r="M684" s="784"/>
      <c r="N684" s="784"/>
      <c r="O684" s="784"/>
      <c r="P684" s="784"/>
      <c r="Q684" s="784"/>
      <c r="R684" s="784"/>
      <c r="S684" s="784"/>
      <c r="T684" s="784"/>
      <c r="U684" s="784"/>
      <c r="V684" s="784"/>
      <c r="W684" s="784"/>
      <c r="X684" s="784"/>
      <c r="Y684" s="784"/>
      <c r="Z684" s="784"/>
      <c r="AA684" s="784"/>
      <c r="AB684" s="784"/>
    </row>
    <row r="685" spans="3:28" ht="15.75" customHeight="1">
      <c r="C685" s="784"/>
      <c r="D685" s="784"/>
      <c r="E685" s="784"/>
      <c r="F685" s="784"/>
      <c r="G685" s="784"/>
      <c r="H685" s="784"/>
      <c r="I685" s="784"/>
      <c r="J685" s="784"/>
      <c r="K685" s="784"/>
      <c r="L685" s="784"/>
      <c r="M685" s="784"/>
      <c r="N685" s="784"/>
      <c r="O685" s="784"/>
      <c r="P685" s="784"/>
      <c r="Q685" s="784"/>
      <c r="R685" s="784"/>
      <c r="S685" s="784"/>
      <c r="T685" s="784"/>
      <c r="U685" s="784"/>
      <c r="V685" s="784"/>
      <c r="W685" s="784"/>
      <c r="X685" s="784"/>
      <c r="Y685" s="784"/>
      <c r="Z685" s="784"/>
      <c r="AA685" s="784"/>
      <c r="AB685" s="784"/>
    </row>
    <row r="686" spans="3:28" ht="15.75" customHeight="1">
      <c r="C686" s="784"/>
      <c r="D686" s="784"/>
      <c r="E686" s="784"/>
      <c r="F686" s="784"/>
      <c r="G686" s="784"/>
      <c r="H686" s="784"/>
      <c r="I686" s="784"/>
      <c r="J686" s="784"/>
      <c r="K686" s="784"/>
      <c r="L686" s="784"/>
      <c r="M686" s="784"/>
      <c r="N686" s="784"/>
      <c r="O686" s="784"/>
      <c r="P686" s="784"/>
      <c r="Q686" s="784"/>
      <c r="R686" s="784"/>
      <c r="S686" s="784"/>
      <c r="T686" s="784"/>
      <c r="U686" s="784"/>
      <c r="V686" s="784"/>
      <c r="W686" s="784"/>
      <c r="X686" s="784"/>
      <c r="Y686" s="784"/>
      <c r="Z686" s="784"/>
      <c r="AA686" s="784"/>
      <c r="AB686" s="784"/>
    </row>
    <row r="687" spans="3:28" ht="15.75" customHeight="1">
      <c r="C687" s="784"/>
      <c r="D687" s="784"/>
      <c r="E687" s="784"/>
      <c r="F687" s="784"/>
      <c r="G687" s="784"/>
      <c r="H687" s="784"/>
      <c r="I687" s="784"/>
      <c r="J687" s="784"/>
      <c r="K687" s="784"/>
      <c r="L687" s="784"/>
      <c r="M687" s="784"/>
      <c r="N687" s="784"/>
      <c r="O687" s="784"/>
      <c r="P687" s="784"/>
      <c r="Q687" s="784"/>
      <c r="R687" s="784"/>
      <c r="S687" s="784"/>
      <c r="T687" s="784"/>
      <c r="U687" s="784"/>
      <c r="V687" s="784"/>
      <c r="W687" s="784"/>
      <c r="X687" s="784"/>
      <c r="Y687" s="784"/>
      <c r="Z687" s="784"/>
      <c r="AA687" s="784"/>
      <c r="AB687" s="784"/>
    </row>
    <row r="688" spans="3:28" ht="15.75" customHeight="1">
      <c r="C688" s="784"/>
      <c r="D688" s="784"/>
      <c r="E688" s="784"/>
      <c r="F688" s="784"/>
      <c r="G688" s="784"/>
      <c r="H688" s="784"/>
      <c r="I688" s="784"/>
      <c r="J688" s="784"/>
      <c r="K688" s="784"/>
      <c r="L688" s="784"/>
      <c r="M688" s="784"/>
      <c r="N688" s="784"/>
      <c r="O688" s="784"/>
      <c r="P688" s="784"/>
      <c r="Q688" s="784"/>
      <c r="R688" s="784"/>
      <c r="S688" s="784"/>
      <c r="T688" s="784"/>
      <c r="U688" s="784"/>
      <c r="V688" s="784"/>
      <c r="W688" s="784"/>
      <c r="X688" s="784"/>
      <c r="Y688" s="784"/>
      <c r="Z688" s="784"/>
      <c r="AA688" s="784"/>
      <c r="AB688" s="784"/>
    </row>
    <row r="689" spans="3:28" ht="15.75" customHeight="1">
      <c r="C689" s="784"/>
      <c r="D689" s="784"/>
      <c r="E689" s="784"/>
      <c r="F689" s="784"/>
      <c r="G689" s="784"/>
      <c r="H689" s="784"/>
      <c r="I689" s="784"/>
      <c r="J689" s="784"/>
      <c r="K689" s="784"/>
      <c r="L689" s="784"/>
      <c r="M689" s="784"/>
      <c r="N689" s="784"/>
      <c r="O689" s="784"/>
      <c r="P689" s="784"/>
      <c r="Q689" s="784"/>
      <c r="R689" s="784"/>
      <c r="S689" s="784"/>
      <c r="T689" s="784"/>
      <c r="U689" s="784"/>
      <c r="V689" s="784"/>
      <c r="W689" s="784"/>
      <c r="X689" s="784"/>
      <c r="Y689" s="784"/>
      <c r="Z689" s="784"/>
      <c r="AA689" s="784"/>
      <c r="AB689" s="784"/>
    </row>
    <row r="690" spans="3:28" ht="15.75" customHeight="1">
      <c r="C690" s="784"/>
      <c r="D690" s="784"/>
      <c r="E690" s="784"/>
      <c r="F690" s="784"/>
      <c r="G690" s="784"/>
      <c r="H690" s="784"/>
      <c r="I690" s="784"/>
      <c r="J690" s="784"/>
      <c r="K690" s="784"/>
      <c r="L690" s="784"/>
      <c r="M690" s="784"/>
      <c r="N690" s="784"/>
      <c r="O690" s="784"/>
      <c r="P690" s="784"/>
      <c r="Q690" s="784"/>
      <c r="R690" s="784"/>
      <c r="S690" s="784"/>
      <c r="T690" s="784"/>
      <c r="U690" s="784"/>
      <c r="V690" s="784"/>
      <c r="W690" s="784"/>
      <c r="X690" s="784"/>
      <c r="Y690" s="784"/>
      <c r="Z690" s="784"/>
      <c r="AA690" s="784"/>
      <c r="AB690" s="784"/>
    </row>
    <row r="691" spans="3:28" ht="15.75" customHeight="1">
      <c r="C691" s="784"/>
      <c r="D691" s="784"/>
      <c r="E691" s="784"/>
      <c r="F691" s="784"/>
      <c r="G691" s="784"/>
      <c r="H691" s="784"/>
      <c r="I691" s="784"/>
      <c r="J691" s="784"/>
      <c r="K691" s="784"/>
      <c r="L691" s="784"/>
      <c r="M691" s="784"/>
      <c r="N691" s="784"/>
      <c r="O691" s="784"/>
      <c r="P691" s="784"/>
      <c r="Q691" s="784"/>
      <c r="R691" s="784"/>
      <c r="S691" s="784"/>
      <c r="T691" s="784"/>
      <c r="U691" s="784"/>
      <c r="V691" s="784"/>
      <c r="W691" s="784"/>
      <c r="X691" s="784"/>
      <c r="Y691" s="784"/>
      <c r="Z691" s="784"/>
      <c r="AA691" s="784"/>
      <c r="AB691" s="784"/>
    </row>
    <row r="692" spans="3:28" ht="15.75" customHeight="1">
      <c r="C692" s="784"/>
      <c r="D692" s="784"/>
      <c r="E692" s="784"/>
      <c r="F692" s="784"/>
      <c r="G692" s="784"/>
      <c r="H692" s="784"/>
      <c r="I692" s="784"/>
      <c r="J692" s="784"/>
      <c r="K692" s="784"/>
      <c r="L692" s="784"/>
      <c r="M692" s="784"/>
      <c r="N692" s="784"/>
      <c r="O692" s="784"/>
      <c r="P692" s="784"/>
      <c r="Q692" s="784"/>
      <c r="R692" s="784"/>
      <c r="S692" s="784"/>
      <c r="T692" s="784"/>
      <c r="U692" s="784"/>
      <c r="V692" s="784"/>
      <c r="W692" s="784"/>
      <c r="X692" s="784"/>
      <c r="Y692" s="784"/>
      <c r="Z692" s="784"/>
      <c r="AA692" s="784"/>
      <c r="AB692" s="784"/>
    </row>
    <row r="693" spans="3:28" ht="15.75" customHeight="1">
      <c r="C693" s="784"/>
      <c r="D693" s="784"/>
      <c r="E693" s="784"/>
      <c r="F693" s="784"/>
      <c r="G693" s="784"/>
      <c r="H693" s="784"/>
      <c r="I693" s="784"/>
      <c r="J693" s="784"/>
      <c r="K693" s="784"/>
      <c r="L693" s="784"/>
      <c r="M693" s="784"/>
      <c r="N693" s="784"/>
      <c r="O693" s="784"/>
      <c r="P693" s="784"/>
      <c r="Q693" s="784"/>
      <c r="R693" s="784"/>
      <c r="S693" s="784"/>
      <c r="T693" s="784"/>
      <c r="U693" s="784"/>
      <c r="V693" s="784"/>
      <c r="W693" s="784"/>
      <c r="X693" s="784"/>
      <c r="Y693" s="784"/>
      <c r="Z693" s="784"/>
      <c r="AA693" s="784"/>
      <c r="AB693" s="784"/>
    </row>
    <row r="694" spans="3:28" ht="15.75" customHeight="1">
      <c r="C694" s="784"/>
      <c r="D694" s="784"/>
      <c r="E694" s="784"/>
      <c r="F694" s="784"/>
      <c r="G694" s="784"/>
      <c r="H694" s="784"/>
      <c r="I694" s="784"/>
      <c r="J694" s="784"/>
      <c r="K694" s="784"/>
      <c r="L694" s="784"/>
      <c r="M694" s="784"/>
      <c r="N694" s="784"/>
      <c r="O694" s="784"/>
      <c r="P694" s="784"/>
      <c r="Q694" s="784"/>
      <c r="R694" s="784"/>
      <c r="S694" s="784"/>
      <c r="T694" s="784"/>
      <c r="U694" s="784"/>
      <c r="V694" s="784"/>
      <c r="W694" s="784"/>
      <c r="X694" s="784"/>
      <c r="Y694" s="784"/>
      <c r="Z694" s="784"/>
      <c r="AA694" s="784"/>
      <c r="AB694" s="784"/>
    </row>
    <row r="695" spans="3:28" ht="15.75" customHeight="1">
      <c r="C695" s="784"/>
      <c r="D695" s="784"/>
      <c r="E695" s="784"/>
      <c r="F695" s="784"/>
      <c r="G695" s="784"/>
      <c r="H695" s="784"/>
      <c r="I695" s="784"/>
      <c r="J695" s="784"/>
      <c r="K695" s="784"/>
      <c r="L695" s="784"/>
      <c r="M695" s="784"/>
      <c r="N695" s="784"/>
      <c r="O695" s="784"/>
      <c r="P695" s="784"/>
      <c r="Q695" s="784"/>
      <c r="R695" s="784"/>
      <c r="S695" s="784"/>
      <c r="T695" s="784"/>
      <c r="U695" s="784"/>
      <c r="V695" s="784"/>
      <c r="W695" s="784"/>
      <c r="X695" s="784"/>
      <c r="Y695" s="784"/>
      <c r="Z695" s="784"/>
      <c r="AA695" s="784"/>
      <c r="AB695" s="784"/>
    </row>
    <row r="696" spans="3:28" ht="15.75" customHeight="1">
      <c r="C696" s="784"/>
      <c r="D696" s="784"/>
      <c r="E696" s="784"/>
      <c r="F696" s="784"/>
      <c r="G696" s="784"/>
      <c r="H696" s="784"/>
      <c r="I696" s="784"/>
      <c r="J696" s="784"/>
      <c r="K696" s="784"/>
      <c r="L696" s="784"/>
      <c r="M696" s="784"/>
      <c r="N696" s="784"/>
      <c r="O696" s="784"/>
      <c r="P696" s="784"/>
      <c r="Q696" s="784"/>
      <c r="R696" s="784"/>
      <c r="S696" s="784"/>
      <c r="T696" s="784"/>
      <c r="U696" s="784"/>
      <c r="V696" s="784"/>
      <c r="W696" s="784"/>
      <c r="X696" s="784"/>
      <c r="Y696" s="784"/>
      <c r="Z696" s="784"/>
      <c r="AA696" s="784"/>
      <c r="AB696" s="784"/>
    </row>
    <row r="697" spans="3:28" ht="15.75" customHeight="1">
      <c r="C697" s="784"/>
      <c r="D697" s="784"/>
      <c r="E697" s="784"/>
      <c r="F697" s="784"/>
      <c r="G697" s="784"/>
      <c r="H697" s="784"/>
      <c r="I697" s="784"/>
      <c r="J697" s="784"/>
      <c r="K697" s="784"/>
      <c r="L697" s="784"/>
      <c r="M697" s="784"/>
      <c r="N697" s="784"/>
      <c r="O697" s="784"/>
      <c r="P697" s="784"/>
      <c r="Q697" s="784"/>
      <c r="R697" s="784"/>
      <c r="S697" s="784"/>
      <c r="T697" s="784"/>
      <c r="U697" s="784"/>
      <c r="V697" s="784"/>
      <c r="W697" s="784"/>
      <c r="X697" s="784"/>
      <c r="Y697" s="784"/>
      <c r="Z697" s="784"/>
      <c r="AA697" s="784"/>
      <c r="AB697" s="784"/>
    </row>
    <row r="698" spans="3:28" ht="15.75" customHeight="1">
      <c r="C698" s="784"/>
      <c r="D698" s="784"/>
      <c r="E698" s="784"/>
      <c r="F698" s="784"/>
      <c r="G698" s="784"/>
      <c r="H698" s="784"/>
      <c r="I698" s="784"/>
      <c r="J698" s="784"/>
      <c r="K698" s="784"/>
      <c r="L698" s="784"/>
      <c r="M698" s="784"/>
      <c r="N698" s="784"/>
      <c r="O698" s="784"/>
      <c r="P698" s="784"/>
      <c r="Q698" s="784"/>
      <c r="R698" s="784"/>
      <c r="S698" s="784"/>
      <c r="T698" s="784"/>
      <c r="U698" s="784"/>
      <c r="V698" s="784"/>
      <c r="W698" s="784"/>
      <c r="X698" s="784"/>
      <c r="Y698" s="784"/>
      <c r="Z698" s="784"/>
      <c r="AA698" s="784"/>
      <c r="AB698" s="784"/>
    </row>
    <row r="699" spans="3:28" ht="15.75" customHeight="1">
      <c r="C699" s="784"/>
      <c r="D699" s="784"/>
      <c r="E699" s="784"/>
      <c r="F699" s="784"/>
      <c r="G699" s="784"/>
      <c r="H699" s="784"/>
      <c r="I699" s="784"/>
      <c r="J699" s="784"/>
      <c r="K699" s="784"/>
      <c r="L699" s="784"/>
      <c r="M699" s="784"/>
      <c r="N699" s="784"/>
      <c r="O699" s="784"/>
      <c r="P699" s="784"/>
      <c r="Q699" s="784"/>
      <c r="R699" s="784"/>
      <c r="S699" s="784"/>
      <c r="T699" s="784"/>
      <c r="U699" s="784"/>
      <c r="V699" s="784"/>
      <c r="W699" s="784"/>
      <c r="X699" s="784"/>
      <c r="Y699" s="784"/>
      <c r="Z699" s="784"/>
      <c r="AA699" s="784"/>
      <c r="AB699" s="784"/>
    </row>
    <row r="700" spans="3:28" ht="15.75" customHeight="1">
      <c r="C700" s="784"/>
      <c r="D700" s="784"/>
      <c r="E700" s="784"/>
      <c r="F700" s="784"/>
      <c r="G700" s="784"/>
      <c r="H700" s="784"/>
      <c r="I700" s="784"/>
      <c r="J700" s="784"/>
      <c r="K700" s="784"/>
      <c r="L700" s="784"/>
      <c r="M700" s="784"/>
      <c r="N700" s="784"/>
      <c r="O700" s="784"/>
      <c r="P700" s="784"/>
      <c r="Q700" s="784"/>
      <c r="R700" s="784"/>
      <c r="S700" s="784"/>
      <c r="T700" s="784"/>
      <c r="U700" s="784"/>
      <c r="V700" s="784"/>
      <c r="W700" s="784"/>
      <c r="X700" s="784"/>
      <c r="Y700" s="784"/>
      <c r="Z700" s="784"/>
      <c r="AA700" s="784"/>
      <c r="AB700" s="784"/>
    </row>
    <row r="701" spans="3:28" ht="15.75" customHeight="1">
      <c r="C701" s="784"/>
      <c r="D701" s="784"/>
      <c r="E701" s="784"/>
      <c r="F701" s="784"/>
      <c r="G701" s="784"/>
      <c r="H701" s="784"/>
      <c r="I701" s="784"/>
      <c r="J701" s="784"/>
      <c r="K701" s="784"/>
      <c r="L701" s="784"/>
      <c r="M701" s="784"/>
      <c r="N701" s="784"/>
      <c r="O701" s="784"/>
      <c r="P701" s="784"/>
      <c r="Q701" s="784"/>
      <c r="R701" s="784"/>
      <c r="S701" s="784"/>
      <c r="T701" s="784"/>
      <c r="U701" s="784"/>
      <c r="V701" s="784"/>
      <c r="W701" s="784"/>
      <c r="X701" s="784"/>
      <c r="Y701" s="784"/>
      <c r="Z701" s="784"/>
      <c r="AA701" s="784"/>
      <c r="AB701" s="784"/>
    </row>
    <row r="702" spans="3:28" ht="15.75" customHeight="1">
      <c r="C702" s="784"/>
      <c r="D702" s="784"/>
      <c r="E702" s="784"/>
      <c r="F702" s="784"/>
      <c r="G702" s="784"/>
      <c r="H702" s="784"/>
      <c r="I702" s="784"/>
      <c r="J702" s="784"/>
      <c r="K702" s="784"/>
      <c r="L702" s="784"/>
      <c r="M702" s="784"/>
      <c r="N702" s="784"/>
      <c r="O702" s="784"/>
      <c r="P702" s="784"/>
      <c r="Q702" s="784"/>
      <c r="R702" s="784"/>
      <c r="S702" s="784"/>
      <c r="T702" s="784"/>
      <c r="U702" s="784"/>
      <c r="V702" s="784"/>
      <c r="W702" s="784"/>
      <c r="X702" s="784"/>
      <c r="Y702" s="784"/>
      <c r="Z702" s="784"/>
      <c r="AA702" s="784"/>
      <c r="AB702" s="784"/>
    </row>
    <row r="703" spans="3:28" ht="15.75" customHeight="1">
      <c r="C703" s="784"/>
      <c r="D703" s="784"/>
      <c r="E703" s="784"/>
      <c r="F703" s="784"/>
      <c r="G703" s="784"/>
      <c r="H703" s="784"/>
      <c r="I703" s="784"/>
      <c r="J703" s="784"/>
      <c r="K703" s="784"/>
      <c r="L703" s="784"/>
      <c r="M703" s="784"/>
      <c r="N703" s="784"/>
      <c r="O703" s="784"/>
      <c r="P703" s="784"/>
      <c r="Q703" s="784"/>
      <c r="R703" s="784"/>
      <c r="S703" s="784"/>
      <c r="T703" s="784"/>
      <c r="U703" s="784"/>
      <c r="V703" s="784"/>
      <c r="W703" s="784"/>
      <c r="X703" s="784"/>
      <c r="Y703" s="784"/>
      <c r="Z703" s="784"/>
      <c r="AA703" s="784"/>
      <c r="AB703" s="784"/>
    </row>
    <row r="704" spans="3:28" ht="15.75" customHeight="1">
      <c r="C704" s="784"/>
      <c r="D704" s="784"/>
      <c r="E704" s="784"/>
      <c r="F704" s="784"/>
      <c r="G704" s="784"/>
      <c r="H704" s="784"/>
      <c r="I704" s="784"/>
      <c r="J704" s="784"/>
      <c r="K704" s="784"/>
      <c r="L704" s="784"/>
      <c r="M704" s="784"/>
      <c r="N704" s="784"/>
      <c r="O704" s="784"/>
      <c r="P704" s="784"/>
      <c r="Q704" s="784"/>
      <c r="R704" s="784"/>
      <c r="S704" s="784"/>
      <c r="T704" s="784"/>
      <c r="U704" s="784"/>
      <c r="V704" s="784"/>
      <c r="W704" s="784"/>
      <c r="X704" s="784"/>
      <c r="Y704" s="784"/>
      <c r="Z704" s="784"/>
      <c r="AA704" s="784"/>
      <c r="AB704" s="784"/>
    </row>
    <row r="705" spans="3:28" ht="15.75" customHeight="1">
      <c r="C705" s="784"/>
      <c r="D705" s="784"/>
      <c r="E705" s="784"/>
      <c r="F705" s="784"/>
      <c r="G705" s="784"/>
      <c r="H705" s="784"/>
      <c r="I705" s="784"/>
      <c r="J705" s="784"/>
      <c r="K705" s="784"/>
      <c r="L705" s="784"/>
      <c r="M705" s="784"/>
      <c r="N705" s="784"/>
      <c r="O705" s="784"/>
      <c r="P705" s="784"/>
      <c r="Q705" s="784"/>
      <c r="R705" s="784"/>
      <c r="S705" s="784"/>
      <c r="T705" s="784"/>
      <c r="U705" s="784"/>
      <c r="V705" s="784"/>
      <c r="W705" s="784"/>
      <c r="X705" s="784"/>
      <c r="Y705" s="784"/>
      <c r="Z705" s="784"/>
      <c r="AA705" s="784"/>
      <c r="AB705" s="784"/>
    </row>
    <row r="706" spans="3:28" ht="15.75" customHeight="1">
      <c r="C706" s="784"/>
      <c r="D706" s="784"/>
      <c r="E706" s="784"/>
      <c r="F706" s="784"/>
      <c r="G706" s="784"/>
      <c r="H706" s="784"/>
      <c r="I706" s="784"/>
      <c r="J706" s="784"/>
      <c r="K706" s="784"/>
      <c r="L706" s="784"/>
      <c r="M706" s="784"/>
      <c r="N706" s="784"/>
      <c r="O706" s="784"/>
      <c r="P706" s="784"/>
      <c r="Q706" s="784"/>
      <c r="R706" s="784"/>
      <c r="S706" s="784"/>
      <c r="T706" s="784"/>
      <c r="U706" s="784"/>
      <c r="V706" s="784"/>
      <c r="W706" s="784"/>
      <c r="X706" s="784"/>
      <c r="Y706" s="784"/>
      <c r="Z706" s="784"/>
      <c r="AA706" s="784"/>
      <c r="AB706" s="784"/>
    </row>
    <row r="707" spans="3:28" ht="15.75" customHeight="1">
      <c r="C707" s="784"/>
      <c r="D707" s="784"/>
      <c r="E707" s="784"/>
      <c r="F707" s="784"/>
      <c r="G707" s="784"/>
      <c r="H707" s="784"/>
      <c r="I707" s="784"/>
      <c r="J707" s="784"/>
      <c r="K707" s="784"/>
      <c r="L707" s="784"/>
      <c r="M707" s="784"/>
      <c r="N707" s="784"/>
      <c r="O707" s="784"/>
      <c r="P707" s="784"/>
      <c r="Q707" s="784"/>
      <c r="R707" s="784"/>
      <c r="S707" s="784"/>
      <c r="T707" s="784"/>
      <c r="U707" s="784"/>
      <c r="V707" s="784"/>
      <c r="W707" s="784"/>
      <c r="X707" s="784"/>
      <c r="Y707" s="784"/>
      <c r="Z707" s="784"/>
      <c r="AA707" s="784"/>
      <c r="AB707" s="784"/>
    </row>
    <row r="708" spans="3:28" ht="15.75" customHeight="1">
      <c r="C708" s="784"/>
      <c r="D708" s="784"/>
      <c r="E708" s="784"/>
      <c r="F708" s="784"/>
      <c r="G708" s="784"/>
      <c r="H708" s="784"/>
      <c r="I708" s="784"/>
      <c r="J708" s="784"/>
      <c r="K708" s="784"/>
      <c r="L708" s="784"/>
      <c r="M708" s="784"/>
      <c r="N708" s="784"/>
      <c r="O708" s="784"/>
      <c r="P708" s="784"/>
      <c r="Q708" s="784"/>
      <c r="R708" s="784"/>
      <c r="S708" s="784"/>
      <c r="T708" s="784"/>
      <c r="U708" s="784"/>
      <c r="V708" s="784"/>
      <c r="W708" s="784"/>
      <c r="X708" s="784"/>
      <c r="Y708" s="784"/>
      <c r="Z708" s="784"/>
      <c r="AA708" s="784"/>
      <c r="AB708" s="784"/>
    </row>
    <row r="709" spans="3:28" ht="15.75" customHeight="1">
      <c r="C709" s="784"/>
      <c r="D709" s="784"/>
      <c r="E709" s="784"/>
      <c r="F709" s="784"/>
      <c r="G709" s="784"/>
      <c r="H709" s="784"/>
      <c r="I709" s="784"/>
      <c r="J709" s="784"/>
      <c r="K709" s="784"/>
      <c r="L709" s="784"/>
      <c r="M709" s="784"/>
      <c r="N709" s="784"/>
      <c r="O709" s="784"/>
      <c r="P709" s="784"/>
      <c r="Q709" s="784"/>
      <c r="R709" s="784"/>
      <c r="S709" s="784"/>
      <c r="T709" s="784"/>
      <c r="U709" s="784"/>
      <c r="V709" s="784"/>
      <c r="W709" s="784"/>
      <c r="X709" s="784"/>
      <c r="Y709" s="784"/>
      <c r="Z709" s="784"/>
      <c r="AA709" s="784"/>
      <c r="AB709" s="784"/>
    </row>
    <row r="710" spans="3:28" ht="15.75" customHeight="1">
      <c r="C710" s="784"/>
      <c r="D710" s="784"/>
      <c r="E710" s="784"/>
      <c r="F710" s="784"/>
      <c r="G710" s="784"/>
      <c r="H710" s="784"/>
      <c r="I710" s="784"/>
      <c r="J710" s="784"/>
      <c r="K710" s="784"/>
      <c r="L710" s="784"/>
      <c r="M710" s="784"/>
      <c r="N710" s="784"/>
      <c r="O710" s="784"/>
      <c r="P710" s="784"/>
      <c r="Q710" s="784"/>
      <c r="R710" s="784"/>
      <c r="S710" s="784"/>
      <c r="T710" s="784"/>
      <c r="U710" s="784"/>
      <c r="V710" s="784"/>
      <c r="W710" s="784"/>
      <c r="X710" s="784"/>
      <c r="Y710" s="784"/>
      <c r="Z710" s="784"/>
      <c r="AA710" s="784"/>
      <c r="AB710" s="784"/>
    </row>
    <row r="711" spans="3:28" ht="15.75" customHeight="1">
      <c r="C711" s="784"/>
      <c r="D711" s="784"/>
      <c r="E711" s="784"/>
      <c r="F711" s="784"/>
      <c r="G711" s="784"/>
      <c r="H711" s="784"/>
      <c r="I711" s="784"/>
      <c r="J711" s="784"/>
      <c r="K711" s="784"/>
      <c r="L711" s="784"/>
      <c r="M711" s="784"/>
      <c r="N711" s="784"/>
      <c r="O711" s="784"/>
      <c r="P711" s="784"/>
      <c r="Q711" s="784"/>
      <c r="R711" s="784"/>
      <c r="S711" s="784"/>
      <c r="T711" s="784"/>
      <c r="U711" s="784"/>
      <c r="V711" s="784"/>
      <c r="W711" s="784"/>
      <c r="X711" s="784"/>
      <c r="Y711" s="784"/>
      <c r="Z711" s="784"/>
      <c r="AA711" s="784"/>
      <c r="AB711" s="784"/>
    </row>
    <row r="712" spans="3:28" ht="15.75" customHeight="1">
      <c r="C712" s="784"/>
      <c r="D712" s="784"/>
      <c r="E712" s="784"/>
      <c r="F712" s="784"/>
      <c r="G712" s="784"/>
      <c r="H712" s="784"/>
      <c r="I712" s="784"/>
      <c r="J712" s="784"/>
      <c r="K712" s="784"/>
      <c r="L712" s="784"/>
      <c r="M712" s="784"/>
      <c r="N712" s="784"/>
      <c r="O712" s="784"/>
      <c r="P712" s="784"/>
      <c r="Q712" s="784"/>
      <c r="R712" s="784"/>
      <c r="S712" s="784"/>
      <c r="T712" s="784"/>
      <c r="U712" s="784"/>
      <c r="V712" s="784"/>
      <c r="W712" s="784"/>
      <c r="X712" s="784"/>
      <c r="Y712" s="784"/>
      <c r="Z712" s="784"/>
      <c r="AA712" s="784"/>
      <c r="AB712" s="784"/>
    </row>
    <row r="713" spans="3:28" ht="15.75" customHeight="1">
      <c r="C713" s="784"/>
      <c r="D713" s="784"/>
      <c r="E713" s="784"/>
      <c r="F713" s="784"/>
      <c r="G713" s="784"/>
      <c r="H713" s="784"/>
      <c r="I713" s="784"/>
      <c r="J713" s="784"/>
      <c r="K713" s="784"/>
      <c r="L713" s="784"/>
      <c r="M713" s="784"/>
      <c r="N713" s="784"/>
      <c r="O713" s="784"/>
      <c r="P713" s="784"/>
      <c r="Q713" s="784"/>
      <c r="R713" s="784"/>
      <c r="S713" s="784"/>
      <c r="T713" s="784"/>
      <c r="U713" s="784"/>
      <c r="V713" s="784"/>
      <c r="W713" s="784"/>
      <c r="X713" s="784"/>
      <c r="Y713" s="784"/>
      <c r="Z713" s="784"/>
      <c r="AA713" s="784"/>
      <c r="AB713" s="784"/>
    </row>
    <row r="714" spans="3:28" ht="15.75" customHeight="1">
      <c r="C714" s="784"/>
      <c r="D714" s="784"/>
      <c r="E714" s="784"/>
      <c r="F714" s="784"/>
      <c r="G714" s="784"/>
      <c r="H714" s="784"/>
      <c r="I714" s="784"/>
      <c r="J714" s="784"/>
      <c r="K714" s="784"/>
      <c r="L714" s="784"/>
      <c r="M714" s="784"/>
      <c r="N714" s="784"/>
      <c r="O714" s="784"/>
      <c r="P714" s="784"/>
      <c r="Q714" s="784"/>
      <c r="R714" s="784"/>
      <c r="S714" s="784"/>
      <c r="T714" s="784"/>
      <c r="U714" s="784"/>
      <c r="V714" s="784"/>
      <c r="W714" s="784"/>
      <c r="X714" s="784"/>
      <c r="Y714" s="784"/>
      <c r="Z714" s="784"/>
      <c r="AA714" s="784"/>
      <c r="AB714" s="784"/>
    </row>
    <row r="715" spans="3:28" ht="15.75" customHeight="1">
      <c r="C715" s="784"/>
      <c r="D715" s="784"/>
      <c r="E715" s="784"/>
      <c r="F715" s="784"/>
      <c r="G715" s="784"/>
      <c r="H715" s="784"/>
      <c r="I715" s="784"/>
      <c r="J715" s="784"/>
      <c r="K715" s="784"/>
      <c r="L715" s="784"/>
      <c r="M715" s="784"/>
      <c r="N715" s="784"/>
      <c r="O715" s="784"/>
      <c r="P715" s="784"/>
      <c r="Q715" s="784"/>
      <c r="R715" s="784"/>
      <c r="S715" s="784"/>
      <c r="T715" s="784"/>
      <c r="U715" s="784"/>
      <c r="V715" s="784"/>
      <c r="W715" s="784"/>
      <c r="X715" s="784"/>
      <c r="Y715" s="784"/>
      <c r="Z715" s="784"/>
      <c r="AA715" s="784"/>
      <c r="AB715" s="784"/>
    </row>
    <row r="716" spans="3:28" ht="15.75" customHeight="1">
      <c r="C716" s="784"/>
      <c r="D716" s="784"/>
      <c r="E716" s="784"/>
      <c r="F716" s="784"/>
      <c r="G716" s="784"/>
      <c r="H716" s="784"/>
      <c r="I716" s="784"/>
      <c r="J716" s="784"/>
      <c r="K716" s="784"/>
      <c r="L716" s="784"/>
      <c r="M716" s="784"/>
      <c r="N716" s="784"/>
      <c r="O716" s="784"/>
      <c r="P716" s="784"/>
      <c r="Q716" s="784"/>
      <c r="R716" s="784"/>
      <c r="S716" s="784"/>
      <c r="T716" s="784"/>
      <c r="U716" s="784"/>
      <c r="V716" s="784"/>
      <c r="W716" s="784"/>
      <c r="X716" s="784"/>
      <c r="Y716" s="784"/>
      <c r="Z716" s="784"/>
      <c r="AA716" s="784"/>
      <c r="AB716" s="784"/>
    </row>
    <row r="717" spans="3:28" ht="15.75" customHeight="1">
      <c r="C717" s="784"/>
      <c r="D717" s="784"/>
      <c r="E717" s="784"/>
      <c r="F717" s="784"/>
      <c r="G717" s="784"/>
      <c r="H717" s="784"/>
      <c r="I717" s="784"/>
      <c r="J717" s="784"/>
      <c r="K717" s="784"/>
      <c r="L717" s="784"/>
      <c r="M717" s="784"/>
      <c r="N717" s="784"/>
      <c r="O717" s="784"/>
      <c r="P717" s="784"/>
      <c r="Q717" s="784"/>
      <c r="R717" s="784"/>
      <c r="S717" s="784"/>
      <c r="T717" s="784"/>
      <c r="U717" s="784"/>
      <c r="V717" s="784"/>
      <c r="W717" s="784"/>
      <c r="X717" s="784"/>
      <c r="Y717" s="784"/>
      <c r="Z717" s="784"/>
      <c r="AA717" s="784"/>
      <c r="AB717" s="784"/>
    </row>
    <row r="718" spans="3:28" ht="15.75" customHeight="1">
      <c r="C718" s="784"/>
      <c r="D718" s="784"/>
      <c r="E718" s="784"/>
      <c r="F718" s="784"/>
      <c r="G718" s="784"/>
      <c r="H718" s="784"/>
      <c r="I718" s="784"/>
      <c r="J718" s="784"/>
      <c r="K718" s="784"/>
      <c r="L718" s="784"/>
      <c r="M718" s="784"/>
      <c r="N718" s="784"/>
      <c r="O718" s="784"/>
      <c r="P718" s="784"/>
      <c r="Q718" s="784"/>
      <c r="R718" s="784"/>
      <c r="S718" s="784"/>
      <c r="T718" s="784"/>
      <c r="U718" s="784"/>
      <c r="V718" s="784"/>
      <c r="W718" s="784"/>
      <c r="X718" s="784"/>
      <c r="Y718" s="784"/>
      <c r="Z718" s="784"/>
      <c r="AA718" s="784"/>
      <c r="AB718" s="784"/>
    </row>
    <row r="719" spans="3:28" ht="15.75" customHeight="1">
      <c r="C719" s="784"/>
      <c r="D719" s="784"/>
      <c r="E719" s="784"/>
      <c r="F719" s="784"/>
      <c r="G719" s="784"/>
      <c r="H719" s="784"/>
      <c r="I719" s="784"/>
      <c r="J719" s="784"/>
      <c r="K719" s="784"/>
      <c r="L719" s="784"/>
      <c r="M719" s="784"/>
      <c r="N719" s="784"/>
      <c r="O719" s="784"/>
      <c r="P719" s="784"/>
      <c r="Q719" s="784"/>
      <c r="R719" s="784"/>
      <c r="S719" s="784"/>
      <c r="T719" s="784"/>
      <c r="U719" s="784"/>
      <c r="V719" s="784"/>
      <c r="W719" s="784"/>
      <c r="X719" s="784"/>
      <c r="Y719" s="784"/>
      <c r="Z719" s="784"/>
      <c r="AA719" s="784"/>
      <c r="AB719" s="784"/>
    </row>
    <row r="720" spans="3:28" ht="15.75" customHeight="1">
      <c r="C720" s="784"/>
      <c r="D720" s="784"/>
      <c r="E720" s="784"/>
      <c r="F720" s="784"/>
      <c r="G720" s="784"/>
      <c r="H720" s="784"/>
      <c r="I720" s="784"/>
      <c r="J720" s="784"/>
      <c r="K720" s="784"/>
      <c r="L720" s="784"/>
      <c r="M720" s="784"/>
      <c r="N720" s="784"/>
      <c r="O720" s="784"/>
      <c r="P720" s="784"/>
      <c r="Q720" s="784"/>
      <c r="R720" s="784"/>
      <c r="S720" s="784"/>
      <c r="T720" s="784"/>
      <c r="U720" s="784"/>
      <c r="V720" s="784"/>
      <c r="W720" s="784"/>
      <c r="X720" s="784"/>
      <c r="Y720" s="784"/>
      <c r="Z720" s="784"/>
      <c r="AA720" s="784"/>
      <c r="AB720" s="784"/>
    </row>
    <row r="721" spans="3:28" ht="15.75" customHeight="1">
      <c r="C721" s="784"/>
      <c r="D721" s="784"/>
      <c r="E721" s="784"/>
      <c r="F721" s="784"/>
      <c r="G721" s="784"/>
      <c r="H721" s="784"/>
      <c r="I721" s="784"/>
      <c r="J721" s="784"/>
      <c r="K721" s="784"/>
      <c r="L721" s="784"/>
      <c r="M721" s="784"/>
      <c r="N721" s="784"/>
      <c r="O721" s="784"/>
      <c r="P721" s="784"/>
      <c r="Q721" s="784"/>
      <c r="R721" s="784"/>
      <c r="S721" s="784"/>
      <c r="T721" s="784"/>
      <c r="U721" s="784"/>
      <c r="V721" s="784"/>
      <c r="W721" s="784"/>
      <c r="X721" s="784"/>
      <c r="Y721" s="784"/>
      <c r="Z721" s="784"/>
      <c r="AA721" s="784"/>
      <c r="AB721" s="784"/>
    </row>
    <row r="722" spans="3:28" ht="15.75" customHeight="1">
      <c r="C722" s="784"/>
      <c r="D722" s="784"/>
      <c r="E722" s="784"/>
      <c r="F722" s="784"/>
      <c r="G722" s="784"/>
      <c r="H722" s="784"/>
      <c r="I722" s="784"/>
      <c r="J722" s="784"/>
      <c r="K722" s="784"/>
      <c r="L722" s="784"/>
      <c r="M722" s="784"/>
      <c r="N722" s="784"/>
      <c r="O722" s="784"/>
      <c r="P722" s="784"/>
      <c r="Q722" s="784"/>
      <c r="R722" s="784"/>
      <c r="S722" s="784"/>
      <c r="T722" s="784"/>
      <c r="U722" s="784"/>
      <c r="V722" s="784"/>
      <c r="W722" s="784"/>
      <c r="X722" s="784"/>
      <c r="Y722" s="784"/>
      <c r="Z722" s="784"/>
      <c r="AA722" s="784"/>
      <c r="AB722" s="784"/>
    </row>
    <row r="723" spans="3:28" ht="15.75" customHeight="1">
      <c r="C723" s="784"/>
      <c r="D723" s="784"/>
      <c r="E723" s="784"/>
      <c r="F723" s="784"/>
      <c r="G723" s="784"/>
      <c r="H723" s="784"/>
      <c r="I723" s="784"/>
      <c r="J723" s="784"/>
      <c r="K723" s="784"/>
      <c r="L723" s="784"/>
      <c r="M723" s="784"/>
      <c r="N723" s="784"/>
      <c r="O723" s="784"/>
      <c r="P723" s="784"/>
      <c r="Q723" s="784"/>
      <c r="R723" s="784"/>
      <c r="S723" s="784"/>
      <c r="T723" s="784"/>
      <c r="U723" s="784"/>
      <c r="V723" s="784"/>
      <c r="W723" s="784"/>
      <c r="X723" s="784"/>
      <c r="Y723" s="784"/>
      <c r="Z723" s="784"/>
      <c r="AA723" s="784"/>
      <c r="AB723" s="784"/>
    </row>
    <row r="724" spans="3:28" ht="15.75" customHeight="1">
      <c r="C724" s="784"/>
      <c r="D724" s="784"/>
      <c r="E724" s="784"/>
      <c r="F724" s="784"/>
      <c r="G724" s="784"/>
      <c r="H724" s="784"/>
      <c r="I724" s="784"/>
      <c r="J724" s="784"/>
      <c r="K724" s="784"/>
      <c r="L724" s="784"/>
      <c r="M724" s="784"/>
      <c r="N724" s="784"/>
      <c r="O724" s="784"/>
      <c r="P724" s="784"/>
      <c r="Q724" s="784"/>
      <c r="R724" s="784"/>
      <c r="S724" s="784"/>
      <c r="T724" s="784"/>
      <c r="U724" s="784"/>
      <c r="V724" s="784"/>
      <c r="W724" s="784"/>
      <c r="X724" s="784"/>
      <c r="Y724" s="784"/>
      <c r="Z724" s="784"/>
      <c r="AA724" s="784"/>
      <c r="AB724" s="784"/>
    </row>
    <row r="725" spans="3:28" ht="15.75" customHeight="1">
      <c r="C725" s="784"/>
      <c r="D725" s="784"/>
      <c r="E725" s="784"/>
      <c r="F725" s="784"/>
      <c r="G725" s="784"/>
      <c r="H725" s="784"/>
      <c r="I725" s="784"/>
      <c r="J725" s="784"/>
      <c r="K725" s="784"/>
      <c r="L725" s="784"/>
      <c r="M725" s="784"/>
      <c r="N725" s="784"/>
      <c r="O725" s="784"/>
      <c r="P725" s="784"/>
      <c r="Q725" s="784"/>
      <c r="R725" s="784"/>
      <c r="S725" s="784"/>
      <c r="T725" s="784"/>
      <c r="U725" s="784"/>
      <c r="V725" s="784"/>
      <c r="W725" s="784"/>
      <c r="X725" s="784"/>
      <c r="Y725" s="784"/>
      <c r="Z725" s="784"/>
      <c r="AA725" s="784"/>
      <c r="AB725" s="784"/>
    </row>
    <row r="726" spans="3:28" ht="15.75" customHeight="1">
      <c r="C726" s="784"/>
      <c r="D726" s="784"/>
      <c r="E726" s="784"/>
      <c r="F726" s="784"/>
      <c r="G726" s="784"/>
      <c r="H726" s="784"/>
      <c r="I726" s="784"/>
      <c r="J726" s="784"/>
      <c r="K726" s="784"/>
      <c r="L726" s="784"/>
      <c r="M726" s="784"/>
      <c r="N726" s="784"/>
      <c r="O726" s="784"/>
      <c r="P726" s="784"/>
      <c r="Q726" s="784"/>
      <c r="R726" s="784"/>
      <c r="S726" s="784"/>
      <c r="T726" s="784"/>
      <c r="U726" s="784"/>
      <c r="V726" s="784"/>
      <c r="W726" s="784"/>
      <c r="X726" s="784"/>
      <c r="Y726" s="784"/>
      <c r="Z726" s="784"/>
      <c r="AA726" s="784"/>
      <c r="AB726" s="784"/>
    </row>
    <row r="727" spans="3:28" ht="15.75" customHeight="1">
      <c r="C727" s="784"/>
      <c r="D727" s="784"/>
      <c r="E727" s="784"/>
      <c r="F727" s="784"/>
      <c r="G727" s="784"/>
      <c r="H727" s="784"/>
      <c r="I727" s="784"/>
      <c r="J727" s="784"/>
      <c r="K727" s="784"/>
      <c r="L727" s="784"/>
      <c r="M727" s="784"/>
      <c r="N727" s="784"/>
      <c r="O727" s="784"/>
      <c r="P727" s="784"/>
      <c r="Q727" s="784"/>
      <c r="R727" s="784"/>
      <c r="S727" s="784"/>
      <c r="T727" s="784"/>
      <c r="U727" s="784"/>
      <c r="V727" s="784"/>
      <c r="W727" s="784"/>
      <c r="X727" s="784"/>
      <c r="Y727" s="784"/>
      <c r="Z727" s="784"/>
      <c r="AA727" s="784"/>
      <c r="AB727" s="784"/>
    </row>
    <row r="728" spans="3:28" ht="15.75" customHeight="1">
      <c r="C728" s="784"/>
      <c r="D728" s="784"/>
      <c r="E728" s="784"/>
      <c r="F728" s="784"/>
      <c r="G728" s="784"/>
      <c r="H728" s="784"/>
      <c r="I728" s="784"/>
      <c r="J728" s="784"/>
      <c r="K728" s="784"/>
      <c r="L728" s="784"/>
      <c r="M728" s="784"/>
      <c r="N728" s="784"/>
      <c r="O728" s="784"/>
      <c r="P728" s="784"/>
      <c r="Q728" s="784"/>
      <c r="R728" s="784"/>
      <c r="S728" s="784"/>
      <c r="T728" s="784"/>
      <c r="U728" s="784"/>
      <c r="V728" s="784"/>
      <c r="W728" s="784"/>
      <c r="X728" s="784"/>
      <c r="Y728" s="784"/>
      <c r="Z728" s="784"/>
      <c r="AA728" s="784"/>
      <c r="AB728" s="784"/>
    </row>
    <row r="729" spans="3:28" ht="15.75" customHeight="1">
      <c r="C729" s="784"/>
      <c r="D729" s="784"/>
      <c r="E729" s="784"/>
      <c r="F729" s="784"/>
      <c r="G729" s="784"/>
      <c r="H729" s="784"/>
      <c r="I729" s="784"/>
      <c r="J729" s="784"/>
      <c r="K729" s="784"/>
      <c r="L729" s="784"/>
      <c r="M729" s="784"/>
      <c r="N729" s="784"/>
      <c r="O729" s="784"/>
      <c r="P729" s="784"/>
      <c r="Q729" s="784"/>
      <c r="R729" s="784"/>
      <c r="S729" s="784"/>
      <c r="T729" s="784"/>
      <c r="U729" s="784"/>
      <c r="V729" s="784"/>
      <c r="W729" s="784"/>
      <c r="X729" s="784"/>
      <c r="Y729" s="784"/>
      <c r="Z729" s="784"/>
      <c r="AA729" s="784"/>
      <c r="AB729" s="784"/>
    </row>
    <row r="730" spans="3:28" ht="15.75" customHeight="1">
      <c r="C730" s="784"/>
      <c r="D730" s="784"/>
      <c r="E730" s="784"/>
      <c r="F730" s="784"/>
      <c r="G730" s="784"/>
      <c r="H730" s="784"/>
      <c r="I730" s="784"/>
      <c r="J730" s="784"/>
      <c r="K730" s="784"/>
      <c r="L730" s="784"/>
      <c r="M730" s="784"/>
      <c r="N730" s="784"/>
      <c r="O730" s="784"/>
      <c r="P730" s="784"/>
      <c r="Q730" s="784"/>
      <c r="R730" s="784"/>
      <c r="S730" s="784"/>
      <c r="T730" s="784"/>
      <c r="U730" s="784"/>
      <c r="V730" s="784"/>
      <c r="W730" s="784"/>
      <c r="X730" s="784"/>
      <c r="Y730" s="784"/>
      <c r="Z730" s="784"/>
      <c r="AA730" s="784"/>
      <c r="AB730" s="784"/>
    </row>
    <row r="731" spans="3:28" ht="15.75" customHeight="1">
      <c r="C731" s="784"/>
      <c r="D731" s="784"/>
      <c r="E731" s="784"/>
      <c r="F731" s="784"/>
      <c r="G731" s="784"/>
      <c r="H731" s="784"/>
      <c r="I731" s="784"/>
      <c r="J731" s="784"/>
      <c r="K731" s="784"/>
      <c r="L731" s="784"/>
      <c r="M731" s="784"/>
      <c r="N731" s="784"/>
      <c r="O731" s="784"/>
      <c r="P731" s="784"/>
      <c r="Q731" s="784"/>
      <c r="R731" s="784"/>
      <c r="S731" s="784"/>
      <c r="T731" s="784"/>
      <c r="U731" s="784"/>
      <c r="V731" s="784"/>
      <c r="W731" s="784"/>
      <c r="X731" s="784"/>
      <c r="Y731" s="784"/>
      <c r="Z731" s="784"/>
      <c r="AA731" s="784"/>
      <c r="AB731" s="784"/>
    </row>
    <row r="732" spans="3:28" ht="15.75" customHeight="1">
      <c r="C732" s="784"/>
      <c r="D732" s="784"/>
      <c r="E732" s="784"/>
      <c r="F732" s="784"/>
      <c r="G732" s="784"/>
      <c r="H732" s="784"/>
      <c r="I732" s="784"/>
      <c r="J732" s="784"/>
      <c r="K732" s="784"/>
      <c r="L732" s="784"/>
      <c r="M732" s="784"/>
      <c r="N732" s="784"/>
      <c r="O732" s="784"/>
      <c r="P732" s="784"/>
      <c r="Q732" s="784"/>
      <c r="R732" s="784"/>
      <c r="S732" s="784"/>
      <c r="T732" s="784"/>
      <c r="U732" s="784"/>
      <c r="V732" s="784"/>
      <c r="W732" s="784"/>
      <c r="X732" s="784"/>
      <c r="Y732" s="784"/>
      <c r="Z732" s="784"/>
      <c r="AA732" s="784"/>
      <c r="AB732" s="784"/>
    </row>
    <row r="733" spans="3:28" ht="15.75" customHeight="1">
      <c r="C733" s="784"/>
      <c r="D733" s="784"/>
      <c r="E733" s="784"/>
      <c r="F733" s="784"/>
      <c r="G733" s="784"/>
      <c r="H733" s="784"/>
      <c r="I733" s="784"/>
      <c r="J733" s="784"/>
      <c r="K733" s="784"/>
      <c r="L733" s="784"/>
      <c r="M733" s="784"/>
      <c r="N733" s="784"/>
      <c r="O733" s="784"/>
      <c r="P733" s="784"/>
      <c r="Q733" s="784"/>
      <c r="R733" s="784"/>
      <c r="S733" s="784"/>
      <c r="T733" s="784"/>
      <c r="U733" s="784"/>
      <c r="V733" s="784"/>
      <c r="W733" s="784"/>
      <c r="X733" s="784"/>
      <c r="Y733" s="784"/>
      <c r="Z733" s="784"/>
      <c r="AA733" s="784"/>
      <c r="AB733" s="784"/>
    </row>
    <row r="734" spans="3:28" ht="15.75" customHeight="1">
      <c r="C734" s="784"/>
      <c r="D734" s="784"/>
      <c r="E734" s="784"/>
      <c r="F734" s="784"/>
      <c r="G734" s="784"/>
      <c r="H734" s="784"/>
      <c r="I734" s="784"/>
      <c r="J734" s="784"/>
      <c r="K734" s="784"/>
      <c r="L734" s="784"/>
      <c r="M734" s="784"/>
      <c r="N734" s="784"/>
      <c r="O734" s="784"/>
      <c r="P734" s="784"/>
      <c r="Q734" s="784"/>
      <c r="R734" s="784"/>
      <c r="S734" s="784"/>
      <c r="T734" s="784"/>
      <c r="U734" s="784"/>
      <c r="V734" s="784"/>
      <c r="W734" s="784"/>
      <c r="X734" s="784"/>
      <c r="Y734" s="784"/>
      <c r="Z734" s="784"/>
      <c r="AA734" s="784"/>
      <c r="AB734" s="784"/>
    </row>
    <row r="735" spans="3:28" ht="15.75" customHeight="1">
      <c r="C735" s="784"/>
      <c r="D735" s="784"/>
      <c r="E735" s="784"/>
      <c r="F735" s="784"/>
      <c r="G735" s="784"/>
      <c r="H735" s="784"/>
      <c r="I735" s="784"/>
      <c r="J735" s="784"/>
      <c r="K735" s="784"/>
      <c r="L735" s="784"/>
      <c r="M735" s="784"/>
      <c r="N735" s="784"/>
      <c r="O735" s="784"/>
      <c r="P735" s="784"/>
      <c r="Q735" s="784"/>
      <c r="R735" s="784"/>
      <c r="S735" s="784"/>
      <c r="T735" s="784"/>
      <c r="U735" s="784"/>
      <c r="V735" s="784"/>
      <c r="W735" s="784"/>
      <c r="X735" s="784"/>
      <c r="Y735" s="784"/>
      <c r="Z735" s="784"/>
      <c r="AA735" s="784"/>
      <c r="AB735" s="784"/>
    </row>
    <row r="736" spans="3:28" ht="15.75" customHeight="1">
      <c r="C736" s="784"/>
      <c r="D736" s="784"/>
      <c r="E736" s="784"/>
      <c r="F736" s="784"/>
      <c r="G736" s="784"/>
      <c r="H736" s="784"/>
      <c r="I736" s="784"/>
      <c r="J736" s="784"/>
      <c r="K736" s="784"/>
      <c r="L736" s="784"/>
      <c r="M736" s="784"/>
      <c r="N736" s="784"/>
      <c r="O736" s="784"/>
      <c r="P736" s="784"/>
      <c r="Q736" s="784"/>
      <c r="R736" s="784"/>
      <c r="S736" s="784"/>
      <c r="T736" s="784"/>
      <c r="U736" s="784"/>
      <c r="V736" s="784"/>
      <c r="W736" s="784"/>
      <c r="X736" s="784"/>
      <c r="Y736" s="784"/>
      <c r="Z736" s="784"/>
      <c r="AA736" s="784"/>
      <c r="AB736" s="784"/>
    </row>
    <row r="737" spans="3:28" ht="15.75" customHeight="1">
      <c r="C737" s="784"/>
      <c r="D737" s="784"/>
      <c r="E737" s="784"/>
      <c r="F737" s="784"/>
      <c r="G737" s="784"/>
      <c r="H737" s="784"/>
      <c r="I737" s="784"/>
      <c r="J737" s="784"/>
      <c r="K737" s="784"/>
      <c r="L737" s="784"/>
      <c r="M737" s="784"/>
      <c r="N737" s="784"/>
      <c r="O737" s="784"/>
      <c r="P737" s="784"/>
      <c r="Q737" s="784"/>
      <c r="R737" s="784"/>
      <c r="S737" s="784"/>
      <c r="T737" s="784"/>
      <c r="U737" s="784"/>
      <c r="V737" s="784"/>
      <c r="W737" s="784"/>
      <c r="X737" s="784"/>
      <c r="Y737" s="784"/>
      <c r="Z737" s="784"/>
      <c r="AA737" s="784"/>
      <c r="AB737" s="784"/>
    </row>
    <row r="738" spans="3:28" ht="15.75" customHeight="1">
      <c r="C738" s="784"/>
      <c r="D738" s="784"/>
      <c r="E738" s="784"/>
      <c r="F738" s="784"/>
      <c r="G738" s="784"/>
      <c r="H738" s="784"/>
      <c r="I738" s="784"/>
      <c r="J738" s="784"/>
      <c r="K738" s="784"/>
      <c r="L738" s="784"/>
      <c r="M738" s="784"/>
      <c r="N738" s="784"/>
      <c r="O738" s="784"/>
      <c r="P738" s="784"/>
      <c r="Q738" s="784"/>
      <c r="R738" s="784"/>
      <c r="S738" s="784"/>
      <c r="T738" s="784"/>
      <c r="U738" s="784"/>
      <c r="V738" s="784"/>
      <c r="W738" s="784"/>
      <c r="X738" s="784"/>
      <c r="Y738" s="784"/>
      <c r="Z738" s="784"/>
      <c r="AA738" s="784"/>
      <c r="AB738" s="784"/>
    </row>
    <row r="739" spans="3:28" ht="15.75" customHeight="1">
      <c r="C739" s="784"/>
      <c r="D739" s="784"/>
      <c r="E739" s="784"/>
      <c r="F739" s="784"/>
      <c r="G739" s="784"/>
      <c r="H739" s="784"/>
      <c r="I739" s="784"/>
      <c r="J739" s="784"/>
      <c r="K739" s="784"/>
      <c r="L739" s="784"/>
      <c r="M739" s="784"/>
      <c r="N739" s="784"/>
      <c r="O739" s="784"/>
      <c r="P739" s="784"/>
      <c r="Q739" s="784"/>
      <c r="R739" s="784"/>
      <c r="S739" s="784"/>
      <c r="T739" s="784"/>
      <c r="U739" s="784"/>
      <c r="V739" s="784"/>
      <c r="W739" s="784"/>
      <c r="X739" s="784"/>
      <c r="Y739" s="784"/>
      <c r="Z739" s="784"/>
      <c r="AA739" s="784"/>
      <c r="AB739" s="784"/>
    </row>
    <row r="740" spans="3:28" ht="15.75" customHeight="1">
      <c r="C740" s="784"/>
      <c r="D740" s="784"/>
      <c r="E740" s="784"/>
      <c r="F740" s="784"/>
      <c r="G740" s="784"/>
      <c r="H740" s="784"/>
      <c r="I740" s="784"/>
      <c r="J740" s="784"/>
      <c r="K740" s="784"/>
      <c r="L740" s="784"/>
      <c r="M740" s="784"/>
      <c r="N740" s="784"/>
      <c r="O740" s="784"/>
      <c r="P740" s="784"/>
      <c r="Q740" s="784"/>
      <c r="R740" s="784"/>
      <c r="S740" s="784"/>
      <c r="T740" s="784"/>
      <c r="U740" s="784"/>
      <c r="V740" s="784"/>
      <c r="W740" s="784"/>
      <c r="X740" s="784"/>
      <c r="Y740" s="784"/>
      <c r="Z740" s="784"/>
      <c r="AA740" s="784"/>
      <c r="AB740" s="784"/>
    </row>
    <row r="741" spans="3:28" ht="15.75" customHeight="1">
      <c r="C741" s="784"/>
      <c r="D741" s="784"/>
      <c r="E741" s="784"/>
      <c r="F741" s="784"/>
      <c r="G741" s="784"/>
      <c r="H741" s="784"/>
      <c r="I741" s="784"/>
      <c r="J741" s="784"/>
      <c r="K741" s="784"/>
      <c r="L741" s="784"/>
      <c r="M741" s="784"/>
      <c r="N741" s="784"/>
      <c r="O741" s="784"/>
      <c r="P741" s="784"/>
      <c r="Q741" s="784"/>
      <c r="R741" s="784"/>
      <c r="S741" s="784"/>
      <c r="T741" s="784"/>
      <c r="U741" s="784"/>
      <c r="V741" s="784"/>
      <c r="W741" s="784"/>
      <c r="X741" s="784"/>
      <c r="Y741" s="784"/>
      <c r="Z741" s="784"/>
      <c r="AA741" s="784"/>
      <c r="AB741" s="784"/>
    </row>
    <row r="742" spans="3:28" ht="15.75" customHeight="1">
      <c r="C742" s="784"/>
      <c r="D742" s="784"/>
      <c r="E742" s="784"/>
      <c r="F742" s="784"/>
      <c r="G742" s="784"/>
      <c r="H742" s="784"/>
      <c r="I742" s="784"/>
      <c r="J742" s="784"/>
      <c r="K742" s="784"/>
      <c r="L742" s="784"/>
      <c r="M742" s="784"/>
      <c r="N742" s="784"/>
      <c r="O742" s="784"/>
      <c r="P742" s="784"/>
      <c r="Q742" s="784"/>
      <c r="R742" s="784"/>
      <c r="S742" s="784"/>
      <c r="T742" s="784"/>
      <c r="U742" s="784"/>
      <c r="V742" s="784"/>
      <c r="W742" s="784"/>
      <c r="X742" s="784"/>
      <c r="Y742" s="784"/>
      <c r="Z742" s="784"/>
      <c r="AA742" s="784"/>
      <c r="AB742" s="784"/>
    </row>
    <row r="743" spans="3:28" ht="15.75" customHeight="1">
      <c r="C743" s="784"/>
      <c r="D743" s="784"/>
      <c r="E743" s="784"/>
      <c r="F743" s="784"/>
      <c r="G743" s="784"/>
      <c r="H743" s="784"/>
      <c r="I743" s="784"/>
      <c r="J743" s="784"/>
      <c r="K743" s="784"/>
      <c r="L743" s="784"/>
      <c r="M743" s="784"/>
      <c r="N743" s="784"/>
      <c r="O743" s="784"/>
      <c r="P743" s="784"/>
      <c r="Q743" s="784"/>
      <c r="R743" s="784"/>
      <c r="S743" s="784"/>
      <c r="T743" s="784"/>
      <c r="U743" s="784"/>
      <c r="V743" s="784"/>
      <c r="W743" s="784"/>
      <c r="X743" s="784"/>
      <c r="Y743" s="784"/>
      <c r="Z743" s="784"/>
      <c r="AA743" s="784"/>
      <c r="AB743" s="784"/>
    </row>
    <row r="744" spans="3:28" ht="15.75" customHeight="1">
      <c r="C744" s="784"/>
      <c r="D744" s="784"/>
      <c r="E744" s="784"/>
      <c r="F744" s="784"/>
      <c r="G744" s="784"/>
      <c r="H744" s="784"/>
      <c r="I744" s="784"/>
      <c r="J744" s="784"/>
      <c r="K744" s="784"/>
      <c r="L744" s="784"/>
      <c r="M744" s="784"/>
      <c r="N744" s="784"/>
      <c r="O744" s="784"/>
      <c r="P744" s="784"/>
      <c r="Q744" s="784"/>
      <c r="R744" s="784"/>
      <c r="S744" s="784"/>
      <c r="T744" s="784"/>
      <c r="U744" s="784"/>
      <c r="V744" s="784"/>
      <c r="W744" s="784"/>
      <c r="X744" s="784"/>
      <c r="Y744" s="784"/>
      <c r="Z744" s="784"/>
      <c r="AA744" s="784"/>
      <c r="AB744" s="784"/>
    </row>
    <row r="745" spans="3:28" ht="15.75" customHeight="1">
      <c r="C745" s="784"/>
      <c r="D745" s="784"/>
      <c r="E745" s="784"/>
      <c r="F745" s="784"/>
      <c r="G745" s="784"/>
      <c r="H745" s="784"/>
      <c r="I745" s="784"/>
      <c r="J745" s="784"/>
      <c r="K745" s="784"/>
      <c r="L745" s="784"/>
      <c r="M745" s="784"/>
      <c r="N745" s="784"/>
      <c r="O745" s="784"/>
      <c r="P745" s="784"/>
      <c r="Q745" s="784"/>
      <c r="R745" s="784"/>
      <c r="S745" s="784"/>
      <c r="T745" s="784"/>
      <c r="U745" s="784"/>
      <c r="V745" s="784"/>
      <c r="W745" s="784"/>
      <c r="X745" s="784"/>
      <c r="Y745" s="784"/>
      <c r="Z745" s="784"/>
      <c r="AA745" s="784"/>
      <c r="AB745" s="784"/>
    </row>
    <row r="746" spans="3:28" ht="15.75" customHeight="1">
      <c r="C746" s="784"/>
      <c r="D746" s="784"/>
      <c r="E746" s="784"/>
      <c r="F746" s="784"/>
      <c r="G746" s="784"/>
      <c r="H746" s="784"/>
      <c r="I746" s="784"/>
      <c r="J746" s="784"/>
      <c r="K746" s="784"/>
      <c r="L746" s="784"/>
      <c r="M746" s="784"/>
      <c r="N746" s="784"/>
      <c r="O746" s="784"/>
      <c r="P746" s="784"/>
      <c r="Q746" s="784"/>
      <c r="R746" s="784"/>
      <c r="S746" s="784"/>
      <c r="T746" s="784"/>
      <c r="U746" s="784"/>
      <c r="V746" s="784"/>
      <c r="W746" s="784"/>
      <c r="X746" s="784"/>
      <c r="Y746" s="784"/>
      <c r="Z746" s="784"/>
      <c r="AA746" s="784"/>
      <c r="AB746" s="784"/>
    </row>
    <row r="747" spans="3:28" ht="15.75" customHeight="1">
      <c r="C747" s="784"/>
      <c r="D747" s="784"/>
      <c r="E747" s="784"/>
      <c r="F747" s="784"/>
      <c r="G747" s="784"/>
      <c r="H747" s="784"/>
      <c r="I747" s="784"/>
      <c r="J747" s="784"/>
      <c r="K747" s="784"/>
      <c r="L747" s="784"/>
      <c r="M747" s="784"/>
      <c r="N747" s="784"/>
      <c r="O747" s="784"/>
      <c r="P747" s="784"/>
      <c r="Q747" s="784"/>
      <c r="R747" s="784"/>
      <c r="S747" s="784"/>
      <c r="T747" s="784"/>
      <c r="U747" s="784"/>
      <c r="V747" s="784"/>
      <c r="W747" s="784"/>
      <c r="X747" s="784"/>
      <c r="Y747" s="784"/>
      <c r="Z747" s="784"/>
      <c r="AA747" s="784"/>
      <c r="AB747" s="784"/>
    </row>
    <row r="748" spans="3:28" ht="15.75" customHeight="1">
      <c r="C748" s="784"/>
      <c r="D748" s="784"/>
      <c r="E748" s="784"/>
      <c r="F748" s="784"/>
      <c r="G748" s="784"/>
      <c r="H748" s="784"/>
      <c r="I748" s="784"/>
      <c r="J748" s="784"/>
      <c r="K748" s="784"/>
      <c r="L748" s="784"/>
      <c r="M748" s="784"/>
      <c r="N748" s="784"/>
      <c r="O748" s="784"/>
      <c r="P748" s="784"/>
      <c r="Q748" s="784"/>
      <c r="R748" s="784"/>
      <c r="S748" s="784"/>
      <c r="T748" s="784"/>
      <c r="U748" s="784"/>
      <c r="V748" s="784"/>
      <c r="W748" s="784"/>
      <c r="X748" s="784"/>
      <c r="Y748" s="784"/>
      <c r="Z748" s="784"/>
      <c r="AA748" s="784"/>
      <c r="AB748" s="784"/>
    </row>
    <row r="749" spans="3:28" ht="15.75" customHeight="1">
      <c r="C749" s="784"/>
      <c r="D749" s="784"/>
      <c r="E749" s="784"/>
      <c r="F749" s="784"/>
      <c r="G749" s="784"/>
      <c r="H749" s="784"/>
      <c r="I749" s="784"/>
      <c r="J749" s="784"/>
      <c r="K749" s="784"/>
      <c r="L749" s="784"/>
      <c r="M749" s="784"/>
      <c r="N749" s="784"/>
      <c r="O749" s="784"/>
      <c r="P749" s="784"/>
      <c r="Q749" s="784"/>
      <c r="R749" s="784"/>
      <c r="S749" s="784"/>
      <c r="T749" s="784"/>
      <c r="U749" s="784"/>
      <c r="V749" s="784"/>
      <c r="W749" s="784"/>
      <c r="X749" s="784"/>
      <c r="Y749" s="784"/>
      <c r="Z749" s="784"/>
      <c r="AA749" s="784"/>
      <c r="AB749" s="784"/>
    </row>
    <row r="750" spans="3:28" ht="15.75" customHeight="1">
      <c r="C750" s="784"/>
      <c r="D750" s="784"/>
      <c r="E750" s="784"/>
      <c r="F750" s="784"/>
      <c r="G750" s="784"/>
      <c r="H750" s="784"/>
      <c r="I750" s="784"/>
      <c r="J750" s="784"/>
      <c r="K750" s="784"/>
      <c r="L750" s="784"/>
      <c r="M750" s="784"/>
      <c r="N750" s="784"/>
      <c r="O750" s="784"/>
      <c r="P750" s="784"/>
      <c r="Q750" s="784"/>
      <c r="R750" s="784"/>
      <c r="S750" s="784"/>
      <c r="T750" s="784"/>
      <c r="U750" s="784"/>
      <c r="V750" s="784"/>
      <c r="W750" s="784"/>
      <c r="X750" s="784"/>
      <c r="Y750" s="784"/>
      <c r="Z750" s="784"/>
      <c r="AA750" s="784"/>
      <c r="AB750" s="784"/>
    </row>
    <row r="751" spans="3:28" ht="15.75" customHeight="1">
      <c r="C751" s="784"/>
      <c r="D751" s="784"/>
      <c r="E751" s="784"/>
      <c r="F751" s="784"/>
      <c r="G751" s="784"/>
      <c r="H751" s="784"/>
      <c r="I751" s="784"/>
      <c r="J751" s="784"/>
      <c r="K751" s="784"/>
      <c r="L751" s="784"/>
      <c r="M751" s="784"/>
      <c r="N751" s="784"/>
      <c r="O751" s="784"/>
      <c r="P751" s="784"/>
      <c r="Q751" s="784"/>
      <c r="R751" s="784"/>
      <c r="S751" s="784"/>
      <c r="T751" s="784"/>
      <c r="U751" s="784"/>
      <c r="V751" s="784"/>
      <c r="W751" s="784"/>
      <c r="X751" s="784"/>
      <c r="Y751" s="784"/>
      <c r="Z751" s="784"/>
      <c r="AA751" s="784"/>
      <c r="AB751" s="784"/>
    </row>
    <row r="752" spans="3:28" ht="15.75" customHeight="1">
      <c r="C752" s="784"/>
      <c r="D752" s="784"/>
      <c r="E752" s="784"/>
      <c r="F752" s="784"/>
      <c r="G752" s="784"/>
      <c r="H752" s="784"/>
      <c r="I752" s="784"/>
      <c r="J752" s="784"/>
      <c r="K752" s="784"/>
      <c r="L752" s="784"/>
      <c r="M752" s="784"/>
      <c r="N752" s="784"/>
      <c r="O752" s="784"/>
      <c r="P752" s="784"/>
      <c r="Q752" s="784"/>
      <c r="R752" s="784"/>
      <c r="S752" s="784"/>
      <c r="T752" s="784"/>
      <c r="U752" s="784"/>
      <c r="V752" s="784"/>
      <c r="W752" s="784"/>
      <c r="X752" s="784"/>
      <c r="Y752" s="784"/>
      <c r="Z752" s="784"/>
      <c r="AA752" s="784"/>
      <c r="AB752" s="784"/>
    </row>
    <row r="753" spans="3:28" ht="15.75" customHeight="1">
      <c r="C753" s="784"/>
      <c r="D753" s="784"/>
      <c r="E753" s="784"/>
      <c r="F753" s="784"/>
      <c r="G753" s="784"/>
      <c r="H753" s="784"/>
      <c r="I753" s="784"/>
      <c r="J753" s="784"/>
      <c r="K753" s="784"/>
      <c r="L753" s="784"/>
      <c r="M753" s="784"/>
      <c r="N753" s="784"/>
      <c r="O753" s="784"/>
      <c r="P753" s="784"/>
      <c r="Q753" s="784"/>
      <c r="R753" s="784"/>
      <c r="S753" s="784"/>
      <c r="T753" s="784"/>
      <c r="U753" s="784"/>
      <c r="V753" s="784"/>
      <c r="W753" s="784"/>
      <c r="X753" s="784"/>
      <c r="Y753" s="784"/>
      <c r="Z753" s="784"/>
      <c r="AA753" s="784"/>
      <c r="AB753" s="784"/>
    </row>
    <row r="754" spans="3:28" ht="15.75" customHeight="1">
      <c r="C754" s="784"/>
      <c r="D754" s="784"/>
      <c r="E754" s="784"/>
      <c r="F754" s="784"/>
      <c r="G754" s="784"/>
      <c r="H754" s="784"/>
      <c r="I754" s="784"/>
      <c r="J754" s="784"/>
      <c r="K754" s="784"/>
      <c r="L754" s="784"/>
      <c r="M754" s="784"/>
      <c r="N754" s="784"/>
      <c r="O754" s="784"/>
      <c r="P754" s="784"/>
      <c r="Q754" s="784"/>
      <c r="R754" s="784"/>
      <c r="S754" s="784"/>
      <c r="T754" s="784"/>
      <c r="U754" s="784"/>
      <c r="V754" s="784"/>
      <c r="W754" s="784"/>
      <c r="X754" s="784"/>
      <c r="Y754" s="784"/>
      <c r="Z754" s="784"/>
      <c r="AA754" s="784"/>
      <c r="AB754" s="784"/>
    </row>
    <row r="755" spans="3:28" ht="15.75" customHeight="1">
      <c r="C755" s="784"/>
      <c r="D755" s="784"/>
      <c r="E755" s="784"/>
      <c r="F755" s="784"/>
      <c r="G755" s="784"/>
      <c r="H755" s="784"/>
      <c r="I755" s="784"/>
      <c r="J755" s="784"/>
      <c r="K755" s="784"/>
      <c r="L755" s="784"/>
      <c r="M755" s="784"/>
      <c r="N755" s="784"/>
      <c r="O755" s="784"/>
      <c r="P755" s="784"/>
      <c r="Q755" s="784"/>
      <c r="R755" s="784"/>
      <c r="S755" s="784"/>
      <c r="T755" s="784"/>
      <c r="U755" s="784"/>
      <c r="V755" s="784"/>
      <c r="W755" s="784"/>
      <c r="X755" s="784"/>
      <c r="Y755" s="784"/>
      <c r="Z755" s="784"/>
      <c r="AA755" s="784"/>
      <c r="AB755" s="784"/>
    </row>
    <row r="756" spans="3:28" ht="15.75" customHeight="1">
      <c r="C756" s="784"/>
      <c r="D756" s="784"/>
      <c r="E756" s="784"/>
      <c r="F756" s="784"/>
      <c r="G756" s="784"/>
      <c r="H756" s="784"/>
      <c r="I756" s="784"/>
      <c r="J756" s="784"/>
      <c r="K756" s="784"/>
      <c r="L756" s="784"/>
      <c r="M756" s="784"/>
      <c r="N756" s="784"/>
      <c r="O756" s="784"/>
      <c r="P756" s="784"/>
      <c r="Q756" s="784"/>
      <c r="R756" s="784"/>
      <c r="S756" s="784"/>
      <c r="T756" s="784"/>
      <c r="U756" s="784"/>
      <c r="V756" s="784"/>
      <c r="W756" s="784"/>
      <c r="X756" s="784"/>
      <c r="Y756" s="784"/>
      <c r="Z756" s="784"/>
      <c r="AA756" s="784"/>
      <c r="AB756" s="784"/>
    </row>
    <row r="757" spans="3:28" ht="15.75" customHeight="1">
      <c r="C757" s="784"/>
      <c r="D757" s="784"/>
      <c r="E757" s="784"/>
      <c r="F757" s="784"/>
      <c r="G757" s="784"/>
      <c r="H757" s="784"/>
      <c r="I757" s="784"/>
      <c r="J757" s="784"/>
      <c r="K757" s="784"/>
      <c r="L757" s="784"/>
      <c r="M757" s="784"/>
      <c r="N757" s="784"/>
      <c r="O757" s="784"/>
      <c r="P757" s="784"/>
      <c r="Q757" s="784"/>
      <c r="R757" s="784"/>
      <c r="S757" s="784"/>
      <c r="T757" s="784"/>
      <c r="U757" s="784"/>
      <c r="V757" s="784"/>
      <c r="W757" s="784"/>
      <c r="X757" s="784"/>
      <c r="Y757" s="784"/>
      <c r="Z757" s="784"/>
      <c r="AA757" s="784"/>
      <c r="AB757" s="784"/>
    </row>
    <row r="758" spans="3:28" ht="15.75" customHeight="1">
      <c r="C758" s="784"/>
      <c r="D758" s="784"/>
      <c r="E758" s="784"/>
      <c r="F758" s="784"/>
      <c r="G758" s="784"/>
      <c r="H758" s="784"/>
      <c r="I758" s="784"/>
      <c r="J758" s="784"/>
      <c r="K758" s="784"/>
      <c r="L758" s="784"/>
      <c r="M758" s="784"/>
      <c r="N758" s="784"/>
      <c r="O758" s="784"/>
      <c r="P758" s="784"/>
      <c r="Q758" s="784"/>
      <c r="R758" s="784"/>
      <c r="S758" s="784"/>
      <c r="T758" s="784"/>
      <c r="U758" s="784"/>
      <c r="V758" s="784"/>
      <c r="W758" s="784"/>
      <c r="X758" s="784"/>
      <c r="Y758" s="784"/>
      <c r="Z758" s="784"/>
      <c r="AA758" s="784"/>
      <c r="AB758" s="784"/>
    </row>
    <row r="759" spans="3:28" ht="15.75" customHeight="1">
      <c r="C759" s="784"/>
      <c r="D759" s="784"/>
      <c r="E759" s="784"/>
      <c r="F759" s="784"/>
      <c r="G759" s="784"/>
      <c r="H759" s="784"/>
      <c r="I759" s="784"/>
      <c r="J759" s="784"/>
      <c r="K759" s="784"/>
      <c r="L759" s="784"/>
      <c r="M759" s="784"/>
      <c r="N759" s="784"/>
      <c r="O759" s="784"/>
      <c r="P759" s="784"/>
      <c r="Q759" s="784"/>
      <c r="R759" s="784"/>
      <c r="S759" s="784"/>
      <c r="T759" s="784"/>
      <c r="U759" s="784"/>
      <c r="V759" s="784"/>
      <c r="W759" s="784"/>
      <c r="X759" s="784"/>
      <c r="Y759" s="784"/>
      <c r="Z759" s="784"/>
      <c r="AA759" s="784"/>
      <c r="AB759" s="784"/>
    </row>
    <row r="760" spans="3:28" ht="15.75" customHeight="1">
      <c r="C760" s="784"/>
      <c r="D760" s="784"/>
      <c r="E760" s="784"/>
      <c r="F760" s="784"/>
      <c r="G760" s="784"/>
      <c r="H760" s="784"/>
      <c r="I760" s="784"/>
      <c r="J760" s="784"/>
      <c r="K760" s="784"/>
      <c r="L760" s="784"/>
      <c r="M760" s="784"/>
      <c r="N760" s="784"/>
      <c r="O760" s="784"/>
      <c r="P760" s="784"/>
      <c r="Q760" s="784"/>
      <c r="R760" s="784"/>
      <c r="S760" s="784"/>
      <c r="T760" s="784"/>
      <c r="U760" s="784"/>
      <c r="V760" s="784"/>
      <c r="W760" s="784"/>
      <c r="X760" s="784"/>
      <c r="Y760" s="784"/>
      <c r="Z760" s="784"/>
      <c r="AA760" s="784"/>
      <c r="AB760" s="784"/>
    </row>
    <row r="761" spans="3:28" ht="15.75" customHeight="1">
      <c r="C761" s="784"/>
      <c r="D761" s="784"/>
      <c r="E761" s="784"/>
      <c r="F761" s="784"/>
      <c r="G761" s="784"/>
      <c r="H761" s="784"/>
      <c r="I761" s="784"/>
      <c r="J761" s="784"/>
      <c r="K761" s="784"/>
      <c r="L761" s="784"/>
      <c r="M761" s="784"/>
      <c r="N761" s="784"/>
      <c r="O761" s="784"/>
      <c r="P761" s="784"/>
      <c r="Q761" s="784"/>
      <c r="R761" s="784"/>
      <c r="S761" s="784"/>
      <c r="T761" s="784"/>
      <c r="U761" s="784"/>
      <c r="V761" s="784"/>
      <c r="W761" s="784"/>
      <c r="X761" s="784"/>
      <c r="Y761" s="784"/>
      <c r="Z761" s="784"/>
      <c r="AA761" s="784"/>
      <c r="AB761" s="784"/>
    </row>
    <row r="762" spans="3:28" ht="15.75" customHeight="1">
      <c r="C762" s="784"/>
      <c r="D762" s="784"/>
      <c r="E762" s="784"/>
      <c r="F762" s="784"/>
      <c r="G762" s="784"/>
      <c r="H762" s="784"/>
      <c r="I762" s="784"/>
      <c r="J762" s="784"/>
      <c r="K762" s="784"/>
      <c r="L762" s="784"/>
      <c r="M762" s="784"/>
      <c r="N762" s="784"/>
      <c r="O762" s="784"/>
      <c r="P762" s="784"/>
      <c r="Q762" s="784"/>
      <c r="R762" s="784"/>
      <c r="S762" s="784"/>
      <c r="T762" s="784"/>
      <c r="U762" s="784"/>
      <c r="V762" s="784"/>
      <c r="W762" s="784"/>
      <c r="X762" s="784"/>
      <c r="Y762" s="784"/>
      <c r="Z762" s="784"/>
      <c r="AA762" s="784"/>
      <c r="AB762" s="784"/>
    </row>
    <row r="763" spans="3:28" ht="15.75" customHeight="1">
      <c r="C763" s="784"/>
      <c r="D763" s="784"/>
      <c r="E763" s="784"/>
      <c r="F763" s="784"/>
      <c r="G763" s="784"/>
      <c r="H763" s="784"/>
      <c r="I763" s="784"/>
      <c r="J763" s="784"/>
      <c r="K763" s="784"/>
      <c r="L763" s="784"/>
      <c r="M763" s="784"/>
      <c r="N763" s="784"/>
      <c r="O763" s="784"/>
      <c r="P763" s="784"/>
      <c r="Q763" s="784"/>
      <c r="R763" s="784"/>
      <c r="S763" s="784"/>
      <c r="T763" s="784"/>
      <c r="U763" s="784"/>
      <c r="V763" s="784"/>
      <c r="W763" s="784"/>
      <c r="X763" s="784"/>
      <c r="Y763" s="784"/>
      <c r="Z763" s="784"/>
      <c r="AA763" s="784"/>
      <c r="AB763" s="784"/>
    </row>
    <row r="764" spans="3:28" ht="15.75" customHeight="1">
      <c r="C764" s="784"/>
      <c r="D764" s="784"/>
      <c r="E764" s="784"/>
      <c r="F764" s="784"/>
      <c r="G764" s="784"/>
      <c r="H764" s="784"/>
      <c r="I764" s="784"/>
      <c r="J764" s="784"/>
      <c r="K764" s="784"/>
      <c r="L764" s="784"/>
      <c r="M764" s="784"/>
      <c r="N764" s="784"/>
      <c r="O764" s="784"/>
      <c r="P764" s="784"/>
      <c r="Q764" s="784"/>
      <c r="R764" s="784"/>
      <c r="S764" s="784"/>
      <c r="T764" s="784"/>
      <c r="U764" s="784"/>
      <c r="V764" s="784"/>
      <c r="W764" s="784"/>
      <c r="X764" s="784"/>
      <c r="Y764" s="784"/>
      <c r="Z764" s="784"/>
      <c r="AA764" s="784"/>
      <c r="AB764" s="784"/>
    </row>
    <row r="765" spans="3:28" ht="15.75" customHeight="1">
      <c r="C765" s="784"/>
      <c r="D765" s="784"/>
      <c r="E765" s="784"/>
      <c r="F765" s="784"/>
      <c r="G765" s="784"/>
      <c r="H765" s="784"/>
      <c r="I765" s="784"/>
      <c r="J765" s="784"/>
      <c r="K765" s="784"/>
      <c r="L765" s="784"/>
      <c r="M765" s="784"/>
      <c r="N765" s="784"/>
      <c r="O765" s="784"/>
      <c r="P765" s="784"/>
      <c r="Q765" s="784"/>
      <c r="R765" s="784"/>
      <c r="S765" s="784"/>
      <c r="T765" s="784"/>
      <c r="U765" s="784"/>
      <c r="V765" s="784"/>
      <c r="W765" s="784"/>
      <c r="X765" s="784"/>
      <c r="Y765" s="784"/>
      <c r="Z765" s="784"/>
      <c r="AA765" s="784"/>
      <c r="AB765" s="784"/>
    </row>
    <row r="766" spans="3:28" ht="15.75" customHeight="1">
      <c r="C766" s="784"/>
      <c r="D766" s="784"/>
      <c r="E766" s="784"/>
      <c r="F766" s="784"/>
      <c r="G766" s="784"/>
      <c r="H766" s="784"/>
      <c r="I766" s="784"/>
      <c r="J766" s="784"/>
      <c r="K766" s="784"/>
      <c r="L766" s="784"/>
      <c r="M766" s="784"/>
      <c r="N766" s="784"/>
      <c r="O766" s="784"/>
      <c r="P766" s="784"/>
      <c r="Q766" s="784"/>
      <c r="R766" s="784"/>
      <c r="S766" s="784"/>
      <c r="T766" s="784"/>
      <c r="U766" s="784"/>
      <c r="V766" s="784"/>
      <c r="W766" s="784"/>
      <c r="X766" s="784"/>
      <c r="Y766" s="784"/>
      <c r="Z766" s="784"/>
      <c r="AA766" s="784"/>
      <c r="AB766" s="784"/>
    </row>
    <row r="767" spans="3:28" ht="15.75" customHeight="1">
      <c r="C767" s="784"/>
      <c r="D767" s="784"/>
      <c r="E767" s="784"/>
      <c r="F767" s="784"/>
      <c r="G767" s="784"/>
      <c r="H767" s="784"/>
      <c r="I767" s="784"/>
      <c r="J767" s="784"/>
      <c r="K767" s="784"/>
      <c r="L767" s="784"/>
      <c r="M767" s="784"/>
      <c r="N767" s="784"/>
      <c r="O767" s="784"/>
      <c r="P767" s="784"/>
      <c r="Q767" s="784"/>
      <c r="R767" s="784"/>
      <c r="S767" s="784"/>
      <c r="T767" s="784"/>
      <c r="U767" s="784"/>
      <c r="V767" s="784"/>
      <c r="W767" s="784"/>
      <c r="X767" s="784"/>
      <c r="Y767" s="784"/>
      <c r="Z767" s="784"/>
      <c r="AA767" s="784"/>
      <c r="AB767" s="784"/>
    </row>
    <row r="768" spans="3:28" ht="15.75" customHeight="1">
      <c r="C768" s="784"/>
      <c r="D768" s="784"/>
      <c r="E768" s="784"/>
      <c r="F768" s="784"/>
      <c r="G768" s="784"/>
      <c r="H768" s="784"/>
      <c r="I768" s="784"/>
      <c r="J768" s="784"/>
      <c r="K768" s="784"/>
      <c r="L768" s="784"/>
      <c r="M768" s="784"/>
      <c r="N768" s="784"/>
      <c r="O768" s="784"/>
      <c r="P768" s="784"/>
      <c r="Q768" s="784"/>
      <c r="R768" s="784"/>
      <c r="S768" s="784"/>
      <c r="T768" s="784"/>
      <c r="U768" s="784"/>
      <c r="V768" s="784"/>
      <c r="W768" s="784"/>
      <c r="X768" s="784"/>
      <c r="Y768" s="784"/>
      <c r="Z768" s="784"/>
      <c r="AA768" s="784"/>
      <c r="AB768" s="784"/>
    </row>
    <row r="769" spans="3:28" ht="15.75" customHeight="1">
      <c r="C769" s="784"/>
      <c r="D769" s="784"/>
      <c r="E769" s="784"/>
      <c r="F769" s="784"/>
      <c r="G769" s="784"/>
      <c r="H769" s="784"/>
      <c r="I769" s="784"/>
      <c r="J769" s="784"/>
      <c r="K769" s="784"/>
      <c r="L769" s="784"/>
      <c r="M769" s="784"/>
      <c r="N769" s="784"/>
      <c r="O769" s="784"/>
      <c r="P769" s="784"/>
      <c r="Q769" s="784"/>
      <c r="R769" s="784"/>
      <c r="S769" s="784"/>
      <c r="T769" s="784"/>
      <c r="U769" s="784"/>
      <c r="V769" s="784"/>
      <c r="W769" s="784"/>
      <c r="X769" s="784"/>
      <c r="Y769" s="784"/>
      <c r="Z769" s="784"/>
      <c r="AA769" s="784"/>
      <c r="AB769" s="784"/>
    </row>
    <row r="770" spans="3:28" ht="15.75" customHeight="1">
      <c r="C770" s="784"/>
      <c r="D770" s="784"/>
      <c r="E770" s="784"/>
      <c r="F770" s="784"/>
      <c r="G770" s="784"/>
      <c r="H770" s="784"/>
      <c r="I770" s="784"/>
      <c r="J770" s="784"/>
      <c r="K770" s="784"/>
      <c r="L770" s="784"/>
      <c r="M770" s="784"/>
      <c r="N770" s="784"/>
      <c r="O770" s="784"/>
      <c r="P770" s="784"/>
      <c r="Q770" s="784"/>
      <c r="R770" s="784"/>
      <c r="S770" s="784"/>
      <c r="T770" s="784"/>
      <c r="U770" s="784"/>
      <c r="V770" s="784"/>
      <c r="W770" s="784"/>
      <c r="X770" s="784"/>
      <c r="Y770" s="784"/>
      <c r="Z770" s="784"/>
      <c r="AA770" s="784"/>
      <c r="AB770" s="784"/>
    </row>
    <row r="771" spans="3:28" ht="15.75" customHeight="1">
      <c r="C771" s="784"/>
      <c r="D771" s="784"/>
      <c r="E771" s="784"/>
      <c r="F771" s="784"/>
      <c r="G771" s="784"/>
      <c r="H771" s="784"/>
      <c r="I771" s="784"/>
      <c r="J771" s="784"/>
      <c r="K771" s="784"/>
      <c r="L771" s="784"/>
      <c r="M771" s="784"/>
      <c r="N771" s="784"/>
      <c r="O771" s="784"/>
      <c r="P771" s="784"/>
      <c r="Q771" s="784"/>
      <c r="R771" s="784"/>
      <c r="S771" s="784"/>
      <c r="T771" s="784"/>
      <c r="U771" s="784"/>
      <c r="V771" s="784"/>
      <c r="W771" s="784"/>
      <c r="X771" s="784"/>
      <c r="Y771" s="784"/>
      <c r="Z771" s="784"/>
      <c r="AA771" s="784"/>
      <c r="AB771" s="784"/>
    </row>
    <row r="772" spans="3:28" ht="15.75" customHeight="1">
      <c r="C772" s="784"/>
      <c r="D772" s="784"/>
      <c r="E772" s="784"/>
      <c r="F772" s="784"/>
      <c r="G772" s="784"/>
      <c r="H772" s="784"/>
      <c r="I772" s="784"/>
      <c r="J772" s="784"/>
      <c r="K772" s="784"/>
      <c r="L772" s="784"/>
      <c r="M772" s="784"/>
      <c r="N772" s="784"/>
      <c r="O772" s="784"/>
      <c r="P772" s="784"/>
      <c r="Q772" s="784"/>
      <c r="R772" s="784"/>
      <c r="S772" s="784"/>
      <c r="T772" s="784"/>
      <c r="U772" s="784"/>
      <c r="V772" s="784"/>
      <c r="W772" s="784"/>
      <c r="X772" s="784"/>
      <c r="Y772" s="784"/>
      <c r="Z772" s="784"/>
      <c r="AA772" s="784"/>
      <c r="AB772" s="784"/>
    </row>
    <row r="773" spans="3:28" ht="15.75" customHeight="1">
      <c r="C773" s="784"/>
      <c r="D773" s="784"/>
      <c r="E773" s="784"/>
      <c r="F773" s="784"/>
      <c r="G773" s="784"/>
      <c r="H773" s="784"/>
      <c r="I773" s="784"/>
      <c r="J773" s="784"/>
      <c r="K773" s="784"/>
      <c r="L773" s="784"/>
      <c r="M773" s="784"/>
      <c r="N773" s="784"/>
      <c r="O773" s="784"/>
      <c r="P773" s="784"/>
      <c r="Q773" s="784"/>
      <c r="R773" s="784"/>
      <c r="S773" s="784"/>
      <c r="T773" s="784"/>
      <c r="U773" s="784"/>
      <c r="V773" s="784"/>
      <c r="W773" s="784"/>
      <c r="X773" s="784"/>
      <c r="Y773" s="784"/>
      <c r="Z773" s="784"/>
      <c r="AA773" s="784"/>
      <c r="AB773" s="784"/>
    </row>
    <row r="774" spans="3:28" ht="15.75" customHeight="1">
      <c r="C774" s="784"/>
      <c r="D774" s="784"/>
      <c r="E774" s="784"/>
      <c r="F774" s="784"/>
      <c r="G774" s="784"/>
      <c r="H774" s="784"/>
      <c r="I774" s="784"/>
      <c r="J774" s="784"/>
      <c r="K774" s="784"/>
      <c r="L774" s="784"/>
      <c r="M774" s="784"/>
      <c r="N774" s="784"/>
      <c r="O774" s="784"/>
      <c r="P774" s="784"/>
      <c r="Q774" s="784"/>
      <c r="R774" s="784"/>
      <c r="S774" s="784"/>
      <c r="T774" s="784"/>
      <c r="U774" s="784"/>
      <c r="V774" s="784"/>
      <c r="W774" s="784"/>
      <c r="X774" s="784"/>
      <c r="Y774" s="784"/>
      <c r="Z774" s="784"/>
      <c r="AA774" s="784"/>
      <c r="AB774" s="784"/>
    </row>
    <row r="775" spans="3:28" ht="15.75" customHeight="1">
      <c r="C775" s="784"/>
      <c r="D775" s="784"/>
      <c r="E775" s="784"/>
      <c r="F775" s="784"/>
      <c r="G775" s="784"/>
      <c r="H775" s="784"/>
      <c r="I775" s="784"/>
      <c r="J775" s="784"/>
      <c r="K775" s="784"/>
      <c r="L775" s="784"/>
      <c r="M775" s="784"/>
      <c r="N775" s="784"/>
      <c r="O775" s="784"/>
      <c r="P775" s="784"/>
      <c r="Q775" s="784"/>
      <c r="R775" s="784"/>
      <c r="S775" s="784"/>
      <c r="T775" s="784"/>
      <c r="U775" s="784"/>
      <c r="V775" s="784"/>
      <c r="W775" s="784"/>
      <c r="X775" s="784"/>
      <c r="Y775" s="784"/>
      <c r="Z775" s="784"/>
      <c r="AA775" s="784"/>
      <c r="AB775" s="784"/>
    </row>
    <row r="776" spans="3:28" ht="15.75" customHeight="1">
      <c r="C776" s="784"/>
      <c r="D776" s="784"/>
      <c r="E776" s="784"/>
      <c r="F776" s="784"/>
      <c r="G776" s="784"/>
      <c r="H776" s="784"/>
      <c r="I776" s="784"/>
      <c r="J776" s="784"/>
      <c r="K776" s="784"/>
      <c r="L776" s="784"/>
      <c r="M776" s="784"/>
      <c r="N776" s="784"/>
      <c r="O776" s="784"/>
      <c r="P776" s="784"/>
      <c r="Q776" s="784"/>
      <c r="R776" s="784"/>
      <c r="S776" s="784"/>
      <c r="T776" s="784"/>
      <c r="U776" s="784"/>
      <c r="V776" s="784"/>
      <c r="W776" s="784"/>
      <c r="X776" s="784"/>
      <c r="Y776" s="784"/>
      <c r="Z776" s="784"/>
      <c r="AA776" s="784"/>
      <c r="AB776" s="784"/>
    </row>
    <row r="777" spans="3:28" ht="15.75" customHeight="1">
      <c r="C777" s="784"/>
      <c r="D777" s="784"/>
      <c r="E777" s="784"/>
      <c r="F777" s="784"/>
      <c r="G777" s="784"/>
      <c r="H777" s="784"/>
      <c r="I777" s="784"/>
      <c r="J777" s="784"/>
      <c r="K777" s="784"/>
      <c r="L777" s="784"/>
      <c r="M777" s="784"/>
      <c r="N777" s="784"/>
      <c r="O777" s="784"/>
      <c r="P777" s="784"/>
      <c r="Q777" s="784"/>
      <c r="R777" s="784"/>
      <c r="S777" s="784"/>
      <c r="T777" s="784"/>
      <c r="U777" s="784"/>
      <c r="V777" s="784"/>
      <c r="W777" s="784"/>
      <c r="X777" s="784"/>
      <c r="Y777" s="784"/>
      <c r="Z777" s="784"/>
      <c r="AA777" s="784"/>
      <c r="AB777" s="784"/>
    </row>
    <row r="778" spans="3:28" ht="15.75" customHeight="1">
      <c r="C778" s="784"/>
      <c r="D778" s="784"/>
      <c r="E778" s="784"/>
      <c r="F778" s="784"/>
      <c r="G778" s="784"/>
      <c r="H778" s="784"/>
      <c r="I778" s="784"/>
      <c r="J778" s="784"/>
      <c r="K778" s="784"/>
      <c r="L778" s="784"/>
      <c r="M778" s="784"/>
      <c r="N778" s="784"/>
      <c r="O778" s="784"/>
      <c r="P778" s="784"/>
      <c r="Q778" s="784"/>
      <c r="R778" s="784"/>
      <c r="S778" s="784"/>
      <c r="T778" s="784"/>
      <c r="U778" s="784"/>
      <c r="V778" s="784"/>
      <c r="W778" s="784"/>
      <c r="X778" s="784"/>
      <c r="Y778" s="784"/>
      <c r="Z778" s="784"/>
      <c r="AA778" s="784"/>
      <c r="AB778" s="784"/>
    </row>
    <row r="779" spans="3:28" ht="15.75" customHeight="1">
      <c r="C779" s="784"/>
      <c r="D779" s="784"/>
      <c r="E779" s="784"/>
      <c r="F779" s="784"/>
      <c r="G779" s="784"/>
      <c r="H779" s="784"/>
      <c r="I779" s="784"/>
      <c r="J779" s="784"/>
      <c r="K779" s="784"/>
      <c r="L779" s="784"/>
      <c r="M779" s="784"/>
      <c r="N779" s="784"/>
      <c r="O779" s="784"/>
      <c r="P779" s="784"/>
      <c r="Q779" s="784"/>
      <c r="R779" s="784"/>
      <c r="S779" s="784"/>
      <c r="T779" s="784"/>
      <c r="U779" s="784"/>
      <c r="V779" s="784"/>
      <c r="W779" s="784"/>
      <c r="X779" s="784"/>
      <c r="Y779" s="784"/>
      <c r="Z779" s="784"/>
      <c r="AA779" s="784"/>
      <c r="AB779" s="784"/>
    </row>
    <row r="780" spans="3:28" ht="15.75" customHeight="1">
      <c r="C780" s="784"/>
      <c r="D780" s="784"/>
      <c r="E780" s="784"/>
      <c r="F780" s="784"/>
      <c r="G780" s="784"/>
      <c r="H780" s="784"/>
      <c r="I780" s="784"/>
      <c r="J780" s="784"/>
      <c r="K780" s="784"/>
      <c r="L780" s="784"/>
      <c r="M780" s="784"/>
      <c r="N780" s="784"/>
      <c r="O780" s="784"/>
      <c r="P780" s="784"/>
      <c r="Q780" s="784"/>
      <c r="R780" s="784"/>
      <c r="S780" s="784"/>
      <c r="T780" s="784"/>
      <c r="U780" s="784"/>
      <c r="V780" s="784"/>
      <c r="W780" s="784"/>
      <c r="X780" s="784"/>
      <c r="Y780" s="784"/>
      <c r="Z780" s="784"/>
      <c r="AA780" s="784"/>
      <c r="AB780" s="784"/>
    </row>
    <row r="781" spans="3:28" ht="15.75" customHeight="1">
      <c r="C781" s="784"/>
      <c r="D781" s="784"/>
      <c r="E781" s="784"/>
      <c r="F781" s="784"/>
      <c r="G781" s="784"/>
      <c r="H781" s="784"/>
      <c r="I781" s="784"/>
      <c r="J781" s="784"/>
      <c r="K781" s="784"/>
      <c r="L781" s="784"/>
      <c r="M781" s="784"/>
      <c r="N781" s="784"/>
      <c r="O781" s="784"/>
      <c r="P781" s="784"/>
      <c r="Q781" s="784"/>
      <c r="R781" s="784"/>
      <c r="S781" s="784"/>
      <c r="T781" s="784"/>
      <c r="U781" s="784"/>
      <c r="V781" s="784"/>
      <c r="W781" s="784"/>
      <c r="X781" s="784"/>
      <c r="Y781" s="784"/>
      <c r="Z781" s="784"/>
      <c r="AA781" s="784"/>
      <c r="AB781" s="784"/>
    </row>
    <row r="782" spans="3:28" ht="15.75" customHeight="1">
      <c r="C782" s="784"/>
      <c r="D782" s="784"/>
      <c r="E782" s="784"/>
      <c r="F782" s="784"/>
      <c r="G782" s="784"/>
      <c r="H782" s="784"/>
      <c r="I782" s="784"/>
      <c r="J782" s="784"/>
      <c r="K782" s="784"/>
      <c r="L782" s="784"/>
      <c r="M782" s="784"/>
      <c r="N782" s="784"/>
      <c r="O782" s="784"/>
      <c r="P782" s="784"/>
      <c r="Q782" s="784"/>
      <c r="R782" s="784"/>
      <c r="S782" s="784"/>
      <c r="T782" s="784"/>
      <c r="U782" s="784"/>
      <c r="V782" s="784"/>
      <c r="W782" s="784"/>
      <c r="X782" s="784"/>
      <c r="Y782" s="784"/>
      <c r="Z782" s="784"/>
      <c r="AA782" s="784"/>
      <c r="AB782" s="784"/>
    </row>
    <row r="783" spans="3:28" ht="15.75" customHeight="1">
      <c r="C783" s="784"/>
      <c r="D783" s="784"/>
      <c r="E783" s="784"/>
      <c r="F783" s="784"/>
      <c r="G783" s="784"/>
      <c r="H783" s="784"/>
      <c r="I783" s="784"/>
      <c r="J783" s="784"/>
      <c r="K783" s="784"/>
      <c r="L783" s="784"/>
      <c r="M783" s="784"/>
      <c r="N783" s="784"/>
      <c r="O783" s="784"/>
      <c r="P783" s="784"/>
      <c r="Q783" s="784"/>
      <c r="R783" s="784"/>
      <c r="S783" s="784"/>
      <c r="T783" s="784"/>
      <c r="U783" s="784"/>
      <c r="V783" s="784"/>
      <c r="W783" s="784"/>
      <c r="X783" s="784"/>
      <c r="Y783" s="784"/>
      <c r="Z783" s="784"/>
      <c r="AA783" s="784"/>
      <c r="AB783" s="784"/>
    </row>
    <row r="784" spans="3:28" ht="15.75" customHeight="1">
      <c r="C784" s="784"/>
      <c r="D784" s="784"/>
      <c r="E784" s="784"/>
      <c r="F784" s="784"/>
      <c r="G784" s="784"/>
      <c r="H784" s="784"/>
      <c r="I784" s="784"/>
      <c r="J784" s="784"/>
      <c r="K784" s="784"/>
      <c r="L784" s="784"/>
      <c r="M784" s="784"/>
      <c r="N784" s="784"/>
      <c r="O784" s="784"/>
      <c r="P784" s="784"/>
      <c r="Q784" s="784"/>
      <c r="R784" s="784"/>
      <c r="S784" s="784"/>
      <c r="T784" s="784"/>
      <c r="U784" s="784"/>
      <c r="V784" s="784"/>
      <c r="W784" s="784"/>
      <c r="X784" s="784"/>
      <c r="Y784" s="784"/>
      <c r="Z784" s="784"/>
      <c r="AA784" s="784"/>
      <c r="AB784" s="784"/>
    </row>
    <row r="785" spans="3:28" ht="15.75" customHeight="1">
      <c r="C785" s="784"/>
      <c r="D785" s="784"/>
      <c r="E785" s="784"/>
      <c r="F785" s="784"/>
      <c r="G785" s="784"/>
      <c r="H785" s="784"/>
      <c r="I785" s="784"/>
      <c r="J785" s="784"/>
      <c r="K785" s="784"/>
      <c r="L785" s="784"/>
      <c r="M785" s="784"/>
      <c r="N785" s="784"/>
      <c r="O785" s="784"/>
      <c r="P785" s="784"/>
      <c r="Q785" s="784"/>
      <c r="R785" s="784"/>
      <c r="S785" s="784"/>
      <c r="T785" s="784"/>
      <c r="U785" s="784"/>
      <c r="V785" s="784"/>
      <c r="W785" s="784"/>
      <c r="X785" s="784"/>
      <c r="Y785" s="784"/>
      <c r="Z785" s="784"/>
      <c r="AA785" s="784"/>
      <c r="AB785" s="784"/>
    </row>
    <row r="786" spans="3:28" ht="15.75" customHeight="1">
      <c r="C786" s="784"/>
      <c r="D786" s="784"/>
      <c r="E786" s="784"/>
      <c r="F786" s="784"/>
      <c r="G786" s="784"/>
      <c r="H786" s="784"/>
      <c r="I786" s="784"/>
      <c r="J786" s="784"/>
      <c r="K786" s="784"/>
      <c r="L786" s="784"/>
      <c r="M786" s="784"/>
      <c r="N786" s="784"/>
      <c r="O786" s="784"/>
      <c r="P786" s="784"/>
      <c r="Q786" s="784"/>
      <c r="R786" s="784"/>
      <c r="S786" s="784"/>
      <c r="T786" s="784"/>
      <c r="U786" s="784"/>
      <c r="V786" s="784"/>
      <c r="W786" s="784"/>
      <c r="X786" s="784"/>
      <c r="Y786" s="784"/>
      <c r="Z786" s="784"/>
      <c r="AA786" s="784"/>
      <c r="AB786" s="784"/>
    </row>
    <row r="787" spans="3:28" ht="15.75" customHeight="1">
      <c r="C787" s="784"/>
      <c r="D787" s="784"/>
      <c r="E787" s="784"/>
      <c r="F787" s="784"/>
      <c r="G787" s="784"/>
      <c r="H787" s="784"/>
      <c r="I787" s="784"/>
      <c r="J787" s="784"/>
      <c r="K787" s="784"/>
      <c r="L787" s="784"/>
      <c r="M787" s="784"/>
      <c r="N787" s="784"/>
      <c r="O787" s="784"/>
      <c r="P787" s="784"/>
      <c r="Q787" s="784"/>
      <c r="R787" s="784"/>
      <c r="S787" s="784"/>
      <c r="T787" s="784"/>
      <c r="U787" s="784"/>
      <c r="V787" s="784"/>
      <c r="W787" s="784"/>
      <c r="X787" s="784"/>
      <c r="Y787" s="784"/>
      <c r="Z787" s="784"/>
      <c r="AA787" s="784"/>
      <c r="AB787" s="784"/>
    </row>
    <row r="788" spans="3:28" ht="15.75" customHeight="1">
      <c r="C788" s="784"/>
      <c r="D788" s="784"/>
      <c r="E788" s="784"/>
      <c r="F788" s="784"/>
      <c r="G788" s="784"/>
      <c r="H788" s="784"/>
      <c r="I788" s="784"/>
      <c r="J788" s="784"/>
      <c r="K788" s="784"/>
      <c r="L788" s="784"/>
      <c r="M788" s="784"/>
      <c r="N788" s="784"/>
      <c r="O788" s="784"/>
      <c r="P788" s="784"/>
      <c r="Q788" s="784"/>
      <c r="R788" s="784"/>
      <c r="S788" s="784"/>
      <c r="T788" s="784"/>
      <c r="U788" s="784"/>
      <c r="V788" s="784"/>
      <c r="W788" s="784"/>
      <c r="X788" s="784"/>
      <c r="Y788" s="784"/>
      <c r="Z788" s="784"/>
      <c r="AA788" s="784"/>
      <c r="AB788" s="784"/>
    </row>
    <row r="789" spans="3:28" ht="15.75" customHeight="1">
      <c r="C789" s="784"/>
      <c r="D789" s="784"/>
      <c r="E789" s="784"/>
      <c r="F789" s="784"/>
      <c r="G789" s="784"/>
      <c r="H789" s="784"/>
      <c r="I789" s="784"/>
      <c r="J789" s="784"/>
      <c r="K789" s="784"/>
      <c r="L789" s="784"/>
      <c r="M789" s="784"/>
      <c r="N789" s="784"/>
      <c r="O789" s="784"/>
      <c r="P789" s="784"/>
      <c r="Q789" s="784"/>
      <c r="R789" s="784"/>
      <c r="S789" s="784"/>
      <c r="T789" s="784"/>
      <c r="U789" s="784"/>
      <c r="V789" s="784"/>
      <c r="W789" s="784"/>
      <c r="X789" s="784"/>
      <c r="Y789" s="784"/>
      <c r="Z789" s="784"/>
      <c r="AA789" s="784"/>
      <c r="AB789" s="784"/>
    </row>
    <row r="790" spans="3:28" ht="15.75" customHeight="1">
      <c r="C790" s="784"/>
      <c r="D790" s="784"/>
      <c r="E790" s="784"/>
      <c r="F790" s="784"/>
      <c r="G790" s="784"/>
      <c r="H790" s="784"/>
      <c r="I790" s="784"/>
      <c r="J790" s="784"/>
      <c r="K790" s="784"/>
      <c r="L790" s="784"/>
      <c r="M790" s="784"/>
      <c r="N790" s="784"/>
      <c r="O790" s="784"/>
      <c r="P790" s="784"/>
      <c r="Q790" s="784"/>
      <c r="R790" s="784"/>
      <c r="S790" s="784"/>
      <c r="T790" s="784"/>
      <c r="U790" s="784"/>
      <c r="V790" s="784"/>
      <c r="W790" s="784"/>
      <c r="X790" s="784"/>
      <c r="Y790" s="784"/>
      <c r="Z790" s="784"/>
      <c r="AA790" s="784"/>
      <c r="AB790" s="784"/>
    </row>
    <row r="791" spans="3:28" ht="15.75" customHeight="1">
      <c r="C791" s="784"/>
      <c r="D791" s="784"/>
      <c r="E791" s="784"/>
      <c r="F791" s="784"/>
      <c r="G791" s="784"/>
      <c r="H791" s="784"/>
      <c r="I791" s="784"/>
      <c r="J791" s="784"/>
      <c r="K791" s="784"/>
      <c r="L791" s="784"/>
      <c r="M791" s="784"/>
      <c r="N791" s="784"/>
      <c r="O791" s="784"/>
      <c r="P791" s="784"/>
      <c r="Q791" s="784"/>
      <c r="R791" s="784"/>
      <c r="S791" s="784"/>
      <c r="T791" s="784"/>
      <c r="U791" s="784"/>
      <c r="V791" s="784"/>
      <c r="W791" s="784"/>
      <c r="X791" s="784"/>
      <c r="Y791" s="784"/>
      <c r="Z791" s="784"/>
      <c r="AA791" s="784"/>
      <c r="AB791" s="784"/>
    </row>
    <row r="792" spans="3:28" ht="15.75" customHeight="1">
      <c r="C792" s="784"/>
      <c r="D792" s="784"/>
      <c r="E792" s="784"/>
      <c r="F792" s="784"/>
      <c r="G792" s="784"/>
      <c r="H792" s="784"/>
      <c r="I792" s="784"/>
      <c r="J792" s="784"/>
      <c r="K792" s="784"/>
      <c r="L792" s="784"/>
      <c r="M792" s="784"/>
      <c r="N792" s="784"/>
      <c r="O792" s="784"/>
      <c r="P792" s="784"/>
      <c r="Q792" s="784"/>
      <c r="R792" s="784"/>
      <c r="S792" s="784"/>
      <c r="T792" s="784"/>
      <c r="U792" s="784"/>
      <c r="V792" s="784"/>
      <c r="W792" s="784"/>
      <c r="X792" s="784"/>
      <c r="Y792" s="784"/>
      <c r="Z792" s="784"/>
      <c r="AA792" s="784"/>
      <c r="AB792" s="784"/>
    </row>
    <row r="793" spans="3:28" ht="15.75" customHeight="1">
      <c r="C793" s="784"/>
      <c r="D793" s="784"/>
      <c r="E793" s="784"/>
      <c r="F793" s="784"/>
      <c r="G793" s="784"/>
      <c r="H793" s="784"/>
      <c r="I793" s="784"/>
      <c r="J793" s="784"/>
      <c r="K793" s="784"/>
      <c r="L793" s="784"/>
      <c r="M793" s="784"/>
      <c r="N793" s="784"/>
      <c r="O793" s="784"/>
      <c r="P793" s="784"/>
      <c r="Q793" s="784"/>
      <c r="R793" s="784"/>
      <c r="S793" s="784"/>
      <c r="T793" s="784"/>
      <c r="U793" s="784"/>
      <c r="V793" s="784"/>
      <c r="W793" s="784"/>
      <c r="X793" s="784"/>
      <c r="Y793" s="784"/>
      <c r="Z793" s="784"/>
      <c r="AA793" s="784"/>
      <c r="AB793" s="784"/>
    </row>
    <row r="794" spans="3:28" ht="15.75" customHeight="1">
      <c r="C794" s="784"/>
      <c r="D794" s="784"/>
      <c r="E794" s="784"/>
      <c r="F794" s="784"/>
      <c r="G794" s="784"/>
      <c r="H794" s="784"/>
      <c r="I794" s="784"/>
      <c r="J794" s="784"/>
      <c r="K794" s="784"/>
      <c r="L794" s="784"/>
      <c r="M794" s="784"/>
      <c r="N794" s="784"/>
      <c r="O794" s="784"/>
      <c r="P794" s="784"/>
      <c r="Q794" s="784"/>
      <c r="R794" s="784"/>
      <c r="S794" s="784"/>
      <c r="T794" s="784"/>
      <c r="U794" s="784"/>
      <c r="V794" s="784"/>
      <c r="W794" s="784"/>
      <c r="X794" s="784"/>
      <c r="Y794" s="784"/>
      <c r="Z794" s="784"/>
      <c r="AA794" s="784"/>
      <c r="AB794" s="784"/>
    </row>
    <row r="795" spans="3:28" ht="15.75" customHeight="1">
      <c r="C795" s="784"/>
      <c r="D795" s="784"/>
      <c r="E795" s="784"/>
      <c r="F795" s="784"/>
      <c r="G795" s="784"/>
      <c r="H795" s="784"/>
      <c r="I795" s="784"/>
      <c r="J795" s="784"/>
      <c r="K795" s="784"/>
      <c r="L795" s="784"/>
      <c r="M795" s="784"/>
      <c r="N795" s="784"/>
      <c r="O795" s="784"/>
      <c r="P795" s="784"/>
      <c r="Q795" s="784"/>
      <c r="R795" s="784"/>
      <c r="S795" s="784"/>
      <c r="T795" s="784"/>
      <c r="U795" s="784"/>
      <c r="V795" s="784"/>
      <c r="W795" s="784"/>
      <c r="X795" s="784"/>
      <c r="Y795" s="784"/>
      <c r="Z795" s="784"/>
      <c r="AA795" s="784"/>
      <c r="AB795" s="784"/>
    </row>
    <row r="796" spans="3:28" ht="15.75" customHeight="1">
      <c r="C796" s="784"/>
      <c r="D796" s="784"/>
      <c r="E796" s="784"/>
      <c r="F796" s="784"/>
      <c r="G796" s="784"/>
      <c r="H796" s="784"/>
      <c r="I796" s="784"/>
      <c r="J796" s="784"/>
      <c r="K796" s="784"/>
      <c r="L796" s="784"/>
      <c r="M796" s="784"/>
      <c r="N796" s="784"/>
      <c r="O796" s="784"/>
      <c r="P796" s="784"/>
      <c r="Q796" s="784"/>
      <c r="R796" s="784"/>
      <c r="S796" s="784"/>
      <c r="T796" s="784"/>
      <c r="U796" s="784"/>
      <c r="V796" s="784"/>
      <c r="W796" s="784"/>
      <c r="X796" s="784"/>
      <c r="Y796" s="784"/>
      <c r="Z796" s="784"/>
      <c r="AA796" s="784"/>
      <c r="AB796" s="784"/>
    </row>
    <row r="797" spans="3:28" ht="15.75" customHeight="1">
      <c r="C797" s="784"/>
      <c r="D797" s="784"/>
      <c r="E797" s="784"/>
      <c r="F797" s="784"/>
      <c r="G797" s="784"/>
      <c r="H797" s="784"/>
      <c r="I797" s="784"/>
      <c r="J797" s="784"/>
      <c r="K797" s="784"/>
      <c r="L797" s="784"/>
      <c r="M797" s="784"/>
      <c r="N797" s="784"/>
      <c r="O797" s="784"/>
      <c r="P797" s="784"/>
      <c r="Q797" s="784"/>
      <c r="R797" s="784"/>
      <c r="S797" s="784"/>
      <c r="T797" s="784"/>
      <c r="U797" s="784"/>
      <c r="V797" s="784"/>
      <c r="W797" s="784"/>
      <c r="X797" s="784"/>
      <c r="Y797" s="784"/>
      <c r="Z797" s="784"/>
      <c r="AA797" s="784"/>
      <c r="AB797" s="784"/>
    </row>
    <row r="798" spans="3:28" ht="15.75" customHeight="1">
      <c r="C798" s="784"/>
      <c r="D798" s="784"/>
      <c r="E798" s="784"/>
      <c r="F798" s="784"/>
      <c r="G798" s="784"/>
      <c r="H798" s="784"/>
      <c r="I798" s="784"/>
      <c r="J798" s="784"/>
      <c r="K798" s="784"/>
      <c r="L798" s="784"/>
      <c r="M798" s="784"/>
      <c r="N798" s="784"/>
      <c r="O798" s="784"/>
      <c r="P798" s="784"/>
      <c r="Q798" s="784"/>
      <c r="R798" s="784"/>
      <c r="S798" s="784"/>
      <c r="T798" s="784"/>
      <c r="U798" s="784"/>
      <c r="V798" s="784"/>
      <c r="W798" s="784"/>
      <c r="X798" s="784"/>
      <c r="Y798" s="784"/>
      <c r="Z798" s="784"/>
      <c r="AA798" s="784"/>
      <c r="AB798" s="784"/>
    </row>
    <row r="799" spans="3:28" ht="15.75" customHeight="1">
      <c r="C799" s="784"/>
      <c r="D799" s="784"/>
      <c r="E799" s="784"/>
      <c r="F799" s="784"/>
      <c r="G799" s="784"/>
      <c r="H799" s="784"/>
      <c r="I799" s="784"/>
      <c r="J799" s="784"/>
      <c r="K799" s="784"/>
      <c r="L799" s="784"/>
      <c r="M799" s="784"/>
      <c r="N799" s="784"/>
      <c r="O799" s="784"/>
      <c r="P799" s="784"/>
      <c r="Q799" s="784"/>
      <c r="R799" s="784"/>
      <c r="S799" s="784"/>
      <c r="T799" s="784"/>
      <c r="U799" s="784"/>
      <c r="V799" s="784"/>
      <c r="W799" s="784"/>
      <c r="X799" s="784"/>
      <c r="Y799" s="784"/>
      <c r="Z799" s="784"/>
      <c r="AA799" s="784"/>
      <c r="AB799" s="784"/>
    </row>
    <row r="800" spans="3:28" ht="15.75" customHeight="1">
      <c r="C800" s="784"/>
      <c r="D800" s="784"/>
      <c r="E800" s="784"/>
      <c r="F800" s="784"/>
      <c r="G800" s="784"/>
      <c r="H800" s="784"/>
      <c r="I800" s="784"/>
      <c r="J800" s="784"/>
      <c r="K800" s="784"/>
      <c r="L800" s="784"/>
      <c r="M800" s="784"/>
      <c r="N800" s="784"/>
      <c r="O800" s="784"/>
      <c r="P800" s="784"/>
      <c r="Q800" s="784"/>
      <c r="R800" s="784"/>
      <c r="S800" s="784"/>
      <c r="T800" s="784"/>
      <c r="U800" s="784"/>
      <c r="V800" s="784"/>
      <c r="W800" s="784"/>
      <c r="X800" s="784"/>
      <c r="Y800" s="784"/>
      <c r="Z800" s="784"/>
      <c r="AA800" s="784"/>
      <c r="AB800" s="784"/>
    </row>
    <row r="801" spans="3:28" ht="15.75" customHeight="1">
      <c r="C801" s="784"/>
      <c r="D801" s="784"/>
      <c r="E801" s="784"/>
      <c r="F801" s="784"/>
      <c r="G801" s="784"/>
      <c r="H801" s="784"/>
      <c r="I801" s="784"/>
      <c r="J801" s="784"/>
      <c r="K801" s="784"/>
      <c r="L801" s="784"/>
      <c r="M801" s="784"/>
      <c r="N801" s="784"/>
      <c r="O801" s="784"/>
      <c r="P801" s="784"/>
      <c r="Q801" s="784"/>
      <c r="R801" s="784"/>
      <c r="S801" s="784"/>
      <c r="T801" s="784"/>
      <c r="U801" s="784"/>
      <c r="V801" s="784"/>
      <c r="W801" s="784"/>
      <c r="X801" s="784"/>
      <c r="Y801" s="784"/>
      <c r="Z801" s="784"/>
      <c r="AA801" s="784"/>
      <c r="AB801" s="784"/>
    </row>
    <row r="802" spans="3:28" ht="15.75" customHeight="1">
      <c r="C802" s="784"/>
      <c r="D802" s="784"/>
      <c r="E802" s="784"/>
      <c r="F802" s="784"/>
      <c r="G802" s="784"/>
      <c r="H802" s="784"/>
      <c r="I802" s="784"/>
      <c r="J802" s="784"/>
      <c r="K802" s="784"/>
      <c r="L802" s="784"/>
      <c r="M802" s="784"/>
      <c r="N802" s="784"/>
      <c r="O802" s="784"/>
      <c r="P802" s="784"/>
      <c r="Q802" s="784"/>
      <c r="R802" s="784"/>
      <c r="S802" s="784"/>
      <c r="T802" s="784"/>
      <c r="U802" s="784"/>
      <c r="V802" s="784"/>
      <c r="W802" s="784"/>
      <c r="X802" s="784"/>
      <c r="Y802" s="784"/>
      <c r="Z802" s="784"/>
      <c r="AA802" s="784"/>
      <c r="AB802" s="784"/>
    </row>
    <row r="803" spans="3:28" ht="15.75" customHeight="1">
      <c r="C803" s="784"/>
      <c r="D803" s="784"/>
      <c r="E803" s="784"/>
      <c r="F803" s="784"/>
      <c r="G803" s="784"/>
      <c r="H803" s="784"/>
      <c r="I803" s="784"/>
      <c r="J803" s="784"/>
      <c r="K803" s="784"/>
      <c r="L803" s="784"/>
      <c r="M803" s="784"/>
      <c r="N803" s="784"/>
      <c r="O803" s="784"/>
      <c r="P803" s="784"/>
      <c r="Q803" s="784"/>
      <c r="R803" s="784"/>
      <c r="S803" s="784"/>
      <c r="T803" s="784"/>
      <c r="U803" s="784"/>
      <c r="V803" s="784"/>
      <c r="W803" s="784"/>
      <c r="X803" s="784"/>
      <c r="Y803" s="784"/>
      <c r="Z803" s="784"/>
      <c r="AA803" s="784"/>
      <c r="AB803" s="784"/>
    </row>
    <row r="804" spans="3:28" ht="15.75" customHeight="1">
      <c r="C804" s="784"/>
      <c r="D804" s="784"/>
      <c r="E804" s="784"/>
      <c r="F804" s="784"/>
      <c r="G804" s="784"/>
      <c r="H804" s="784"/>
      <c r="I804" s="784"/>
      <c r="J804" s="784"/>
      <c r="K804" s="784"/>
      <c r="L804" s="784"/>
      <c r="M804" s="784"/>
      <c r="N804" s="784"/>
      <c r="O804" s="784"/>
      <c r="P804" s="784"/>
      <c r="Q804" s="784"/>
      <c r="R804" s="784"/>
      <c r="S804" s="784"/>
      <c r="T804" s="784"/>
      <c r="U804" s="784"/>
      <c r="V804" s="784"/>
      <c r="W804" s="784"/>
      <c r="X804" s="784"/>
      <c r="Y804" s="784"/>
      <c r="Z804" s="784"/>
      <c r="AA804" s="784"/>
      <c r="AB804" s="784"/>
    </row>
    <row r="805" spans="3:28" ht="15.75" customHeight="1">
      <c r="C805" s="784"/>
      <c r="D805" s="784"/>
      <c r="E805" s="784"/>
      <c r="F805" s="784"/>
      <c r="G805" s="784"/>
      <c r="H805" s="784"/>
      <c r="I805" s="784"/>
      <c r="J805" s="784"/>
      <c r="K805" s="784"/>
      <c r="L805" s="784"/>
      <c r="M805" s="784"/>
      <c r="N805" s="784"/>
      <c r="O805" s="784"/>
      <c r="P805" s="784"/>
      <c r="Q805" s="784"/>
      <c r="R805" s="784"/>
      <c r="S805" s="784"/>
      <c r="T805" s="784"/>
      <c r="U805" s="784"/>
      <c r="V805" s="784"/>
      <c r="W805" s="784"/>
      <c r="X805" s="784"/>
      <c r="Y805" s="784"/>
      <c r="Z805" s="784"/>
      <c r="AA805" s="784"/>
      <c r="AB805" s="784"/>
    </row>
    <row r="806" spans="3:28" ht="15.75" customHeight="1">
      <c r="C806" s="784"/>
      <c r="D806" s="784"/>
      <c r="E806" s="784"/>
      <c r="F806" s="784"/>
      <c r="G806" s="784"/>
      <c r="H806" s="784"/>
      <c r="I806" s="784"/>
      <c r="J806" s="784"/>
      <c r="K806" s="784"/>
      <c r="L806" s="784"/>
      <c r="M806" s="784"/>
      <c r="N806" s="784"/>
      <c r="O806" s="784"/>
      <c r="P806" s="784"/>
      <c r="Q806" s="784"/>
      <c r="R806" s="784"/>
      <c r="S806" s="784"/>
      <c r="T806" s="784"/>
      <c r="U806" s="784"/>
      <c r="V806" s="784"/>
      <c r="W806" s="784"/>
      <c r="X806" s="784"/>
      <c r="Y806" s="784"/>
      <c r="Z806" s="784"/>
      <c r="AA806" s="784"/>
      <c r="AB806" s="784"/>
    </row>
    <row r="807" spans="3:28" ht="15.75" customHeight="1">
      <c r="C807" s="784"/>
      <c r="D807" s="784"/>
      <c r="E807" s="784"/>
      <c r="F807" s="784"/>
      <c r="G807" s="784"/>
      <c r="H807" s="784"/>
      <c r="I807" s="784"/>
      <c r="J807" s="784"/>
      <c r="K807" s="784"/>
      <c r="L807" s="784"/>
      <c r="M807" s="784"/>
      <c r="N807" s="784"/>
      <c r="O807" s="784"/>
      <c r="P807" s="784"/>
      <c r="Q807" s="784"/>
      <c r="R807" s="784"/>
      <c r="S807" s="784"/>
      <c r="T807" s="784"/>
      <c r="U807" s="784"/>
      <c r="V807" s="784"/>
      <c r="W807" s="784"/>
      <c r="X807" s="784"/>
      <c r="Y807" s="784"/>
      <c r="Z807" s="784"/>
      <c r="AA807" s="784"/>
      <c r="AB807" s="784"/>
    </row>
    <row r="808" spans="3:28" ht="15.75" customHeight="1">
      <c r="C808" s="784"/>
      <c r="D808" s="784"/>
      <c r="E808" s="784"/>
      <c r="F808" s="784"/>
      <c r="G808" s="784"/>
      <c r="H808" s="784"/>
      <c r="I808" s="784"/>
      <c r="J808" s="784"/>
      <c r="K808" s="784"/>
      <c r="L808" s="784"/>
      <c r="M808" s="784"/>
      <c r="N808" s="784"/>
      <c r="O808" s="784"/>
      <c r="P808" s="784"/>
      <c r="Q808" s="784"/>
      <c r="R808" s="784"/>
      <c r="S808" s="784"/>
      <c r="T808" s="784"/>
      <c r="U808" s="784"/>
      <c r="V808" s="784"/>
      <c r="W808" s="784"/>
      <c r="X808" s="784"/>
      <c r="Y808" s="784"/>
      <c r="Z808" s="784"/>
      <c r="AA808" s="784"/>
      <c r="AB808" s="784"/>
    </row>
    <row r="809" spans="3:28" ht="15.75" customHeight="1">
      <c r="C809" s="784"/>
      <c r="D809" s="784"/>
      <c r="E809" s="784"/>
      <c r="F809" s="784"/>
      <c r="G809" s="784"/>
      <c r="H809" s="784"/>
      <c r="I809" s="784"/>
      <c r="J809" s="784"/>
      <c r="K809" s="784"/>
      <c r="L809" s="784"/>
      <c r="M809" s="784"/>
      <c r="N809" s="784"/>
      <c r="O809" s="784"/>
      <c r="P809" s="784"/>
      <c r="Q809" s="784"/>
      <c r="R809" s="784"/>
      <c r="S809" s="784"/>
      <c r="T809" s="784"/>
      <c r="U809" s="784"/>
      <c r="V809" s="784"/>
      <c r="W809" s="784"/>
      <c r="X809" s="784"/>
      <c r="Y809" s="784"/>
      <c r="Z809" s="784"/>
      <c r="AA809" s="784"/>
      <c r="AB809" s="784"/>
    </row>
    <row r="810" spans="3:28" ht="15.75" customHeight="1">
      <c r="C810" s="784"/>
      <c r="D810" s="784"/>
      <c r="E810" s="784"/>
      <c r="F810" s="784"/>
      <c r="G810" s="784"/>
      <c r="H810" s="784"/>
      <c r="I810" s="784"/>
      <c r="J810" s="784"/>
      <c r="K810" s="784"/>
      <c r="L810" s="784"/>
      <c r="M810" s="784"/>
      <c r="N810" s="784"/>
      <c r="O810" s="784"/>
      <c r="P810" s="784"/>
      <c r="Q810" s="784"/>
      <c r="R810" s="784"/>
      <c r="S810" s="784"/>
      <c r="T810" s="784"/>
      <c r="U810" s="784"/>
      <c r="V810" s="784"/>
      <c r="W810" s="784"/>
      <c r="X810" s="784"/>
      <c r="Y810" s="784"/>
      <c r="Z810" s="784"/>
      <c r="AA810" s="784"/>
      <c r="AB810" s="784"/>
    </row>
    <row r="811" spans="3:28" ht="15.75" customHeight="1">
      <c r="C811" s="784"/>
      <c r="D811" s="784"/>
      <c r="E811" s="784"/>
      <c r="F811" s="784"/>
      <c r="G811" s="784"/>
      <c r="H811" s="784"/>
      <c r="I811" s="784"/>
      <c r="J811" s="784"/>
      <c r="K811" s="784"/>
      <c r="L811" s="784"/>
      <c r="M811" s="784"/>
      <c r="N811" s="784"/>
      <c r="O811" s="784"/>
      <c r="P811" s="784"/>
      <c r="Q811" s="784"/>
      <c r="R811" s="784"/>
      <c r="S811" s="784"/>
      <c r="T811" s="784"/>
      <c r="U811" s="784"/>
      <c r="V811" s="784"/>
      <c r="W811" s="784"/>
      <c r="X811" s="784"/>
      <c r="Y811" s="784"/>
      <c r="Z811" s="784"/>
      <c r="AA811" s="784"/>
      <c r="AB811" s="784"/>
    </row>
    <row r="812" spans="3:28" ht="15.75" customHeight="1">
      <c r="C812" s="784"/>
      <c r="D812" s="784"/>
      <c r="E812" s="784"/>
      <c r="F812" s="784"/>
      <c r="G812" s="784"/>
      <c r="H812" s="784"/>
      <c r="I812" s="784"/>
      <c r="J812" s="784"/>
      <c r="K812" s="784"/>
      <c r="L812" s="784"/>
      <c r="M812" s="784"/>
      <c r="N812" s="784"/>
      <c r="O812" s="784"/>
      <c r="P812" s="784"/>
      <c r="Q812" s="784"/>
      <c r="R812" s="784"/>
      <c r="S812" s="784"/>
      <c r="T812" s="784"/>
      <c r="U812" s="784"/>
      <c r="V812" s="784"/>
      <c r="W812" s="784"/>
      <c r="X812" s="784"/>
      <c r="Y812" s="784"/>
      <c r="Z812" s="784"/>
      <c r="AA812" s="784"/>
      <c r="AB812" s="784"/>
    </row>
    <row r="813" spans="3:28" ht="15.75" customHeight="1">
      <c r="C813" s="784"/>
      <c r="D813" s="784"/>
      <c r="E813" s="784"/>
      <c r="F813" s="784"/>
      <c r="G813" s="784"/>
      <c r="H813" s="784"/>
      <c r="I813" s="784"/>
      <c r="J813" s="784"/>
      <c r="K813" s="784"/>
      <c r="L813" s="784"/>
      <c r="M813" s="784"/>
      <c r="N813" s="784"/>
      <c r="O813" s="784"/>
      <c r="P813" s="784"/>
      <c r="Q813" s="784"/>
      <c r="R813" s="784"/>
      <c r="S813" s="784"/>
      <c r="T813" s="784"/>
      <c r="U813" s="784"/>
      <c r="V813" s="784"/>
      <c r="W813" s="784"/>
      <c r="X813" s="784"/>
      <c r="Y813" s="784"/>
      <c r="Z813" s="784"/>
      <c r="AA813" s="784"/>
      <c r="AB813" s="784"/>
    </row>
    <row r="814" spans="3:28" ht="15.75" customHeight="1">
      <c r="C814" s="784"/>
      <c r="D814" s="784"/>
      <c r="E814" s="784"/>
      <c r="F814" s="784"/>
      <c r="G814" s="784"/>
      <c r="H814" s="784"/>
      <c r="I814" s="784"/>
      <c r="J814" s="784"/>
      <c r="K814" s="784"/>
      <c r="L814" s="784"/>
      <c r="M814" s="784"/>
      <c r="N814" s="784"/>
      <c r="O814" s="784"/>
      <c r="P814" s="784"/>
      <c r="Q814" s="784"/>
      <c r="R814" s="784"/>
      <c r="S814" s="784"/>
      <c r="T814" s="784"/>
      <c r="U814" s="784"/>
      <c r="V814" s="784"/>
      <c r="W814" s="784"/>
      <c r="X814" s="784"/>
      <c r="Y814" s="784"/>
      <c r="Z814" s="784"/>
      <c r="AA814" s="784"/>
      <c r="AB814" s="784"/>
    </row>
    <row r="815" spans="3:28" ht="15.75" customHeight="1">
      <c r="C815" s="784"/>
      <c r="D815" s="784"/>
      <c r="E815" s="784"/>
      <c r="F815" s="784"/>
      <c r="G815" s="784"/>
      <c r="H815" s="784"/>
      <c r="I815" s="784"/>
      <c r="J815" s="784"/>
      <c r="K815" s="784"/>
      <c r="L815" s="784"/>
      <c r="M815" s="784"/>
      <c r="N815" s="784"/>
      <c r="O815" s="784"/>
      <c r="P815" s="784"/>
      <c r="Q815" s="784"/>
      <c r="R815" s="784"/>
      <c r="S815" s="784"/>
      <c r="T815" s="784"/>
      <c r="U815" s="784"/>
      <c r="V815" s="784"/>
      <c r="W815" s="784"/>
      <c r="X815" s="784"/>
      <c r="Y815" s="784"/>
      <c r="Z815" s="784"/>
      <c r="AA815" s="784"/>
      <c r="AB815" s="784"/>
    </row>
    <row r="816" spans="3:28" ht="15.75" customHeight="1">
      <c r="C816" s="784"/>
      <c r="D816" s="784"/>
      <c r="E816" s="784"/>
      <c r="F816" s="784"/>
      <c r="G816" s="784"/>
      <c r="H816" s="784"/>
      <c r="I816" s="784"/>
      <c r="J816" s="784"/>
      <c r="K816" s="784"/>
      <c r="L816" s="784"/>
      <c r="M816" s="784"/>
      <c r="N816" s="784"/>
      <c r="O816" s="784"/>
      <c r="P816" s="784"/>
      <c r="Q816" s="784"/>
      <c r="R816" s="784"/>
      <c r="S816" s="784"/>
      <c r="T816" s="784"/>
      <c r="U816" s="784"/>
      <c r="V816" s="784"/>
      <c r="W816" s="784"/>
      <c r="X816" s="784"/>
      <c r="Y816" s="784"/>
      <c r="Z816" s="784"/>
      <c r="AA816" s="784"/>
      <c r="AB816" s="784"/>
    </row>
    <row r="817" spans="3:28" ht="15.75" customHeight="1">
      <c r="C817" s="784"/>
      <c r="D817" s="784"/>
      <c r="E817" s="784"/>
      <c r="F817" s="784"/>
      <c r="G817" s="784"/>
      <c r="H817" s="784"/>
      <c r="I817" s="784"/>
      <c r="J817" s="784"/>
      <c r="K817" s="784"/>
      <c r="L817" s="784"/>
      <c r="M817" s="784"/>
      <c r="N817" s="784"/>
      <c r="O817" s="784"/>
      <c r="P817" s="784"/>
      <c r="Q817" s="784"/>
      <c r="R817" s="784"/>
      <c r="S817" s="784"/>
      <c r="T817" s="784"/>
      <c r="U817" s="784"/>
      <c r="V817" s="784"/>
      <c r="W817" s="784"/>
      <c r="X817" s="784"/>
      <c r="Y817" s="784"/>
      <c r="Z817" s="784"/>
      <c r="AA817" s="784"/>
      <c r="AB817" s="784"/>
    </row>
    <row r="818" spans="3:28" ht="15.75" customHeight="1">
      <c r="C818" s="784"/>
      <c r="D818" s="784"/>
      <c r="E818" s="784"/>
      <c r="F818" s="784"/>
      <c r="G818" s="784"/>
      <c r="H818" s="784"/>
      <c r="I818" s="784"/>
      <c r="J818" s="784"/>
      <c r="K818" s="784"/>
      <c r="L818" s="784"/>
      <c r="M818" s="784"/>
      <c r="N818" s="784"/>
      <c r="O818" s="784"/>
      <c r="P818" s="784"/>
      <c r="Q818" s="784"/>
      <c r="R818" s="784"/>
      <c r="S818" s="784"/>
      <c r="T818" s="784"/>
      <c r="U818" s="784"/>
      <c r="V818" s="784"/>
      <c r="W818" s="784"/>
      <c r="X818" s="784"/>
      <c r="Y818" s="784"/>
      <c r="Z818" s="784"/>
      <c r="AA818" s="784"/>
      <c r="AB818" s="784"/>
    </row>
    <row r="819" spans="3:28" ht="15.75" customHeight="1">
      <c r="C819" s="784"/>
      <c r="D819" s="784"/>
      <c r="E819" s="784"/>
      <c r="F819" s="784"/>
      <c r="G819" s="784"/>
      <c r="H819" s="784"/>
      <c r="I819" s="784"/>
      <c r="J819" s="784"/>
      <c r="K819" s="784"/>
      <c r="L819" s="784"/>
      <c r="M819" s="784"/>
      <c r="N819" s="784"/>
      <c r="O819" s="784"/>
      <c r="P819" s="784"/>
      <c r="Q819" s="784"/>
      <c r="R819" s="784"/>
      <c r="S819" s="784"/>
      <c r="T819" s="784"/>
      <c r="U819" s="784"/>
      <c r="V819" s="784"/>
      <c r="W819" s="784"/>
      <c r="X819" s="784"/>
      <c r="Y819" s="784"/>
      <c r="Z819" s="784"/>
      <c r="AA819" s="784"/>
      <c r="AB819" s="784"/>
    </row>
    <row r="820" spans="3:28" ht="15.75" customHeight="1">
      <c r="C820" s="784"/>
      <c r="D820" s="784"/>
      <c r="E820" s="784"/>
      <c r="F820" s="784"/>
      <c r="G820" s="784"/>
      <c r="H820" s="784"/>
      <c r="I820" s="784"/>
      <c r="J820" s="784"/>
      <c r="K820" s="784"/>
      <c r="L820" s="784"/>
      <c r="M820" s="784"/>
      <c r="N820" s="784"/>
      <c r="O820" s="784"/>
      <c r="P820" s="784"/>
      <c r="Q820" s="784"/>
      <c r="R820" s="784"/>
      <c r="S820" s="784"/>
      <c r="T820" s="784"/>
      <c r="U820" s="784"/>
      <c r="V820" s="784"/>
      <c r="W820" s="784"/>
      <c r="X820" s="784"/>
      <c r="Y820" s="784"/>
      <c r="Z820" s="784"/>
      <c r="AA820" s="784"/>
      <c r="AB820" s="784"/>
    </row>
    <row r="821" spans="3:28" ht="15.75" customHeight="1">
      <c r="C821" s="784"/>
      <c r="D821" s="784"/>
      <c r="E821" s="784"/>
      <c r="F821" s="784"/>
      <c r="G821" s="784"/>
      <c r="H821" s="784"/>
      <c r="I821" s="784"/>
      <c r="J821" s="784"/>
      <c r="K821" s="784"/>
      <c r="L821" s="784"/>
      <c r="M821" s="784"/>
      <c r="N821" s="784"/>
      <c r="O821" s="784"/>
      <c r="P821" s="784"/>
      <c r="Q821" s="784"/>
      <c r="R821" s="784"/>
      <c r="S821" s="784"/>
      <c r="T821" s="784"/>
      <c r="U821" s="784"/>
      <c r="V821" s="784"/>
      <c r="W821" s="784"/>
      <c r="X821" s="784"/>
      <c r="Y821" s="784"/>
      <c r="Z821" s="784"/>
      <c r="AA821" s="784"/>
      <c r="AB821" s="784"/>
    </row>
    <row r="822" spans="3:28" ht="15.75" customHeight="1">
      <c r="C822" s="784"/>
      <c r="D822" s="784"/>
      <c r="E822" s="784"/>
      <c r="F822" s="784"/>
      <c r="G822" s="784"/>
      <c r="H822" s="784"/>
      <c r="I822" s="784"/>
      <c r="J822" s="784"/>
      <c r="K822" s="784"/>
      <c r="L822" s="784"/>
      <c r="M822" s="784"/>
      <c r="N822" s="784"/>
      <c r="O822" s="784"/>
      <c r="P822" s="784"/>
      <c r="Q822" s="784"/>
      <c r="R822" s="784"/>
      <c r="S822" s="784"/>
      <c r="T822" s="784"/>
      <c r="U822" s="784"/>
      <c r="V822" s="784"/>
      <c r="W822" s="784"/>
      <c r="X822" s="784"/>
      <c r="Y822" s="784"/>
      <c r="Z822" s="784"/>
      <c r="AA822" s="784"/>
      <c r="AB822" s="784"/>
    </row>
    <row r="823" spans="3:28" ht="15.75" customHeight="1">
      <c r="C823" s="784"/>
      <c r="D823" s="784"/>
      <c r="E823" s="784"/>
      <c r="F823" s="784"/>
      <c r="G823" s="784"/>
      <c r="H823" s="784"/>
      <c r="I823" s="784"/>
      <c r="J823" s="784"/>
      <c r="K823" s="784"/>
      <c r="L823" s="784"/>
      <c r="M823" s="784"/>
      <c r="N823" s="784"/>
      <c r="O823" s="784"/>
      <c r="P823" s="784"/>
      <c r="Q823" s="784"/>
      <c r="R823" s="784"/>
      <c r="S823" s="784"/>
      <c r="T823" s="784"/>
      <c r="U823" s="784"/>
      <c r="V823" s="784"/>
      <c r="W823" s="784"/>
      <c r="X823" s="784"/>
      <c r="Y823" s="784"/>
      <c r="Z823" s="784"/>
      <c r="AA823" s="784"/>
      <c r="AB823" s="784"/>
    </row>
    <row r="824" spans="3:28" ht="15.75" customHeight="1">
      <c r="C824" s="784"/>
      <c r="D824" s="784"/>
      <c r="E824" s="784"/>
      <c r="F824" s="784"/>
      <c r="G824" s="784"/>
      <c r="H824" s="784"/>
      <c r="I824" s="784"/>
      <c r="J824" s="784"/>
      <c r="K824" s="784"/>
      <c r="L824" s="784"/>
      <c r="M824" s="784"/>
      <c r="N824" s="784"/>
      <c r="O824" s="784"/>
      <c r="P824" s="784"/>
      <c r="Q824" s="784"/>
      <c r="R824" s="784"/>
      <c r="S824" s="784"/>
      <c r="T824" s="784"/>
      <c r="U824" s="784"/>
      <c r="V824" s="784"/>
      <c r="W824" s="784"/>
      <c r="X824" s="784"/>
      <c r="Y824" s="784"/>
      <c r="Z824" s="784"/>
      <c r="AA824" s="784"/>
      <c r="AB824" s="784"/>
    </row>
    <row r="825" spans="3:28" ht="15.75" customHeight="1">
      <c r="C825" s="784"/>
      <c r="D825" s="784"/>
      <c r="E825" s="784"/>
      <c r="F825" s="784"/>
      <c r="G825" s="784"/>
      <c r="H825" s="784"/>
      <c r="I825" s="784"/>
      <c r="J825" s="784"/>
      <c r="K825" s="784"/>
      <c r="L825" s="784"/>
      <c r="M825" s="784"/>
      <c r="N825" s="784"/>
      <c r="O825" s="784"/>
      <c r="P825" s="784"/>
      <c r="Q825" s="784"/>
      <c r="R825" s="784"/>
      <c r="S825" s="784"/>
      <c r="T825" s="784"/>
      <c r="U825" s="784"/>
      <c r="V825" s="784"/>
      <c r="W825" s="784"/>
      <c r="X825" s="784"/>
      <c r="Y825" s="784"/>
      <c r="Z825" s="784"/>
      <c r="AA825" s="784"/>
      <c r="AB825" s="784"/>
    </row>
    <row r="826" spans="3:28" ht="15.75" customHeight="1">
      <c r="C826" s="784"/>
      <c r="D826" s="784"/>
      <c r="E826" s="784"/>
      <c r="F826" s="784"/>
      <c r="G826" s="784"/>
      <c r="H826" s="784"/>
      <c r="I826" s="784"/>
      <c r="J826" s="784"/>
      <c r="K826" s="784"/>
      <c r="L826" s="784"/>
      <c r="M826" s="784"/>
      <c r="N826" s="784"/>
      <c r="O826" s="784"/>
      <c r="P826" s="784"/>
      <c r="Q826" s="784"/>
      <c r="R826" s="784"/>
      <c r="S826" s="784"/>
      <c r="T826" s="784"/>
      <c r="U826" s="784"/>
      <c r="V826" s="784"/>
      <c r="W826" s="784"/>
      <c r="X826" s="784"/>
      <c r="Y826" s="784"/>
      <c r="Z826" s="784"/>
      <c r="AA826" s="784"/>
      <c r="AB826" s="784"/>
    </row>
    <row r="827" spans="3:28" ht="15.75" customHeight="1">
      <c r="C827" s="784"/>
      <c r="D827" s="784"/>
      <c r="E827" s="784"/>
      <c r="F827" s="784"/>
      <c r="G827" s="784"/>
      <c r="H827" s="784"/>
      <c r="I827" s="784"/>
      <c r="J827" s="784"/>
      <c r="K827" s="784"/>
      <c r="L827" s="784"/>
      <c r="M827" s="784"/>
      <c r="N827" s="784"/>
      <c r="O827" s="784"/>
      <c r="P827" s="784"/>
      <c r="Q827" s="784"/>
      <c r="R827" s="784"/>
      <c r="S827" s="784"/>
      <c r="T827" s="784"/>
      <c r="U827" s="784"/>
      <c r="V827" s="784"/>
      <c r="W827" s="784"/>
      <c r="X827" s="784"/>
      <c r="Y827" s="784"/>
      <c r="Z827" s="784"/>
      <c r="AA827" s="784"/>
      <c r="AB827" s="784"/>
    </row>
    <row r="828" spans="3:28" ht="15.75" customHeight="1">
      <c r="C828" s="784"/>
      <c r="D828" s="784"/>
      <c r="E828" s="784"/>
      <c r="F828" s="784"/>
      <c r="G828" s="784"/>
      <c r="H828" s="784"/>
      <c r="I828" s="784"/>
      <c r="J828" s="784"/>
      <c r="K828" s="784"/>
      <c r="L828" s="784"/>
      <c r="M828" s="784"/>
      <c r="N828" s="784"/>
      <c r="O828" s="784"/>
      <c r="P828" s="784"/>
      <c r="Q828" s="784"/>
      <c r="R828" s="784"/>
      <c r="S828" s="784"/>
      <c r="T828" s="784"/>
      <c r="U828" s="784"/>
      <c r="V828" s="784"/>
      <c r="W828" s="784"/>
      <c r="X828" s="784"/>
      <c r="Y828" s="784"/>
      <c r="Z828" s="784"/>
      <c r="AA828" s="784"/>
      <c r="AB828" s="784"/>
    </row>
    <row r="829" spans="3:28" ht="15.75" customHeight="1">
      <c r="C829" s="784"/>
      <c r="D829" s="784"/>
      <c r="E829" s="784"/>
      <c r="F829" s="784"/>
      <c r="G829" s="784"/>
      <c r="H829" s="784"/>
      <c r="I829" s="784"/>
      <c r="J829" s="784"/>
      <c r="K829" s="784"/>
      <c r="L829" s="784"/>
      <c r="M829" s="784"/>
      <c r="N829" s="784"/>
      <c r="O829" s="784"/>
      <c r="P829" s="784"/>
      <c r="Q829" s="784"/>
      <c r="R829" s="784"/>
      <c r="S829" s="784"/>
      <c r="T829" s="784"/>
      <c r="U829" s="784"/>
      <c r="V829" s="784"/>
      <c r="W829" s="784"/>
      <c r="X829" s="784"/>
      <c r="Y829" s="784"/>
      <c r="Z829" s="784"/>
      <c r="AA829" s="784"/>
      <c r="AB829" s="784"/>
    </row>
    <row r="830" spans="3:28" ht="15.75" customHeight="1">
      <c r="C830" s="784"/>
      <c r="D830" s="784"/>
      <c r="E830" s="784"/>
      <c r="F830" s="784"/>
      <c r="G830" s="784"/>
      <c r="H830" s="784"/>
      <c r="I830" s="784"/>
      <c r="J830" s="784"/>
      <c r="K830" s="784"/>
      <c r="L830" s="784"/>
      <c r="M830" s="784"/>
      <c r="N830" s="784"/>
      <c r="O830" s="784"/>
      <c r="P830" s="784"/>
      <c r="Q830" s="784"/>
      <c r="R830" s="784"/>
      <c r="S830" s="784"/>
      <c r="T830" s="784"/>
      <c r="U830" s="784"/>
      <c r="V830" s="784"/>
      <c r="W830" s="784"/>
      <c r="X830" s="784"/>
      <c r="Y830" s="784"/>
      <c r="Z830" s="784"/>
      <c r="AA830" s="784"/>
      <c r="AB830" s="784"/>
    </row>
    <row r="831" spans="3:28" ht="15.75" customHeight="1">
      <c r="C831" s="784"/>
      <c r="D831" s="784"/>
      <c r="E831" s="784"/>
      <c r="F831" s="784"/>
      <c r="G831" s="784"/>
      <c r="H831" s="784"/>
      <c r="I831" s="784"/>
      <c r="J831" s="784"/>
      <c r="K831" s="784"/>
      <c r="L831" s="784"/>
      <c r="M831" s="784"/>
      <c r="N831" s="784"/>
      <c r="O831" s="784"/>
      <c r="P831" s="784"/>
      <c r="Q831" s="784"/>
      <c r="R831" s="784"/>
      <c r="S831" s="784"/>
      <c r="T831" s="784"/>
      <c r="U831" s="784"/>
      <c r="V831" s="784"/>
      <c r="W831" s="784"/>
      <c r="X831" s="784"/>
      <c r="Y831" s="784"/>
      <c r="Z831" s="784"/>
      <c r="AA831" s="784"/>
      <c r="AB831" s="784"/>
    </row>
    <row r="832" spans="3:28" ht="15.75" customHeight="1">
      <c r="C832" s="784"/>
      <c r="D832" s="784"/>
      <c r="E832" s="784"/>
      <c r="F832" s="784"/>
      <c r="G832" s="784"/>
      <c r="H832" s="784"/>
      <c r="I832" s="784"/>
      <c r="J832" s="784"/>
      <c r="K832" s="784"/>
      <c r="L832" s="784"/>
      <c r="M832" s="784"/>
      <c r="N832" s="784"/>
      <c r="O832" s="784"/>
      <c r="P832" s="784"/>
      <c r="Q832" s="784"/>
      <c r="R832" s="784"/>
      <c r="S832" s="784"/>
      <c r="T832" s="784"/>
      <c r="U832" s="784"/>
      <c r="V832" s="784"/>
      <c r="W832" s="784"/>
      <c r="X832" s="784"/>
      <c r="Y832" s="784"/>
      <c r="Z832" s="784"/>
      <c r="AA832" s="784"/>
      <c r="AB832" s="784"/>
    </row>
    <row r="833" spans="3:28" ht="15.75" customHeight="1">
      <c r="C833" s="784"/>
      <c r="D833" s="784"/>
      <c r="E833" s="784"/>
      <c r="F833" s="784"/>
      <c r="G833" s="784"/>
      <c r="H833" s="784"/>
      <c r="I833" s="784"/>
      <c r="J833" s="784"/>
      <c r="K833" s="784"/>
      <c r="L833" s="784"/>
      <c r="M833" s="784"/>
      <c r="N833" s="784"/>
      <c r="O833" s="784"/>
      <c r="P833" s="784"/>
      <c r="Q833" s="784"/>
      <c r="R833" s="784"/>
      <c r="S833" s="784"/>
      <c r="T833" s="784"/>
      <c r="U833" s="784"/>
      <c r="V833" s="784"/>
      <c r="W833" s="784"/>
      <c r="X833" s="784"/>
      <c r="Y833" s="784"/>
      <c r="Z833" s="784"/>
      <c r="AA833" s="784"/>
      <c r="AB833" s="784"/>
    </row>
    <row r="834" spans="3:28" ht="15.75" customHeight="1">
      <c r="C834" s="784"/>
      <c r="D834" s="784"/>
      <c r="E834" s="784"/>
      <c r="F834" s="784"/>
      <c r="G834" s="784"/>
      <c r="H834" s="784"/>
      <c r="I834" s="784"/>
      <c r="J834" s="784"/>
      <c r="K834" s="784"/>
      <c r="L834" s="784"/>
      <c r="M834" s="784"/>
      <c r="N834" s="784"/>
      <c r="O834" s="784"/>
      <c r="P834" s="784"/>
      <c r="Q834" s="784"/>
      <c r="R834" s="784"/>
      <c r="S834" s="784"/>
      <c r="T834" s="784"/>
      <c r="U834" s="784"/>
      <c r="V834" s="784"/>
      <c r="W834" s="784"/>
      <c r="X834" s="784"/>
      <c r="Y834" s="784"/>
      <c r="Z834" s="784"/>
      <c r="AA834" s="784"/>
      <c r="AB834" s="784"/>
    </row>
    <row r="835" spans="3:28" ht="15.75" customHeight="1">
      <c r="C835" s="784"/>
      <c r="D835" s="784"/>
      <c r="E835" s="784"/>
      <c r="F835" s="784"/>
      <c r="G835" s="784"/>
      <c r="H835" s="784"/>
      <c r="I835" s="784"/>
      <c r="J835" s="784"/>
      <c r="K835" s="784"/>
      <c r="L835" s="784"/>
      <c r="M835" s="784"/>
      <c r="N835" s="784"/>
      <c r="O835" s="784"/>
      <c r="P835" s="784"/>
      <c r="Q835" s="784"/>
      <c r="R835" s="784"/>
      <c r="S835" s="784"/>
      <c r="T835" s="784"/>
      <c r="U835" s="784"/>
      <c r="V835" s="784"/>
      <c r="W835" s="784"/>
      <c r="X835" s="784"/>
      <c r="Y835" s="784"/>
      <c r="Z835" s="784"/>
      <c r="AA835" s="784"/>
      <c r="AB835" s="784"/>
    </row>
    <row r="836" spans="3:28" ht="15.75" customHeight="1">
      <c r="C836" s="784"/>
      <c r="D836" s="784"/>
      <c r="E836" s="784"/>
      <c r="F836" s="784"/>
      <c r="G836" s="784"/>
      <c r="H836" s="784"/>
      <c r="I836" s="784"/>
      <c r="J836" s="784"/>
      <c r="K836" s="784"/>
      <c r="L836" s="784"/>
      <c r="M836" s="784"/>
      <c r="N836" s="784"/>
      <c r="O836" s="784"/>
      <c r="P836" s="784"/>
      <c r="Q836" s="784"/>
      <c r="R836" s="784"/>
      <c r="S836" s="784"/>
      <c r="T836" s="784"/>
      <c r="U836" s="784"/>
      <c r="V836" s="784"/>
      <c r="W836" s="784"/>
      <c r="X836" s="784"/>
      <c r="Y836" s="784"/>
      <c r="Z836" s="784"/>
      <c r="AA836" s="784"/>
      <c r="AB836" s="784"/>
    </row>
    <row r="837" spans="3:28" ht="15.75" customHeight="1">
      <c r="C837" s="784"/>
      <c r="D837" s="784"/>
      <c r="E837" s="784"/>
      <c r="F837" s="784"/>
      <c r="G837" s="784"/>
      <c r="H837" s="784"/>
      <c r="I837" s="784"/>
      <c r="J837" s="784"/>
      <c r="K837" s="784"/>
      <c r="L837" s="784"/>
      <c r="M837" s="784"/>
      <c r="N837" s="784"/>
      <c r="O837" s="784"/>
      <c r="P837" s="784"/>
      <c r="Q837" s="784"/>
      <c r="R837" s="784"/>
      <c r="S837" s="784"/>
      <c r="T837" s="784"/>
      <c r="U837" s="784"/>
      <c r="V837" s="784"/>
      <c r="W837" s="784"/>
      <c r="X837" s="784"/>
      <c r="Y837" s="784"/>
      <c r="Z837" s="784"/>
      <c r="AA837" s="784"/>
      <c r="AB837" s="784"/>
    </row>
    <row r="838" spans="3:28" ht="15.75" customHeight="1">
      <c r="C838" s="784"/>
      <c r="D838" s="784"/>
      <c r="E838" s="784"/>
      <c r="F838" s="784"/>
      <c r="G838" s="784"/>
      <c r="H838" s="784"/>
      <c r="I838" s="784"/>
      <c r="J838" s="784"/>
      <c r="K838" s="784"/>
      <c r="L838" s="784"/>
      <c r="M838" s="784"/>
      <c r="N838" s="784"/>
      <c r="O838" s="784"/>
      <c r="P838" s="784"/>
      <c r="Q838" s="784"/>
      <c r="R838" s="784"/>
      <c r="S838" s="784"/>
      <c r="T838" s="784"/>
      <c r="U838" s="784"/>
      <c r="V838" s="784"/>
      <c r="W838" s="784"/>
      <c r="X838" s="784"/>
      <c r="Y838" s="784"/>
      <c r="Z838" s="784"/>
      <c r="AA838" s="784"/>
      <c r="AB838" s="784"/>
    </row>
    <row r="839" spans="3:28" ht="15.75" customHeight="1">
      <c r="C839" s="784"/>
      <c r="D839" s="784"/>
      <c r="E839" s="784"/>
      <c r="F839" s="784"/>
      <c r="G839" s="784"/>
      <c r="H839" s="784"/>
      <c r="I839" s="784"/>
      <c r="J839" s="784"/>
      <c r="K839" s="784"/>
      <c r="L839" s="784"/>
      <c r="M839" s="784"/>
      <c r="N839" s="784"/>
      <c r="O839" s="784"/>
      <c r="P839" s="784"/>
      <c r="Q839" s="784"/>
      <c r="R839" s="784"/>
      <c r="S839" s="784"/>
      <c r="T839" s="784"/>
      <c r="U839" s="784"/>
      <c r="V839" s="784"/>
      <c r="W839" s="784"/>
      <c r="X839" s="784"/>
      <c r="Y839" s="784"/>
      <c r="Z839" s="784"/>
      <c r="AA839" s="784"/>
      <c r="AB839" s="784"/>
    </row>
    <row r="840" spans="3:28" ht="15.75" customHeight="1">
      <c r="C840" s="784"/>
      <c r="D840" s="784"/>
      <c r="E840" s="784"/>
      <c r="F840" s="784"/>
      <c r="G840" s="784"/>
      <c r="H840" s="784"/>
      <c r="I840" s="784"/>
      <c r="J840" s="784"/>
      <c r="K840" s="784"/>
      <c r="L840" s="784"/>
      <c r="M840" s="784"/>
      <c r="N840" s="784"/>
      <c r="O840" s="784"/>
      <c r="P840" s="784"/>
      <c r="Q840" s="784"/>
      <c r="R840" s="784"/>
      <c r="S840" s="784"/>
      <c r="T840" s="784"/>
      <c r="U840" s="784"/>
      <c r="V840" s="784"/>
      <c r="W840" s="784"/>
      <c r="X840" s="784"/>
      <c r="Y840" s="784"/>
      <c r="Z840" s="784"/>
      <c r="AA840" s="784"/>
      <c r="AB840" s="784"/>
    </row>
    <row r="841" spans="3:28" ht="15.75" customHeight="1">
      <c r="C841" s="784"/>
      <c r="D841" s="784"/>
      <c r="E841" s="784"/>
      <c r="F841" s="784"/>
      <c r="G841" s="784"/>
      <c r="H841" s="784"/>
      <c r="I841" s="784"/>
      <c r="J841" s="784"/>
      <c r="K841" s="784"/>
      <c r="L841" s="784"/>
      <c r="M841" s="784"/>
      <c r="N841" s="784"/>
      <c r="O841" s="784"/>
      <c r="P841" s="784"/>
      <c r="Q841" s="784"/>
      <c r="R841" s="784"/>
      <c r="S841" s="784"/>
      <c r="T841" s="784"/>
      <c r="U841" s="784"/>
      <c r="V841" s="784"/>
      <c r="W841" s="784"/>
      <c r="X841" s="784"/>
      <c r="Y841" s="784"/>
      <c r="Z841" s="784"/>
      <c r="AA841" s="784"/>
      <c r="AB841" s="784"/>
    </row>
    <row r="842" spans="3:28" ht="15.75" customHeight="1">
      <c r="C842" s="784"/>
      <c r="D842" s="784"/>
      <c r="E842" s="784"/>
      <c r="F842" s="784"/>
      <c r="G842" s="784"/>
      <c r="H842" s="784"/>
      <c r="I842" s="784"/>
      <c r="J842" s="784"/>
      <c r="K842" s="784"/>
      <c r="L842" s="784"/>
      <c r="M842" s="784"/>
      <c r="N842" s="784"/>
      <c r="O842" s="784"/>
      <c r="P842" s="784"/>
      <c r="Q842" s="784"/>
      <c r="R842" s="784"/>
      <c r="S842" s="784"/>
      <c r="T842" s="784"/>
      <c r="U842" s="784"/>
      <c r="V842" s="784"/>
      <c r="W842" s="784"/>
      <c r="X842" s="784"/>
      <c r="Y842" s="784"/>
      <c r="Z842" s="784"/>
      <c r="AA842" s="784"/>
      <c r="AB842" s="784"/>
    </row>
    <row r="843" spans="3:28" ht="15.75" customHeight="1">
      <c r="C843" s="784"/>
      <c r="D843" s="784"/>
      <c r="E843" s="784"/>
      <c r="F843" s="784"/>
      <c r="G843" s="784"/>
      <c r="H843" s="784"/>
      <c r="I843" s="784"/>
      <c r="J843" s="784"/>
      <c r="K843" s="784"/>
      <c r="L843" s="784"/>
      <c r="M843" s="784"/>
      <c r="N843" s="784"/>
      <c r="O843" s="784"/>
      <c r="P843" s="784"/>
      <c r="Q843" s="784"/>
      <c r="R843" s="784"/>
      <c r="S843" s="784"/>
      <c r="T843" s="784"/>
      <c r="U843" s="784"/>
      <c r="V843" s="784"/>
      <c r="W843" s="784"/>
      <c r="X843" s="784"/>
      <c r="Y843" s="784"/>
      <c r="Z843" s="784"/>
      <c r="AA843" s="784"/>
      <c r="AB843" s="784"/>
    </row>
    <row r="844" spans="3:28" ht="15.75" customHeight="1">
      <c r="C844" s="784"/>
      <c r="D844" s="784"/>
      <c r="E844" s="784"/>
      <c r="F844" s="784"/>
      <c r="G844" s="784"/>
      <c r="H844" s="784"/>
      <c r="I844" s="784"/>
      <c r="J844" s="784"/>
      <c r="K844" s="784"/>
      <c r="L844" s="784"/>
      <c r="M844" s="784"/>
      <c r="N844" s="784"/>
      <c r="O844" s="784"/>
      <c r="P844" s="784"/>
      <c r="Q844" s="784"/>
      <c r="R844" s="784"/>
      <c r="S844" s="784"/>
      <c r="T844" s="784"/>
      <c r="U844" s="784"/>
      <c r="V844" s="784"/>
      <c r="W844" s="784"/>
      <c r="X844" s="784"/>
      <c r="Y844" s="784"/>
      <c r="Z844" s="784"/>
      <c r="AA844" s="784"/>
      <c r="AB844" s="784"/>
    </row>
    <row r="845" spans="3:28" ht="15.75" customHeight="1">
      <c r="C845" s="784"/>
      <c r="D845" s="784"/>
      <c r="E845" s="784"/>
      <c r="F845" s="784"/>
      <c r="G845" s="784"/>
      <c r="H845" s="784"/>
      <c r="I845" s="784"/>
      <c r="J845" s="784"/>
      <c r="K845" s="784"/>
      <c r="L845" s="784"/>
      <c r="M845" s="784"/>
      <c r="N845" s="784"/>
      <c r="O845" s="784"/>
      <c r="P845" s="784"/>
      <c r="Q845" s="784"/>
      <c r="R845" s="784"/>
      <c r="S845" s="784"/>
      <c r="T845" s="784"/>
      <c r="U845" s="784"/>
      <c r="V845" s="784"/>
      <c r="W845" s="784"/>
      <c r="X845" s="784"/>
      <c r="Y845" s="784"/>
      <c r="Z845" s="784"/>
      <c r="AA845" s="784"/>
      <c r="AB845" s="784"/>
    </row>
    <row r="846" spans="3:28" ht="15.75" customHeight="1">
      <c r="C846" s="784"/>
      <c r="D846" s="784"/>
      <c r="E846" s="784"/>
      <c r="F846" s="784"/>
      <c r="G846" s="784"/>
      <c r="H846" s="784"/>
      <c r="I846" s="784"/>
      <c r="J846" s="784"/>
      <c r="K846" s="784"/>
      <c r="L846" s="784"/>
      <c r="M846" s="784"/>
      <c r="N846" s="784"/>
      <c r="O846" s="784"/>
      <c r="P846" s="784"/>
      <c r="Q846" s="784"/>
      <c r="R846" s="784"/>
      <c r="S846" s="784"/>
      <c r="T846" s="784"/>
      <c r="U846" s="784"/>
      <c r="V846" s="784"/>
      <c r="W846" s="784"/>
      <c r="X846" s="784"/>
      <c r="Y846" s="784"/>
      <c r="Z846" s="784"/>
      <c r="AA846" s="784"/>
      <c r="AB846" s="784"/>
    </row>
    <row r="847" spans="3:28" ht="15.75" customHeight="1">
      <c r="C847" s="784"/>
      <c r="D847" s="784"/>
      <c r="E847" s="784"/>
      <c r="F847" s="784"/>
      <c r="G847" s="784"/>
      <c r="H847" s="784"/>
      <c r="I847" s="784"/>
      <c r="J847" s="784"/>
      <c r="K847" s="784"/>
      <c r="L847" s="784"/>
      <c r="M847" s="784"/>
      <c r="N847" s="784"/>
      <c r="O847" s="784"/>
      <c r="P847" s="784"/>
      <c r="Q847" s="784"/>
      <c r="R847" s="784"/>
      <c r="S847" s="784"/>
      <c r="T847" s="784"/>
      <c r="U847" s="784"/>
      <c r="V847" s="784"/>
      <c r="W847" s="784"/>
      <c r="X847" s="784"/>
      <c r="Y847" s="784"/>
      <c r="Z847" s="784"/>
      <c r="AA847" s="784"/>
      <c r="AB847" s="784"/>
    </row>
    <row r="848" spans="3:28" ht="15.75" customHeight="1">
      <c r="C848" s="784"/>
      <c r="D848" s="784"/>
      <c r="E848" s="784"/>
      <c r="F848" s="784"/>
      <c r="G848" s="784"/>
      <c r="H848" s="784"/>
      <c r="I848" s="784"/>
      <c r="J848" s="784"/>
      <c r="K848" s="784"/>
      <c r="L848" s="784"/>
      <c r="M848" s="784"/>
      <c r="N848" s="784"/>
      <c r="O848" s="784"/>
      <c r="P848" s="784"/>
      <c r="Q848" s="784"/>
      <c r="R848" s="784"/>
      <c r="S848" s="784"/>
      <c r="T848" s="784"/>
      <c r="U848" s="784"/>
      <c r="V848" s="784"/>
      <c r="W848" s="784"/>
      <c r="X848" s="784"/>
      <c r="Y848" s="784"/>
      <c r="Z848" s="784"/>
      <c r="AA848" s="784"/>
      <c r="AB848" s="784"/>
    </row>
    <row r="849" spans="3:28" ht="15.75" customHeight="1">
      <c r="C849" s="784"/>
      <c r="D849" s="784"/>
      <c r="E849" s="784"/>
      <c r="F849" s="784"/>
      <c r="G849" s="784"/>
      <c r="H849" s="784"/>
      <c r="I849" s="784"/>
      <c r="J849" s="784"/>
      <c r="K849" s="784"/>
      <c r="L849" s="784"/>
      <c r="M849" s="784"/>
      <c r="N849" s="784"/>
      <c r="O849" s="784"/>
      <c r="P849" s="784"/>
      <c r="Q849" s="784"/>
      <c r="R849" s="784"/>
      <c r="S849" s="784"/>
      <c r="T849" s="784"/>
      <c r="U849" s="784"/>
      <c r="V849" s="784"/>
      <c r="W849" s="784"/>
      <c r="X849" s="784"/>
      <c r="Y849" s="784"/>
      <c r="Z849" s="784"/>
      <c r="AA849" s="784"/>
      <c r="AB849" s="784"/>
    </row>
    <row r="850" spans="3:28" ht="15.75" customHeight="1">
      <c r="C850" s="784"/>
      <c r="D850" s="784"/>
      <c r="E850" s="784"/>
      <c r="F850" s="784"/>
      <c r="G850" s="784"/>
      <c r="H850" s="784"/>
      <c r="I850" s="784"/>
      <c r="J850" s="784"/>
      <c r="K850" s="784"/>
      <c r="L850" s="784"/>
      <c r="M850" s="784"/>
      <c r="N850" s="784"/>
      <c r="O850" s="784"/>
      <c r="P850" s="784"/>
      <c r="Q850" s="784"/>
      <c r="R850" s="784"/>
      <c r="S850" s="784"/>
      <c r="T850" s="784"/>
      <c r="U850" s="784"/>
      <c r="V850" s="784"/>
      <c r="W850" s="784"/>
      <c r="X850" s="784"/>
      <c r="Y850" s="784"/>
      <c r="Z850" s="784"/>
      <c r="AA850" s="784"/>
      <c r="AB850" s="784"/>
    </row>
    <row r="851" spans="3:28" ht="15.75" customHeight="1">
      <c r="C851" s="784"/>
      <c r="D851" s="784"/>
      <c r="E851" s="784"/>
      <c r="F851" s="784"/>
      <c r="G851" s="784"/>
      <c r="H851" s="784"/>
      <c r="I851" s="784"/>
      <c r="J851" s="784"/>
      <c r="K851" s="784"/>
      <c r="L851" s="784"/>
      <c r="M851" s="784"/>
      <c r="N851" s="784"/>
      <c r="O851" s="784"/>
      <c r="P851" s="784"/>
      <c r="Q851" s="784"/>
      <c r="R851" s="784"/>
      <c r="S851" s="784"/>
      <c r="T851" s="784"/>
      <c r="U851" s="784"/>
      <c r="V851" s="784"/>
      <c r="W851" s="784"/>
      <c r="X851" s="784"/>
      <c r="Y851" s="784"/>
      <c r="Z851" s="784"/>
      <c r="AA851" s="784"/>
      <c r="AB851" s="784"/>
    </row>
    <row r="852" spans="3:28" ht="15.75" customHeight="1">
      <c r="C852" s="784"/>
      <c r="D852" s="784"/>
      <c r="E852" s="784"/>
      <c r="F852" s="784"/>
      <c r="G852" s="784"/>
      <c r="H852" s="784"/>
      <c r="I852" s="784"/>
      <c r="J852" s="784"/>
      <c r="K852" s="784"/>
      <c r="L852" s="784"/>
      <c r="M852" s="784"/>
      <c r="N852" s="784"/>
      <c r="O852" s="784"/>
      <c r="P852" s="784"/>
      <c r="Q852" s="784"/>
      <c r="R852" s="784"/>
      <c r="S852" s="784"/>
      <c r="T852" s="784"/>
      <c r="U852" s="784"/>
      <c r="V852" s="784"/>
      <c r="W852" s="784"/>
      <c r="X852" s="784"/>
      <c r="Y852" s="784"/>
      <c r="Z852" s="784"/>
      <c r="AA852" s="784"/>
      <c r="AB852" s="784"/>
    </row>
    <row r="853" spans="3:28" ht="15.75" customHeight="1">
      <c r="C853" s="784"/>
      <c r="D853" s="784"/>
      <c r="E853" s="784"/>
      <c r="F853" s="784"/>
      <c r="G853" s="784"/>
      <c r="H853" s="784"/>
      <c r="I853" s="784"/>
      <c r="J853" s="784"/>
      <c r="K853" s="784"/>
      <c r="L853" s="784"/>
      <c r="M853" s="784"/>
      <c r="N853" s="784"/>
      <c r="O853" s="784"/>
      <c r="P853" s="784"/>
      <c r="Q853" s="784"/>
      <c r="R853" s="784"/>
      <c r="S853" s="784"/>
      <c r="T853" s="784"/>
      <c r="U853" s="784"/>
      <c r="V853" s="784"/>
      <c r="W853" s="784"/>
      <c r="X853" s="784"/>
      <c r="Y853" s="784"/>
      <c r="Z853" s="784"/>
      <c r="AA853" s="784"/>
      <c r="AB853" s="784"/>
    </row>
    <row r="854" spans="3:28" ht="15.75" customHeight="1">
      <c r="C854" s="784"/>
      <c r="D854" s="784"/>
      <c r="E854" s="784"/>
      <c r="F854" s="784"/>
      <c r="G854" s="784"/>
      <c r="H854" s="784"/>
      <c r="I854" s="784"/>
      <c r="J854" s="784"/>
      <c r="K854" s="784"/>
      <c r="L854" s="784"/>
      <c r="M854" s="784"/>
      <c r="N854" s="784"/>
      <c r="O854" s="784"/>
      <c r="P854" s="784"/>
      <c r="Q854" s="784"/>
      <c r="R854" s="784"/>
      <c r="S854" s="784"/>
      <c r="T854" s="784"/>
      <c r="U854" s="784"/>
      <c r="V854" s="784"/>
      <c r="W854" s="784"/>
      <c r="X854" s="784"/>
      <c r="Y854" s="784"/>
      <c r="Z854" s="784"/>
      <c r="AA854" s="784"/>
      <c r="AB854" s="784"/>
    </row>
    <row r="855" spans="3:28" ht="15.75" customHeight="1">
      <c r="C855" s="784"/>
      <c r="D855" s="784"/>
      <c r="E855" s="784"/>
      <c r="F855" s="784"/>
      <c r="G855" s="784"/>
      <c r="H855" s="784"/>
      <c r="I855" s="784"/>
      <c r="J855" s="784"/>
      <c r="K855" s="784"/>
      <c r="L855" s="784"/>
      <c r="M855" s="784"/>
      <c r="N855" s="784"/>
      <c r="O855" s="784"/>
      <c r="P855" s="784"/>
      <c r="Q855" s="784"/>
      <c r="R855" s="784"/>
      <c r="S855" s="784"/>
      <c r="T855" s="784"/>
      <c r="U855" s="784"/>
      <c r="V855" s="784"/>
      <c r="W855" s="784"/>
      <c r="X855" s="784"/>
      <c r="Y855" s="784"/>
      <c r="Z855" s="784"/>
      <c r="AA855" s="784"/>
      <c r="AB855" s="784"/>
    </row>
    <row r="856" spans="3:28" ht="15.75" customHeight="1">
      <c r="C856" s="784"/>
      <c r="D856" s="784"/>
      <c r="E856" s="784"/>
      <c r="F856" s="784"/>
      <c r="G856" s="784"/>
      <c r="H856" s="784"/>
      <c r="I856" s="784"/>
      <c r="J856" s="784"/>
      <c r="K856" s="784"/>
      <c r="L856" s="784"/>
      <c r="M856" s="784"/>
      <c r="N856" s="784"/>
      <c r="O856" s="784"/>
      <c r="P856" s="784"/>
      <c r="Q856" s="784"/>
      <c r="R856" s="784"/>
      <c r="S856" s="784"/>
      <c r="T856" s="784"/>
      <c r="U856" s="784"/>
      <c r="V856" s="784"/>
      <c r="W856" s="784"/>
      <c r="X856" s="784"/>
      <c r="Y856" s="784"/>
      <c r="Z856" s="784"/>
      <c r="AA856" s="784"/>
      <c r="AB856" s="784"/>
    </row>
    <row r="857" spans="3:28" ht="15.75" customHeight="1">
      <c r="C857" s="784"/>
      <c r="D857" s="784"/>
      <c r="E857" s="784"/>
      <c r="F857" s="784"/>
      <c r="G857" s="784"/>
      <c r="H857" s="784"/>
      <c r="I857" s="784"/>
      <c r="J857" s="784"/>
      <c r="K857" s="784"/>
      <c r="L857" s="784"/>
      <c r="M857" s="784"/>
      <c r="N857" s="784"/>
      <c r="O857" s="784"/>
      <c r="P857" s="784"/>
      <c r="Q857" s="784"/>
      <c r="R857" s="784"/>
      <c r="S857" s="784"/>
      <c r="T857" s="784"/>
      <c r="U857" s="784"/>
      <c r="V857" s="784"/>
      <c r="W857" s="784"/>
      <c r="X857" s="784"/>
      <c r="Y857" s="784"/>
      <c r="Z857" s="784"/>
      <c r="AA857" s="784"/>
      <c r="AB857" s="784"/>
    </row>
    <row r="858" spans="3:28" ht="15.75" customHeight="1">
      <c r="C858" s="784"/>
      <c r="D858" s="784"/>
      <c r="E858" s="784"/>
      <c r="F858" s="784"/>
      <c r="G858" s="784"/>
      <c r="H858" s="784"/>
      <c r="I858" s="784"/>
      <c r="J858" s="784"/>
      <c r="K858" s="784"/>
      <c r="L858" s="784"/>
      <c r="M858" s="784"/>
      <c r="N858" s="784"/>
      <c r="O858" s="784"/>
      <c r="P858" s="784"/>
      <c r="Q858" s="784"/>
      <c r="R858" s="784"/>
      <c r="S858" s="784"/>
      <c r="T858" s="784"/>
      <c r="U858" s="784"/>
      <c r="V858" s="784"/>
      <c r="W858" s="784"/>
      <c r="X858" s="784"/>
      <c r="Y858" s="784"/>
      <c r="Z858" s="784"/>
      <c r="AA858" s="784"/>
      <c r="AB858" s="784"/>
    </row>
    <row r="859" spans="3:28" ht="15.75" customHeight="1">
      <c r="C859" s="784"/>
      <c r="D859" s="784"/>
      <c r="E859" s="784"/>
      <c r="F859" s="784"/>
      <c r="G859" s="784"/>
      <c r="H859" s="784"/>
      <c r="I859" s="784"/>
      <c r="J859" s="784"/>
      <c r="K859" s="784"/>
      <c r="L859" s="784"/>
      <c r="M859" s="784"/>
      <c r="N859" s="784"/>
      <c r="O859" s="784"/>
      <c r="P859" s="784"/>
      <c r="Q859" s="784"/>
      <c r="R859" s="784"/>
      <c r="S859" s="784"/>
      <c r="T859" s="784"/>
      <c r="U859" s="784"/>
      <c r="V859" s="784"/>
      <c r="W859" s="784"/>
      <c r="X859" s="784"/>
      <c r="Y859" s="784"/>
      <c r="Z859" s="784"/>
      <c r="AA859" s="784"/>
      <c r="AB859" s="784"/>
    </row>
    <row r="860" spans="3:28" ht="15.75" customHeight="1">
      <c r="C860" s="784"/>
      <c r="D860" s="784"/>
      <c r="E860" s="784"/>
      <c r="F860" s="784"/>
      <c r="G860" s="784"/>
      <c r="H860" s="784"/>
      <c r="I860" s="784"/>
      <c r="J860" s="784"/>
      <c r="K860" s="784"/>
      <c r="L860" s="784"/>
      <c r="M860" s="784"/>
      <c r="N860" s="784"/>
      <c r="O860" s="784"/>
      <c r="P860" s="784"/>
      <c r="Q860" s="784"/>
      <c r="R860" s="784"/>
      <c r="S860" s="784"/>
      <c r="T860" s="784"/>
      <c r="U860" s="784"/>
      <c r="V860" s="784"/>
      <c r="W860" s="784"/>
      <c r="X860" s="784"/>
      <c r="Y860" s="784"/>
      <c r="Z860" s="784"/>
      <c r="AA860" s="784"/>
      <c r="AB860" s="784"/>
    </row>
    <row r="861" spans="3:28" ht="15.75" customHeight="1">
      <c r="C861" s="784"/>
      <c r="D861" s="784"/>
      <c r="E861" s="784"/>
      <c r="F861" s="784"/>
      <c r="G861" s="784"/>
      <c r="H861" s="784"/>
      <c r="I861" s="784"/>
      <c r="J861" s="784"/>
      <c r="K861" s="784"/>
      <c r="L861" s="784"/>
      <c r="M861" s="784"/>
      <c r="N861" s="784"/>
      <c r="O861" s="784"/>
      <c r="P861" s="784"/>
      <c r="Q861" s="784"/>
      <c r="R861" s="784"/>
      <c r="S861" s="784"/>
      <c r="T861" s="784"/>
      <c r="U861" s="784"/>
      <c r="V861" s="784"/>
      <c r="W861" s="784"/>
      <c r="X861" s="784"/>
      <c r="Y861" s="784"/>
      <c r="Z861" s="784"/>
      <c r="AA861" s="784"/>
      <c r="AB861" s="784"/>
    </row>
    <row r="862" spans="3:28" ht="15.75" customHeight="1">
      <c r="C862" s="784"/>
      <c r="D862" s="784"/>
      <c r="E862" s="784"/>
      <c r="F862" s="784"/>
      <c r="G862" s="784"/>
      <c r="H862" s="784"/>
      <c r="I862" s="784"/>
      <c r="J862" s="784"/>
      <c r="K862" s="784"/>
      <c r="L862" s="784"/>
      <c r="M862" s="784"/>
      <c r="N862" s="784"/>
      <c r="O862" s="784"/>
      <c r="P862" s="784"/>
      <c r="Q862" s="784"/>
      <c r="R862" s="784"/>
      <c r="S862" s="784"/>
      <c r="T862" s="784"/>
      <c r="U862" s="784"/>
      <c r="V862" s="784"/>
      <c r="W862" s="784"/>
      <c r="X862" s="784"/>
      <c r="Y862" s="784"/>
      <c r="Z862" s="784"/>
      <c r="AA862" s="784"/>
      <c r="AB862" s="784"/>
    </row>
    <row r="863" spans="3:28" ht="15.75" customHeight="1">
      <c r="C863" s="784"/>
      <c r="D863" s="784"/>
      <c r="E863" s="784"/>
      <c r="F863" s="784"/>
      <c r="G863" s="784"/>
      <c r="H863" s="784"/>
      <c r="I863" s="784"/>
      <c r="J863" s="784"/>
      <c r="K863" s="784"/>
      <c r="L863" s="784"/>
      <c r="M863" s="784"/>
      <c r="N863" s="784"/>
      <c r="O863" s="784"/>
      <c r="P863" s="784"/>
      <c r="Q863" s="784"/>
      <c r="R863" s="784"/>
      <c r="S863" s="784"/>
      <c r="T863" s="784"/>
      <c r="U863" s="784"/>
      <c r="V863" s="784"/>
      <c r="W863" s="784"/>
      <c r="X863" s="784"/>
      <c r="Y863" s="784"/>
      <c r="Z863" s="784"/>
      <c r="AA863" s="784"/>
      <c r="AB863" s="784"/>
    </row>
    <row r="864" spans="3:28" ht="15.75" customHeight="1">
      <c r="C864" s="784"/>
      <c r="D864" s="784"/>
      <c r="E864" s="784"/>
      <c r="F864" s="784"/>
      <c r="G864" s="784"/>
      <c r="H864" s="784"/>
      <c r="I864" s="784"/>
      <c r="J864" s="784"/>
      <c r="K864" s="784"/>
      <c r="L864" s="784"/>
      <c r="M864" s="784"/>
      <c r="N864" s="784"/>
      <c r="O864" s="784"/>
      <c r="P864" s="784"/>
      <c r="Q864" s="784"/>
      <c r="R864" s="784"/>
      <c r="S864" s="784"/>
      <c r="T864" s="784"/>
      <c r="U864" s="784"/>
      <c r="V864" s="784"/>
      <c r="W864" s="784"/>
      <c r="X864" s="784"/>
      <c r="Y864" s="784"/>
      <c r="Z864" s="784"/>
      <c r="AA864" s="784"/>
      <c r="AB864" s="784"/>
    </row>
    <row r="865" spans="3:28" ht="15.75" customHeight="1">
      <c r="C865" s="784"/>
      <c r="D865" s="784"/>
      <c r="E865" s="784"/>
      <c r="F865" s="784"/>
      <c r="G865" s="784"/>
      <c r="H865" s="784"/>
      <c r="I865" s="784"/>
      <c r="J865" s="784"/>
      <c r="K865" s="784"/>
      <c r="L865" s="784"/>
      <c r="M865" s="784"/>
      <c r="N865" s="784"/>
      <c r="O865" s="784"/>
      <c r="P865" s="784"/>
      <c r="Q865" s="784"/>
      <c r="R865" s="784"/>
      <c r="S865" s="784"/>
      <c r="T865" s="784"/>
      <c r="U865" s="784"/>
      <c r="V865" s="784"/>
      <c r="W865" s="784"/>
      <c r="X865" s="784"/>
      <c r="Y865" s="784"/>
      <c r="Z865" s="784"/>
      <c r="AA865" s="784"/>
      <c r="AB865" s="784"/>
    </row>
    <row r="866" spans="3:28" ht="15.75" customHeight="1">
      <c r="C866" s="784"/>
      <c r="D866" s="784"/>
      <c r="E866" s="784"/>
      <c r="F866" s="784"/>
      <c r="G866" s="784"/>
      <c r="H866" s="784"/>
      <c r="I866" s="784"/>
      <c r="J866" s="784"/>
      <c r="K866" s="784"/>
      <c r="L866" s="784"/>
      <c r="M866" s="784"/>
      <c r="N866" s="784"/>
      <c r="O866" s="784"/>
      <c r="P866" s="784"/>
      <c r="Q866" s="784"/>
      <c r="R866" s="784"/>
      <c r="S866" s="784"/>
      <c r="T866" s="784"/>
      <c r="U866" s="784"/>
      <c r="V866" s="784"/>
      <c r="W866" s="784"/>
      <c r="X866" s="784"/>
      <c r="Y866" s="784"/>
      <c r="Z866" s="784"/>
      <c r="AA866" s="784"/>
      <c r="AB866" s="784"/>
    </row>
    <row r="867" spans="3:28" ht="15.75" customHeight="1">
      <c r="C867" s="784"/>
      <c r="D867" s="784"/>
      <c r="E867" s="784"/>
      <c r="F867" s="784"/>
      <c r="G867" s="784"/>
      <c r="H867" s="784"/>
      <c r="I867" s="784"/>
      <c r="J867" s="784"/>
      <c r="K867" s="784"/>
      <c r="L867" s="784"/>
      <c r="M867" s="784"/>
      <c r="N867" s="784"/>
      <c r="O867" s="784"/>
      <c r="P867" s="784"/>
      <c r="Q867" s="784"/>
      <c r="R867" s="784"/>
      <c r="S867" s="784"/>
      <c r="T867" s="784"/>
      <c r="U867" s="784"/>
      <c r="V867" s="784"/>
      <c r="W867" s="784"/>
      <c r="X867" s="784"/>
      <c r="Y867" s="784"/>
      <c r="Z867" s="784"/>
      <c r="AA867" s="784"/>
      <c r="AB867" s="784"/>
    </row>
    <row r="868" spans="3:28" ht="15.75" customHeight="1">
      <c r="C868" s="784"/>
      <c r="D868" s="784"/>
      <c r="E868" s="784"/>
      <c r="F868" s="784"/>
      <c r="G868" s="784"/>
      <c r="H868" s="784"/>
      <c r="I868" s="784"/>
      <c r="J868" s="784"/>
      <c r="K868" s="784"/>
      <c r="L868" s="784"/>
      <c r="M868" s="784"/>
      <c r="N868" s="784"/>
      <c r="O868" s="784"/>
      <c r="P868" s="784"/>
      <c r="Q868" s="784"/>
      <c r="R868" s="784"/>
      <c r="S868" s="784"/>
      <c r="T868" s="784"/>
      <c r="U868" s="784"/>
      <c r="V868" s="784"/>
      <c r="W868" s="784"/>
      <c r="X868" s="784"/>
      <c r="Y868" s="784"/>
      <c r="Z868" s="784"/>
      <c r="AA868" s="784"/>
      <c r="AB868" s="784"/>
    </row>
    <row r="869" spans="3:28" ht="15.75" customHeight="1">
      <c r="C869" s="784"/>
      <c r="D869" s="784"/>
      <c r="E869" s="784"/>
      <c r="F869" s="784"/>
      <c r="G869" s="784"/>
      <c r="H869" s="784"/>
      <c r="I869" s="784"/>
      <c r="J869" s="784"/>
      <c r="K869" s="784"/>
      <c r="L869" s="784"/>
      <c r="M869" s="784"/>
      <c r="N869" s="784"/>
      <c r="O869" s="784"/>
      <c r="P869" s="784"/>
      <c r="Q869" s="784"/>
      <c r="R869" s="784"/>
      <c r="S869" s="784"/>
      <c r="T869" s="784"/>
      <c r="U869" s="784"/>
      <c r="V869" s="784"/>
      <c r="W869" s="784"/>
      <c r="X869" s="784"/>
      <c r="Y869" s="784"/>
      <c r="Z869" s="784"/>
      <c r="AA869" s="784"/>
      <c r="AB869" s="784"/>
    </row>
    <row r="870" spans="3:28" ht="15.75" customHeight="1">
      <c r="C870" s="784"/>
      <c r="D870" s="784"/>
      <c r="E870" s="784"/>
      <c r="F870" s="784"/>
      <c r="G870" s="784"/>
      <c r="H870" s="784"/>
      <c r="I870" s="784"/>
      <c r="J870" s="784"/>
      <c r="K870" s="784"/>
      <c r="L870" s="784"/>
      <c r="M870" s="784"/>
      <c r="N870" s="784"/>
      <c r="O870" s="784"/>
      <c r="P870" s="784"/>
      <c r="Q870" s="784"/>
      <c r="R870" s="784"/>
      <c r="S870" s="784"/>
      <c r="T870" s="784"/>
      <c r="U870" s="784"/>
      <c r="V870" s="784"/>
      <c r="W870" s="784"/>
      <c r="X870" s="784"/>
      <c r="Y870" s="784"/>
      <c r="Z870" s="784"/>
      <c r="AA870" s="784"/>
      <c r="AB870" s="784"/>
    </row>
    <row r="871" spans="3:28" ht="15.75" customHeight="1">
      <c r="C871" s="784"/>
      <c r="D871" s="784"/>
      <c r="E871" s="784"/>
      <c r="F871" s="784"/>
      <c r="G871" s="784"/>
      <c r="H871" s="784"/>
      <c r="I871" s="784"/>
      <c r="J871" s="784"/>
      <c r="K871" s="784"/>
      <c r="L871" s="784"/>
      <c r="M871" s="784"/>
      <c r="N871" s="784"/>
      <c r="O871" s="784"/>
      <c r="P871" s="784"/>
      <c r="Q871" s="784"/>
      <c r="R871" s="784"/>
      <c r="S871" s="784"/>
      <c r="T871" s="784"/>
      <c r="U871" s="784"/>
      <c r="V871" s="784"/>
      <c r="W871" s="784"/>
      <c r="X871" s="784"/>
      <c r="Y871" s="784"/>
      <c r="Z871" s="784"/>
      <c r="AA871" s="784"/>
      <c r="AB871" s="784"/>
    </row>
    <row r="872" spans="3:28" ht="15.75" customHeight="1">
      <c r="C872" s="784"/>
      <c r="D872" s="784"/>
      <c r="E872" s="784"/>
      <c r="F872" s="784"/>
      <c r="G872" s="784"/>
      <c r="H872" s="784"/>
      <c r="I872" s="784"/>
      <c r="J872" s="784"/>
      <c r="K872" s="784"/>
      <c r="L872" s="784"/>
      <c r="M872" s="784"/>
      <c r="N872" s="784"/>
      <c r="O872" s="784"/>
      <c r="P872" s="784"/>
      <c r="Q872" s="784"/>
      <c r="R872" s="784"/>
      <c r="S872" s="784"/>
      <c r="T872" s="784"/>
      <c r="U872" s="784"/>
      <c r="V872" s="784"/>
      <c r="W872" s="784"/>
      <c r="X872" s="784"/>
      <c r="Y872" s="784"/>
      <c r="Z872" s="784"/>
      <c r="AA872" s="784"/>
      <c r="AB872" s="784"/>
    </row>
    <row r="873" spans="3:28" ht="15.75" customHeight="1">
      <c r="C873" s="784"/>
      <c r="D873" s="784"/>
      <c r="E873" s="784"/>
      <c r="F873" s="784"/>
      <c r="G873" s="784"/>
      <c r="H873" s="784"/>
      <c r="I873" s="784"/>
      <c r="J873" s="784"/>
      <c r="K873" s="784"/>
      <c r="L873" s="784"/>
      <c r="M873" s="784"/>
      <c r="N873" s="784"/>
      <c r="O873" s="784"/>
      <c r="P873" s="784"/>
      <c r="Q873" s="784"/>
      <c r="R873" s="784"/>
      <c r="S873" s="784"/>
      <c r="T873" s="784"/>
      <c r="U873" s="784"/>
      <c r="V873" s="784"/>
      <c r="W873" s="784"/>
      <c r="X873" s="784"/>
      <c r="Y873" s="784"/>
      <c r="Z873" s="784"/>
      <c r="AA873" s="784"/>
      <c r="AB873" s="784"/>
    </row>
    <row r="874" spans="3:28" ht="15.75" customHeight="1">
      <c r="C874" s="784"/>
      <c r="D874" s="784"/>
      <c r="E874" s="784"/>
      <c r="F874" s="784"/>
      <c r="G874" s="784"/>
      <c r="H874" s="784"/>
      <c r="I874" s="784"/>
      <c r="J874" s="784"/>
      <c r="K874" s="784"/>
      <c r="L874" s="784"/>
      <c r="M874" s="784"/>
      <c r="N874" s="784"/>
      <c r="O874" s="784"/>
      <c r="P874" s="784"/>
      <c r="Q874" s="784"/>
      <c r="R874" s="784"/>
      <c r="S874" s="784"/>
      <c r="T874" s="784"/>
      <c r="U874" s="784"/>
      <c r="V874" s="784"/>
      <c r="W874" s="784"/>
      <c r="X874" s="784"/>
      <c r="Y874" s="784"/>
      <c r="Z874" s="784"/>
      <c r="AA874" s="784"/>
      <c r="AB874" s="784"/>
    </row>
    <row r="875" spans="3:28" ht="15.75" customHeight="1">
      <c r="C875" s="784"/>
      <c r="D875" s="784"/>
      <c r="E875" s="784"/>
      <c r="F875" s="784"/>
      <c r="G875" s="784"/>
      <c r="H875" s="784"/>
      <c r="I875" s="784"/>
      <c r="J875" s="784"/>
      <c r="K875" s="784"/>
      <c r="L875" s="784"/>
      <c r="M875" s="784"/>
      <c r="N875" s="784"/>
      <c r="O875" s="784"/>
      <c r="P875" s="784"/>
      <c r="Q875" s="784"/>
      <c r="R875" s="784"/>
      <c r="S875" s="784"/>
      <c r="T875" s="784"/>
      <c r="U875" s="784"/>
      <c r="V875" s="784"/>
      <c r="W875" s="784"/>
      <c r="X875" s="784"/>
      <c r="Y875" s="784"/>
      <c r="Z875" s="784"/>
      <c r="AA875" s="784"/>
      <c r="AB875" s="784"/>
    </row>
    <row r="876" spans="3:28" ht="15.75" customHeight="1">
      <c r="C876" s="784"/>
      <c r="D876" s="784"/>
      <c r="E876" s="784"/>
      <c r="F876" s="784"/>
      <c r="G876" s="784"/>
      <c r="H876" s="784"/>
      <c r="I876" s="784"/>
      <c r="J876" s="784"/>
      <c r="K876" s="784"/>
      <c r="L876" s="784"/>
      <c r="M876" s="784"/>
      <c r="N876" s="784"/>
      <c r="O876" s="784"/>
      <c r="P876" s="784"/>
      <c r="Q876" s="784"/>
      <c r="R876" s="784"/>
      <c r="S876" s="784"/>
      <c r="T876" s="784"/>
      <c r="U876" s="784"/>
      <c r="V876" s="784"/>
      <c r="W876" s="784"/>
      <c r="X876" s="784"/>
      <c r="Y876" s="784"/>
      <c r="Z876" s="784"/>
      <c r="AA876" s="784"/>
      <c r="AB876" s="784"/>
    </row>
    <row r="877" spans="3:28" ht="15.75" customHeight="1">
      <c r="C877" s="784"/>
      <c r="D877" s="784"/>
      <c r="E877" s="784"/>
      <c r="F877" s="784"/>
      <c r="G877" s="784"/>
      <c r="H877" s="784"/>
      <c r="I877" s="784"/>
      <c r="J877" s="784"/>
      <c r="K877" s="784"/>
      <c r="L877" s="784"/>
      <c r="M877" s="784"/>
      <c r="N877" s="784"/>
      <c r="O877" s="784"/>
      <c r="P877" s="784"/>
      <c r="Q877" s="784"/>
      <c r="R877" s="784"/>
      <c r="S877" s="784"/>
      <c r="T877" s="784"/>
      <c r="U877" s="784"/>
      <c r="V877" s="784"/>
      <c r="W877" s="784"/>
      <c r="X877" s="784"/>
      <c r="Y877" s="784"/>
      <c r="Z877" s="784"/>
      <c r="AA877" s="784"/>
      <c r="AB877" s="784"/>
    </row>
    <row r="878" spans="3:28" ht="15.75" customHeight="1">
      <c r="C878" s="784"/>
      <c r="D878" s="784"/>
      <c r="E878" s="784"/>
      <c r="F878" s="784"/>
      <c r="G878" s="784"/>
      <c r="H878" s="784"/>
      <c r="I878" s="784"/>
      <c r="J878" s="784"/>
      <c r="K878" s="784"/>
      <c r="L878" s="784"/>
      <c r="M878" s="784"/>
      <c r="N878" s="784"/>
      <c r="O878" s="784"/>
      <c r="P878" s="784"/>
      <c r="Q878" s="784"/>
      <c r="R878" s="784"/>
      <c r="S878" s="784"/>
      <c r="T878" s="784"/>
      <c r="U878" s="784"/>
      <c r="V878" s="784"/>
      <c r="W878" s="784"/>
      <c r="X878" s="784"/>
      <c r="Y878" s="784"/>
      <c r="Z878" s="784"/>
      <c r="AA878" s="784"/>
      <c r="AB878" s="784"/>
    </row>
    <row r="879" spans="3:28" ht="15.75" customHeight="1">
      <c r="C879" s="784"/>
      <c r="D879" s="784"/>
      <c r="E879" s="784"/>
      <c r="F879" s="784"/>
      <c r="G879" s="784"/>
      <c r="H879" s="784"/>
      <c r="I879" s="784"/>
      <c r="J879" s="784"/>
      <c r="K879" s="784"/>
      <c r="L879" s="784"/>
      <c r="M879" s="784"/>
      <c r="N879" s="784"/>
      <c r="O879" s="784"/>
      <c r="P879" s="784"/>
      <c r="Q879" s="784"/>
      <c r="R879" s="784"/>
      <c r="S879" s="784"/>
      <c r="T879" s="784"/>
      <c r="U879" s="784"/>
      <c r="V879" s="784"/>
      <c r="W879" s="784"/>
      <c r="X879" s="784"/>
      <c r="Y879" s="784"/>
      <c r="Z879" s="784"/>
      <c r="AA879" s="784"/>
      <c r="AB879" s="784"/>
    </row>
    <row r="880" spans="3:28" ht="15.75" customHeight="1">
      <c r="C880" s="784"/>
      <c r="D880" s="784"/>
      <c r="E880" s="784"/>
      <c r="F880" s="784"/>
      <c r="G880" s="784"/>
      <c r="H880" s="784"/>
      <c r="I880" s="784"/>
      <c r="J880" s="784"/>
      <c r="K880" s="784"/>
      <c r="L880" s="784"/>
      <c r="M880" s="784"/>
      <c r="N880" s="784"/>
      <c r="O880" s="784"/>
      <c r="P880" s="784"/>
      <c r="Q880" s="784"/>
      <c r="R880" s="784"/>
      <c r="S880" s="784"/>
      <c r="T880" s="784"/>
      <c r="U880" s="784"/>
      <c r="V880" s="784"/>
      <c r="W880" s="784"/>
      <c r="X880" s="784"/>
      <c r="Y880" s="784"/>
      <c r="Z880" s="784"/>
      <c r="AA880" s="784"/>
      <c r="AB880" s="784"/>
    </row>
    <row r="881" spans="3:28" ht="15.75" customHeight="1">
      <c r="C881" s="784"/>
      <c r="D881" s="784"/>
      <c r="E881" s="784"/>
      <c r="F881" s="784"/>
      <c r="G881" s="784"/>
      <c r="H881" s="784"/>
      <c r="I881" s="784"/>
      <c r="J881" s="784"/>
      <c r="K881" s="784"/>
      <c r="L881" s="784"/>
      <c r="M881" s="784"/>
      <c r="N881" s="784"/>
      <c r="O881" s="784"/>
      <c r="P881" s="784"/>
      <c r="Q881" s="784"/>
      <c r="R881" s="784"/>
      <c r="S881" s="784"/>
      <c r="T881" s="784"/>
      <c r="U881" s="784"/>
      <c r="V881" s="784"/>
      <c r="W881" s="784"/>
      <c r="X881" s="784"/>
      <c r="Y881" s="784"/>
      <c r="Z881" s="784"/>
      <c r="AA881" s="784"/>
      <c r="AB881" s="784"/>
    </row>
    <row r="882" spans="3:28" ht="15.75" customHeight="1">
      <c r="C882" s="784"/>
      <c r="D882" s="784"/>
      <c r="E882" s="784"/>
      <c r="F882" s="784"/>
      <c r="G882" s="784"/>
      <c r="H882" s="784"/>
      <c r="I882" s="784"/>
      <c r="J882" s="784"/>
      <c r="K882" s="784"/>
      <c r="L882" s="784"/>
      <c r="M882" s="784"/>
      <c r="N882" s="784"/>
      <c r="O882" s="784"/>
      <c r="P882" s="784"/>
      <c r="Q882" s="784"/>
      <c r="R882" s="784"/>
      <c r="S882" s="784"/>
      <c r="T882" s="784"/>
      <c r="U882" s="784"/>
      <c r="V882" s="784"/>
      <c r="W882" s="784"/>
      <c r="X882" s="784"/>
      <c r="Y882" s="784"/>
      <c r="Z882" s="784"/>
      <c r="AA882" s="784"/>
      <c r="AB882" s="784"/>
    </row>
    <row r="883" spans="3:28" ht="15.75" customHeight="1">
      <c r="C883" s="784"/>
      <c r="D883" s="784"/>
      <c r="E883" s="784"/>
      <c r="F883" s="784"/>
      <c r="G883" s="784"/>
      <c r="H883" s="784"/>
      <c r="I883" s="784"/>
      <c r="J883" s="784"/>
      <c r="K883" s="784"/>
      <c r="L883" s="784"/>
      <c r="M883" s="784"/>
      <c r="N883" s="784"/>
      <c r="O883" s="784"/>
      <c r="P883" s="784"/>
      <c r="Q883" s="784"/>
      <c r="R883" s="784"/>
      <c r="S883" s="784"/>
      <c r="T883" s="784"/>
      <c r="U883" s="784"/>
      <c r="V883" s="784"/>
      <c r="W883" s="784"/>
      <c r="X883" s="784"/>
      <c r="Y883" s="784"/>
      <c r="Z883" s="784"/>
      <c r="AA883" s="784"/>
      <c r="AB883" s="784"/>
    </row>
    <row r="884" spans="3:28" ht="15.75" customHeight="1">
      <c r="C884" s="784"/>
      <c r="D884" s="784"/>
      <c r="E884" s="784"/>
      <c r="F884" s="784"/>
      <c r="G884" s="784"/>
      <c r="H884" s="784"/>
      <c r="I884" s="784"/>
      <c r="J884" s="784"/>
      <c r="K884" s="784"/>
      <c r="L884" s="784"/>
      <c r="M884" s="784"/>
      <c r="N884" s="784"/>
      <c r="O884" s="784"/>
      <c r="P884" s="784"/>
      <c r="Q884" s="784"/>
      <c r="R884" s="784"/>
      <c r="S884" s="784"/>
      <c r="T884" s="784"/>
      <c r="U884" s="784"/>
      <c r="V884" s="784"/>
      <c r="W884" s="784"/>
      <c r="X884" s="784"/>
      <c r="Y884" s="784"/>
      <c r="Z884" s="784"/>
      <c r="AA884" s="784"/>
      <c r="AB884" s="784"/>
    </row>
    <row r="885" spans="3:28" ht="15.75" customHeight="1">
      <c r="C885" s="784"/>
      <c r="D885" s="784"/>
      <c r="E885" s="784"/>
      <c r="F885" s="784"/>
      <c r="G885" s="784"/>
      <c r="H885" s="784"/>
      <c r="I885" s="784"/>
      <c r="J885" s="784"/>
      <c r="K885" s="784"/>
      <c r="L885" s="784"/>
      <c r="M885" s="784"/>
      <c r="N885" s="784"/>
      <c r="O885" s="784"/>
      <c r="P885" s="784"/>
      <c r="Q885" s="784"/>
      <c r="R885" s="784"/>
      <c r="S885" s="784"/>
      <c r="T885" s="784"/>
      <c r="U885" s="784"/>
      <c r="V885" s="784"/>
      <c r="W885" s="784"/>
      <c r="X885" s="784"/>
      <c r="Y885" s="784"/>
      <c r="Z885" s="784"/>
      <c r="AA885" s="784"/>
      <c r="AB885" s="784"/>
    </row>
    <row r="886" spans="3:28" ht="15.75" customHeight="1">
      <c r="C886" s="784"/>
      <c r="D886" s="784"/>
      <c r="E886" s="784"/>
      <c r="F886" s="784"/>
      <c r="G886" s="784"/>
      <c r="H886" s="784"/>
      <c r="I886" s="784"/>
      <c r="J886" s="784"/>
      <c r="K886" s="784"/>
      <c r="L886" s="784"/>
      <c r="M886" s="784"/>
      <c r="N886" s="784"/>
      <c r="O886" s="784"/>
      <c r="P886" s="784"/>
      <c r="Q886" s="784"/>
      <c r="R886" s="784"/>
      <c r="S886" s="784"/>
      <c r="T886" s="784"/>
      <c r="U886" s="784"/>
      <c r="V886" s="784"/>
      <c r="W886" s="784"/>
      <c r="X886" s="784"/>
      <c r="Y886" s="784"/>
      <c r="Z886" s="784"/>
      <c r="AA886" s="784"/>
      <c r="AB886" s="784"/>
    </row>
    <row r="887" spans="3:28" ht="15.75" customHeight="1">
      <c r="C887" s="784"/>
      <c r="D887" s="784"/>
      <c r="E887" s="784"/>
      <c r="F887" s="784"/>
      <c r="G887" s="784"/>
      <c r="H887" s="784"/>
      <c r="I887" s="784"/>
      <c r="J887" s="784"/>
      <c r="K887" s="784"/>
      <c r="L887" s="784"/>
      <c r="M887" s="784"/>
      <c r="N887" s="784"/>
      <c r="O887" s="784"/>
      <c r="P887" s="784"/>
      <c r="Q887" s="784"/>
      <c r="R887" s="784"/>
      <c r="S887" s="784"/>
      <c r="T887" s="784"/>
      <c r="U887" s="784"/>
      <c r="V887" s="784"/>
      <c r="W887" s="784"/>
      <c r="X887" s="784"/>
      <c r="Y887" s="784"/>
      <c r="Z887" s="784"/>
      <c r="AA887" s="784"/>
      <c r="AB887" s="784"/>
    </row>
    <row r="888" spans="3:28" ht="15.75" customHeight="1">
      <c r="C888" s="784"/>
      <c r="D888" s="784"/>
      <c r="E888" s="784"/>
      <c r="F888" s="784"/>
      <c r="G888" s="784"/>
      <c r="H888" s="784"/>
      <c r="I888" s="784"/>
      <c r="J888" s="784"/>
      <c r="K888" s="784"/>
      <c r="L888" s="784"/>
      <c r="M888" s="784"/>
      <c r="N888" s="784"/>
      <c r="O888" s="784"/>
      <c r="P888" s="784"/>
      <c r="Q888" s="784"/>
      <c r="R888" s="784"/>
      <c r="S888" s="784"/>
      <c r="T888" s="784"/>
      <c r="U888" s="784"/>
      <c r="V888" s="784"/>
      <c r="W888" s="784"/>
      <c r="X888" s="784"/>
      <c r="Y888" s="784"/>
      <c r="Z888" s="784"/>
      <c r="AA888" s="784"/>
      <c r="AB888" s="784"/>
    </row>
    <row r="889" spans="3:28" ht="15.75" customHeight="1">
      <c r="C889" s="784"/>
      <c r="D889" s="784"/>
      <c r="E889" s="784"/>
      <c r="F889" s="784"/>
      <c r="G889" s="784"/>
      <c r="H889" s="784"/>
      <c r="I889" s="784"/>
      <c r="J889" s="784"/>
      <c r="K889" s="784"/>
      <c r="L889" s="784"/>
      <c r="M889" s="784"/>
      <c r="N889" s="784"/>
      <c r="O889" s="784"/>
      <c r="P889" s="784"/>
      <c r="Q889" s="784"/>
      <c r="R889" s="784"/>
      <c r="S889" s="784"/>
      <c r="T889" s="784"/>
      <c r="U889" s="784"/>
      <c r="V889" s="784"/>
      <c r="W889" s="784"/>
      <c r="X889" s="784"/>
      <c r="Y889" s="784"/>
      <c r="Z889" s="784"/>
      <c r="AA889" s="784"/>
      <c r="AB889" s="784"/>
    </row>
    <row r="890" spans="3:28" ht="15.75" customHeight="1">
      <c r="C890" s="784"/>
      <c r="D890" s="784"/>
      <c r="E890" s="784"/>
      <c r="F890" s="784"/>
      <c r="G890" s="784"/>
      <c r="H890" s="784"/>
      <c r="I890" s="784"/>
      <c r="J890" s="784"/>
      <c r="K890" s="784"/>
      <c r="L890" s="784"/>
      <c r="M890" s="784"/>
      <c r="N890" s="784"/>
      <c r="O890" s="784"/>
      <c r="P890" s="784"/>
      <c r="Q890" s="784"/>
      <c r="R890" s="784"/>
      <c r="S890" s="784"/>
      <c r="T890" s="784"/>
      <c r="U890" s="784"/>
      <c r="V890" s="784"/>
      <c r="W890" s="784"/>
      <c r="X890" s="784"/>
      <c r="Y890" s="784"/>
      <c r="Z890" s="784"/>
      <c r="AA890" s="784"/>
      <c r="AB890" s="784"/>
    </row>
    <row r="891" spans="3:28" ht="15.75" customHeight="1">
      <c r="C891" s="784"/>
      <c r="D891" s="784"/>
      <c r="E891" s="784"/>
      <c r="F891" s="784"/>
      <c r="G891" s="784"/>
      <c r="H891" s="784"/>
      <c r="I891" s="784"/>
      <c r="J891" s="784"/>
      <c r="K891" s="784"/>
      <c r="L891" s="784"/>
      <c r="M891" s="784"/>
      <c r="N891" s="784"/>
      <c r="O891" s="784"/>
      <c r="P891" s="784"/>
      <c r="Q891" s="784"/>
      <c r="R891" s="784"/>
      <c r="S891" s="784"/>
      <c r="T891" s="784"/>
      <c r="U891" s="784"/>
      <c r="V891" s="784"/>
      <c r="W891" s="784"/>
      <c r="X891" s="784"/>
      <c r="Y891" s="784"/>
      <c r="Z891" s="784"/>
      <c r="AA891" s="784"/>
      <c r="AB891" s="784"/>
    </row>
    <row r="892" spans="3:28" ht="15.75" customHeight="1">
      <c r="C892" s="784"/>
      <c r="D892" s="784"/>
      <c r="E892" s="784"/>
      <c r="F892" s="784"/>
      <c r="G892" s="784"/>
      <c r="H892" s="784"/>
      <c r="I892" s="784"/>
      <c r="J892" s="784"/>
      <c r="K892" s="784"/>
      <c r="L892" s="784"/>
      <c r="M892" s="784"/>
      <c r="N892" s="784"/>
      <c r="O892" s="784"/>
      <c r="P892" s="784"/>
      <c r="Q892" s="784"/>
      <c r="R892" s="784"/>
      <c r="S892" s="784"/>
      <c r="T892" s="784"/>
      <c r="U892" s="784"/>
      <c r="V892" s="784"/>
      <c r="W892" s="784"/>
      <c r="X892" s="784"/>
      <c r="Y892" s="784"/>
      <c r="Z892" s="784"/>
      <c r="AA892" s="784"/>
      <c r="AB892" s="784"/>
    </row>
    <row r="893" spans="3:28" ht="15.75" customHeight="1">
      <c r="C893" s="784"/>
      <c r="D893" s="784"/>
      <c r="E893" s="784"/>
      <c r="F893" s="784"/>
      <c r="G893" s="784"/>
      <c r="H893" s="784"/>
      <c r="I893" s="784"/>
      <c r="J893" s="784"/>
      <c r="K893" s="784"/>
      <c r="L893" s="784"/>
      <c r="M893" s="784"/>
      <c r="N893" s="784"/>
      <c r="O893" s="784"/>
      <c r="P893" s="784"/>
      <c r="Q893" s="784"/>
      <c r="R893" s="784"/>
      <c r="S893" s="784"/>
      <c r="T893" s="784"/>
      <c r="U893" s="784"/>
      <c r="V893" s="784"/>
      <c r="W893" s="784"/>
      <c r="X893" s="784"/>
      <c r="Y893" s="784"/>
      <c r="Z893" s="784"/>
      <c r="AA893" s="784"/>
      <c r="AB893" s="784"/>
    </row>
    <row r="894" spans="3:28" ht="15.75" customHeight="1">
      <c r="C894" s="784"/>
      <c r="D894" s="784"/>
      <c r="E894" s="784"/>
      <c r="F894" s="784"/>
      <c r="G894" s="784"/>
      <c r="H894" s="784"/>
      <c r="I894" s="784"/>
      <c r="J894" s="784"/>
      <c r="K894" s="784"/>
      <c r="L894" s="784"/>
      <c r="M894" s="784"/>
      <c r="N894" s="784"/>
      <c r="O894" s="784"/>
      <c r="P894" s="784"/>
      <c r="Q894" s="784"/>
      <c r="R894" s="784"/>
      <c r="S894" s="784"/>
      <c r="T894" s="784"/>
      <c r="U894" s="784"/>
      <c r="V894" s="784"/>
      <c r="W894" s="784"/>
      <c r="X894" s="784"/>
      <c r="Y894" s="784"/>
      <c r="Z894" s="784"/>
      <c r="AA894" s="784"/>
      <c r="AB894" s="784"/>
    </row>
    <row r="895" spans="3:28" ht="15.75" customHeight="1">
      <c r="C895" s="784"/>
      <c r="D895" s="784"/>
      <c r="E895" s="784"/>
      <c r="F895" s="784"/>
      <c r="G895" s="784"/>
      <c r="H895" s="784"/>
      <c r="I895" s="784"/>
      <c r="J895" s="784"/>
      <c r="K895" s="784"/>
      <c r="L895" s="784"/>
      <c r="M895" s="784"/>
      <c r="N895" s="784"/>
      <c r="O895" s="784"/>
      <c r="P895" s="784"/>
      <c r="Q895" s="784"/>
      <c r="R895" s="784"/>
      <c r="S895" s="784"/>
      <c r="T895" s="784"/>
      <c r="U895" s="784"/>
      <c r="V895" s="784"/>
      <c r="W895" s="784"/>
      <c r="X895" s="784"/>
      <c r="Y895" s="784"/>
      <c r="Z895" s="784"/>
      <c r="AA895" s="784"/>
      <c r="AB895" s="784"/>
    </row>
    <row r="896" spans="3:28" ht="15.75" customHeight="1">
      <c r="C896" s="784"/>
      <c r="D896" s="784"/>
      <c r="E896" s="784"/>
      <c r="F896" s="784"/>
      <c r="G896" s="784"/>
      <c r="H896" s="784"/>
      <c r="I896" s="784"/>
      <c r="J896" s="784"/>
      <c r="K896" s="784"/>
      <c r="L896" s="784"/>
      <c r="M896" s="784"/>
      <c r="N896" s="784"/>
      <c r="O896" s="784"/>
      <c r="P896" s="784"/>
      <c r="Q896" s="784"/>
      <c r="R896" s="784"/>
      <c r="S896" s="784"/>
      <c r="T896" s="784"/>
      <c r="U896" s="784"/>
      <c r="V896" s="784"/>
      <c r="W896" s="784"/>
      <c r="X896" s="784"/>
      <c r="Y896" s="784"/>
      <c r="Z896" s="784"/>
      <c r="AA896" s="784"/>
      <c r="AB896" s="784"/>
    </row>
    <row r="897" spans="3:28" ht="15.75" customHeight="1">
      <c r="C897" s="784"/>
      <c r="D897" s="784"/>
      <c r="E897" s="784"/>
      <c r="F897" s="784"/>
      <c r="G897" s="784"/>
      <c r="H897" s="784"/>
      <c r="I897" s="784"/>
      <c r="J897" s="784"/>
      <c r="K897" s="784"/>
      <c r="L897" s="784"/>
      <c r="M897" s="784"/>
      <c r="N897" s="784"/>
      <c r="O897" s="784"/>
      <c r="P897" s="784"/>
      <c r="Q897" s="784"/>
      <c r="R897" s="784"/>
      <c r="S897" s="784"/>
      <c r="T897" s="784"/>
      <c r="U897" s="784"/>
      <c r="V897" s="784"/>
      <c r="W897" s="784"/>
      <c r="X897" s="784"/>
      <c r="Y897" s="784"/>
      <c r="Z897" s="784"/>
      <c r="AA897" s="784"/>
      <c r="AB897" s="784"/>
    </row>
    <row r="898" spans="3:28" ht="15.75" customHeight="1">
      <c r="C898" s="784"/>
      <c r="D898" s="784"/>
      <c r="E898" s="784"/>
      <c r="F898" s="784"/>
      <c r="G898" s="784"/>
      <c r="H898" s="784"/>
      <c r="I898" s="784"/>
      <c r="J898" s="784"/>
      <c r="K898" s="784"/>
      <c r="L898" s="784"/>
      <c r="M898" s="784"/>
      <c r="N898" s="784"/>
      <c r="O898" s="784"/>
      <c r="P898" s="784"/>
      <c r="Q898" s="784"/>
      <c r="R898" s="784"/>
      <c r="S898" s="784"/>
      <c r="T898" s="784"/>
      <c r="U898" s="784"/>
      <c r="V898" s="784"/>
      <c r="W898" s="784"/>
      <c r="X898" s="784"/>
      <c r="Y898" s="784"/>
      <c r="Z898" s="784"/>
      <c r="AA898" s="784"/>
      <c r="AB898" s="784"/>
    </row>
    <row r="899" spans="3:28" ht="15.75" customHeight="1">
      <c r="C899" s="784"/>
      <c r="D899" s="784"/>
      <c r="E899" s="784"/>
      <c r="F899" s="784"/>
      <c r="G899" s="784"/>
      <c r="H899" s="784"/>
      <c r="I899" s="784"/>
      <c r="J899" s="784"/>
      <c r="K899" s="784"/>
      <c r="L899" s="784"/>
      <c r="M899" s="784"/>
      <c r="N899" s="784"/>
      <c r="O899" s="784"/>
      <c r="P899" s="784"/>
      <c r="Q899" s="784"/>
      <c r="R899" s="784"/>
      <c r="S899" s="784"/>
      <c r="T899" s="784"/>
      <c r="U899" s="784"/>
      <c r="V899" s="784"/>
      <c r="W899" s="784"/>
      <c r="X899" s="784"/>
      <c r="Y899" s="784"/>
      <c r="Z899" s="784"/>
      <c r="AA899" s="784"/>
      <c r="AB899" s="784"/>
    </row>
    <row r="900" spans="3:28" ht="15.75" customHeight="1">
      <c r="C900" s="784"/>
      <c r="D900" s="784"/>
      <c r="E900" s="784"/>
      <c r="F900" s="784"/>
      <c r="G900" s="784"/>
      <c r="H900" s="784"/>
      <c r="I900" s="784"/>
      <c r="J900" s="784"/>
      <c r="K900" s="784"/>
      <c r="L900" s="784"/>
      <c r="M900" s="784"/>
      <c r="N900" s="784"/>
      <c r="O900" s="784"/>
      <c r="P900" s="784"/>
      <c r="Q900" s="784"/>
      <c r="R900" s="784"/>
      <c r="S900" s="784"/>
      <c r="T900" s="784"/>
      <c r="U900" s="784"/>
      <c r="V900" s="784"/>
      <c r="W900" s="784"/>
      <c r="X900" s="784"/>
      <c r="Y900" s="784"/>
      <c r="Z900" s="784"/>
      <c r="AA900" s="784"/>
      <c r="AB900" s="784"/>
    </row>
    <row r="901" spans="3:28" ht="15.75" customHeight="1">
      <c r="C901" s="784"/>
      <c r="D901" s="784"/>
      <c r="E901" s="784"/>
      <c r="F901" s="784"/>
      <c r="G901" s="784"/>
      <c r="H901" s="784"/>
      <c r="I901" s="784"/>
      <c r="J901" s="784"/>
      <c r="K901" s="784"/>
      <c r="L901" s="784"/>
      <c r="M901" s="784"/>
      <c r="N901" s="784"/>
      <c r="O901" s="784"/>
      <c r="P901" s="784"/>
      <c r="Q901" s="784"/>
      <c r="R901" s="784"/>
      <c r="S901" s="784"/>
      <c r="T901" s="784"/>
      <c r="U901" s="784"/>
      <c r="V901" s="784"/>
      <c r="W901" s="784"/>
      <c r="X901" s="784"/>
      <c r="Y901" s="784"/>
      <c r="Z901" s="784"/>
      <c r="AA901" s="784"/>
      <c r="AB901" s="784"/>
    </row>
    <row r="902" spans="3:28" ht="15.75" customHeight="1">
      <c r="C902" s="784"/>
      <c r="D902" s="784"/>
      <c r="E902" s="784"/>
      <c r="F902" s="784"/>
      <c r="G902" s="784"/>
      <c r="H902" s="784"/>
      <c r="I902" s="784"/>
      <c r="J902" s="784"/>
      <c r="K902" s="784"/>
      <c r="L902" s="784"/>
      <c r="M902" s="784"/>
      <c r="N902" s="784"/>
      <c r="O902" s="784"/>
      <c r="P902" s="784"/>
      <c r="Q902" s="784"/>
      <c r="R902" s="784"/>
      <c r="S902" s="784"/>
      <c r="T902" s="784"/>
      <c r="U902" s="784"/>
      <c r="V902" s="784"/>
      <c r="W902" s="784"/>
      <c r="X902" s="784"/>
      <c r="Y902" s="784"/>
      <c r="Z902" s="784"/>
      <c r="AA902" s="784"/>
      <c r="AB902" s="784"/>
    </row>
    <row r="903" spans="3:28" ht="15.75" customHeight="1">
      <c r="C903" s="784"/>
      <c r="D903" s="784"/>
      <c r="E903" s="784"/>
      <c r="F903" s="784"/>
      <c r="G903" s="784"/>
      <c r="H903" s="784"/>
      <c r="I903" s="784"/>
      <c r="J903" s="784"/>
      <c r="K903" s="784"/>
      <c r="L903" s="784"/>
      <c r="M903" s="784"/>
      <c r="N903" s="784"/>
      <c r="O903" s="784"/>
      <c r="P903" s="784"/>
      <c r="Q903" s="784"/>
      <c r="R903" s="784"/>
      <c r="S903" s="784"/>
      <c r="T903" s="784"/>
      <c r="U903" s="784"/>
      <c r="V903" s="784"/>
      <c r="W903" s="784"/>
      <c r="X903" s="784"/>
      <c r="Y903" s="784"/>
      <c r="Z903" s="784"/>
      <c r="AA903" s="784"/>
      <c r="AB903" s="784"/>
    </row>
    <row r="904" spans="3:28" ht="15.75" customHeight="1">
      <c r="C904" s="784"/>
      <c r="D904" s="784"/>
      <c r="E904" s="784"/>
      <c r="F904" s="784"/>
      <c r="G904" s="784"/>
      <c r="H904" s="784"/>
      <c r="I904" s="784"/>
      <c r="J904" s="784"/>
      <c r="K904" s="784"/>
      <c r="L904" s="784"/>
      <c r="M904" s="784"/>
      <c r="N904" s="784"/>
      <c r="O904" s="784"/>
      <c r="P904" s="784"/>
      <c r="Q904" s="784"/>
      <c r="R904" s="784"/>
      <c r="S904" s="784"/>
      <c r="T904" s="784"/>
      <c r="U904" s="784"/>
      <c r="V904" s="784"/>
      <c r="W904" s="784"/>
      <c r="X904" s="784"/>
      <c r="Y904" s="784"/>
      <c r="Z904" s="784"/>
      <c r="AA904" s="784"/>
      <c r="AB904" s="784"/>
    </row>
    <row r="905" spans="3:28" ht="15.75" customHeight="1">
      <c r="C905" s="784"/>
      <c r="D905" s="784"/>
      <c r="E905" s="784"/>
      <c r="F905" s="784"/>
      <c r="G905" s="784"/>
      <c r="H905" s="784"/>
      <c r="I905" s="784"/>
      <c r="J905" s="784"/>
      <c r="K905" s="784"/>
      <c r="L905" s="784"/>
      <c r="M905" s="784"/>
      <c r="N905" s="784"/>
      <c r="O905" s="784"/>
      <c r="P905" s="784"/>
      <c r="Q905" s="784"/>
      <c r="R905" s="784"/>
      <c r="S905" s="784"/>
      <c r="T905" s="784"/>
      <c r="U905" s="784"/>
      <c r="V905" s="784"/>
      <c r="W905" s="784"/>
      <c r="X905" s="784"/>
      <c r="Y905" s="784"/>
      <c r="Z905" s="784"/>
      <c r="AA905" s="784"/>
      <c r="AB905" s="784"/>
    </row>
    <row r="906" spans="3:28" ht="15.75" customHeight="1">
      <c r="C906" s="784"/>
      <c r="D906" s="784"/>
      <c r="E906" s="784"/>
      <c r="F906" s="784"/>
      <c r="G906" s="784"/>
      <c r="H906" s="784"/>
      <c r="I906" s="784"/>
      <c r="J906" s="784"/>
      <c r="K906" s="784"/>
      <c r="L906" s="784"/>
      <c r="M906" s="784"/>
      <c r="N906" s="784"/>
      <c r="O906" s="784"/>
      <c r="P906" s="784"/>
      <c r="Q906" s="784"/>
      <c r="R906" s="784"/>
      <c r="S906" s="784"/>
      <c r="T906" s="784"/>
      <c r="U906" s="784"/>
      <c r="V906" s="784"/>
      <c r="W906" s="784"/>
      <c r="X906" s="784"/>
      <c r="Y906" s="784"/>
      <c r="Z906" s="784"/>
      <c r="AA906" s="784"/>
      <c r="AB906" s="784"/>
    </row>
    <row r="907" spans="3:28" ht="15.75" customHeight="1">
      <c r="C907" s="784"/>
      <c r="D907" s="784"/>
      <c r="E907" s="784"/>
      <c r="F907" s="784"/>
      <c r="G907" s="784"/>
      <c r="H907" s="784"/>
      <c r="I907" s="784"/>
      <c r="J907" s="784"/>
      <c r="K907" s="784"/>
      <c r="L907" s="784"/>
      <c r="M907" s="784"/>
      <c r="N907" s="784"/>
      <c r="O907" s="784"/>
      <c r="P907" s="784"/>
      <c r="Q907" s="784"/>
      <c r="R907" s="784"/>
      <c r="S907" s="784"/>
      <c r="T907" s="784"/>
      <c r="U907" s="784"/>
      <c r="V907" s="784"/>
      <c r="W907" s="784"/>
      <c r="X907" s="784"/>
      <c r="Y907" s="784"/>
      <c r="Z907" s="784"/>
      <c r="AA907" s="784"/>
      <c r="AB907" s="784"/>
    </row>
    <row r="908" spans="3:28" ht="15.75" customHeight="1">
      <c r="C908" s="784"/>
      <c r="D908" s="784"/>
      <c r="E908" s="784"/>
      <c r="F908" s="784"/>
      <c r="G908" s="784"/>
      <c r="H908" s="784"/>
      <c r="I908" s="784"/>
      <c r="J908" s="784"/>
      <c r="K908" s="784"/>
      <c r="L908" s="784"/>
      <c r="M908" s="784"/>
      <c r="N908" s="784"/>
      <c r="O908" s="784"/>
      <c r="P908" s="784"/>
      <c r="Q908" s="784"/>
      <c r="R908" s="784"/>
      <c r="S908" s="784"/>
      <c r="T908" s="784"/>
      <c r="U908" s="784"/>
      <c r="V908" s="784"/>
      <c r="W908" s="784"/>
      <c r="X908" s="784"/>
      <c r="Y908" s="784"/>
      <c r="Z908" s="784"/>
      <c r="AA908" s="784"/>
      <c r="AB908" s="784"/>
    </row>
    <row r="909" spans="3:28" ht="15.75" customHeight="1">
      <c r="C909" s="784"/>
      <c r="D909" s="784"/>
      <c r="E909" s="784"/>
      <c r="F909" s="784"/>
      <c r="G909" s="784"/>
      <c r="H909" s="784"/>
      <c r="I909" s="784"/>
      <c r="J909" s="784"/>
      <c r="K909" s="784"/>
      <c r="L909" s="784"/>
      <c r="M909" s="784"/>
      <c r="N909" s="784"/>
      <c r="O909" s="784"/>
      <c r="P909" s="784"/>
      <c r="Q909" s="784"/>
      <c r="R909" s="784"/>
      <c r="S909" s="784"/>
      <c r="T909" s="784"/>
      <c r="U909" s="784"/>
      <c r="V909" s="784"/>
      <c r="W909" s="784"/>
      <c r="X909" s="784"/>
      <c r="Y909" s="784"/>
      <c r="Z909" s="784"/>
      <c r="AA909" s="784"/>
      <c r="AB909" s="784"/>
    </row>
    <row r="910" spans="3:28" ht="15.75" customHeight="1">
      <c r="C910" s="784"/>
      <c r="D910" s="784"/>
      <c r="E910" s="784"/>
      <c r="F910" s="784"/>
      <c r="G910" s="784"/>
      <c r="H910" s="784"/>
      <c r="I910" s="784"/>
      <c r="J910" s="784"/>
      <c r="K910" s="784"/>
      <c r="L910" s="784"/>
      <c r="M910" s="784"/>
      <c r="N910" s="784"/>
      <c r="O910" s="784"/>
      <c r="P910" s="784"/>
      <c r="Q910" s="784"/>
      <c r="R910" s="784"/>
      <c r="S910" s="784"/>
      <c r="T910" s="784"/>
      <c r="U910" s="784"/>
      <c r="V910" s="784"/>
      <c r="W910" s="784"/>
      <c r="X910" s="784"/>
      <c r="Y910" s="784"/>
      <c r="Z910" s="784"/>
      <c r="AA910" s="784"/>
      <c r="AB910" s="784"/>
    </row>
    <row r="911" spans="3:28" ht="15.75" customHeight="1">
      <c r="C911" s="784"/>
      <c r="D911" s="784"/>
      <c r="E911" s="784"/>
      <c r="F911" s="784"/>
      <c r="G911" s="784"/>
      <c r="H911" s="784"/>
      <c r="I911" s="784"/>
      <c r="J911" s="784"/>
      <c r="K911" s="784"/>
      <c r="L911" s="784"/>
      <c r="M911" s="784"/>
      <c r="N911" s="784"/>
      <c r="O911" s="784"/>
      <c r="P911" s="784"/>
      <c r="Q911" s="784"/>
      <c r="R911" s="784"/>
      <c r="S911" s="784"/>
      <c r="T911" s="784"/>
      <c r="U911" s="784"/>
      <c r="V911" s="784"/>
      <c r="W911" s="784"/>
      <c r="X911" s="784"/>
      <c r="Y911" s="784"/>
      <c r="Z911" s="784"/>
      <c r="AA911" s="784"/>
      <c r="AB911" s="784"/>
    </row>
    <row r="912" spans="3:28" ht="15.75" customHeight="1">
      <c r="C912" s="784"/>
      <c r="D912" s="784"/>
      <c r="E912" s="784"/>
      <c r="F912" s="784"/>
      <c r="G912" s="784"/>
      <c r="H912" s="784"/>
      <c r="I912" s="784"/>
      <c r="J912" s="784"/>
      <c r="K912" s="784"/>
      <c r="L912" s="784"/>
      <c r="M912" s="784"/>
      <c r="N912" s="784"/>
      <c r="O912" s="784"/>
      <c r="P912" s="784"/>
      <c r="Q912" s="784"/>
      <c r="R912" s="784"/>
      <c r="S912" s="784"/>
      <c r="T912" s="784"/>
      <c r="U912" s="784"/>
      <c r="V912" s="784"/>
      <c r="W912" s="784"/>
      <c r="X912" s="784"/>
      <c r="Y912" s="784"/>
      <c r="Z912" s="784"/>
      <c r="AA912" s="784"/>
      <c r="AB912" s="784"/>
    </row>
    <row r="913" spans="3:28" ht="15.75" customHeight="1">
      <c r="C913" s="784"/>
      <c r="D913" s="784"/>
      <c r="E913" s="784"/>
      <c r="F913" s="784"/>
      <c r="G913" s="784"/>
      <c r="H913" s="784"/>
      <c r="I913" s="784"/>
      <c r="J913" s="784"/>
      <c r="K913" s="784"/>
      <c r="L913" s="784"/>
      <c r="M913" s="784"/>
      <c r="N913" s="784"/>
      <c r="O913" s="784"/>
      <c r="P913" s="784"/>
      <c r="Q913" s="784"/>
      <c r="R913" s="784"/>
      <c r="S913" s="784"/>
      <c r="T913" s="784"/>
      <c r="U913" s="784"/>
      <c r="V913" s="784"/>
      <c r="W913" s="784"/>
      <c r="X913" s="784"/>
      <c r="Y913" s="784"/>
      <c r="Z913" s="784"/>
      <c r="AA913" s="784"/>
      <c r="AB913" s="784"/>
    </row>
    <row r="914" spans="3:28" ht="15.75" customHeight="1">
      <c r="C914" s="784"/>
      <c r="D914" s="784"/>
      <c r="E914" s="784"/>
      <c r="F914" s="784"/>
      <c r="G914" s="784"/>
      <c r="H914" s="784"/>
      <c r="I914" s="784"/>
      <c r="J914" s="784"/>
      <c r="K914" s="784"/>
      <c r="L914" s="784"/>
      <c r="M914" s="784"/>
      <c r="N914" s="784"/>
      <c r="O914" s="784"/>
      <c r="P914" s="784"/>
      <c r="Q914" s="784"/>
      <c r="R914" s="784"/>
      <c r="S914" s="784"/>
      <c r="T914" s="784"/>
      <c r="U914" s="784"/>
      <c r="V914" s="784"/>
      <c r="W914" s="784"/>
      <c r="X914" s="784"/>
      <c r="Y914" s="784"/>
      <c r="Z914" s="784"/>
      <c r="AA914" s="784"/>
      <c r="AB914" s="784"/>
    </row>
    <row r="915" spans="3:28" ht="15.75" customHeight="1">
      <c r="C915" s="784"/>
      <c r="D915" s="784"/>
      <c r="E915" s="784"/>
      <c r="F915" s="784"/>
      <c r="G915" s="784"/>
      <c r="H915" s="784"/>
      <c r="I915" s="784"/>
      <c r="J915" s="784"/>
      <c r="K915" s="784"/>
      <c r="L915" s="784"/>
      <c r="M915" s="784"/>
      <c r="N915" s="784"/>
      <c r="O915" s="784"/>
      <c r="P915" s="784"/>
      <c r="Q915" s="784"/>
      <c r="R915" s="784"/>
      <c r="S915" s="784"/>
      <c r="T915" s="784"/>
      <c r="U915" s="784"/>
      <c r="V915" s="784"/>
      <c r="W915" s="784"/>
      <c r="X915" s="784"/>
      <c r="Y915" s="784"/>
      <c r="Z915" s="784"/>
      <c r="AA915" s="784"/>
      <c r="AB915" s="784"/>
    </row>
    <row r="916" spans="3:28" ht="15.75" customHeight="1">
      <c r="C916" s="784"/>
      <c r="D916" s="784"/>
      <c r="E916" s="784"/>
      <c r="F916" s="784"/>
      <c r="G916" s="784"/>
      <c r="H916" s="784"/>
      <c r="I916" s="784"/>
      <c r="J916" s="784"/>
      <c r="K916" s="784"/>
      <c r="L916" s="784"/>
      <c r="M916" s="784"/>
      <c r="N916" s="784"/>
      <c r="O916" s="784"/>
      <c r="P916" s="784"/>
      <c r="Q916" s="784"/>
      <c r="R916" s="784"/>
      <c r="S916" s="784"/>
      <c r="T916" s="784"/>
      <c r="U916" s="784"/>
      <c r="V916" s="784"/>
      <c r="W916" s="784"/>
      <c r="X916" s="784"/>
      <c r="Y916" s="784"/>
      <c r="Z916" s="784"/>
      <c r="AA916" s="784"/>
      <c r="AB916" s="784"/>
    </row>
    <row r="917" spans="3:28" ht="15.75" customHeight="1">
      <c r="C917" s="784"/>
      <c r="D917" s="784"/>
      <c r="E917" s="784"/>
      <c r="F917" s="784"/>
      <c r="G917" s="784"/>
      <c r="H917" s="784"/>
      <c r="I917" s="784"/>
      <c r="J917" s="784"/>
      <c r="K917" s="784"/>
      <c r="L917" s="784"/>
      <c r="M917" s="784"/>
      <c r="N917" s="784"/>
      <c r="O917" s="784"/>
      <c r="P917" s="784"/>
      <c r="Q917" s="784"/>
      <c r="R917" s="784"/>
      <c r="S917" s="784"/>
      <c r="T917" s="784"/>
      <c r="U917" s="784"/>
      <c r="V917" s="784"/>
      <c r="W917" s="784"/>
      <c r="X917" s="784"/>
      <c r="Y917" s="784"/>
      <c r="Z917" s="784"/>
      <c r="AA917" s="784"/>
      <c r="AB917" s="784"/>
    </row>
    <row r="918" spans="3:28" ht="15.75" customHeight="1">
      <c r="C918" s="784"/>
      <c r="D918" s="784"/>
      <c r="E918" s="784"/>
      <c r="F918" s="784"/>
      <c r="G918" s="784"/>
      <c r="H918" s="784"/>
      <c r="I918" s="784"/>
      <c r="J918" s="784"/>
      <c r="K918" s="784"/>
      <c r="L918" s="784"/>
      <c r="M918" s="784"/>
      <c r="N918" s="784"/>
      <c r="O918" s="784"/>
      <c r="P918" s="784"/>
      <c r="Q918" s="784"/>
      <c r="R918" s="784"/>
      <c r="S918" s="784"/>
      <c r="T918" s="784"/>
      <c r="U918" s="784"/>
      <c r="V918" s="784"/>
      <c r="W918" s="784"/>
      <c r="X918" s="784"/>
      <c r="Y918" s="784"/>
      <c r="Z918" s="784"/>
      <c r="AA918" s="784"/>
      <c r="AB918" s="784"/>
    </row>
    <row r="919" spans="3:28" ht="15.75" customHeight="1">
      <c r="C919" s="784"/>
      <c r="D919" s="784"/>
      <c r="E919" s="784"/>
      <c r="F919" s="784"/>
      <c r="G919" s="784"/>
      <c r="H919" s="784"/>
      <c r="I919" s="784"/>
      <c r="J919" s="784"/>
      <c r="K919" s="784"/>
      <c r="L919" s="784"/>
      <c r="M919" s="784"/>
      <c r="N919" s="784"/>
      <c r="O919" s="784"/>
      <c r="P919" s="784"/>
      <c r="Q919" s="784"/>
      <c r="R919" s="784"/>
      <c r="S919" s="784"/>
      <c r="T919" s="784"/>
      <c r="U919" s="784"/>
      <c r="V919" s="784"/>
      <c r="W919" s="784"/>
      <c r="X919" s="784"/>
      <c r="Y919" s="784"/>
      <c r="Z919" s="784"/>
      <c r="AA919" s="784"/>
      <c r="AB919" s="784"/>
    </row>
    <row r="920" spans="3:28" ht="15.75" customHeight="1">
      <c r="C920" s="784"/>
      <c r="D920" s="784"/>
      <c r="E920" s="784"/>
      <c r="F920" s="784"/>
      <c r="G920" s="784"/>
      <c r="H920" s="784"/>
      <c r="I920" s="784"/>
      <c r="J920" s="784"/>
      <c r="K920" s="784"/>
      <c r="L920" s="784"/>
      <c r="M920" s="784"/>
      <c r="N920" s="784"/>
      <c r="O920" s="784"/>
      <c r="P920" s="784"/>
      <c r="Q920" s="784"/>
      <c r="R920" s="784"/>
      <c r="S920" s="784"/>
      <c r="T920" s="784"/>
      <c r="U920" s="784"/>
      <c r="V920" s="784"/>
      <c r="W920" s="784"/>
      <c r="X920" s="784"/>
      <c r="Y920" s="784"/>
      <c r="Z920" s="784"/>
      <c r="AA920" s="784"/>
      <c r="AB920" s="784"/>
    </row>
    <row r="921" spans="3:28" ht="15.75" customHeight="1">
      <c r="C921" s="784"/>
      <c r="D921" s="784"/>
      <c r="E921" s="784"/>
      <c r="F921" s="784"/>
      <c r="G921" s="784"/>
      <c r="H921" s="784"/>
      <c r="I921" s="784"/>
      <c r="J921" s="784"/>
      <c r="K921" s="784"/>
      <c r="L921" s="784"/>
      <c r="M921" s="784"/>
      <c r="N921" s="784"/>
      <c r="O921" s="784"/>
      <c r="P921" s="784"/>
      <c r="Q921" s="784"/>
      <c r="R921" s="784"/>
      <c r="S921" s="784"/>
      <c r="T921" s="784"/>
      <c r="U921" s="784"/>
      <c r="V921" s="784"/>
      <c r="W921" s="784"/>
      <c r="X921" s="784"/>
      <c r="Y921" s="784"/>
      <c r="Z921" s="784"/>
      <c r="AA921" s="784"/>
      <c r="AB921" s="784"/>
    </row>
    <row r="922" spans="3:28" ht="15.75" customHeight="1">
      <c r="C922" s="784"/>
      <c r="D922" s="784"/>
      <c r="E922" s="784"/>
      <c r="F922" s="784"/>
      <c r="G922" s="784"/>
      <c r="H922" s="784"/>
      <c r="I922" s="784"/>
      <c r="J922" s="784"/>
      <c r="K922" s="784"/>
      <c r="L922" s="784"/>
      <c r="M922" s="784"/>
      <c r="N922" s="784"/>
      <c r="O922" s="784"/>
      <c r="P922" s="784"/>
      <c r="Q922" s="784"/>
      <c r="R922" s="784"/>
      <c r="S922" s="784"/>
      <c r="T922" s="784"/>
      <c r="U922" s="784"/>
      <c r="V922" s="784"/>
      <c r="W922" s="784"/>
      <c r="X922" s="784"/>
      <c r="Y922" s="784"/>
      <c r="Z922" s="784"/>
      <c r="AA922" s="784"/>
      <c r="AB922" s="784"/>
    </row>
    <row r="923" spans="3:28" ht="15.75" customHeight="1">
      <c r="C923" s="784"/>
      <c r="D923" s="784"/>
      <c r="E923" s="784"/>
      <c r="F923" s="784"/>
      <c r="G923" s="784"/>
      <c r="H923" s="784"/>
      <c r="I923" s="784"/>
      <c r="J923" s="784"/>
      <c r="K923" s="784"/>
      <c r="L923" s="784"/>
      <c r="M923" s="784"/>
      <c r="N923" s="784"/>
      <c r="O923" s="784"/>
      <c r="P923" s="784"/>
      <c r="Q923" s="784"/>
      <c r="R923" s="784"/>
      <c r="S923" s="784"/>
      <c r="T923" s="784"/>
      <c r="U923" s="784"/>
      <c r="V923" s="784"/>
      <c r="W923" s="784"/>
      <c r="X923" s="784"/>
      <c r="Y923" s="784"/>
      <c r="Z923" s="784"/>
      <c r="AA923" s="784"/>
      <c r="AB923" s="784"/>
    </row>
    <row r="924" spans="3:28" ht="15.75" customHeight="1">
      <c r="C924" s="784"/>
      <c r="D924" s="784"/>
      <c r="E924" s="784"/>
      <c r="F924" s="784"/>
      <c r="G924" s="784"/>
      <c r="H924" s="784"/>
      <c r="I924" s="784"/>
      <c r="J924" s="784"/>
      <c r="K924" s="784"/>
      <c r="L924" s="784"/>
      <c r="M924" s="784"/>
      <c r="N924" s="784"/>
      <c r="O924" s="784"/>
      <c r="P924" s="784"/>
      <c r="Q924" s="784"/>
      <c r="R924" s="784"/>
      <c r="S924" s="784"/>
      <c r="T924" s="784"/>
      <c r="U924" s="784"/>
      <c r="V924" s="784"/>
      <c r="W924" s="784"/>
      <c r="X924" s="784"/>
      <c r="Y924" s="784"/>
      <c r="Z924" s="784"/>
      <c r="AA924" s="784"/>
      <c r="AB924" s="784"/>
    </row>
    <row r="925" spans="3:28" ht="15.75" customHeight="1">
      <c r="C925" s="784"/>
      <c r="D925" s="784"/>
      <c r="E925" s="784"/>
      <c r="F925" s="784"/>
      <c r="G925" s="784"/>
      <c r="H925" s="784"/>
      <c r="I925" s="784"/>
      <c r="J925" s="784"/>
      <c r="K925" s="784"/>
      <c r="L925" s="784"/>
      <c r="M925" s="784"/>
      <c r="N925" s="784"/>
      <c r="O925" s="784"/>
      <c r="P925" s="784"/>
      <c r="Q925" s="784"/>
      <c r="R925" s="784"/>
      <c r="S925" s="784"/>
      <c r="T925" s="784"/>
      <c r="U925" s="784"/>
      <c r="V925" s="784"/>
      <c r="W925" s="784"/>
      <c r="X925" s="784"/>
      <c r="Y925" s="784"/>
      <c r="Z925" s="784"/>
      <c r="AA925" s="784"/>
      <c r="AB925" s="784"/>
    </row>
    <row r="926" spans="3:28" ht="15.75" customHeight="1">
      <c r="C926" s="784"/>
      <c r="D926" s="784"/>
      <c r="E926" s="784"/>
      <c r="F926" s="784"/>
      <c r="G926" s="784"/>
      <c r="H926" s="784"/>
      <c r="I926" s="784"/>
      <c r="J926" s="784"/>
      <c r="K926" s="784"/>
      <c r="L926" s="784"/>
      <c r="M926" s="784"/>
      <c r="N926" s="784"/>
      <c r="O926" s="784"/>
      <c r="P926" s="784"/>
      <c r="Q926" s="784"/>
      <c r="R926" s="784"/>
      <c r="S926" s="784"/>
      <c r="T926" s="784"/>
      <c r="U926" s="784"/>
      <c r="V926" s="784"/>
      <c r="W926" s="784"/>
      <c r="X926" s="784"/>
      <c r="Y926" s="784"/>
      <c r="Z926" s="784"/>
      <c r="AA926" s="784"/>
      <c r="AB926" s="784"/>
    </row>
    <row r="927" spans="3:28" ht="15.75" customHeight="1">
      <c r="C927" s="784"/>
      <c r="D927" s="784"/>
      <c r="E927" s="784"/>
      <c r="F927" s="784"/>
      <c r="G927" s="784"/>
      <c r="H927" s="784"/>
      <c r="I927" s="784"/>
      <c r="J927" s="784"/>
      <c r="K927" s="784"/>
      <c r="L927" s="784"/>
      <c r="M927" s="784"/>
      <c r="N927" s="784"/>
      <c r="O927" s="784"/>
      <c r="P927" s="784"/>
      <c r="Q927" s="784"/>
      <c r="R927" s="784"/>
      <c r="S927" s="784"/>
      <c r="T927" s="784"/>
      <c r="U927" s="784"/>
      <c r="V927" s="784"/>
      <c r="W927" s="784"/>
      <c r="X927" s="784"/>
      <c r="Y927" s="784"/>
      <c r="Z927" s="784"/>
      <c r="AA927" s="784"/>
      <c r="AB927" s="784"/>
    </row>
    <row r="928" spans="3:28" ht="15.75" customHeight="1">
      <c r="C928" s="784"/>
      <c r="D928" s="784"/>
      <c r="E928" s="784"/>
      <c r="F928" s="784"/>
      <c r="G928" s="784"/>
      <c r="H928" s="784"/>
      <c r="I928" s="784"/>
      <c r="J928" s="784"/>
      <c r="K928" s="784"/>
      <c r="L928" s="784"/>
      <c r="M928" s="784"/>
      <c r="N928" s="784"/>
      <c r="O928" s="784"/>
      <c r="P928" s="784"/>
      <c r="Q928" s="784"/>
      <c r="R928" s="784"/>
      <c r="S928" s="784"/>
      <c r="T928" s="784"/>
      <c r="U928" s="784"/>
      <c r="V928" s="784"/>
      <c r="W928" s="784"/>
      <c r="X928" s="784"/>
      <c r="Y928" s="784"/>
      <c r="Z928" s="784"/>
      <c r="AA928" s="784"/>
      <c r="AB928" s="784"/>
    </row>
    <row r="929" spans="3:28" ht="15.75" customHeight="1">
      <c r="C929" s="784"/>
      <c r="D929" s="784"/>
      <c r="E929" s="784"/>
      <c r="F929" s="784"/>
      <c r="G929" s="784"/>
      <c r="H929" s="784"/>
      <c r="I929" s="784"/>
      <c r="J929" s="784"/>
      <c r="K929" s="784"/>
      <c r="L929" s="784"/>
      <c r="M929" s="784"/>
      <c r="N929" s="784"/>
      <c r="O929" s="784"/>
      <c r="P929" s="784"/>
      <c r="Q929" s="784"/>
      <c r="R929" s="784"/>
      <c r="S929" s="784"/>
      <c r="T929" s="784"/>
      <c r="U929" s="784"/>
      <c r="V929" s="784"/>
      <c r="W929" s="784"/>
      <c r="X929" s="784"/>
      <c r="Y929" s="784"/>
      <c r="Z929" s="784"/>
      <c r="AA929" s="784"/>
      <c r="AB929" s="784"/>
    </row>
    <row r="930" spans="3:28" ht="15.75" customHeight="1">
      <c r="C930" s="784"/>
      <c r="D930" s="784"/>
      <c r="E930" s="784"/>
      <c r="F930" s="784"/>
      <c r="G930" s="784"/>
      <c r="H930" s="784"/>
      <c r="I930" s="784"/>
      <c r="J930" s="784"/>
      <c r="K930" s="784"/>
      <c r="L930" s="784"/>
      <c r="M930" s="784"/>
      <c r="N930" s="784"/>
      <c r="O930" s="784"/>
      <c r="P930" s="784"/>
      <c r="Q930" s="784"/>
      <c r="R930" s="784"/>
      <c r="S930" s="784"/>
      <c r="T930" s="784"/>
      <c r="U930" s="784"/>
      <c r="V930" s="784"/>
      <c r="W930" s="784"/>
      <c r="X930" s="784"/>
      <c r="Y930" s="784"/>
      <c r="Z930" s="784"/>
      <c r="AA930" s="784"/>
      <c r="AB930" s="784"/>
    </row>
    <row r="931" spans="3:28" ht="15.75" customHeight="1">
      <c r="C931" s="784"/>
      <c r="D931" s="784"/>
      <c r="E931" s="784"/>
      <c r="F931" s="784"/>
      <c r="G931" s="784"/>
      <c r="H931" s="784"/>
      <c r="I931" s="784"/>
      <c r="J931" s="784"/>
      <c r="K931" s="784"/>
      <c r="L931" s="784"/>
      <c r="M931" s="784"/>
      <c r="N931" s="784"/>
      <c r="O931" s="784"/>
      <c r="P931" s="784"/>
      <c r="Q931" s="784"/>
      <c r="R931" s="784"/>
      <c r="S931" s="784"/>
      <c r="T931" s="784"/>
      <c r="U931" s="784"/>
      <c r="V931" s="784"/>
      <c r="W931" s="784"/>
      <c r="X931" s="784"/>
      <c r="Y931" s="784"/>
      <c r="Z931" s="784"/>
      <c r="AA931" s="784"/>
      <c r="AB931" s="784"/>
    </row>
    <row r="932" spans="3:28" ht="15.75" customHeight="1">
      <c r="C932" s="784"/>
      <c r="D932" s="784"/>
      <c r="E932" s="784"/>
      <c r="F932" s="784"/>
      <c r="G932" s="784"/>
      <c r="H932" s="784"/>
      <c r="I932" s="784"/>
      <c r="J932" s="784"/>
      <c r="K932" s="784"/>
      <c r="L932" s="784"/>
      <c r="M932" s="784"/>
      <c r="N932" s="784"/>
      <c r="O932" s="784"/>
      <c r="P932" s="784"/>
      <c r="Q932" s="784"/>
      <c r="R932" s="784"/>
      <c r="S932" s="784"/>
      <c r="T932" s="784"/>
      <c r="U932" s="784"/>
      <c r="V932" s="784"/>
      <c r="W932" s="784"/>
      <c r="X932" s="784"/>
      <c r="Y932" s="784"/>
      <c r="Z932" s="784"/>
      <c r="AA932" s="784"/>
      <c r="AB932" s="784"/>
    </row>
    <row r="933" spans="3:28" ht="15.75" customHeight="1">
      <c r="C933" s="784"/>
      <c r="D933" s="784"/>
      <c r="E933" s="784"/>
      <c r="F933" s="784"/>
      <c r="G933" s="784"/>
      <c r="H933" s="784"/>
      <c r="I933" s="784"/>
      <c r="J933" s="784"/>
      <c r="K933" s="784"/>
      <c r="L933" s="784"/>
      <c r="M933" s="784"/>
      <c r="N933" s="784"/>
      <c r="O933" s="784"/>
      <c r="P933" s="784"/>
      <c r="Q933" s="784"/>
      <c r="R933" s="784"/>
      <c r="S933" s="784"/>
      <c r="T933" s="784"/>
      <c r="U933" s="784"/>
      <c r="V933" s="784"/>
      <c r="W933" s="784"/>
      <c r="X933" s="784"/>
      <c r="Y933" s="784"/>
      <c r="Z933" s="784"/>
      <c r="AA933" s="784"/>
      <c r="AB933" s="784"/>
    </row>
    <row r="934" spans="3:28" ht="15.75" customHeight="1">
      <c r="C934" s="784"/>
      <c r="D934" s="784"/>
      <c r="E934" s="784"/>
      <c r="F934" s="784"/>
      <c r="G934" s="784"/>
      <c r="H934" s="784"/>
      <c r="I934" s="784"/>
      <c r="J934" s="784"/>
      <c r="K934" s="784"/>
      <c r="L934" s="784"/>
      <c r="M934" s="784"/>
      <c r="N934" s="784"/>
      <c r="O934" s="784"/>
      <c r="P934" s="784"/>
      <c r="Q934" s="784"/>
      <c r="R934" s="784"/>
      <c r="S934" s="784"/>
      <c r="T934" s="784"/>
      <c r="U934" s="784"/>
      <c r="V934" s="784"/>
      <c r="W934" s="784"/>
      <c r="X934" s="784"/>
      <c r="Y934" s="784"/>
      <c r="Z934" s="784"/>
      <c r="AA934" s="784"/>
      <c r="AB934" s="784"/>
    </row>
    <row r="935" spans="3:28" ht="15.75" customHeight="1">
      <c r="C935" s="784"/>
      <c r="D935" s="784"/>
      <c r="E935" s="784"/>
      <c r="F935" s="784"/>
      <c r="G935" s="784"/>
      <c r="H935" s="784"/>
      <c r="I935" s="784"/>
      <c r="J935" s="784"/>
      <c r="K935" s="784"/>
      <c r="L935" s="784"/>
      <c r="M935" s="784"/>
      <c r="N935" s="784"/>
      <c r="O935" s="784"/>
      <c r="P935" s="784"/>
      <c r="Q935" s="784"/>
      <c r="R935" s="784"/>
      <c r="S935" s="784"/>
      <c r="T935" s="784"/>
      <c r="U935" s="784"/>
      <c r="V935" s="784"/>
      <c r="W935" s="784"/>
      <c r="X935" s="784"/>
      <c r="Y935" s="784"/>
      <c r="Z935" s="784"/>
      <c r="AA935" s="784"/>
      <c r="AB935" s="784"/>
    </row>
    <row r="936" spans="3:28" ht="15.75" customHeight="1">
      <c r="C936" s="784"/>
      <c r="D936" s="784"/>
      <c r="E936" s="784"/>
      <c r="F936" s="784"/>
      <c r="G936" s="784"/>
      <c r="H936" s="784"/>
      <c r="I936" s="784"/>
      <c r="J936" s="784"/>
      <c r="K936" s="784"/>
      <c r="L936" s="784"/>
      <c r="M936" s="784"/>
      <c r="N936" s="784"/>
      <c r="O936" s="784"/>
      <c r="P936" s="784"/>
      <c r="Q936" s="784"/>
      <c r="R936" s="784"/>
      <c r="S936" s="784"/>
      <c r="T936" s="784"/>
      <c r="U936" s="784"/>
      <c r="V936" s="784"/>
      <c r="W936" s="784"/>
      <c r="X936" s="784"/>
      <c r="Y936" s="784"/>
      <c r="Z936" s="784"/>
      <c r="AA936" s="784"/>
      <c r="AB936" s="784"/>
    </row>
    <row r="937" spans="3:28" ht="15.75" customHeight="1">
      <c r="C937" s="784"/>
      <c r="D937" s="784"/>
      <c r="E937" s="784"/>
      <c r="F937" s="784"/>
      <c r="G937" s="784"/>
      <c r="H937" s="784"/>
      <c r="I937" s="784"/>
      <c r="J937" s="784"/>
      <c r="K937" s="784"/>
      <c r="L937" s="784"/>
      <c r="M937" s="784"/>
      <c r="N937" s="784"/>
      <c r="O937" s="784"/>
      <c r="P937" s="784"/>
      <c r="Q937" s="784"/>
      <c r="R937" s="784"/>
      <c r="S937" s="784"/>
      <c r="T937" s="784"/>
      <c r="U937" s="784"/>
      <c r="V937" s="784"/>
      <c r="W937" s="784"/>
      <c r="X937" s="784"/>
      <c r="Y937" s="784"/>
      <c r="Z937" s="784"/>
      <c r="AA937" s="784"/>
      <c r="AB937" s="784"/>
    </row>
    <row r="938" spans="3:28" ht="15.75" customHeight="1">
      <c r="C938" s="784"/>
      <c r="D938" s="784"/>
      <c r="E938" s="784"/>
      <c r="F938" s="784"/>
      <c r="G938" s="784"/>
      <c r="H938" s="784"/>
      <c r="I938" s="784"/>
      <c r="J938" s="784"/>
      <c r="K938" s="784"/>
      <c r="L938" s="784"/>
      <c r="M938" s="784"/>
      <c r="N938" s="784"/>
      <c r="O938" s="784"/>
      <c r="P938" s="784"/>
      <c r="Q938" s="784"/>
      <c r="R938" s="784"/>
      <c r="S938" s="784"/>
      <c r="T938" s="784"/>
      <c r="U938" s="784"/>
      <c r="V938" s="784"/>
      <c r="W938" s="784"/>
      <c r="X938" s="784"/>
      <c r="Y938" s="784"/>
      <c r="Z938" s="784"/>
      <c r="AA938" s="784"/>
      <c r="AB938" s="784"/>
    </row>
    <row r="939" spans="3:28" ht="15.75" customHeight="1">
      <c r="C939" s="784"/>
      <c r="D939" s="784"/>
      <c r="E939" s="784"/>
      <c r="F939" s="784"/>
      <c r="G939" s="784"/>
      <c r="H939" s="784"/>
      <c r="I939" s="784"/>
      <c r="J939" s="784"/>
      <c r="K939" s="784"/>
      <c r="L939" s="784"/>
      <c r="M939" s="784"/>
      <c r="N939" s="784"/>
      <c r="O939" s="784"/>
      <c r="P939" s="784"/>
      <c r="Q939" s="784"/>
      <c r="R939" s="784"/>
      <c r="S939" s="784"/>
      <c r="T939" s="784"/>
      <c r="U939" s="784"/>
      <c r="V939" s="784"/>
      <c r="W939" s="784"/>
      <c r="X939" s="784"/>
      <c r="Y939" s="784"/>
      <c r="Z939" s="784"/>
      <c r="AA939" s="784"/>
      <c r="AB939" s="784"/>
    </row>
    <row r="940" spans="3:28" ht="15.75" customHeight="1">
      <c r="C940" s="784"/>
      <c r="D940" s="784"/>
      <c r="E940" s="784"/>
      <c r="F940" s="784"/>
      <c r="G940" s="784"/>
      <c r="H940" s="784"/>
      <c r="I940" s="784"/>
      <c r="J940" s="784"/>
      <c r="K940" s="784"/>
      <c r="L940" s="784"/>
      <c r="M940" s="784"/>
      <c r="N940" s="784"/>
      <c r="O940" s="784"/>
      <c r="P940" s="784"/>
      <c r="Q940" s="784"/>
      <c r="R940" s="784"/>
      <c r="S940" s="784"/>
      <c r="T940" s="784"/>
      <c r="U940" s="784"/>
      <c r="V940" s="784"/>
      <c r="W940" s="784"/>
      <c r="X940" s="784"/>
      <c r="Y940" s="784"/>
      <c r="Z940" s="784"/>
      <c r="AA940" s="784"/>
      <c r="AB940" s="784"/>
    </row>
    <row r="941" spans="3:28" ht="15.75" customHeight="1">
      <c r="C941" s="784"/>
      <c r="D941" s="784"/>
      <c r="E941" s="784"/>
      <c r="F941" s="784"/>
      <c r="G941" s="784"/>
      <c r="H941" s="784"/>
      <c r="I941" s="784"/>
      <c r="J941" s="784"/>
      <c r="K941" s="784"/>
      <c r="L941" s="784"/>
      <c r="M941" s="784"/>
      <c r="N941" s="784"/>
      <c r="O941" s="784"/>
      <c r="P941" s="784"/>
      <c r="Q941" s="784"/>
      <c r="R941" s="784"/>
      <c r="S941" s="784"/>
      <c r="T941" s="784"/>
      <c r="U941" s="784"/>
      <c r="V941" s="784"/>
      <c r="W941" s="784"/>
      <c r="X941" s="784"/>
      <c r="Y941" s="784"/>
      <c r="Z941" s="784"/>
      <c r="AA941" s="784"/>
      <c r="AB941" s="784"/>
    </row>
    <row r="942" spans="3:28" ht="15.75" customHeight="1">
      <c r="C942" s="784"/>
      <c r="D942" s="784"/>
      <c r="E942" s="784"/>
      <c r="F942" s="784"/>
      <c r="G942" s="784"/>
      <c r="H942" s="784"/>
      <c r="I942" s="784"/>
      <c r="J942" s="784"/>
      <c r="K942" s="784"/>
      <c r="L942" s="784"/>
      <c r="M942" s="784"/>
      <c r="N942" s="784"/>
      <c r="O942" s="784"/>
      <c r="P942" s="784"/>
      <c r="Q942" s="784"/>
      <c r="R942" s="784"/>
      <c r="S942" s="784"/>
      <c r="T942" s="784"/>
      <c r="U942" s="784"/>
      <c r="V942" s="784"/>
      <c r="W942" s="784"/>
      <c r="X942" s="784"/>
      <c r="Y942" s="784"/>
      <c r="Z942" s="784"/>
      <c r="AA942" s="784"/>
      <c r="AB942" s="784"/>
    </row>
    <row r="943" spans="3:28" ht="15.75" customHeight="1">
      <c r="C943" s="784"/>
      <c r="D943" s="784"/>
      <c r="E943" s="784"/>
      <c r="F943" s="784"/>
      <c r="G943" s="784"/>
      <c r="H943" s="784"/>
      <c r="I943" s="784"/>
      <c r="J943" s="784"/>
      <c r="K943" s="784"/>
      <c r="L943" s="784"/>
      <c r="M943" s="784"/>
      <c r="N943" s="784"/>
      <c r="O943" s="784"/>
      <c r="P943" s="784"/>
      <c r="Q943" s="784"/>
      <c r="R943" s="784"/>
      <c r="S943" s="784"/>
      <c r="T943" s="784"/>
      <c r="U943" s="784"/>
      <c r="V943" s="784"/>
      <c r="W943" s="784"/>
      <c r="X943" s="784"/>
      <c r="Y943" s="784"/>
      <c r="Z943" s="784"/>
      <c r="AA943" s="784"/>
      <c r="AB943" s="784"/>
    </row>
    <row r="944" spans="3:28" ht="15.75" customHeight="1">
      <c r="C944" s="784"/>
      <c r="D944" s="784"/>
      <c r="E944" s="784"/>
      <c r="F944" s="784"/>
      <c r="G944" s="784"/>
      <c r="H944" s="784"/>
      <c r="I944" s="784"/>
      <c r="J944" s="784"/>
      <c r="K944" s="784"/>
      <c r="L944" s="784"/>
      <c r="M944" s="784"/>
      <c r="N944" s="784"/>
      <c r="O944" s="784"/>
      <c r="P944" s="784"/>
      <c r="Q944" s="784"/>
      <c r="R944" s="784"/>
      <c r="S944" s="784"/>
      <c r="T944" s="784"/>
      <c r="U944" s="784"/>
      <c r="V944" s="784"/>
      <c r="W944" s="784"/>
      <c r="X944" s="784"/>
      <c r="Y944" s="784"/>
      <c r="Z944" s="784"/>
      <c r="AA944" s="784"/>
      <c r="AB944" s="784"/>
    </row>
    <row r="945" spans="3:28" ht="15.75" customHeight="1">
      <c r="C945" s="784"/>
      <c r="D945" s="784"/>
      <c r="E945" s="784"/>
      <c r="F945" s="784"/>
      <c r="G945" s="784"/>
      <c r="H945" s="784"/>
      <c r="I945" s="784"/>
      <c r="J945" s="784"/>
      <c r="K945" s="784"/>
      <c r="L945" s="784"/>
      <c r="M945" s="784"/>
      <c r="N945" s="784"/>
      <c r="O945" s="784"/>
      <c r="P945" s="784"/>
      <c r="Q945" s="784"/>
      <c r="R945" s="784"/>
      <c r="S945" s="784"/>
      <c r="T945" s="784"/>
      <c r="U945" s="784"/>
      <c r="V945" s="784"/>
      <c r="W945" s="784"/>
      <c r="X945" s="784"/>
      <c r="Y945" s="784"/>
      <c r="Z945" s="784"/>
      <c r="AA945" s="784"/>
      <c r="AB945" s="784"/>
    </row>
    <row r="946" spans="3:28" ht="15.75" customHeight="1">
      <c r="C946" s="784"/>
      <c r="D946" s="784"/>
      <c r="E946" s="784"/>
      <c r="F946" s="784"/>
      <c r="G946" s="784"/>
      <c r="H946" s="784"/>
      <c r="I946" s="784"/>
      <c r="J946" s="784"/>
      <c r="K946" s="784"/>
      <c r="L946" s="784"/>
      <c r="M946" s="784"/>
      <c r="N946" s="784"/>
      <c r="O946" s="784"/>
      <c r="P946" s="784"/>
      <c r="Q946" s="784"/>
      <c r="R946" s="784"/>
      <c r="S946" s="784"/>
      <c r="T946" s="784"/>
      <c r="U946" s="784"/>
      <c r="V946" s="784"/>
      <c r="W946" s="784"/>
      <c r="X946" s="784"/>
      <c r="Y946" s="784"/>
      <c r="Z946" s="784"/>
      <c r="AA946" s="784"/>
      <c r="AB946" s="784"/>
    </row>
    <row r="947" spans="3:28" ht="15.75" customHeight="1">
      <c r="C947" s="784"/>
      <c r="D947" s="784"/>
      <c r="E947" s="784"/>
      <c r="F947" s="784"/>
      <c r="G947" s="784"/>
      <c r="H947" s="784"/>
      <c r="I947" s="784"/>
      <c r="J947" s="784"/>
      <c r="K947" s="784"/>
      <c r="L947" s="784"/>
      <c r="M947" s="784"/>
      <c r="N947" s="784"/>
      <c r="O947" s="784"/>
      <c r="P947" s="784"/>
      <c r="Q947" s="784"/>
      <c r="R947" s="784"/>
      <c r="S947" s="784"/>
      <c r="T947" s="784"/>
      <c r="U947" s="784"/>
      <c r="V947" s="784"/>
      <c r="W947" s="784"/>
      <c r="X947" s="784"/>
      <c r="Y947" s="784"/>
      <c r="Z947" s="784"/>
      <c r="AA947" s="784"/>
      <c r="AB947" s="784"/>
    </row>
    <row r="948" spans="3:28" ht="15.75" customHeight="1">
      <c r="C948" s="784"/>
      <c r="D948" s="784"/>
      <c r="E948" s="784"/>
      <c r="F948" s="784"/>
      <c r="G948" s="784"/>
      <c r="H948" s="784"/>
      <c r="I948" s="784"/>
      <c r="J948" s="784"/>
      <c r="K948" s="784"/>
      <c r="L948" s="784"/>
      <c r="M948" s="784"/>
      <c r="N948" s="784"/>
      <c r="O948" s="784"/>
      <c r="P948" s="784"/>
      <c r="Q948" s="784"/>
      <c r="R948" s="784"/>
      <c r="S948" s="784"/>
      <c r="T948" s="784"/>
      <c r="U948" s="784"/>
      <c r="V948" s="784"/>
      <c r="W948" s="784"/>
      <c r="X948" s="784"/>
      <c r="Y948" s="784"/>
      <c r="Z948" s="784"/>
      <c r="AA948" s="784"/>
      <c r="AB948" s="784"/>
    </row>
    <row r="949" spans="3:28" ht="15.75" customHeight="1">
      <c r="C949" s="784"/>
      <c r="D949" s="784"/>
      <c r="E949" s="784"/>
      <c r="F949" s="784"/>
      <c r="G949" s="784"/>
      <c r="H949" s="784"/>
      <c r="I949" s="784"/>
      <c r="J949" s="784"/>
      <c r="K949" s="784"/>
      <c r="L949" s="784"/>
      <c r="M949" s="784"/>
      <c r="N949" s="784"/>
      <c r="O949" s="784"/>
      <c r="P949" s="784"/>
      <c r="Q949" s="784"/>
      <c r="R949" s="784"/>
      <c r="S949" s="784"/>
      <c r="T949" s="784"/>
      <c r="U949" s="784"/>
      <c r="V949" s="784"/>
      <c r="W949" s="784"/>
      <c r="X949" s="784"/>
      <c r="Y949" s="784"/>
      <c r="Z949" s="784"/>
      <c r="AA949" s="784"/>
      <c r="AB949" s="784"/>
    </row>
    <row r="950" spans="3:28" ht="15.75" customHeight="1">
      <c r="C950" s="784"/>
      <c r="D950" s="784"/>
      <c r="E950" s="784"/>
      <c r="F950" s="784"/>
      <c r="G950" s="784"/>
      <c r="H950" s="784"/>
      <c r="I950" s="784"/>
      <c r="J950" s="784"/>
      <c r="K950" s="784"/>
      <c r="L950" s="784"/>
      <c r="M950" s="784"/>
      <c r="N950" s="784"/>
      <c r="O950" s="784"/>
      <c r="P950" s="784"/>
      <c r="Q950" s="784"/>
      <c r="R950" s="784"/>
      <c r="S950" s="784"/>
      <c r="T950" s="784"/>
      <c r="U950" s="784"/>
      <c r="V950" s="784"/>
      <c r="W950" s="784"/>
      <c r="X950" s="784"/>
      <c r="Y950" s="784"/>
      <c r="Z950" s="784"/>
      <c r="AA950" s="784"/>
      <c r="AB950" s="784"/>
    </row>
    <row r="951" spans="3:28" ht="15.75" customHeight="1">
      <c r="C951" s="784"/>
      <c r="D951" s="784"/>
      <c r="E951" s="784"/>
      <c r="F951" s="784"/>
      <c r="G951" s="784"/>
      <c r="H951" s="784"/>
      <c r="I951" s="784"/>
      <c r="J951" s="784"/>
      <c r="K951" s="784"/>
      <c r="L951" s="784"/>
      <c r="M951" s="784"/>
      <c r="N951" s="784"/>
      <c r="O951" s="784"/>
      <c r="P951" s="784"/>
      <c r="Q951" s="784"/>
      <c r="R951" s="784"/>
      <c r="S951" s="784"/>
      <c r="T951" s="784"/>
      <c r="U951" s="784"/>
      <c r="V951" s="784"/>
      <c r="W951" s="784"/>
      <c r="X951" s="784"/>
      <c r="Y951" s="784"/>
      <c r="Z951" s="784"/>
      <c r="AA951" s="784"/>
      <c r="AB951" s="784"/>
    </row>
    <row r="952" spans="3:28" ht="15.75" customHeight="1">
      <c r="C952" s="784"/>
      <c r="D952" s="784"/>
      <c r="E952" s="784"/>
      <c r="F952" s="784"/>
      <c r="G952" s="784"/>
      <c r="H952" s="784"/>
      <c r="I952" s="784"/>
      <c r="J952" s="784"/>
      <c r="K952" s="784"/>
      <c r="L952" s="784"/>
      <c r="M952" s="784"/>
      <c r="N952" s="784"/>
      <c r="O952" s="784"/>
      <c r="P952" s="784"/>
      <c r="Q952" s="784"/>
      <c r="R952" s="784"/>
      <c r="S952" s="784"/>
      <c r="T952" s="784"/>
      <c r="U952" s="784"/>
      <c r="V952" s="784"/>
      <c r="W952" s="784"/>
      <c r="X952" s="784"/>
      <c r="Y952" s="784"/>
      <c r="Z952" s="784"/>
      <c r="AA952" s="784"/>
      <c r="AB952" s="784"/>
    </row>
    <row r="953" spans="3:28" ht="15.75" customHeight="1">
      <c r="C953" s="784"/>
      <c r="D953" s="784"/>
      <c r="E953" s="784"/>
      <c r="F953" s="784"/>
      <c r="G953" s="784"/>
      <c r="H953" s="784"/>
      <c r="I953" s="784"/>
      <c r="J953" s="784"/>
      <c r="K953" s="784"/>
      <c r="L953" s="784"/>
      <c r="M953" s="784"/>
      <c r="N953" s="784"/>
      <c r="O953" s="784"/>
      <c r="P953" s="784"/>
      <c r="Q953" s="784"/>
      <c r="R953" s="784"/>
      <c r="S953" s="784"/>
      <c r="T953" s="784"/>
      <c r="U953" s="784"/>
      <c r="V953" s="784"/>
      <c r="W953" s="784"/>
      <c r="X953" s="784"/>
      <c r="Y953" s="784"/>
      <c r="Z953" s="784"/>
      <c r="AA953" s="784"/>
      <c r="AB953" s="784"/>
    </row>
    <row r="954" spans="3:28" ht="15.75" customHeight="1">
      <c r="C954" s="784"/>
      <c r="D954" s="784"/>
      <c r="E954" s="784"/>
      <c r="F954" s="784"/>
      <c r="G954" s="784"/>
      <c r="H954" s="784"/>
      <c r="I954" s="784"/>
      <c r="J954" s="784"/>
      <c r="K954" s="784"/>
      <c r="L954" s="784"/>
      <c r="M954" s="784"/>
      <c r="N954" s="784"/>
      <c r="O954" s="784"/>
      <c r="P954" s="784"/>
      <c r="Q954" s="784"/>
      <c r="R954" s="784"/>
      <c r="S954" s="784"/>
      <c r="T954" s="784"/>
      <c r="U954" s="784"/>
      <c r="V954" s="784"/>
      <c r="W954" s="784"/>
      <c r="X954" s="784"/>
      <c r="Y954" s="784"/>
      <c r="Z954" s="784"/>
      <c r="AA954" s="784"/>
      <c r="AB954" s="784"/>
    </row>
    <row r="955" spans="3:28" ht="15.75" customHeight="1">
      <c r="C955" s="784"/>
      <c r="D955" s="784"/>
      <c r="E955" s="784"/>
      <c r="F955" s="784"/>
      <c r="G955" s="784"/>
      <c r="H955" s="784"/>
      <c r="I955" s="784"/>
      <c r="J955" s="784"/>
      <c r="K955" s="784"/>
      <c r="L955" s="784"/>
      <c r="M955" s="784"/>
      <c r="N955" s="784"/>
      <c r="O955" s="784"/>
      <c r="P955" s="784"/>
      <c r="Q955" s="784"/>
      <c r="R955" s="784"/>
      <c r="S955" s="784"/>
      <c r="T955" s="784"/>
      <c r="U955" s="784"/>
      <c r="V955" s="784"/>
      <c r="W955" s="784"/>
      <c r="X955" s="784"/>
      <c r="Y955" s="784"/>
      <c r="Z955" s="784"/>
      <c r="AA955" s="784"/>
      <c r="AB955" s="784"/>
    </row>
    <row r="956" spans="3:28" ht="15.75" customHeight="1">
      <c r="C956" s="784"/>
      <c r="D956" s="784"/>
      <c r="E956" s="784"/>
      <c r="F956" s="784"/>
      <c r="G956" s="784"/>
      <c r="H956" s="784"/>
      <c r="I956" s="784"/>
      <c r="J956" s="784"/>
      <c r="K956" s="784"/>
      <c r="L956" s="784"/>
      <c r="M956" s="784"/>
      <c r="N956" s="784"/>
      <c r="O956" s="784"/>
      <c r="P956" s="784"/>
      <c r="Q956" s="784"/>
      <c r="R956" s="784"/>
      <c r="S956" s="784"/>
      <c r="T956" s="784"/>
      <c r="U956" s="784"/>
      <c r="V956" s="784"/>
      <c r="W956" s="784"/>
      <c r="X956" s="784"/>
      <c r="Y956" s="784"/>
      <c r="Z956" s="784"/>
      <c r="AA956" s="784"/>
      <c r="AB956" s="784"/>
    </row>
    <row r="957" spans="3:28" ht="15.75" customHeight="1">
      <c r="C957" s="784"/>
      <c r="D957" s="784"/>
      <c r="E957" s="784"/>
      <c r="F957" s="784"/>
      <c r="G957" s="784"/>
      <c r="H957" s="784"/>
      <c r="I957" s="784"/>
      <c r="J957" s="784"/>
      <c r="K957" s="784"/>
      <c r="L957" s="784"/>
      <c r="M957" s="784"/>
      <c r="N957" s="784"/>
      <c r="O957" s="784"/>
      <c r="P957" s="784"/>
      <c r="Q957" s="784"/>
      <c r="R957" s="784"/>
      <c r="S957" s="784"/>
      <c r="T957" s="784"/>
      <c r="U957" s="784"/>
      <c r="V957" s="784"/>
      <c r="W957" s="784"/>
      <c r="X957" s="784"/>
      <c r="Y957" s="784"/>
      <c r="Z957" s="784"/>
      <c r="AA957" s="784"/>
      <c r="AB957" s="784"/>
    </row>
    <row r="958" spans="3:28" ht="15.75" customHeight="1">
      <c r="C958" s="784"/>
      <c r="D958" s="784"/>
      <c r="E958" s="784"/>
      <c r="F958" s="784"/>
      <c r="G958" s="784"/>
      <c r="H958" s="784"/>
      <c r="I958" s="784"/>
      <c r="J958" s="784"/>
      <c r="K958" s="784"/>
      <c r="L958" s="784"/>
      <c r="M958" s="784"/>
      <c r="N958" s="784"/>
      <c r="O958" s="784"/>
      <c r="P958" s="784"/>
      <c r="Q958" s="784"/>
      <c r="R958" s="784"/>
      <c r="S958" s="784"/>
      <c r="T958" s="784"/>
      <c r="U958" s="784"/>
      <c r="V958" s="784"/>
      <c r="W958" s="784"/>
      <c r="X958" s="784"/>
      <c r="Y958" s="784"/>
      <c r="Z958" s="784"/>
      <c r="AA958" s="784"/>
      <c r="AB958" s="784"/>
    </row>
    <row r="959" spans="3:28" ht="15.75" customHeight="1">
      <c r="C959" s="784"/>
      <c r="D959" s="784"/>
      <c r="E959" s="784"/>
      <c r="F959" s="784"/>
      <c r="G959" s="784"/>
      <c r="H959" s="784"/>
      <c r="I959" s="784"/>
      <c r="J959" s="784"/>
      <c r="K959" s="784"/>
      <c r="L959" s="784"/>
      <c r="M959" s="784"/>
      <c r="N959" s="784"/>
      <c r="O959" s="784"/>
      <c r="P959" s="784"/>
      <c r="Q959" s="784"/>
      <c r="R959" s="784"/>
      <c r="S959" s="784"/>
      <c r="T959" s="784"/>
      <c r="U959" s="784"/>
      <c r="V959" s="784"/>
      <c r="W959" s="784"/>
      <c r="X959" s="784"/>
      <c r="Y959" s="784"/>
      <c r="Z959" s="784"/>
      <c r="AA959" s="784"/>
      <c r="AB959" s="784"/>
    </row>
    <row r="960" spans="3:28" ht="15.75" customHeight="1">
      <c r="C960" s="784"/>
      <c r="D960" s="784"/>
      <c r="E960" s="784"/>
      <c r="F960" s="784"/>
      <c r="G960" s="784"/>
      <c r="H960" s="784"/>
      <c r="I960" s="784"/>
      <c r="J960" s="784"/>
      <c r="K960" s="784"/>
      <c r="L960" s="784"/>
      <c r="M960" s="784"/>
      <c r="N960" s="784"/>
      <c r="O960" s="784"/>
      <c r="P960" s="784"/>
      <c r="Q960" s="784"/>
      <c r="R960" s="784"/>
      <c r="S960" s="784"/>
      <c r="T960" s="784"/>
      <c r="U960" s="784"/>
      <c r="V960" s="784"/>
      <c r="W960" s="784"/>
      <c r="X960" s="784"/>
      <c r="Y960" s="784"/>
      <c r="Z960" s="784"/>
      <c r="AA960" s="784"/>
      <c r="AB960" s="784"/>
    </row>
    <row r="961" spans="3:28" ht="15.75" customHeight="1">
      <c r="C961" s="784"/>
      <c r="D961" s="784"/>
      <c r="E961" s="784"/>
      <c r="F961" s="784"/>
      <c r="G961" s="784"/>
      <c r="H961" s="784"/>
      <c r="I961" s="784"/>
      <c r="J961" s="784"/>
      <c r="K961" s="784"/>
      <c r="L961" s="784"/>
      <c r="M961" s="784"/>
      <c r="N961" s="784"/>
      <c r="O961" s="784"/>
      <c r="P961" s="784"/>
      <c r="Q961" s="784"/>
      <c r="R961" s="784"/>
      <c r="S961" s="784"/>
      <c r="T961" s="784"/>
      <c r="U961" s="784"/>
      <c r="V961" s="784"/>
      <c r="W961" s="784"/>
      <c r="X961" s="784"/>
      <c r="Y961" s="784"/>
      <c r="Z961" s="784"/>
      <c r="AA961" s="784"/>
      <c r="AB961" s="784"/>
    </row>
    <row r="962" spans="3:28" ht="15.75" customHeight="1">
      <c r="C962" s="784"/>
      <c r="D962" s="784"/>
      <c r="E962" s="784"/>
      <c r="F962" s="784"/>
      <c r="G962" s="784"/>
      <c r="H962" s="784"/>
      <c r="I962" s="784"/>
      <c r="J962" s="784"/>
      <c r="K962" s="784"/>
      <c r="L962" s="784"/>
      <c r="M962" s="784"/>
      <c r="N962" s="784"/>
      <c r="O962" s="784"/>
      <c r="P962" s="784"/>
      <c r="Q962" s="784"/>
      <c r="R962" s="784"/>
      <c r="S962" s="784"/>
      <c r="T962" s="784"/>
      <c r="U962" s="784"/>
      <c r="V962" s="784"/>
      <c r="W962" s="784"/>
      <c r="X962" s="784"/>
      <c r="Y962" s="784"/>
      <c r="Z962" s="784"/>
      <c r="AA962" s="784"/>
      <c r="AB962" s="784"/>
    </row>
    <row r="963" spans="3:28" ht="15.75" customHeight="1">
      <c r="C963" s="784"/>
      <c r="D963" s="784"/>
      <c r="E963" s="784"/>
      <c r="F963" s="784"/>
      <c r="G963" s="784"/>
      <c r="H963" s="784"/>
      <c r="I963" s="784"/>
      <c r="J963" s="784"/>
      <c r="K963" s="784"/>
      <c r="L963" s="784"/>
      <c r="M963" s="784"/>
      <c r="N963" s="784"/>
      <c r="O963" s="784"/>
      <c r="P963" s="784"/>
      <c r="Q963" s="784"/>
      <c r="R963" s="784"/>
      <c r="S963" s="784"/>
      <c r="T963" s="784"/>
      <c r="U963" s="784"/>
      <c r="V963" s="784"/>
      <c r="W963" s="784"/>
      <c r="X963" s="784"/>
      <c r="Y963" s="784"/>
      <c r="Z963" s="784"/>
      <c r="AA963" s="784"/>
      <c r="AB963" s="784"/>
    </row>
    <row r="964" spans="3:28" ht="15.75" customHeight="1">
      <c r="C964" s="784"/>
      <c r="D964" s="784"/>
      <c r="E964" s="784"/>
      <c r="F964" s="784"/>
      <c r="G964" s="784"/>
      <c r="H964" s="784"/>
      <c r="I964" s="784"/>
      <c r="J964" s="784"/>
      <c r="K964" s="784"/>
      <c r="L964" s="784"/>
      <c r="M964" s="784"/>
      <c r="N964" s="784"/>
      <c r="O964" s="784"/>
      <c r="P964" s="784"/>
      <c r="Q964" s="784"/>
      <c r="R964" s="784"/>
      <c r="S964" s="784"/>
      <c r="T964" s="784"/>
      <c r="U964" s="784"/>
      <c r="V964" s="784"/>
      <c r="W964" s="784"/>
      <c r="X964" s="784"/>
      <c r="Y964" s="784"/>
      <c r="Z964" s="784"/>
      <c r="AA964" s="784"/>
      <c r="AB964" s="784"/>
    </row>
    <row r="965" spans="3:28" ht="15.75" customHeight="1">
      <c r="C965" s="784"/>
      <c r="D965" s="784"/>
      <c r="E965" s="784"/>
      <c r="F965" s="784"/>
      <c r="G965" s="784"/>
      <c r="H965" s="784"/>
      <c r="I965" s="784"/>
      <c r="J965" s="784"/>
      <c r="K965" s="784"/>
      <c r="L965" s="784"/>
      <c r="M965" s="784"/>
      <c r="N965" s="784"/>
      <c r="O965" s="784"/>
      <c r="P965" s="784"/>
      <c r="Q965" s="784"/>
      <c r="R965" s="784"/>
      <c r="S965" s="784"/>
      <c r="T965" s="784"/>
      <c r="U965" s="784"/>
      <c r="V965" s="784"/>
      <c r="W965" s="784"/>
      <c r="X965" s="784"/>
      <c r="Y965" s="784"/>
      <c r="Z965" s="784"/>
      <c r="AA965" s="784"/>
      <c r="AB965" s="784"/>
    </row>
    <row r="966" spans="3:28" ht="15.75" customHeight="1">
      <c r="C966" s="784"/>
      <c r="D966" s="784"/>
      <c r="E966" s="784"/>
      <c r="F966" s="784"/>
      <c r="G966" s="784"/>
      <c r="H966" s="784"/>
      <c r="I966" s="784"/>
      <c r="J966" s="784"/>
      <c r="K966" s="784"/>
      <c r="L966" s="784"/>
      <c r="M966" s="784"/>
      <c r="N966" s="784"/>
      <c r="O966" s="784"/>
      <c r="P966" s="784"/>
      <c r="Q966" s="784"/>
      <c r="R966" s="784"/>
      <c r="S966" s="784"/>
      <c r="T966" s="784"/>
      <c r="U966" s="784"/>
      <c r="V966" s="784"/>
      <c r="W966" s="784"/>
      <c r="X966" s="784"/>
      <c r="Y966" s="784"/>
      <c r="Z966" s="784"/>
      <c r="AA966" s="784"/>
      <c r="AB966" s="784"/>
    </row>
    <row r="967" spans="3:28" ht="15.75" customHeight="1">
      <c r="C967" s="784"/>
      <c r="D967" s="784"/>
      <c r="E967" s="784"/>
      <c r="F967" s="784"/>
      <c r="G967" s="784"/>
      <c r="H967" s="784"/>
      <c r="I967" s="784"/>
      <c r="J967" s="784"/>
      <c r="K967" s="784"/>
      <c r="L967" s="784"/>
      <c r="M967" s="784"/>
      <c r="N967" s="784"/>
      <c r="O967" s="784"/>
      <c r="P967" s="784"/>
      <c r="Q967" s="784"/>
      <c r="R967" s="784"/>
      <c r="S967" s="784"/>
      <c r="T967" s="784"/>
      <c r="U967" s="784"/>
      <c r="V967" s="784"/>
      <c r="W967" s="784"/>
      <c r="X967" s="784"/>
      <c r="Y967" s="784"/>
      <c r="Z967" s="784"/>
      <c r="AA967" s="784"/>
      <c r="AB967" s="784"/>
    </row>
    <row r="968" spans="3:28" ht="15.75" customHeight="1">
      <c r="C968" s="784"/>
      <c r="D968" s="784"/>
      <c r="E968" s="784"/>
      <c r="F968" s="784"/>
      <c r="G968" s="784"/>
      <c r="H968" s="784"/>
      <c r="I968" s="784"/>
      <c r="J968" s="784"/>
      <c r="K968" s="784"/>
      <c r="L968" s="784"/>
      <c r="M968" s="784"/>
      <c r="N968" s="784"/>
      <c r="O968" s="784"/>
      <c r="P968" s="784"/>
      <c r="Q968" s="784"/>
      <c r="R968" s="784"/>
      <c r="S968" s="784"/>
      <c r="T968" s="784"/>
      <c r="U968" s="784"/>
      <c r="V968" s="784"/>
      <c r="W968" s="784"/>
      <c r="X968" s="784"/>
      <c r="Y968" s="784"/>
      <c r="Z968" s="784"/>
      <c r="AA968" s="784"/>
      <c r="AB968" s="784"/>
    </row>
    <row r="969" spans="3:28" ht="15.75" customHeight="1">
      <c r="C969" s="784"/>
      <c r="D969" s="784"/>
      <c r="E969" s="784"/>
      <c r="F969" s="784"/>
      <c r="G969" s="784"/>
      <c r="H969" s="784"/>
      <c r="I969" s="784"/>
      <c r="J969" s="784"/>
      <c r="K969" s="784"/>
      <c r="L969" s="784"/>
      <c r="M969" s="784"/>
      <c r="N969" s="784"/>
      <c r="O969" s="784"/>
      <c r="P969" s="784"/>
      <c r="Q969" s="784"/>
      <c r="R969" s="784"/>
      <c r="S969" s="784"/>
      <c r="T969" s="784"/>
      <c r="U969" s="784"/>
      <c r="V969" s="784"/>
      <c r="W969" s="784"/>
      <c r="X969" s="784"/>
      <c r="Y969" s="784"/>
      <c r="Z969" s="784"/>
      <c r="AA969" s="784"/>
      <c r="AB969" s="784"/>
    </row>
    <row r="970" spans="3:28" ht="15.75" customHeight="1">
      <c r="C970" s="784"/>
      <c r="D970" s="784"/>
      <c r="E970" s="784"/>
      <c r="F970" s="784"/>
      <c r="G970" s="784"/>
      <c r="H970" s="784"/>
      <c r="I970" s="784"/>
      <c r="J970" s="784"/>
      <c r="K970" s="784"/>
      <c r="L970" s="784"/>
      <c r="M970" s="784"/>
      <c r="N970" s="784"/>
      <c r="O970" s="784"/>
      <c r="P970" s="784"/>
      <c r="Q970" s="784"/>
      <c r="R970" s="784"/>
      <c r="S970" s="784"/>
      <c r="T970" s="784"/>
      <c r="U970" s="784"/>
      <c r="V970" s="784"/>
      <c r="W970" s="784"/>
      <c r="X970" s="784"/>
      <c r="Y970" s="784"/>
      <c r="Z970" s="784"/>
      <c r="AA970" s="784"/>
      <c r="AB970" s="784"/>
    </row>
    <row r="971" spans="3:28" ht="15.75" customHeight="1">
      <c r="C971" s="784"/>
      <c r="D971" s="784"/>
      <c r="E971" s="784"/>
      <c r="F971" s="784"/>
      <c r="G971" s="784"/>
      <c r="H971" s="784"/>
      <c r="I971" s="784"/>
      <c r="J971" s="784"/>
      <c r="K971" s="784"/>
      <c r="L971" s="784"/>
      <c r="M971" s="784"/>
      <c r="N971" s="784"/>
      <c r="O971" s="784"/>
      <c r="P971" s="784"/>
      <c r="Q971" s="784"/>
      <c r="R971" s="784"/>
      <c r="S971" s="784"/>
      <c r="T971" s="784"/>
      <c r="U971" s="784"/>
      <c r="V971" s="784"/>
      <c r="W971" s="784"/>
      <c r="X971" s="784"/>
      <c r="Y971" s="784"/>
      <c r="Z971" s="784"/>
      <c r="AA971" s="784"/>
      <c r="AB971" s="784"/>
    </row>
    <row r="972" spans="3:28" ht="15.75" customHeight="1">
      <c r="C972" s="784"/>
      <c r="D972" s="784"/>
      <c r="E972" s="784"/>
      <c r="F972" s="784"/>
      <c r="G972" s="784"/>
      <c r="H972" s="784"/>
      <c r="I972" s="784"/>
      <c r="J972" s="784"/>
      <c r="K972" s="784"/>
      <c r="L972" s="784"/>
      <c r="M972" s="784"/>
      <c r="N972" s="784"/>
      <c r="O972" s="784"/>
      <c r="P972" s="784"/>
      <c r="Q972" s="784"/>
      <c r="R972" s="784"/>
      <c r="S972" s="784"/>
      <c r="T972" s="784"/>
      <c r="U972" s="784"/>
      <c r="V972" s="784"/>
      <c r="W972" s="784"/>
      <c r="X972" s="784"/>
      <c r="Y972" s="784"/>
      <c r="Z972" s="784"/>
      <c r="AA972" s="784"/>
      <c r="AB972" s="784"/>
    </row>
    <row r="973" spans="3:28" ht="15.75" customHeight="1">
      <c r="C973" s="784"/>
      <c r="D973" s="784"/>
      <c r="E973" s="784"/>
      <c r="F973" s="784"/>
      <c r="G973" s="784"/>
      <c r="H973" s="784"/>
      <c r="I973" s="784"/>
      <c r="J973" s="784"/>
      <c r="K973" s="784"/>
      <c r="L973" s="784"/>
      <c r="M973" s="784"/>
      <c r="N973" s="784"/>
      <c r="O973" s="784"/>
      <c r="P973" s="784"/>
      <c r="Q973" s="784"/>
      <c r="R973" s="784"/>
      <c r="S973" s="784"/>
      <c r="T973" s="784"/>
      <c r="U973" s="784"/>
      <c r="V973" s="784"/>
      <c r="W973" s="784"/>
      <c r="X973" s="784"/>
      <c r="Y973" s="784"/>
      <c r="Z973" s="784"/>
      <c r="AA973" s="784"/>
      <c r="AB973" s="784"/>
    </row>
    <row r="974" spans="3:28" ht="15.75" customHeight="1">
      <c r="C974" s="784"/>
      <c r="D974" s="784"/>
      <c r="E974" s="784"/>
      <c r="F974" s="784"/>
      <c r="G974" s="784"/>
      <c r="H974" s="784"/>
      <c r="I974" s="784"/>
      <c r="J974" s="784"/>
      <c r="K974" s="784"/>
      <c r="L974" s="784"/>
      <c r="M974" s="784"/>
      <c r="N974" s="784"/>
      <c r="O974" s="784"/>
      <c r="P974" s="784"/>
      <c r="Q974" s="784"/>
      <c r="R974" s="784"/>
      <c r="S974" s="784"/>
      <c r="T974" s="784"/>
      <c r="U974" s="784"/>
      <c r="V974" s="784"/>
      <c r="W974" s="784"/>
      <c r="X974" s="784"/>
      <c r="Y974" s="784"/>
      <c r="Z974" s="784"/>
      <c r="AA974" s="784"/>
      <c r="AB974" s="784"/>
    </row>
    <row r="975" spans="3:28" ht="15.75" customHeight="1">
      <c r="C975" s="784"/>
      <c r="D975" s="784"/>
      <c r="E975" s="784"/>
      <c r="F975" s="784"/>
      <c r="G975" s="784"/>
      <c r="H975" s="784"/>
      <c r="I975" s="784"/>
      <c r="J975" s="784"/>
      <c r="K975" s="784"/>
      <c r="L975" s="784"/>
      <c r="M975" s="784"/>
      <c r="N975" s="784"/>
      <c r="O975" s="784"/>
      <c r="P975" s="784"/>
      <c r="Q975" s="784"/>
      <c r="R975" s="784"/>
      <c r="S975" s="784"/>
      <c r="T975" s="784"/>
      <c r="U975" s="784"/>
      <c r="V975" s="784"/>
      <c r="W975" s="784"/>
      <c r="X975" s="784"/>
      <c r="Y975" s="784"/>
      <c r="Z975" s="784"/>
      <c r="AA975" s="784"/>
      <c r="AB975" s="784"/>
    </row>
    <row r="976" spans="3:28" ht="15.75" customHeight="1">
      <c r="C976" s="784"/>
      <c r="D976" s="784"/>
      <c r="E976" s="784"/>
      <c r="F976" s="784"/>
      <c r="G976" s="784"/>
      <c r="H976" s="784"/>
      <c r="I976" s="784"/>
      <c r="J976" s="784"/>
      <c r="K976" s="784"/>
      <c r="L976" s="784"/>
      <c r="M976" s="784"/>
      <c r="N976" s="784"/>
      <c r="O976" s="784"/>
      <c r="P976" s="784"/>
      <c r="Q976" s="784"/>
      <c r="R976" s="784"/>
      <c r="S976" s="784"/>
      <c r="T976" s="784"/>
      <c r="U976" s="784"/>
      <c r="V976" s="784"/>
      <c r="W976" s="784"/>
      <c r="X976" s="784"/>
      <c r="Y976" s="784"/>
      <c r="Z976" s="784"/>
      <c r="AA976" s="784"/>
      <c r="AB976" s="784"/>
    </row>
    <row r="977" spans="3:28" ht="15.75" customHeight="1">
      <c r="C977" s="784"/>
      <c r="D977" s="784"/>
      <c r="E977" s="784"/>
      <c r="F977" s="784"/>
      <c r="G977" s="784"/>
      <c r="H977" s="784"/>
      <c r="I977" s="784"/>
      <c r="J977" s="784"/>
      <c r="K977" s="784"/>
      <c r="L977" s="784"/>
      <c r="M977" s="784"/>
      <c r="N977" s="784"/>
      <c r="O977" s="784"/>
      <c r="P977" s="784"/>
      <c r="Q977" s="784"/>
      <c r="R977" s="784"/>
      <c r="S977" s="784"/>
      <c r="T977" s="784"/>
      <c r="U977" s="784"/>
      <c r="V977" s="784"/>
      <c r="W977" s="784"/>
      <c r="X977" s="784"/>
      <c r="Y977" s="784"/>
      <c r="Z977" s="784"/>
      <c r="AA977" s="784"/>
      <c r="AB977" s="784"/>
    </row>
    <row r="978" spans="3:28" ht="15.75" customHeight="1">
      <c r="C978" s="784"/>
      <c r="D978" s="784"/>
      <c r="E978" s="784"/>
      <c r="F978" s="784"/>
      <c r="G978" s="784"/>
      <c r="H978" s="784"/>
      <c r="I978" s="784"/>
      <c r="J978" s="784"/>
      <c r="K978" s="784"/>
      <c r="L978" s="784"/>
      <c r="M978" s="784"/>
      <c r="N978" s="784"/>
      <c r="O978" s="784"/>
      <c r="P978" s="784"/>
      <c r="Q978" s="784"/>
      <c r="R978" s="784"/>
      <c r="S978" s="784"/>
      <c r="T978" s="784"/>
      <c r="U978" s="784"/>
      <c r="V978" s="784"/>
      <c r="W978" s="784"/>
      <c r="X978" s="784"/>
      <c r="Y978" s="784"/>
      <c r="Z978" s="784"/>
      <c r="AA978" s="784"/>
      <c r="AB978" s="784"/>
    </row>
    <row r="979" spans="3:28" ht="15.75" customHeight="1">
      <c r="C979" s="784"/>
      <c r="D979" s="784"/>
      <c r="E979" s="784"/>
      <c r="F979" s="784"/>
      <c r="G979" s="784"/>
      <c r="H979" s="784"/>
      <c r="I979" s="784"/>
      <c r="J979" s="784"/>
      <c r="K979" s="784"/>
      <c r="L979" s="784"/>
      <c r="M979" s="784"/>
      <c r="N979" s="784"/>
      <c r="O979" s="784"/>
      <c r="P979" s="784"/>
      <c r="Q979" s="784"/>
      <c r="R979" s="784"/>
      <c r="S979" s="784"/>
      <c r="T979" s="784"/>
      <c r="U979" s="784"/>
      <c r="V979" s="784"/>
      <c r="W979" s="784"/>
      <c r="X979" s="784"/>
      <c r="Y979" s="784"/>
      <c r="Z979" s="784"/>
      <c r="AA979" s="784"/>
      <c r="AB979" s="784"/>
    </row>
    <row r="980" spans="3:28" ht="15.75" customHeight="1">
      <c r="C980" s="784"/>
      <c r="D980" s="784"/>
      <c r="E980" s="784"/>
      <c r="F980" s="784"/>
      <c r="G980" s="784"/>
      <c r="H980" s="784"/>
      <c r="I980" s="784"/>
      <c r="J980" s="784"/>
      <c r="K980" s="784"/>
      <c r="L980" s="784"/>
      <c r="M980" s="784"/>
      <c r="N980" s="784"/>
      <c r="O980" s="784"/>
      <c r="P980" s="784"/>
      <c r="Q980" s="784"/>
      <c r="R980" s="784"/>
      <c r="S980" s="784"/>
      <c r="T980" s="784"/>
      <c r="U980" s="784"/>
      <c r="V980" s="784"/>
      <c r="W980" s="784"/>
      <c r="X980" s="784"/>
      <c r="Y980" s="784"/>
      <c r="Z980" s="784"/>
      <c r="AA980" s="784"/>
      <c r="AB980" s="784"/>
    </row>
    <row r="981" spans="3:28" ht="15.75" customHeight="1">
      <c r="C981" s="784"/>
      <c r="D981" s="784"/>
      <c r="E981" s="784"/>
      <c r="F981" s="784"/>
      <c r="G981" s="784"/>
      <c r="H981" s="784"/>
      <c r="I981" s="784"/>
      <c r="J981" s="784"/>
      <c r="K981" s="784"/>
      <c r="L981" s="784"/>
      <c r="M981" s="784"/>
      <c r="N981" s="784"/>
      <c r="O981" s="784"/>
      <c r="P981" s="784"/>
      <c r="Q981" s="784"/>
      <c r="R981" s="784"/>
      <c r="S981" s="784"/>
      <c r="T981" s="784"/>
      <c r="U981" s="784"/>
      <c r="V981" s="784"/>
      <c r="W981" s="784"/>
      <c r="X981" s="784"/>
      <c r="Y981" s="784"/>
      <c r="Z981" s="784"/>
      <c r="AA981" s="784"/>
      <c r="AB981" s="784"/>
    </row>
    <row r="982" spans="3:28" ht="15.75" customHeight="1">
      <c r="C982" s="784"/>
      <c r="D982" s="784"/>
      <c r="E982" s="784"/>
      <c r="F982" s="784"/>
      <c r="G982" s="784"/>
      <c r="H982" s="784"/>
      <c r="I982" s="784"/>
      <c r="J982" s="784"/>
      <c r="K982" s="784"/>
      <c r="L982" s="784"/>
      <c r="M982" s="784"/>
      <c r="N982" s="784"/>
      <c r="O982" s="784"/>
      <c r="P982" s="784"/>
      <c r="Q982" s="784"/>
      <c r="R982" s="784"/>
      <c r="S982" s="784"/>
      <c r="T982" s="784"/>
      <c r="U982" s="784"/>
      <c r="V982" s="784"/>
      <c r="W982" s="784"/>
      <c r="X982" s="784"/>
      <c r="Y982" s="784"/>
      <c r="Z982" s="784"/>
      <c r="AA982" s="784"/>
      <c r="AB982" s="784"/>
    </row>
    <row r="983" spans="3:28" ht="15.75" customHeight="1">
      <c r="C983" s="784"/>
      <c r="D983" s="784"/>
      <c r="E983" s="784"/>
      <c r="F983" s="784"/>
      <c r="G983" s="784"/>
      <c r="H983" s="784"/>
      <c r="I983" s="784"/>
      <c r="J983" s="784"/>
      <c r="K983" s="784"/>
      <c r="L983" s="784"/>
      <c r="M983" s="784"/>
      <c r="N983" s="784"/>
      <c r="O983" s="784"/>
      <c r="P983" s="784"/>
      <c r="Q983" s="784"/>
      <c r="R983" s="784"/>
      <c r="S983" s="784"/>
      <c r="T983" s="784"/>
      <c r="U983" s="784"/>
      <c r="V983" s="784"/>
      <c r="W983" s="784"/>
      <c r="X983" s="784"/>
      <c r="Y983" s="784"/>
      <c r="Z983" s="784"/>
      <c r="AA983" s="784"/>
      <c r="AB983" s="784"/>
    </row>
    <row r="984" spans="3:28" ht="15.75" customHeight="1">
      <c r="C984" s="784"/>
      <c r="D984" s="784"/>
      <c r="E984" s="784"/>
      <c r="F984" s="784"/>
      <c r="G984" s="784"/>
      <c r="H984" s="784"/>
      <c r="I984" s="784"/>
      <c r="J984" s="784"/>
      <c r="K984" s="784"/>
      <c r="L984" s="784"/>
      <c r="M984" s="784"/>
      <c r="N984" s="784"/>
      <c r="O984" s="784"/>
      <c r="P984" s="784"/>
      <c r="Q984" s="784"/>
      <c r="R984" s="784"/>
      <c r="S984" s="784"/>
      <c r="T984" s="784"/>
      <c r="U984" s="784"/>
      <c r="V984" s="784"/>
      <c r="W984" s="784"/>
      <c r="X984" s="784"/>
      <c r="Y984" s="784"/>
      <c r="Z984" s="784"/>
      <c r="AA984" s="784"/>
      <c r="AB984" s="784"/>
    </row>
    <row r="985" spans="3:28" ht="15.75" customHeight="1">
      <c r="C985" s="784"/>
      <c r="D985" s="784"/>
      <c r="E985" s="784"/>
      <c r="F985" s="784"/>
      <c r="G985" s="784"/>
      <c r="H985" s="784"/>
      <c r="I985" s="784"/>
      <c r="J985" s="784"/>
      <c r="K985" s="784"/>
      <c r="L985" s="784"/>
      <c r="M985" s="784"/>
      <c r="N985" s="784"/>
      <c r="O985" s="784"/>
      <c r="P985" s="784"/>
      <c r="Q985" s="784"/>
      <c r="R985" s="784"/>
      <c r="S985" s="784"/>
      <c r="T985" s="784"/>
      <c r="U985" s="784"/>
      <c r="V985" s="784"/>
      <c r="W985" s="784"/>
      <c r="X985" s="784"/>
      <c r="Y985" s="784"/>
      <c r="Z985" s="784"/>
      <c r="AA985" s="784"/>
      <c r="AB985" s="784"/>
    </row>
    <row r="986" spans="3:28" ht="15.75" customHeight="1">
      <c r="C986" s="784"/>
      <c r="D986" s="784"/>
      <c r="E986" s="784"/>
      <c r="F986" s="784"/>
      <c r="G986" s="784"/>
      <c r="H986" s="784"/>
      <c r="I986" s="784"/>
      <c r="J986" s="784"/>
      <c r="K986" s="784"/>
      <c r="L986" s="784"/>
      <c r="M986" s="784"/>
      <c r="N986" s="784"/>
      <c r="O986" s="784"/>
      <c r="P986" s="784"/>
      <c r="Q986" s="784"/>
      <c r="R986" s="784"/>
      <c r="S986" s="784"/>
      <c r="T986" s="784"/>
      <c r="U986" s="784"/>
      <c r="V986" s="784"/>
      <c r="W986" s="784"/>
      <c r="X986" s="784"/>
      <c r="Y986" s="784"/>
      <c r="Z986" s="784"/>
      <c r="AA986" s="784"/>
      <c r="AB986" s="784"/>
    </row>
    <row r="987" spans="3:28" ht="15.75" customHeight="1">
      <c r="C987" s="784"/>
      <c r="D987" s="784"/>
      <c r="E987" s="784"/>
      <c r="F987" s="784"/>
      <c r="G987" s="784"/>
      <c r="H987" s="784"/>
      <c r="I987" s="784"/>
      <c r="J987" s="784"/>
      <c r="K987" s="784"/>
      <c r="L987" s="784"/>
      <c r="M987" s="784"/>
      <c r="N987" s="784"/>
      <c r="O987" s="784"/>
      <c r="P987" s="784"/>
      <c r="Q987" s="784"/>
      <c r="R987" s="784"/>
      <c r="S987" s="784"/>
      <c r="T987" s="784"/>
      <c r="U987" s="784"/>
      <c r="V987" s="784"/>
      <c r="W987" s="784"/>
      <c r="X987" s="784"/>
      <c r="Y987" s="784"/>
      <c r="Z987" s="784"/>
      <c r="AA987" s="784"/>
      <c r="AB987" s="784"/>
    </row>
    <row r="988" spans="3:28" ht="15.75" customHeight="1">
      <c r="C988" s="784"/>
      <c r="D988" s="784"/>
      <c r="E988" s="784"/>
      <c r="F988" s="784"/>
      <c r="G988" s="784"/>
      <c r="H988" s="784"/>
      <c r="I988" s="784"/>
      <c r="J988" s="784"/>
      <c r="K988" s="784"/>
      <c r="L988" s="784"/>
      <c r="M988" s="784"/>
      <c r="N988" s="784"/>
      <c r="O988" s="784"/>
      <c r="P988" s="784"/>
      <c r="Q988" s="784"/>
      <c r="R988" s="784"/>
      <c r="S988" s="784"/>
      <c r="T988" s="784"/>
      <c r="U988" s="784"/>
      <c r="V988" s="784"/>
      <c r="W988" s="784"/>
      <c r="X988" s="784"/>
      <c r="Y988" s="784"/>
      <c r="Z988" s="784"/>
      <c r="AA988" s="784"/>
      <c r="AB988" s="784"/>
    </row>
    <row r="989" spans="3:28" ht="15.75" customHeight="1">
      <c r="C989" s="784"/>
      <c r="D989" s="784"/>
      <c r="E989" s="784"/>
      <c r="F989" s="784"/>
      <c r="G989" s="784"/>
      <c r="H989" s="784"/>
      <c r="I989" s="784"/>
      <c r="J989" s="784"/>
      <c r="K989" s="784"/>
      <c r="L989" s="784"/>
      <c r="M989" s="784"/>
      <c r="N989" s="784"/>
      <c r="O989" s="784"/>
      <c r="P989" s="784"/>
      <c r="Q989" s="784"/>
      <c r="R989" s="784"/>
      <c r="S989" s="784"/>
      <c r="T989" s="784"/>
      <c r="U989" s="784"/>
      <c r="V989" s="784"/>
      <c r="W989" s="784"/>
      <c r="X989" s="784"/>
      <c r="Y989" s="784"/>
      <c r="Z989" s="784"/>
      <c r="AA989" s="784"/>
      <c r="AB989" s="784"/>
    </row>
    <row r="990" spans="3:28" ht="15.75" customHeight="1">
      <c r="C990" s="784"/>
      <c r="D990" s="784"/>
      <c r="E990" s="784"/>
      <c r="F990" s="784"/>
      <c r="G990" s="784"/>
      <c r="H990" s="784"/>
      <c r="I990" s="784"/>
      <c r="J990" s="784"/>
      <c r="K990" s="784"/>
      <c r="L990" s="784"/>
      <c r="M990" s="784"/>
      <c r="N990" s="784"/>
      <c r="O990" s="784"/>
      <c r="P990" s="784"/>
      <c r="Q990" s="784"/>
      <c r="R990" s="784"/>
      <c r="S990" s="784"/>
      <c r="T990" s="784"/>
      <c r="U990" s="784"/>
      <c r="V990" s="784"/>
      <c r="W990" s="784"/>
      <c r="X990" s="784"/>
      <c r="Y990" s="784"/>
      <c r="Z990" s="784"/>
      <c r="AA990" s="784"/>
      <c r="AB990" s="784"/>
    </row>
    <row r="991" spans="3:28" ht="15.75" customHeight="1">
      <c r="C991" s="784"/>
      <c r="D991" s="784"/>
      <c r="E991" s="784"/>
      <c r="F991" s="784"/>
      <c r="G991" s="784"/>
      <c r="H991" s="784"/>
      <c r="I991" s="784"/>
      <c r="J991" s="784"/>
      <c r="K991" s="784"/>
      <c r="L991" s="784"/>
      <c r="M991" s="784"/>
      <c r="N991" s="784"/>
      <c r="O991" s="784"/>
      <c r="P991" s="784"/>
      <c r="Q991" s="784"/>
      <c r="R991" s="784"/>
      <c r="S991" s="784"/>
      <c r="T991" s="784"/>
      <c r="U991" s="784"/>
      <c r="V991" s="784"/>
      <c r="W991" s="784"/>
      <c r="X991" s="784"/>
      <c r="Y991" s="784"/>
      <c r="Z991" s="784"/>
      <c r="AA991" s="784"/>
      <c r="AB991" s="784"/>
    </row>
    <row r="992" spans="3:28" ht="15.75" customHeight="1">
      <c r="C992" s="784"/>
      <c r="D992" s="784"/>
      <c r="E992" s="784"/>
      <c r="F992" s="784"/>
      <c r="G992" s="784"/>
      <c r="H992" s="784"/>
      <c r="I992" s="784"/>
      <c r="J992" s="784"/>
      <c r="K992" s="784"/>
      <c r="L992" s="784"/>
      <c r="M992" s="784"/>
      <c r="N992" s="784"/>
      <c r="O992" s="784"/>
      <c r="P992" s="784"/>
      <c r="Q992" s="784"/>
      <c r="R992" s="784"/>
      <c r="S992" s="784"/>
      <c r="T992" s="784"/>
      <c r="U992" s="784"/>
      <c r="V992" s="784"/>
      <c r="W992" s="784"/>
      <c r="X992" s="784"/>
      <c r="Y992" s="784"/>
      <c r="Z992" s="784"/>
      <c r="AA992" s="784"/>
      <c r="AB992" s="784"/>
    </row>
    <row r="993" spans="3:28" ht="15.75" customHeight="1">
      <c r="C993" s="784"/>
      <c r="D993" s="784"/>
      <c r="E993" s="784"/>
      <c r="F993" s="784"/>
      <c r="G993" s="784"/>
      <c r="H993" s="784"/>
      <c r="I993" s="784"/>
      <c r="J993" s="784"/>
      <c r="K993" s="784"/>
      <c r="L993" s="784"/>
      <c r="M993" s="784"/>
      <c r="N993" s="784"/>
      <c r="O993" s="784"/>
      <c r="P993" s="784"/>
      <c r="Q993" s="784"/>
      <c r="R993" s="784"/>
      <c r="S993" s="784"/>
      <c r="T993" s="784"/>
      <c r="U993" s="784"/>
      <c r="V993" s="784"/>
      <c r="W993" s="784"/>
      <c r="X993" s="784"/>
      <c r="Y993" s="784"/>
      <c r="Z993" s="784"/>
      <c r="AA993" s="784"/>
      <c r="AB993" s="784"/>
    </row>
    <row r="994" spans="3:28" ht="15.75" customHeight="1">
      <c r="C994" s="784"/>
      <c r="D994" s="784"/>
      <c r="E994" s="784"/>
      <c r="F994" s="784"/>
      <c r="G994" s="784"/>
      <c r="H994" s="784"/>
      <c r="I994" s="784"/>
      <c r="J994" s="784"/>
      <c r="K994" s="784"/>
      <c r="L994" s="784"/>
      <c r="M994" s="784"/>
      <c r="N994" s="784"/>
      <c r="O994" s="784"/>
      <c r="P994" s="784"/>
      <c r="Q994" s="784"/>
      <c r="R994" s="784"/>
      <c r="S994" s="784"/>
      <c r="T994" s="784"/>
      <c r="U994" s="784"/>
      <c r="V994" s="784"/>
      <c r="W994" s="784"/>
      <c r="X994" s="784"/>
      <c r="Y994" s="784"/>
      <c r="Z994" s="784"/>
      <c r="AA994" s="784"/>
      <c r="AB994" s="784"/>
    </row>
    <row r="995" spans="3:28" ht="15.75" customHeight="1">
      <c r="C995" s="784"/>
      <c r="D995" s="784"/>
      <c r="E995" s="784"/>
      <c r="F995" s="784"/>
      <c r="G995" s="784"/>
      <c r="H995" s="784"/>
      <c r="I995" s="784"/>
      <c r="J995" s="784"/>
      <c r="K995" s="784"/>
      <c r="L995" s="784"/>
      <c r="M995" s="784"/>
      <c r="N995" s="784"/>
      <c r="O995" s="784"/>
      <c r="P995" s="784"/>
      <c r="Q995" s="784"/>
      <c r="R995" s="784"/>
      <c r="S995" s="784"/>
      <c r="T995" s="784"/>
      <c r="U995" s="784"/>
      <c r="V995" s="784"/>
      <c r="W995" s="784"/>
      <c r="X995" s="784"/>
      <c r="Y995" s="784"/>
      <c r="Z995" s="784"/>
      <c r="AA995" s="784"/>
      <c r="AB995" s="784"/>
    </row>
    <row r="996" spans="3:28" ht="15.75" customHeight="1">
      <c r="C996" s="784"/>
      <c r="D996" s="784"/>
      <c r="E996" s="784"/>
      <c r="F996" s="784"/>
      <c r="G996" s="784"/>
      <c r="H996" s="784"/>
      <c r="I996" s="784"/>
      <c r="J996" s="784"/>
      <c r="K996" s="784"/>
      <c r="L996" s="784"/>
      <c r="M996" s="784"/>
      <c r="N996" s="784"/>
      <c r="O996" s="784"/>
      <c r="P996" s="784"/>
      <c r="Q996" s="784"/>
      <c r="R996" s="784"/>
      <c r="S996" s="784"/>
      <c r="T996" s="784"/>
      <c r="U996" s="784"/>
      <c r="V996" s="784"/>
      <c r="W996" s="784"/>
      <c r="X996" s="784"/>
      <c r="Y996" s="784"/>
      <c r="Z996" s="784"/>
      <c r="AA996" s="784"/>
      <c r="AB996" s="784"/>
    </row>
    <row r="997" spans="3:28" ht="15.75" customHeight="1">
      <c r="C997" s="784"/>
      <c r="D997" s="784"/>
      <c r="E997" s="784"/>
      <c r="F997" s="784"/>
      <c r="G997" s="784"/>
      <c r="H997" s="784"/>
      <c r="I997" s="784"/>
      <c r="J997" s="784"/>
      <c r="K997" s="784"/>
      <c r="L997" s="784"/>
      <c r="M997" s="784"/>
      <c r="N997" s="784"/>
      <c r="O997" s="784"/>
      <c r="P997" s="784"/>
      <c r="Q997" s="784"/>
      <c r="R997" s="784"/>
      <c r="S997" s="784"/>
      <c r="T997" s="784"/>
      <c r="U997" s="784"/>
      <c r="V997" s="784"/>
      <c r="W997" s="784"/>
      <c r="X997" s="784"/>
      <c r="Y997" s="784"/>
      <c r="Z997" s="784"/>
      <c r="AA997" s="784"/>
      <c r="AB997" s="784"/>
    </row>
    <row r="998" spans="3:28" ht="15.75" customHeight="1">
      <c r="C998" s="784"/>
      <c r="D998" s="784"/>
      <c r="E998" s="784"/>
      <c r="F998" s="784"/>
      <c r="G998" s="784"/>
      <c r="H998" s="784"/>
      <c r="I998" s="784"/>
      <c r="J998" s="784"/>
      <c r="K998" s="784"/>
      <c r="L998" s="784"/>
      <c r="M998" s="784"/>
      <c r="N998" s="784"/>
      <c r="O998" s="784"/>
      <c r="P998" s="784"/>
      <c r="Q998" s="784"/>
      <c r="R998" s="784"/>
      <c r="S998" s="784"/>
      <c r="T998" s="784"/>
      <c r="U998" s="784"/>
      <c r="V998" s="784"/>
      <c r="W998" s="784"/>
      <c r="X998" s="784"/>
      <c r="Y998" s="784"/>
      <c r="Z998" s="784"/>
      <c r="AA998" s="784"/>
      <c r="AB998" s="784"/>
    </row>
    <row r="999" spans="3:28" ht="15.75" customHeight="1">
      <c r="C999" s="784"/>
      <c r="D999" s="784"/>
      <c r="E999" s="784"/>
      <c r="F999" s="784"/>
      <c r="G999" s="784"/>
      <c r="H999" s="784"/>
      <c r="I999" s="784"/>
      <c r="J999" s="784"/>
      <c r="K999" s="784"/>
      <c r="L999" s="784"/>
      <c r="M999" s="784"/>
      <c r="N999" s="784"/>
      <c r="O999" s="784"/>
      <c r="P999" s="784"/>
      <c r="Q999" s="784"/>
      <c r="R999" s="784"/>
      <c r="S999" s="784"/>
      <c r="T999" s="784"/>
      <c r="U999" s="784"/>
      <c r="V999" s="784"/>
      <c r="W999" s="784"/>
      <c r="X999" s="784"/>
      <c r="Y999" s="784"/>
      <c r="Z999" s="784"/>
      <c r="AA999" s="784"/>
      <c r="AB999" s="784"/>
    </row>
    <row r="1000" spans="3:28" ht="15.75" customHeight="1">
      <c r="C1000" s="784"/>
      <c r="D1000" s="784"/>
      <c r="E1000" s="784"/>
      <c r="F1000" s="784"/>
      <c r="G1000" s="784"/>
      <c r="H1000" s="784"/>
      <c r="I1000" s="784"/>
      <c r="J1000" s="784"/>
      <c r="K1000" s="784"/>
      <c r="L1000" s="784"/>
      <c r="M1000" s="784"/>
      <c r="N1000" s="784"/>
      <c r="O1000" s="784"/>
      <c r="P1000" s="784"/>
      <c r="Q1000" s="784"/>
      <c r="R1000" s="784"/>
      <c r="S1000" s="784"/>
      <c r="T1000" s="784"/>
      <c r="U1000" s="784"/>
      <c r="V1000" s="784"/>
      <c r="W1000" s="784"/>
      <c r="X1000" s="784"/>
      <c r="Y1000" s="784"/>
      <c r="Z1000" s="784"/>
      <c r="AA1000" s="784"/>
      <c r="AB1000" s="784"/>
    </row>
    <row r="1001" spans="3:28" ht="15.75" customHeight="1">
      <c r="C1001" s="784"/>
      <c r="D1001" s="784"/>
      <c r="E1001" s="784"/>
      <c r="F1001" s="784"/>
      <c r="G1001" s="784"/>
      <c r="H1001" s="784"/>
      <c r="I1001" s="784"/>
      <c r="J1001" s="784"/>
      <c r="K1001" s="784"/>
      <c r="L1001" s="784"/>
      <c r="M1001" s="784"/>
      <c r="N1001" s="784"/>
      <c r="O1001" s="784"/>
      <c r="P1001" s="784"/>
      <c r="Q1001" s="784"/>
      <c r="R1001" s="784"/>
      <c r="S1001" s="784"/>
      <c r="T1001" s="784"/>
      <c r="U1001" s="784"/>
      <c r="V1001" s="784"/>
      <c r="W1001" s="784"/>
      <c r="X1001" s="784"/>
      <c r="Y1001" s="784"/>
      <c r="Z1001" s="784"/>
      <c r="AA1001" s="784"/>
      <c r="AB1001" s="784"/>
    </row>
    <row r="1002" spans="3:28" ht="15.75" customHeight="1">
      <c r="C1002" s="784"/>
      <c r="D1002" s="784"/>
      <c r="E1002" s="784"/>
      <c r="F1002" s="784"/>
      <c r="G1002" s="784"/>
      <c r="H1002" s="784"/>
      <c r="I1002" s="784"/>
      <c r="J1002" s="784"/>
      <c r="K1002" s="784"/>
      <c r="L1002" s="784"/>
      <c r="M1002" s="784"/>
      <c r="N1002" s="784"/>
      <c r="O1002" s="784"/>
      <c r="P1002" s="784"/>
      <c r="Q1002" s="784"/>
      <c r="R1002" s="784"/>
      <c r="S1002" s="784"/>
      <c r="T1002" s="784"/>
      <c r="U1002" s="784"/>
      <c r="V1002" s="784"/>
      <c r="W1002" s="784"/>
      <c r="X1002" s="784"/>
      <c r="Y1002" s="784"/>
      <c r="Z1002" s="784"/>
      <c r="AA1002" s="784"/>
      <c r="AB1002" s="784"/>
    </row>
    <row r="1003" spans="3:28" ht="15.75" customHeight="1">
      <c r="C1003" s="784"/>
      <c r="D1003" s="784"/>
      <c r="E1003" s="784"/>
      <c r="F1003" s="784"/>
      <c r="G1003" s="784"/>
      <c r="H1003" s="784"/>
      <c r="I1003" s="784"/>
      <c r="J1003" s="784"/>
      <c r="K1003" s="784"/>
      <c r="L1003" s="784"/>
      <c r="M1003" s="784"/>
      <c r="N1003" s="784"/>
      <c r="O1003" s="784"/>
      <c r="P1003" s="784"/>
      <c r="Q1003" s="784"/>
      <c r="R1003" s="784"/>
      <c r="S1003" s="784"/>
      <c r="T1003" s="784"/>
      <c r="U1003" s="784"/>
      <c r="V1003" s="784"/>
      <c r="W1003" s="784"/>
      <c r="X1003" s="784"/>
      <c r="Y1003" s="784"/>
      <c r="Z1003" s="784"/>
      <c r="AA1003" s="784"/>
      <c r="AB1003" s="784"/>
    </row>
    <row r="1004" spans="3:28" ht="15.75" customHeight="1">
      <c r="C1004" s="784"/>
      <c r="D1004" s="784"/>
      <c r="E1004" s="784"/>
      <c r="F1004" s="784"/>
      <c r="G1004" s="784"/>
      <c r="H1004" s="784"/>
      <c r="I1004" s="784"/>
      <c r="J1004" s="784"/>
      <c r="K1004" s="784"/>
      <c r="L1004" s="784"/>
      <c r="M1004" s="784"/>
      <c r="N1004" s="784"/>
      <c r="O1004" s="784"/>
      <c r="P1004" s="784"/>
      <c r="Q1004" s="784"/>
      <c r="R1004" s="784"/>
      <c r="S1004" s="784"/>
      <c r="T1004" s="784"/>
      <c r="U1004" s="784"/>
      <c r="V1004" s="784"/>
      <c r="W1004" s="784"/>
      <c r="X1004" s="784"/>
      <c r="Y1004" s="784"/>
      <c r="Z1004" s="784"/>
      <c r="AA1004" s="784"/>
      <c r="AB1004" s="784"/>
    </row>
  </sheetData>
  <mergeCells count="1">
    <mergeCell ref="C1:E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4"/>
  <sheetViews>
    <sheetView topLeftCell="A26" workbookViewId="0">
      <selection activeCell="E41" sqref="E41"/>
    </sheetView>
  </sheetViews>
  <sheetFormatPr defaultColWidth="12.6640625" defaultRowHeight="15" customHeight="1"/>
  <cols>
    <col min="1" max="1" width="7.77734375" style="783" customWidth="1"/>
    <col min="2" max="2" width="21" style="783" customWidth="1"/>
    <col min="3" max="3" width="38.44140625" style="783" customWidth="1"/>
    <col min="4" max="4" width="21" style="783" customWidth="1"/>
    <col min="5" max="5" width="13" style="812" customWidth="1"/>
    <col min="6" max="6" width="12" style="783" customWidth="1"/>
    <col min="7" max="7" width="19.77734375" style="783" customWidth="1"/>
    <col min="8" max="8" width="17.6640625" style="783" customWidth="1"/>
    <col min="9" max="9" width="11.88671875" style="783" customWidth="1"/>
    <col min="10" max="16384" width="12.6640625" style="783"/>
  </cols>
  <sheetData>
    <row r="1" spans="1:9" ht="13.8">
      <c r="A1" s="784"/>
      <c r="B1" s="784"/>
      <c r="C1" s="784"/>
      <c r="D1" s="784"/>
      <c r="E1" s="813"/>
      <c r="F1" s="787"/>
      <c r="G1" s="787"/>
      <c r="H1" s="786"/>
      <c r="I1" s="787"/>
    </row>
    <row r="2" spans="1:9" ht="13.8">
      <c r="A2" s="784"/>
      <c r="B2" s="784"/>
      <c r="C2" s="784"/>
      <c r="D2" s="784"/>
      <c r="E2" s="813"/>
      <c r="F2" s="787"/>
      <c r="G2" s="787"/>
      <c r="H2" s="786"/>
      <c r="I2" s="787"/>
    </row>
    <row r="3" spans="1:9" ht="28.5" customHeight="1">
      <c r="A3" s="769" t="s">
        <v>986</v>
      </c>
      <c r="B3" s="769" t="s">
        <v>987</v>
      </c>
      <c r="C3" s="769" t="s">
        <v>988</v>
      </c>
      <c r="D3" s="769" t="s">
        <v>1078</v>
      </c>
      <c r="E3" s="769" t="s">
        <v>1076</v>
      </c>
      <c r="F3" s="785"/>
      <c r="G3" s="785"/>
      <c r="H3" s="770"/>
      <c r="I3" s="785"/>
    </row>
    <row r="4" spans="1:9" ht="29.25" customHeight="1">
      <c r="A4" s="627">
        <v>1</v>
      </c>
      <c r="B4" s="759" t="s">
        <v>90</v>
      </c>
      <c r="C4" s="915"/>
      <c r="D4" s="771"/>
      <c r="E4" s="833"/>
      <c r="F4" s="787"/>
      <c r="G4" s="787"/>
      <c r="H4" s="786"/>
      <c r="I4" s="787"/>
    </row>
    <row r="5" spans="1:9" ht="23.25" customHeight="1">
      <c r="A5" s="627">
        <f>A4+1</f>
        <v>2</v>
      </c>
      <c r="B5" s="761" t="s">
        <v>97</v>
      </c>
      <c r="C5" s="915"/>
      <c r="D5" s="771"/>
      <c r="E5" s="833"/>
      <c r="F5" s="787"/>
      <c r="G5" s="787"/>
      <c r="H5" s="786"/>
      <c r="I5" s="787"/>
    </row>
    <row r="6" spans="1:9" ht="19.5" customHeight="1">
      <c r="A6" s="627">
        <f t="shared" ref="A6:A35" si="0">A5+1</f>
        <v>3</v>
      </c>
      <c r="B6" s="761" t="s">
        <v>115</v>
      </c>
      <c r="C6" s="915"/>
      <c r="D6" s="771"/>
      <c r="E6" s="833"/>
      <c r="F6" s="787"/>
      <c r="G6" s="787"/>
      <c r="H6" s="786"/>
      <c r="I6" s="787"/>
    </row>
    <row r="7" spans="1:9" ht="24.75" customHeight="1">
      <c r="A7" s="627">
        <f t="shared" si="0"/>
        <v>4</v>
      </c>
      <c r="B7" s="761" t="s">
        <v>297</v>
      </c>
      <c r="C7" s="915"/>
      <c r="D7" s="771"/>
      <c r="E7" s="833"/>
      <c r="F7" s="776"/>
      <c r="G7" s="772"/>
      <c r="H7" s="797"/>
      <c r="I7" s="798"/>
    </row>
    <row r="8" spans="1:9" ht="13.8">
      <c r="A8" s="627">
        <f t="shared" si="0"/>
        <v>5</v>
      </c>
      <c r="B8" s="764" t="s">
        <v>207</v>
      </c>
      <c r="C8" s="915"/>
      <c r="D8" s="771"/>
      <c r="E8" s="833"/>
      <c r="F8" s="776"/>
      <c r="G8" s="772"/>
      <c r="H8" s="797"/>
      <c r="I8" s="798"/>
    </row>
    <row r="9" spans="1:9" ht="29.25" customHeight="1">
      <c r="A9" s="627">
        <f t="shared" si="0"/>
        <v>6</v>
      </c>
      <c r="B9" s="765" t="s">
        <v>216</v>
      </c>
      <c r="C9" s="915"/>
      <c r="D9" s="771"/>
      <c r="E9" s="833"/>
      <c r="F9" s="787"/>
      <c r="G9" s="787"/>
      <c r="H9" s="786"/>
      <c r="I9" s="787"/>
    </row>
    <row r="10" spans="1:9" ht="13.8">
      <c r="A10" s="627">
        <f t="shared" si="0"/>
        <v>7</v>
      </c>
      <c r="B10" s="764" t="s">
        <v>139</v>
      </c>
      <c r="C10" s="915"/>
      <c r="D10" s="771"/>
      <c r="E10" s="833"/>
      <c r="F10" s="787"/>
      <c r="G10" s="787"/>
      <c r="H10" s="786"/>
      <c r="I10" s="787"/>
    </row>
    <row r="11" spans="1:9" ht="27.75" customHeight="1">
      <c r="A11" s="627">
        <f t="shared" si="0"/>
        <v>8</v>
      </c>
      <c r="B11" s="766" t="s">
        <v>142</v>
      </c>
      <c r="C11" s="915"/>
      <c r="D11" s="771"/>
      <c r="E11" s="833"/>
      <c r="F11" s="787"/>
      <c r="G11" s="787"/>
      <c r="H11" s="786"/>
      <c r="I11" s="787"/>
    </row>
    <row r="12" spans="1:9" ht="21" customHeight="1">
      <c r="A12" s="627">
        <f t="shared" si="0"/>
        <v>9</v>
      </c>
      <c r="B12" s="762" t="s">
        <v>229</v>
      </c>
      <c r="C12" s="915"/>
      <c r="D12" s="771"/>
      <c r="E12" s="833"/>
      <c r="F12" s="798"/>
      <c r="G12" s="798"/>
      <c r="H12" s="799"/>
      <c r="I12" s="798"/>
    </row>
    <row r="13" spans="1:9" ht="22.5" customHeight="1">
      <c r="A13" s="627">
        <f t="shared" si="0"/>
        <v>10</v>
      </c>
      <c r="B13" s="762" t="s">
        <v>233</v>
      </c>
      <c r="C13" s="915"/>
      <c r="D13" s="771"/>
      <c r="E13" s="833"/>
      <c r="F13" s="798"/>
      <c r="G13" s="798"/>
      <c r="H13" s="799"/>
      <c r="I13" s="798"/>
    </row>
    <row r="14" spans="1:9" ht="21.75" customHeight="1">
      <c r="A14" s="627">
        <f t="shared" si="0"/>
        <v>11</v>
      </c>
      <c r="B14" s="767" t="s">
        <v>970</v>
      </c>
      <c r="C14" s="915"/>
      <c r="D14" s="771"/>
      <c r="E14" s="833"/>
      <c r="F14" s="787"/>
      <c r="G14" s="787"/>
      <c r="H14" s="786"/>
      <c r="I14" s="787"/>
    </row>
    <row r="15" spans="1:9" ht="22.5" customHeight="1">
      <c r="A15" s="627">
        <f t="shared" si="0"/>
        <v>12</v>
      </c>
      <c r="B15" s="767" t="s">
        <v>157</v>
      </c>
      <c r="C15" s="915"/>
      <c r="D15" s="771"/>
      <c r="E15" s="833"/>
      <c r="F15" s="800"/>
      <c r="G15" s="775"/>
      <c r="H15" s="786"/>
      <c r="I15" s="798"/>
    </row>
    <row r="16" spans="1:9" ht="24" customHeight="1">
      <c r="A16" s="627">
        <f t="shared" si="0"/>
        <v>13</v>
      </c>
      <c r="B16" s="767" t="s">
        <v>1007</v>
      </c>
      <c r="C16" s="915"/>
      <c r="D16" s="771"/>
      <c r="E16" s="833"/>
      <c r="F16" s="800"/>
      <c r="G16" s="772"/>
      <c r="H16" s="797"/>
      <c r="I16" s="798"/>
    </row>
    <row r="17" spans="1:9" ht="49.5" customHeight="1">
      <c r="A17" s="627">
        <f t="shared" si="0"/>
        <v>14</v>
      </c>
      <c r="B17" s="767" t="s">
        <v>994</v>
      </c>
      <c r="C17" s="915"/>
      <c r="D17" s="771"/>
      <c r="E17" s="833"/>
      <c r="F17" s="800"/>
      <c r="G17" s="772"/>
      <c r="H17" s="797"/>
      <c r="I17" s="798"/>
    </row>
    <row r="18" spans="1:9" ht="36" customHeight="1">
      <c r="A18" s="627">
        <f t="shared" si="0"/>
        <v>15</v>
      </c>
      <c r="B18" s="712" t="s">
        <v>1004</v>
      </c>
      <c r="C18" s="915"/>
      <c r="D18" s="771"/>
      <c r="E18" s="833"/>
      <c r="F18" s="800"/>
      <c r="G18" s="772"/>
      <c r="H18" s="797"/>
      <c r="I18" s="798"/>
    </row>
    <row r="19" spans="1:9" ht="27.75" customHeight="1">
      <c r="A19" s="627">
        <f t="shared" si="0"/>
        <v>16</v>
      </c>
      <c r="B19" s="712" t="s">
        <v>1030</v>
      </c>
      <c r="C19" s="915"/>
      <c r="D19" s="771"/>
      <c r="E19" s="833"/>
      <c r="F19" s="801"/>
      <c r="G19" s="772"/>
      <c r="H19" s="797"/>
      <c r="I19" s="798"/>
    </row>
    <row r="20" spans="1:9" ht="25.5" customHeight="1">
      <c r="A20" s="627">
        <f t="shared" si="0"/>
        <v>17</v>
      </c>
      <c r="B20" s="712" t="s">
        <v>1036</v>
      </c>
      <c r="C20" s="915"/>
      <c r="D20" s="771"/>
      <c r="E20" s="833"/>
      <c r="F20" s="801"/>
      <c r="G20" s="772"/>
      <c r="H20" s="797"/>
      <c r="I20" s="798"/>
    </row>
    <row r="21" spans="1:9" ht="30.75" customHeight="1">
      <c r="A21" s="627">
        <f t="shared" si="0"/>
        <v>18</v>
      </c>
      <c r="B21" s="846" t="s">
        <v>1099</v>
      </c>
      <c r="C21" s="915"/>
      <c r="D21" s="771"/>
      <c r="E21" s="833"/>
      <c r="F21" s="801"/>
      <c r="G21" s="772"/>
      <c r="H21" s="797"/>
      <c r="I21" s="798"/>
    </row>
    <row r="22" spans="1:9" ht="29.25" customHeight="1">
      <c r="A22" s="627">
        <f t="shared" si="0"/>
        <v>19</v>
      </c>
      <c r="B22" s="846" t="s">
        <v>1101</v>
      </c>
      <c r="C22" s="915"/>
      <c r="D22" s="771"/>
      <c r="E22" s="833"/>
      <c r="F22" s="801"/>
      <c r="G22" s="772"/>
      <c r="H22" s="797"/>
      <c r="I22" s="798"/>
    </row>
    <row r="23" spans="1:9" ht="13.8">
      <c r="A23" s="627">
        <f t="shared" si="0"/>
        <v>20</v>
      </c>
      <c r="B23" s="846" t="s">
        <v>1102</v>
      </c>
      <c r="C23" s="915"/>
      <c r="D23" s="771"/>
      <c r="E23" s="833"/>
      <c r="F23" s="800"/>
      <c r="G23" s="772"/>
      <c r="H23" s="797"/>
      <c r="I23" s="798"/>
    </row>
    <row r="24" spans="1:9" ht="28.5" customHeight="1">
      <c r="A24" s="627">
        <f t="shared" si="0"/>
        <v>21</v>
      </c>
      <c r="B24" s="846" t="s">
        <v>1104</v>
      </c>
      <c r="C24" s="915"/>
      <c r="D24" s="771"/>
      <c r="E24" s="833"/>
      <c r="F24" s="787"/>
      <c r="G24" s="787"/>
      <c r="H24" s="786"/>
      <c r="I24" s="787"/>
    </row>
    <row r="25" spans="1:9" ht="22.5" customHeight="1">
      <c r="A25" s="627">
        <f t="shared" si="0"/>
        <v>22</v>
      </c>
      <c r="B25" s="910" t="s">
        <v>1089</v>
      </c>
      <c r="C25" s="915"/>
      <c r="D25" s="771"/>
      <c r="E25" s="833"/>
      <c r="F25" s="787"/>
      <c r="G25" s="787"/>
      <c r="H25" s="786"/>
      <c r="I25" s="787"/>
    </row>
    <row r="26" spans="1:9" ht="29.25" customHeight="1">
      <c r="A26" s="627">
        <f t="shared" si="0"/>
        <v>23</v>
      </c>
      <c r="B26" s="910" t="s">
        <v>5939</v>
      </c>
      <c r="C26" s="915"/>
      <c r="D26" s="771"/>
      <c r="E26" s="833"/>
      <c r="F26" s="787"/>
      <c r="G26" s="787"/>
      <c r="H26" s="786"/>
      <c r="I26" s="787"/>
    </row>
    <row r="27" spans="1:9" ht="23.25" customHeight="1">
      <c r="A27" s="627">
        <f t="shared" si="0"/>
        <v>24</v>
      </c>
      <c r="B27" s="910" t="s">
        <v>5940</v>
      </c>
      <c r="C27" s="915"/>
      <c r="D27" s="771"/>
      <c r="E27" s="833"/>
      <c r="F27" s="787"/>
      <c r="G27" s="787"/>
      <c r="H27" s="786"/>
      <c r="I27" s="787"/>
    </row>
    <row r="28" spans="1:9" ht="30.75" customHeight="1">
      <c r="A28" s="627">
        <f t="shared" si="0"/>
        <v>25</v>
      </c>
      <c r="B28" s="910" t="s">
        <v>5941</v>
      </c>
      <c r="C28" s="915"/>
      <c r="D28" s="771"/>
      <c r="E28" s="833"/>
      <c r="F28" s="773"/>
      <c r="G28" s="773"/>
      <c r="H28" s="774"/>
      <c r="I28" s="774"/>
    </row>
    <row r="29" spans="1:9" ht="27" customHeight="1">
      <c r="A29" s="627">
        <f t="shared" si="0"/>
        <v>26</v>
      </c>
      <c r="B29" s="910" t="s">
        <v>1223</v>
      </c>
      <c r="C29" s="915"/>
      <c r="D29" s="771"/>
      <c r="E29" s="833"/>
      <c r="F29" s="802"/>
      <c r="G29" s="772"/>
      <c r="H29" s="803"/>
      <c r="I29" s="787"/>
    </row>
    <row r="30" spans="1:9" ht="24" customHeight="1">
      <c r="A30" s="627">
        <f t="shared" si="0"/>
        <v>27</v>
      </c>
      <c r="B30" s="910" t="s">
        <v>5942</v>
      </c>
      <c r="C30" s="915"/>
      <c r="D30" s="771"/>
      <c r="E30" s="833"/>
      <c r="F30" s="802"/>
      <c r="G30" s="772"/>
      <c r="H30" s="803"/>
      <c r="I30" s="787"/>
    </row>
    <row r="31" spans="1:9" ht="13.8">
      <c r="A31" s="627">
        <f t="shared" si="0"/>
        <v>28</v>
      </c>
      <c r="B31" s="712" t="s">
        <v>1071</v>
      </c>
      <c r="C31" s="915"/>
      <c r="D31" s="771"/>
      <c r="E31" s="833"/>
      <c r="F31" s="787"/>
      <c r="G31" s="787"/>
      <c r="H31" s="786"/>
      <c r="I31" s="787"/>
    </row>
    <row r="32" spans="1:9" ht="13.8">
      <c r="A32" s="627">
        <f t="shared" si="0"/>
        <v>29</v>
      </c>
      <c r="B32" s="713" t="s">
        <v>1026</v>
      </c>
      <c r="C32" s="915"/>
      <c r="D32" s="771"/>
      <c r="E32" s="833"/>
      <c r="F32" s="787"/>
      <c r="G32" s="787"/>
      <c r="H32" s="786"/>
      <c r="I32" s="787"/>
    </row>
    <row r="33" spans="1:9" ht="13.8">
      <c r="A33" s="627">
        <f t="shared" si="0"/>
        <v>30</v>
      </c>
      <c r="B33" s="768" t="s">
        <v>262</v>
      </c>
      <c r="C33" s="915"/>
      <c r="D33" s="771"/>
      <c r="E33" s="833"/>
      <c r="F33" s="787"/>
      <c r="G33" s="787"/>
      <c r="H33" s="786"/>
      <c r="I33" s="787"/>
    </row>
    <row r="34" spans="1:9" ht="13.8">
      <c r="A34" s="627">
        <f t="shared" si="0"/>
        <v>31</v>
      </c>
      <c r="B34" s="713" t="s">
        <v>1073</v>
      </c>
      <c r="C34" s="915"/>
      <c r="D34" s="771"/>
      <c r="E34" s="833"/>
      <c r="F34" s="787"/>
      <c r="G34" s="787"/>
      <c r="H34" s="786"/>
      <c r="I34" s="787"/>
    </row>
    <row r="35" spans="1:9" ht="24" customHeight="1">
      <c r="A35" s="627">
        <f t="shared" si="0"/>
        <v>32</v>
      </c>
      <c r="B35" s="713" t="s">
        <v>1093</v>
      </c>
      <c r="C35" s="778" t="s">
        <v>6004</v>
      </c>
      <c r="D35" s="771">
        <f>13*5000</f>
        <v>65000</v>
      </c>
      <c r="E35" s="833"/>
      <c r="F35" s="787"/>
      <c r="G35" s="787"/>
      <c r="H35" s="786"/>
      <c r="I35" s="787"/>
    </row>
    <row r="36" spans="1:9" ht="23.25" customHeight="1">
      <c r="A36" s="1195" t="s">
        <v>1077</v>
      </c>
      <c r="B36" s="1196"/>
      <c r="C36" s="1197"/>
      <c r="D36" s="779">
        <f>SUM(D4:D35)</f>
        <v>65000</v>
      </c>
      <c r="E36" s="833"/>
      <c r="F36" s="787"/>
      <c r="G36" s="787"/>
      <c r="H36" s="786"/>
      <c r="I36" s="787"/>
    </row>
    <row r="37" spans="1:9" ht="13.8">
      <c r="A37" s="784"/>
      <c r="B37" s="784"/>
      <c r="C37" s="784"/>
      <c r="D37" s="784"/>
      <c r="E37" s="813"/>
      <c r="F37" s="787"/>
      <c r="G37" s="787"/>
      <c r="H37" s="786"/>
      <c r="I37" s="787"/>
    </row>
    <row r="38" spans="1:9" ht="22.5" customHeight="1">
      <c r="A38" s="784"/>
      <c r="B38" s="784"/>
      <c r="C38" s="784"/>
      <c r="D38" s="784"/>
      <c r="E38" s="813"/>
      <c r="F38" s="787"/>
      <c r="G38" s="787"/>
      <c r="H38" s="786"/>
      <c r="I38" s="787"/>
    </row>
    <row r="39" spans="1:9" ht="13.8">
      <c r="A39" s="784"/>
      <c r="B39" s="784"/>
      <c r="C39" s="784"/>
      <c r="D39" s="784"/>
      <c r="E39" s="813"/>
      <c r="F39" s="787"/>
      <c r="G39" s="787"/>
      <c r="H39" s="786"/>
      <c r="I39" s="787"/>
    </row>
    <row r="40" spans="1:9" ht="13.8">
      <c r="A40" s="784"/>
      <c r="B40" s="784"/>
      <c r="C40" s="784"/>
      <c r="D40" s="784"/>
      <c r="E40" s="813"/>
      <c r="F40" s="787"/>
      <c r="G40" s="787"/>
      <c r="H40" s="786"/>
      <c r="I40" s="787"/>
    </row>
    <row r="41" spans="1:9" ht="13.8">
      <c r="A41" s="784"/>
      <c r="B41" s="784"/>
      <c r="C41" s="784"/>
      <c r="D41" s="784"/>
      <c r="E41" s="813"/>
      <c r="F41" s="787"/>
      <c r="G41" s="787"/>
      <c r="H41" s="786"/>
      <c r="I41" s="787"/>
    </row>
    <row r="42" spans="1:9" ht="13.8">
      <c r="A42" s="784"/>
      <c r="B42" s="784"/>
      <c r="C42" s="784"/>
      <c r="D42" s="784"/>
      <c r="E42" s="813"/>
      <c r="F42" s="787"/>
      <c r="G42" s="787"/>
      <c r="H42" s="786"/>
      <c r="I42" s="787"/>
    </row>
    <row r="43" spans="1:9" ht="13.8">
      <c r="A43" s="784"/>
      <c r="B43" s="784"/>
      <c r="C43" s="784"/>
      <c r="D43" s="784"/>
      <c r="E43" s="813"/>
      <c r="F43" s="787"/>
      <c r="G43" s="787"/>
      <c r="H43" s="786"/>
      <c r="I43" s="787"/>
    </row>
    <row r="44" spans="1:9" ht="13.8">
      <c r="A44" s="784"/>
      <c r="B44" s="784"/>
      <c r="C44" s="784"/>
      <c r="D44" s="784"/>
      <c r="E44" s="813"/>
      <c r="F44" s="787"/>
      <c r="G44" s="787"/>
      <c r="H44" s="786"/>
      <c r="I44" s="787"/>
    </row>
    <row r="45" spans="1:9" ht="13.8">
      <c r="A45" s="784"/>
      <c r="B45" s="784"/>
      <c r="C45" s="784"/>
      <c r="D45" s="784"/>
      <c r="E45" s="813"/>
      <c r="F45" s="784"/>
      <c r="G45" s="784"/>
      <c r="H45" s="647"/>
      <c r="I45" s="784"/>
    </row>
    <row r="46" spans="1:9" ht="13.8">
      <c r="A46" s="784"/>
      <c r="B46" s="784"/>
      <c r="C46" s="784"/>
      <c r="D46" s="784"/>
      <c r="E46" s="813"/>
      <c r="F46" s="784"/>
      <c r="G46" s="784"/>
      <c r="H46" s="647"/>
      <c r="I46" s="784"/>
    </row>
    <row r="47" spans="1:9" ht="13.8">
      <c r="A47" s="784"/>
      <c r="B47" s="784"/>
      <c r="C47" s="784"/>
      <c r="D47" s="784"/>
      <c r="E47" s="813"/>
      <c r="F47" s="784"/>
      <c r="G47" s="784"/>
      <c r="H47" s="647"/>
      <c r="I47" s="784"/>
    </row>
    <row r="48" spans="1:9" ht="13.8">
      <c r="A48" s="784"/>
      <c r="B48" s="784"/>
      <c r="C48" s="784"/>
      <c r="D48" s="784"/>
      <c r="E48" s="813"/>
      <c r="F48" s="784"/>
      <c r="G48" s="784"/>
      <c r="H48" s="647"/>
      <c r="I48" s="784"/>
    </row>
    <row r="49" spans="1:9" ht="13.8">
      <c r="A49" s="784"/>
      <c r="B49" s="784"/>
      <c r="C49" s="784"/>
      <c r="D49" s="784"/>
      <c r="E49" s="813"/>
      <c r="F49" s="784"/>
      <c r="G49" s="784"/>
      <c r="H49" s="647"/>
      <c r="I49" s="784"/>
    </row>
    <row r="50" spans="1:9" ht="13.8">
      <c r="A50" s="784"/>
      <c r="B50" s="784"/>
      <c r="C50" s="784"/>
      <c r="D50" s="784"/>
      <c r="E50" s="813"/>
      <c r="F50" s="784"/>
      <c r="G50" s="784"/>
      <c r="H50" s="647"/>
      <c r="I50" s="784"/>
    </row>
    <row r="51" spans="1:9" ht="13.8">
      <c r="A51" s="784"/>
      <c r="B51" s="784"/>
      <c r="C51" s="784"/>
      <c r="D51" s="784"/>
      <c r="E51" s="813"/>
      <c r="F51" s="784"/>
      <c r="G51" s="784"/>
      <c r="H51" s="647"/>
      <c r="I51" s="784"/>
    </row>
    <row r="52" spans="1:9" ht="13.8">
      <c r="A52" s="784"/>
      <c r="B52" s="784"/>
      <c r="C52" s="784"/>
      <c r="D52" s="784"/>
      <c r="E52" s="813"/>
      <c r="F52" s="784"/>
      <c r="G52" s="784"/>
      <c r="H52" s="647"/>
      <c r="I52" s="784"/>
    </row>
    <row r="53" spans="1:9" ht="13.8">
      <c r="A53" s="784"/>
      <c r="B53" s="784"/>
      <c r="C53" s="784"/>
      <c r="D53" s="784"/>
      <c r="E53" s="784"/>
      <c r="F53" s="784"/>
      <c r="G53" s="784"/>
      <c r="H53" s="647"/>
      <c r="I53" s="784"/>
    </row>
    <row r="54" spans="1:9" ht="13.8">
      <c r="A54" s="784"/>
      <c r="B54" s="784"/>
      <c r="C54" s="784"/>
      <c r="D54" s="784"/>
      <c r="E54" s="784"/>
      <c r="F54" s="784"/>
      <c r="G54" s="784"/>
      <c r="H54" s="647"/>
      <c r="I54" s="784"/>
    </row>
    <row r="55" spans="1:9" ht="13.8">
      <c r="A55" s="784"/>
      <c r="B55" s="784"/>
      <c r="C55" s="784"/>
      <c r="D55" s="784"/>
      <c r="E55" s="784"/>
      <c r="F55" s="784"/>
      <c r="G55" s="784"/>
      <c r="H55" s="647"/>
      <c r="I55" s="784"/>
    </row>
    <row r="56" spans="1:9" ht="13.8">
      <c r="A56" s="784"/>
      <c r="B56" s="784"/>
      <c r="C56" s="784"/>
      <c r="D56" s="784"/>
      <c r="E56" s="784"/>
      <c r="F56" s="784"/>
      <c r="G56" s="784"/>
      <c r="H56" s="647"/>
      <c r="I56" s="784"/>
    </row>
    <row r="57" spans="1:9" ht="13.8">
      <c r="A57" s="784"/>
      <c r="B57" s="784"/>
      <c r="C57" s="784"/>
      <c r="D57" s="784"/>
      <c r="E57" s="784"/>
      <c r="F57" s="784"/>
      <c r="G57" s="784"/>
      <c r="H57" s="647"/>
      <c r="I57" s="784"/>
    </row>
    <row r="58" spans="1:9" ht="13.8">
      <c r="A58" s="784"/>
      <c r="B58" s="784"/>
      <c r="C58" s="784"/>
      <c r="D58" s="784"/>
      <c r="E58" s="784"/>
      <c r="F58" s="784"/>
      <c r="G58" s="784"/>
      <c r="H58" s="647"/>
      <c r="I58" s="784"/>
    </row>
    <row r="59" spans="1:9" ht="13.8">
      <c r="A59" s="784"/>
      <c r="B59" s="784"/>
      <c r="C59" s="784"/>
      <c r="D59" s="784"/>
      <c r="E59" s="784"/>
      <c r="F59" s="784"/>
      <c r="G59" s="784"/>
      <c r="H59" s="647"/>
      <c r="I59" s="784"/>
    </row>
    <row r="60" spans="1:9" ht="13.8">
      <c r="A60" s="784"/>
      <c r="B60" s="784"/>
      <c r="C60" s="784"/>
      <c r="D60" s="784"/>
      <c r="E60" s="784"/>
      <c r="F60" s="784"/>
      <c r="G60" s="784"/>
      <c r="H60" s="647"/>
      <c r="I60" s="784"/>
    </row>
    <row r="61" spans="1:9" ht="13.8">
      <c r="A61" s="784"/>
      <c r="B61" s="784"/>
      <c r="C61" s="784"/>
      <c r="D61" s="784"/>
      <c r="E61" s="784"/>
      <c r="F61" s="784"/>
      <c r="G61" s="784"/>
      <c r="H61" s="647"/>
      <c r="I61" s="784"/>
    </row>
    <row r="62" spans="1:9" ht="13.8">
      <c r="A62" s="784"/>
      <c r="B62" s="784"/>
      <c r="C62" s="784"/>
      <c r="D62" s="784"/>
      <c r="E62" s="784"/>
      <c r="F62" s="784"/>
      <c r="G62" s="784"/>
      <c r="H62" s="647"/>
      <c r="I62" s="784"/>
    </row>
    <row r="63" spans="1:9" ht="13.8">
      <c r="A63" s="784"/>
      <c r="B63" s="784"/>
      <c r="C63" s="784"/>
      <c r="D63" s="784"/>
      <c r="E63" s="784"/>
      <c r="F63" s="784"/>
      <c r="G63" s="784"/>
      <c r="H63" s="647"/>
      <c r="I63" s="784"/>
    </row>
    <row r="64" spans="1:9" ht="13.8">
      <c r="A64" s="784"/>
      <c r="B64" s="784"/>
      <c r="C64" s="784"/>
      <c r="D64" s="784"/>
      <c r="E64" s="784"/>
      <c r="F64" s="784"/>
      <c r="G64" s="784"/>
      <c r="H64" s="647"/>
      <c r="I64" s="784"/>
    </row>
    <row r="65" spans="1:9" ht="13.8">
      <c r="A65" s="784"/>
      <c r="B65" s="784"/>
      <c r="C65" s="784"/>
      <c r="D65" s="784"/>
      <c r="E65" s="784"/>
      <c r="F65" s="784"/>
      <c r="G65" s="784"/>
      <c r="H65" s="647"/>
      <c r="I65" s="784"/>
    </row>
    <row r="66" spans="1:9" ht="13.8">
      <c r="A66" s="784"/>
      <c r="B66" s="784"/>
      <c r="C66" s="784"/>
      <c r="D66" s="784"/>
      <c r="E66" s="784"/>
      <c r="F66" s="784"/>
      <c r="G66" s="784"/>
      <c r="H66" s="647"/>
      <c r="I66" s="784"/>
    </row>
    <row r="67" spans="1:9" ht="13.8">
      <c r="A67" s="784"/>
      <c r="B67" s="784"/>
      <c r="C67" s="784"/>
      <c r="D67" s="784"/>
      <c r="E67" s="784"/>
      <c r="F67" s="784"/>
      <c r="G67" s="784"/>
      <c r="H67" s="647"/>
      <c r="I67" s="784"/>
    </row>
    <row r="68" spans="1:9" ht="13.8">
      <c r="A68" s="784"/>
      <c r="B68" s="784"/>
      <c r="C68" s="784"/>
      <c r="D68" s="784"/>
      <c r="E68" s="784"/>
      <c r="F68" s="784"/>
      <c r="G68" s="784"/>
      <c r="H68" s="647"/>
      <c r="I68" s="784"/>
    </row>
    <row r="69" spans="1:9" ht="13.8">
      <c r="A69" s="784"/>
      <c r="B69" s="784"/>
      <c r="C69" s="784"/>
      <c r="D69" s="784"/>
      <c r="E69" s="784"/>
      <c r="F69" s="784"/>
      <c r="G69" s="784"/>
      <c r="H69" s="647"/>
      <c r="I69" s="784"/>
    </row>
    <row r="70" spans="1:9" ht="13.8">
      <c r="A70" s="784"/>
      <c r="B70" s="784"/>
      <c r="C70" s="784"/>
      <c r="D70" s="784"/>
      <c r="E70" s="784"/>
      <c r="F70" s="784"/>
      <c r="G70" s="784"/>
      <c r="H70" s="647"/>
      <c r="I70" s="784"/>
    </row>
    <row r="71" spans="1:9" ht="13.8">
      <c r="A71" s="784"/>
      <c r="B71" s="784"/>
      <c r="C71" s="784"/>
      <c r="D71" s="784"/>
      <c r="E71" s="784"/>
      <c r="F71" s="784"/>
      <c r="G71" s="784"/>
      <c r="H71" s="647"/>
      <c r="I71" s="784"/>
    </row>
    <row r="72" spans="1:9" ht="13.8">
      <c r="A72" s="784"/>
      <c r="B72" s="784"/>
      <c r="C72" s="784"/>
      <c r="D72" s="784"/>
      <c r="E72" s="784"/>
      <c r="F72" s="784"/>
      <c r="G72" s="784"/>
      <c r="H72" s="647"/>
      <c r="I72" s="784"/>
    </row>
    <row r="73" spans="1:9" ht="13.8">
      <c r="A73" s="784"/>
      <c r="B73" s="784"/>
      <c r="C73" s="784"/>
      <c r="D73" s="784"/>
      <c r="E73" s="784"/>
      <c r="F73" s="784"/>
      <c r="G73" s="784"/>
      <c r="H73" s="647"/>
      <c r="I73" s="784"/>
    </row>
    <row r="74" spans="1:9" ht="13.8">
      <c r="A74" s="784"/>
      <c r="B74" s="784"/>
      <c r="C74" s="784"/>
      <c r="D74" s="784"/>
      <c r="E74" s="784"/>
      <c r="F74" s="784"/>
      <c r="G74" s="784"/>
      <c r="H74" s="647"/>
      <c r="I74" s="784"/>
    </row>
    <row r="75" spans="1:9" ht="13.8">
      <c r="A75" s="784"/>
      <c r="B75" s="784"/>
      <c r="C75" s="784"/>
      <c r="D75" s="784"/>
      <c r="E75" s="784"/>
      <c r="F75" s="784"/>
      <c r="G75" s="784"/>
      <c r="H75" s="647"/>
      <c r="I75" s="784"/>
    </row>
    <row r="76" spans="1:9" ht="13.8">
      <c r="A76" s="784"/>
      <c r="B76" s="784"/>
      <c r="C76" s="784"/>
      <c r="D76" s="784"/>
      <c r="E76" s="784"/>
      <c r="F76" s="784"/>
      <c r="G76" s="784"/>
      <c r="H76" s="647"/>
      <c r="I76" s="784"/>
    </row>
    <row r="77" spans="1:9" ht="13.8">
      <c r="A77" s="784"/>
      <c r="B77" s="784"/>
      <c r="C77" s="784"/>
      <c r="D77" s="784"/>
      <c r="E77" s="784"/>
      <c r="F77" s="784"/>
      <c r="G77" s="784"/>
      <c r="H77" s="647"/>
      <c r="I77" s="784"/>
    </row>
    <row r="78" spans="1:9" ht="13.8">
      <c r="A78" s="784"/>
      <c r="B78" s="784"/>
      <c r="C78" s="784"/>
      <c r="D78" s="784"/>
      <c r="E78" s="784"/>
      <c r="F78" s="784"/>
      <c r="G78" s="784"/>
      <c r="H78" s="647"/>
      <c r="I78" s="784"/>
    </row>
    <row r="79" spans="1:9" ht="13.8">
      <c r="A79" s="784"/>
      <c r="B79" s="784"/>
      <c r="C79" s="784"/>
      <c r="D79" s="784"/>
      <c r="E79" s="784"/>
      <c r="F79" s="784"/>
      <c r="G79" s="784"/>
      <c r="H79" s="647"/>
      <c r="I79" s="784"/>
    </row>
    <row r="80" spans="1:9" ht="13.8">
      <c r="A80" s="784"/>
      <c r="B80" s="784"/>
      <c r="C80" s="784"/>
      <c r="D80" s="784"/>
      <c r="E80" s="784"/>
      <c r="F80" s="784"/>
      <c r="G80" s="784"/>
      <c r="H80" s="647"/>
      <c r="I80" s="784"/>
    </row>
    <row r="81" spans="1:9" ht="13.8">
      <c r="A81" s="784"/>
      <c r="B81" s="784"/>
      <c r="C81" s="784"/>
      <c r="D81" s="784"/>
      <c r="E81" s="784"/>
      <c r="F81" s="784"/>
      <c r="G81" s="784"/>
      <c r="H81" s="647"/>
      <c r="I81" s="784"/>
    </row>
    <row r="82" spans="1:9" ht="13.8">
      <c r="A82" s="784"/>
      <c r="B82" s="784"/>
      <c r="C82" s="784"/>
      <c r="D82" s="784"/>
      <c r="E82" s="784"/>
      <c r="F82" s="784"/>
      <c r="G82" s="784"/>
      <c r="H82" s="647"/>
      <c r="I82" s="784"/>
    </row>
    <row r="83" spans="1:9" ht="13.8">
      <c r="A83" s="784"/>
      <c r="B83" s="784"/>
      <c r="C83" s="784"/>
      <c r="D83" s="784"/>
      <c r="E83" s="784"/>
      <c r="F83" s="784"/>
      <c r="G83" s="784"/>
      <c r="H83" s="647"/>
      <c r="I83" s="784"/>
    </row>
    <row r="84" spans="1:9" ht="13.8">
      <c r="A84" s="784"/>
      <c r="B84" s="784"/>
      <c r="C84" s="784"/>
      <c r="D84" s="784"/>
      <c r="E84" s="784"/>
      <c r="F84" s="784"/>
      <c r="G84" s="784"/>
      <c r="H84" s="647"/>
      <c r="I84" s="784"/>
    </row>
    <row r="85" spans="1:9" ht="13.8">
      <c r="A85" s="784"/>
      <c r="B85" s="784"/>
      <c r="C85" s="784"/>
      <c r="D85" s="784"/>
      <c r="E85" s="784"/>
      <c r="F85" s="784"/>
      <c r="G85" s="784"/>
      <c r="H85" s="647"/>
      <c r="I85" s="784"/>
    </row>
    <row r="86" spans="1:9" ht="13.8">
      <c r="A86" s="784"/>
      <c r="B86" s="784"/>
      <c r="C86" s="784"/>
      <c r="D86" s="784"/>
      <c r="E86" s="784"/>
      <c r="F86" s="784"/>
      <c r="G86" s="784"/>
      <c r="H86" s="647"/>
      <c r="I86" s="784"/>
    </row>
    <row r="87" spans="1:9" ht="13.8">
      <c r="A87" s="784"/>
      <c r="B87" s="784"/>
      <c r="C87" s="784"/>
      <c r="D87" s="784"/>
      <c r="E87" s="784"/>
      <c r="F87" s="784"/>
      <c r="G87" s="784"/>
      <c r="H87" s="647"/>
      <c r="I87" s="784"/>
    </row>
    <row r="88" spans="1:9" ht="13.8">
      <c r="A88" s="784"/>
      <c r="B88" s="784"/>
      <c r="C88" s="784"/>
      <c r="D88" s="784"/>
      <c r="E88" s="784"/>
      <c r="F88" s="784"/>
      <c r="G88" s="784"/>
      <c r="H88" s="647"/>
      <c r="I88" s="784"/>
    </row>
    <row r="89" spans="1:9" ht="13.8">
      <c r="A89" s="784"/>
      <c r="B89" s="784"/>
      <c r="C89" s="784"/>
      <c r="D89" s="784"/>
      <c r="E89" s="784"/>
      <c r="F89" s="784"/>
      <c r="G89" s="784"/>
      <c r="H89" s="647"/>
      <c r="I89" s="784"/>
    </row>
    <row r="90" spans="1:9" ht="13.8">
      <c r="A90" s="784"/>
      <c r="B90" s="784"/>
      <c r="C90" s="784"/>
      <c r="D90" s="784"/>
      <c r="E90" s="784"/>
      <c r="F90" s="784"/>
      <c r="G90" s="784"/>
      <c r="H90" s="647"/>
      <c r="I90" s="784"/>
    </row>
    <row r="91" spans="1:9" ht="13.8">
      <c r="A91" s="784"/>
      <c r="B91" s="784"/>
      <c r="C91" s="784"/>
      <c r="D91" s="784"/>
      <c r="E91" s="784"/>
      <c r="F91" s="784"/>
      <c r="G91" s="784"/>
      <c r="H91" s="647"/>
      <c r="I91" s="784"/>
    </row>
    <row r="92" spans="1:9" ht="13.8">
      <c r="A92" s="784"/>
      <c r="B92" s="784"/>
      <c r="C92" s="784"/>
      <c r="D92" s="784"/>
      <c r="E92" s="784"/>
      <c r="F92" s="784"/>
      <c r="G92" s="784"/>
      <c r="H92" s="647"/>
      <c r="I92" s="784"/>
    </row>
    <row r="93" spans="1:9" ht="13.8">
      <c r="A93" s="784"/>
      <c r="B93" s="784"/>
      <c r="C93" s="784"/>
      <c r="D93" s="784"/>
      <c r="E93" s="784"/>
      <c r="F93" s="784"/>
      <c r="G93" s="784"/>
      <c r="H93" s="647"/>
      <c r="I93" s="784"/>
    </row>
    <row r="94" spans="1:9" ht="13.8">
      <c r="A94" s="784"/>
      <c r="B94" s="784"/>
      <c r="C94" s="784"/>
      <c r="D94" s="784"/>
      <c r="E94" s="784"/>
      <c r="F94" s="784"/>
      <c r="G94" s="784"/>
      <c r="H94" s="647"/>
      <c r="I94" s="784"/>
    </row>
    <row r="95" spans="1:9" ht="13.8">
      <c r="A95" s="784"/>
      <c r="B95" s="784"/>
      <c r="C95" s="784"/>
      <c r="D95" s="784"/>
      <c r="E95" s="784"/>
      <c r="F95" s="784"/>
      <c r="G95" s="784"/>
      <c r="H95" s="647"/>
      <c r="I95" s="784"/>
    </row>
    <row r="96" spans="1:9" ht="13.8">
      <c r="A96" s="784"/>
      <c r="B96" s="784"/>
      <c r="C96" s="784"/>
      <c r="D96" s="784"/>
      <c r="E96" s="784"/>
      <c r="F96" s="784"/>
      <c r="G96" s="784"/>
      <c r="H96" s="647"/>
      <c r="I96" s="784"/>
    </row>
    <row r="97" spans="1:9" ht="13.8">
      <c r="A97" s="784"/>
      <c r="B97" s="784"/>
      <c r="C97" s="784"/>
      <c r="D97" s="784"/>
      <c r="E97" s="784"/>
      <c r="F97" s="784"/>
      <c r="G97" s="784"/>
      <c r="H97" s="647"/>
      <c r="I97" s="784"/>
    </row>
    <row r="98" spans="1:9" ht="13.8">
      <c r="A98" s="784"/>
      <c r="B98" s="784"/>
      <c r="C98" s="784"/>
      <c r="D98" s="784"/>
      <c r="E98" s="784"/>
      <c r="F98" s="784"/>
      <c r="G98" s="784"/>
      <c r="H98" s="647"/>
      <c r="I98" s="784"/>
    </row>
    <row r="99" spans="1:9" ht="13.8">
      <c r="A99" s="784"/>
      <c r="B99" s="784"/>
      <c r="C99" s="784"/>
      <c r="D99" s="784"/>
      <c r="E99" s="784"/>
      <c r="F99" s="784"/>
      <c r="G99" s="784"/>
      <c r="H99" s="647"/>
      <c r="I99" s="784"/>
    </row>
    <row r="100" spans="1:9" ht="13.8">
      <c r="A100" s="784"/>
      <c r="B100" s="784"/>
      <c r="C100" s="784"/>
      <c r="D100" s="784"/>
      <c r="E100" s="784"/>
      <c r="F100" s="784"/>
      <c r="G100" s="784"/>
      <c r="H100" s="647"/>
      <c r="I100" s="784"/>
    </row>
    <row r="101" spans="1:9" ht="13.8">
      <c r="A101" s="784"/>
      <c r="B101" s="784"/>
      <c r="C101" s="784"/>
      <c r="D101" s="784"/>
      <c r="E101" s="784"/>
      <c r="F101" s="784"/>
      <c r="G101" s="784"/>
      <c r="H101" s="647"/>
      <c r="I101" s="784"/>
    </row>
    <row r="102" spans="1:9" ht="13.8">
      <c r="A102" s="784"/>
      <c r="B102" s="784"/>
      <c r="C102" s="784"/>
      <c r="D102" s="784"/>
      <c r="E102" s="784"/>
      <c r="F102" s="784"/>
      <c r="G102" s="784"/>
      <c r="H102" s="647"/>
      <c r="I102" s="784"/>
    </row>
    <row r="103" spans="1:9" ht="13.8">
      <c r="A103" s="784"/>
      <c r="B103" s="784"/>
      <c r="C103" s="784"/>
      <c r="D103" s="784"/>
      <c r="E103" s="784"/>
      <c r="F103" s="784"/>
      <c r="G103" s="784"/>
      <c r="H103" s="647"/>
      <c r="I103" s="784"/>
    </row>
    <row r="104" spans="1:9" ht="13.8">
      <c r="A104" s="784"/>
      <c r="B104" s="784"/>
      <c r="C104" s="784"/>
      <c r="D104" s="784"/>
      <c r="E104" s="784"/>
      <c r="F104" s="784"/>
      <c r="G104" s="784"/>
      <c r="H104" s="647"/>
      <c r="I104" s="784"/>
    </row>
    <row r="105" spans="1:9" ht="13.8">
      <c r="A105" s="784"/>
      <c r="B105" s="784"/>
      <c r="C105" s="784"/>
      <c r="D105" s="784"/>
      <c r="E105" s="784"/>
      <c r="F105" s="784"/>
      <c r="G105" s="784"/>
      <c r="H105" s="647"/>
      <c r="I105" s="784"/>
    </row>
    <row r="106" spans="1:9" ht="13.8">
      <c r="A106" s="784"/>
      <c r="B106" s="784"/>
      <c r="C106" s="784"/>
      <c r="D106" s="784"/>
      <c r="E106" s="784"/>
      <c r="F106" s="784"/>
      <c r="G106" s="784"/>
      <c r="H106" s="647"/>
      <c r="I106" s="784"/>
    </row>
    <row r="107" spans="1:9" ht="13.8">
      <c r="A107" s="784"/>
      <c r="B107" s="784"/>
      <c r="C107" s="784"/>
      <c r="D107" s="784"/>
      <c r="E107" s="784"/>
      <c r="F107" s="784"/>
      <c r="G107" s="784"/>
      <c r="H107" s="647"/>
      <c r="I107" s="784"/>
    </row>
    <row r="108" spans="1:9" ht="13.8">
      <c r="A108" s="784"/>
      <c r="B108" s="784"/>
      <c r="C108" s="784"/>
      <c r="D108" s="784"/>
      <c r="E108" s="784"/>
      <c r="F108" s="784"/>
      <c r="G108" s="784"/>
      <c r="H108" s="647"/>
      <c r="I108" s="784"/>
    </row>
    <row r="109" spans="1:9" ht="13.8">
      <c r="A109" s="784"/>
      <c r="B109" s="784"/>
      <c r="C109" s="784"/>
      <c r="D109" s="784"/>
      <c r="E109" s="784"/>
      <c r="F109" s="784"/>
      <c r="G109" s="784"/>
      <c r="H109" s="647"/>
      <c r="I109" s="784"/>
    </row>
    <row r="110" spans="1:9" ht="13.8">
      <c r="A110" s="784"/>
      <c r="B110" s="784"/>
      <c r="C110" s="784"/>
      <c r="D110" s="784"/>
      <c r="E110" s="784"/>
      <c r="F110" s="784"/>
      <c r="G110" s="784"/>
      <c r="H110" s="647"/>
      <c r="I110" s="784"/>
    </row>
    <row r="111" spans="1:9" ht="13.8">
      <c r="A111" s="784"/>
      <c r="B111" s="784"/>
      <c r="C111" s="784"/>
      <c r="D111" s="784"/>
      <c r="E111" s="784"/>
      <c r="F111" s="784"/>
      <c r="G111" s="784"/>
      <c r="H111" s="647"/>
      <c r="I111" s="784"/>
    </row>
    <row r="112" spans="1:9" ht="13.8">
      <c r="A112" s="784"/>
      <c r="B112" s="784"/>
      <c r="C112" s="784"/>
      <c r="D112" s="784"/>
      <c r="E112" s="784"/>
      <c r="F112" s="784"/>
      <c r="G112" s="784"/>
      <c r="H112" s="647"/>
      <c r="I112" s="784"/>
    </row>
    <row r="113" spans="1:9" ht="13.8">
      <c r="A113" s="784"/>
      <c r="B113" s="784"/>
      <c r="C113" s="784"/>
      <c r="D113" s="784"/>
      <c r="E113" s="784"/>
      <c r="F113" s="784"/>
      <c r="G113" s="784"/>
      <c r="H113" s="647"/>
      <c r="I113" s="784"/>
    </row>
    <row r="114" spans="1:9" ht="13.8">
      <c r="A114" s="784"/>
      <c r="B114" s="784"/>
      <c r="C114" s="784"/>
      <c r="D114" s="784"/>
      <c r="E114" s="784"/>
      <c r="F114" s="784"/>
      <c r="G114" s="784"/>
      <c r="H114" s="647"/>
      <c r="I114" s="784"/>
    </row>
    <row r="115" spans="1:9" ht="13.8">
      <c r="A115" s="784"/>
      <c r="B115" s="784"/>
      <c r="C115" s="784"/>
      <c r="D115" s="784"/>
      <c r="E115" s="784"/>
      <c r="F115" s="784"/>
      <c r="G115" s="784"/>
      <c r="H115" s="647"/>
      <c r="I115" s="784"/>
    </row>
    <row r="116" spans="1:9" ht="13.8">
      <c r="A116" s="784"/>
      <c r="B116" s="784"/>
      <c r="C116" s="784"/>
      <c r="D116" s="784"/>
      <c r="E116" s="784"/>
      <c r="F116" s="784"/>
      <c r="G116" s="784"/>
      <c r="H116" s="647"/>
      <c r="I116" s="784"/>
    </row>
    <row r="117" spans="1:9" ht="13.8">
      <c r="A117" s="784"/>
      <c r="B117" s="784"/>
      <c r="C117" s="784"/>
      <c r="D117" s="784"/>
      <c r="E117" s="784"/>
      <c r="F117" s="784"/>
      <c r="G117" s="784"/>
      <c r="H117" s="647"/>
      <c r="I117" s="784"/>
    </row>
    <row r="118" spans="1:9" ht="13.8">
      <c r="A118" s="784"/>
      <c r="B118" s="784"/>
      <c r="C118" s="784"/>
      <c r="D118" s="784"/>
      <c r="E118" s="784"/>
      <c r="F118" s="784"/>
      <c r="G118" s="784"/>
      <c r="H118" s="647"/>
      <c r="I118" s="784"/>
    </row>
    <row r="119" spans="1:9" ht="13.8">
      <c r="A119" s="784"/>
      <c r="B119" s="784"/>
      <c r="C119" s="784"/>
      <c r="D119" s="784"/>
      <c r="E119" s="784"/>
      <c r="F119" s="784"/>
      <c r="G119" s="784"/>
      <c r="H119" s="647"/>
      <c r="I119" s="784"/>
    </row>
    <row r="120" spans="1:9" ht="13.8">
      <c r="A120" s="784"/>
      <c r="B120" s="784"/>
      <c r="C120" s="784"/>
      <c r="D120" s="784"/>
      <c r="E120" s="784"/>
      <c r="F120" s="784"/>
      <c r="G120" s="784"/>
      <c r="H120" s="647"/>
      <c r="I120" s="784"/>
    </row>
    <row r="121" spans="1:9" ht="13.8">
      <c r="A121" s="784"/>
      <c r="B121" s="784"/>
      <c r="C121" s="784"/>
      <c r="D121" s="784"/>
      <c r="E121" s="784"/>
      <c r="F121" s="784"/>
      <c r="G121" s="784"/>
      <c r="H121" s="647"/>
      <c r="I121" s="784"/>
    </row>
    <row r="122" spans="1:9" ht="13.8">
      <c r="A122" s="784"/>
      <c r="B122" s="784"/>
      <c r="C122" s="784"/>
      <c r="D122" s="784"/>
      <c r="E122" s="784"/>
      <c r="F122" s="784"/>
      <c r="G122" s="784"/>
      <c r="H122" s="647"/>
      <c r="I122" s="784"/>
    </row>
    <row r="123" spans="1:9" ht="13.8">
      <c r="A123" s="784"/>
      <c r="B123" s="784"/>
      <c r="C123" s="784"/>
      <c r="D123" s="784"/>
      <c r="E123" s="784"/>
      <c r="F123" s="784"/>
      <c r="G123" s="784"/>
      <c r="H123" s="647"/>
      <c r="I123" s="784"/>
    </row>
    <row r="124" spans="1:9" ht="13.8">
      <c r="A124" s="784"/>
      <c r="B124" s="784"/>
      <c r="C124" s="784"/>
      <c r="D124" s="784"/>
      <c r="E124" s="784"/>
      <c r="F124" s="784"/>
      <c r="G124" s="784"/>
      <c r="H124" s="647"/>
      <c r="I124" s="784"/>
    </row>
    <row r="125" spans="1:9" ht="13.8">
      <c r="A125" s="784"/>
      <c r="B125" s="784"/>
      <c r="C125" s="784"/>
      <c r="D125" s="784"/>
      <c r="E125" s="784"/>
      <c r="F125" s="784"/>
      <c r="G125" s="784"/>
      <c r="H125" s="647"/>
      <c r="I125" s="784"/>
    </row>
    <row r="126" spans="1:9" ht="13.8">
      <c r="A126" s="784"/>
      <c r="B126" s="784"/>
      <c r="C126" s="784"/>
      <c r="D126" s="784"/>
      <c r="E126" s="784"/>
      <c r="F126" s="784"/>
      <c r="G126" s="784"/>
      <c r="H126" s="647"/>
      <c r="I126" s="784"/>
    </row>
    <row r="127" spans="1:9" ht="13.8">
      <c r="A127" s="784"/>
      <c r="B127" s="784"/>
      <c r="C127" s="784"/>
      <c r="D127" s="784"/>
      <c r="E127" s="784"/>
      <c r="F127" s="784"/>
      <c r="G127" s="784"/>
      <c r="H127" s="647"/>
      <c r="I127" s="784"/>
    </row>
    <row r="128" spans="1:9" ht="13.8">
      <c r="A128" s="784"/>
      <c r="B128" s="784"/>
      <c r="C128" s="784"/>
      <c r="D128" s="784"/>
      <c r="E128" s="784"/>
      <c r="F128" s="784"/>
      <c r="G128" s="784"/>
      <c r="H128" s="647"/>
      <c r="I128" s="784"/>
    </row>
    <row r="129" spans="1:9" ht="13.8">
      <c r="A129" s="784"/>
      <c r="B129" s="784"/>
      <c r="C129" s="784"/>
      <c r="D129" s="784"/>
      <c r="E129" s="784"/>
      <c r="F129" s="784"/>
      <c r="G129" s="784"/>
      <c r="H129" s="647"/>
      <c r="I129" s="784"/>
    </row>
    <row r="130" spans="1:9" ht="13.8">
      <c r="A130" s="784"/>
      <c r="B130" s="784"/>
      <c r="C130" s="784"/>
      <c r="D130" s="784"/>
      <c r="E130" s="784"/>
      <c r="F130" s="784"/>
      <c r="G130" s="784"/>
      <c r="H130" s="647"/>
      <c r="I130" s="784"/>
    </row>
    <row r="131" spans="1:9" ht="13.8">
      <c r="A131" s="784"/>
      <c r="B131" s="784"/>
      <c r="C131" s="784"/>
      <c r="D131" s="784"/>
      <c r="E131" s="784"/>
      <c r="F131" s="784"/>
      <c r="G131" s="784"/>
      <c r="H131" s="647"/>
      <c r="I131" s="784"/>
    </row>
    <row r="132" spans="1:9" ht="13.8">
      <c r="A132" s="784"/>
      <c r="B132" s="784"/>
      <c r="C132" s="784"/>
      <c r="D132" s="784"/>
      <c r="E132" s="784"/>
      <c r="F132" s="784"/>
      <c r="G132" s="784"/>
      <c r="H132" s="647"/>
      <c r="I132" s="784"/>
    </row>
    <row r="133" spans="1:9" ht="13.8">
      <c r="A133" s="784"/>
      <c r="B133" s="784"/>
      <c r="C133" s="784"/>
      <c r="D133" s="784"/>
      <c r="E133" s="784"/>
      <c r="F133" s="784"/>
      <c r="G133" s="784"/>
      <c r="H133" s="647"/>
      <c r="I133" s="784"/>
    </row>
    <row r="134" spans="1:9" ht="13.8">
      <c r="A134" s="784"/>
      <c r="B134" s="784"/>
      <c r="C134" s="784"/>
      <c r="D134" s="784"/>
      <c r="E134" s="784"/>
      <c r="F134" s="784"/>
      <c r="G134" s="784"/>
      <c r="H134" s="647"/>
      <c r="I134" s="784"/>
    </row>
    <row r="135" spans="1:9" ht="13.8">
      <c r="A135" s="784"/>
      <c r="B135" s="784"/>
      <c r="C135" s="784"/>
      <c r="D135" s="784"/>
      <c r="E135" s="784"/>
      <c r="F135" s="784"/>
      <c r="G135" s="784"/>
      <c r="H135" s="647"/>
      <c r="I135" s="784"/>
    </row>
    <row r="136" spans="1:9" ht="13.8">
      <c r="A136" s="784"/>
      <c r="B136" s="784"/>
      <c r="C136" s="784"/>
      <c r="D136" s="784"/>
      <c r="E136" s="784"/>
      <c r="F136" s="784"/>
      <c r="G136" s="784"/>
      <c r="H136" s="647"/>
      <c r="I136" s="784"/>
    </row>
    <row r="137" spans="1:9" ht="13.8">
      <c r="A137" s="784"/>
      <c r="B137" s="784"/>
      <c r="C137" s="784"/>
      <c r="D137" s="784"/>
      <c r="E137" s="784"/>
      <c r="F137" s="784"/>
      <c r="G137" s="784"/>
      <c r="H137" s="647"/>
      <c r="I137" s="784"/>
    </row>
    <row r="138" spans="1:9" ht="13.8">
      <c r="A138" s="784"/>
      <c r="B138" s="784"/>
      <c r="C138" s="784"/>
      <c r="D138" s="784"/>
      <c r="E138" s="784"/>
      <c r="F138" s="784"/>
      <c r="G138" s="784"/>
      <c r="H138" s="647"/>
      <c r="I138" s="784"/>
    </row>
    <row r="139" spans="1:9" ht="13.8">
      <c r="A139" s="784"/>
      <c r="B139" s="784"/>
      <c r="C139" s="784"/>
      <c r="D139" s="784"/>
      <c r="E139" s="784"/>
      <c r="F139" s="784"/>
      <c r="G139" s="784"/>
      <c r="H139" s="647"/>
      <c r="I139" s="784"/>
    </row>
    <row r="140" spans="1:9" ht="13.8">
      <c r="A140" s="784"/>
      <c r="B140" s="784"/>
      <c r="C140" s="784"/>
      <c r="D140" s="784"/>
      <c r="E140" s="784"/>
      <c r="F140" s="784"/>
      <c r="G140" s="784"/>
      <c r="H140" s="647"/>
      <c r="I140" s="784"/>
    </row>
    <row r="141" spans="1:9" ht="13.8">
      <c r="A141" s="784"/>
      <c r="B141" s="784"/>
      <c r="C141" s="784"/>
      <c r="D141" s="784"/>
      <c r="E141" s="784"/>
      <c r="F141" s="784"/>
      <c r="G141" s="784"/>
      <c r="H141" s="647"/>
      <c r="I141" s="784"/>
    </row>
    <row r="142" spans="1:9" ht="13.8">
      <c r="A142" s="784"/>
      <c r="B142" s="784"/>
      <c r="C142" s="784"/>
      <c r="D142" s="784"/>
      <c r="E142" s="784"/>
      <c r="F142" s="784"/>
      <c r="G142" s="784"/>
      <c r="H142" s="647"/>
      <c r="I142" s="784"/>
    </row>
    <row r="143" spans="1:9" ht="13.8">
      <c r="A143" s="784"/>
      <c r="B143" s="784"/>
      <c r="C143" s="784"/>
      <c r="D143" s="784"/>
      <c r="E143" s="784"/>
      <c r="F143" s="784"/>
      <c r="G143" s="784"/>
      <c r="H143" s="647"/>
      <c r="I143" s="784"/>
    </row>
    <row r="144" spans="1:9" ht="13.8">
      <c r="A144" s="784"/>
      <c r="B144" s="784"/>
      <c r="C144" s="784"/>
      <c r="D144" s="784"/>
      <c r="E144" s="784"/>
      <c r="F144" s="784"/>
      <c r="G144" s="784"/>
      <c r="H144" s="647"/>
      <c r="I144" s="784"/>
    </row>
    <row r="145" spans="1:9" ht="13.8">
      <c r="A145" s="784"/>
      <c r="B145" s="784"/>
      <c r="C145" s="784"/>
      <c r="D145" s="784"/>
      <c r="E145" s="784"/>
      <c r="F145" s="784"/>
      <c r="G145" s="784"/>
      <c r="H145" s="647"/>
      <c r="I145" s="784"/>
    </row>
    <row r="146" spans="1:9" ht="13.8">
      <c r="A146" s="784"/>
      <c r="B146" s="784"/>
      <c r="C146" s="784"/>
      <c r="D146" s="784"/>
      <c r="E146" s="784"/>
      <c r="F146" s="784"/>
      <c r="G146" s="784"/>
      <c r="H146" s="647"/>
      <c r="I146" s="784"/>
    </row>
    <row r="147" spans="1:9" ht="13.8">
      <c r="A147" s="784"/>
      <c r="B147" s="784"/>
      <c r="C147" s="784"/>
      <c r="D147" s="784"/>
      <c r="E147" s="784"/>
      <c r="F147" s="784"/>
      <c r="G147" s="784"/>
      <c r="H147" s="647"/>
      <c r="I147" s="784"/>
    </row>
    <row r="148" spans="1:9" ht="13.8">
      <c r="A148" s="784"/>
      <c r="B148" s="784"/>
      <c r="C148" s="784"/>
      <c r="D148" s="784"/>
      <c r="E148" s="784"/>
      <c r="F148" s="784"/>
      <c r="G148" s="784"/>
      <c r="H148" s="647"/>
      <c r="I148" s="784"/>
    </row>
    <row r="149" spans="1:9" ht="13.8">
      <c r="A149" s="784"/>
      <c r="B149" s="784"/>
      <c r="C149" s="784"/>
      <c r="D149" s="784"/>
      <c r="E149" s="784"/>
      <c r="F149" s="784"/>
      <c r="G149" s="784"/>
      <c r="H149" s="647"/>
      <c r="I149" s="784"/>
    </row>
    <row r="150" spans="1:9" ht="13.8">
      <c r="A150" s="784"/>
      <c r="B150" s="784"/>
      <c r="C150" s="784"/>
      <c r="D150" s="784"/>
      <c r="E150" s="784"/>
      <c r="F150" s="784"/>
      <c r="G150" s="784"/>
      <c r="H150" s="647"/>
      <c r="I150" s="784"/>
    </row>
    <row r="151" spans="1:9" ht="13.8">
      <c r="A151" s="784"/>
      <c r="B151" s="784"/>
      <c r="C151" s="784"/>
      <c r="D151" s="784"/>
      <c r="E151" s="784"/>
      <c r="F151" s="784"/>
      <c r="G151" s="784"/>
      <c r="H151" s="647"/>
      <c r="I151" s="784"/>
    </row>
    <row r="152" spans="1:9" ht="13.8">
      <c r="A152" s="784"/>
      <c r="B152" s="784"/>
      <c r="C152" s="784"/>
      <c r="D152" s="784"/>
      <c r="E152" s="784"/>
      <c r="F152" s="784"/>
      <c r="G152" s="784"/>
      <c r="H152" s="647"/>
      <c r="I152" s="784"/>
    </row>
    <row r="153" spans="1:9" ht="13.8">
      <c r="A153" s="784"/>
      <c r="B153" s="784"/>
      <c r="C153" s="784"/>
      <c r="D153" s="784"/>
      <c r="E153" s="784"/>
      <c r="F153" s="784"/>
      <c r="G153" s="784"/>
      <c r="H153" s="647"/>
      <c r="I153" s="784"/>
    </row>
    <row r="154" spans="1:9" ht="13.8">
      <c r="A154" s="784"/>
      <c r="B154" s="784"/>
      <c r="C154" s="784"/>
      <c r="D154" s="784"/>
      <c r="E154" s="784"/>
      <c r="F154" s="784"/>
      <c r="G154" s="784"/>
      <c r="H154" s="647"/>
      <c r="I154" s="784"/>
    </row>
    <row r="155" spans="1:9" ht="13.8">
      <c r="A155" s="784"/>
      <c r="B155" s="784"/>
      <c r="C155" s="784"/>
      <c r="D155" s="784"/>
      <c r="E155" s="784"/>
      <c r="F155" s="784"/>
      <c r="G155" s="784"/>
      <c r="H155" s="647"/>
      <c r="I155" s="784"/>
    </row>
    <row r="156" spans="1:9" ht="13.8">
      <c r="A156" s="784"/>
      <c r="B156" s="784"/>
      <c r="C156" s="784"/>
      <c r="D156" s="784"/>
      <c r="E156" s="784"/>
      <c r="F156" s="784"/>
      <c r="G156" s="784"/>
      <c r="H156" s="647"/>
      <c r="I156" s="784"/>
    </row>
    <row r="157" spans="1:9" ht="13.8">
      <c r="A157" s="784"/>
      <c r="B157" s="784"/>
      <c r="C157" s="784"/>
      <c r="D157" s="784"/>
      <c r="E157" s="784"/>
      <c r="F157" s="784"/>
      <c r="G157" s="784"/>
      <c r="H157" s="647"/>
      <c r="I157" s="784"/>
    </row>
    <row r="158" spans="1:9" ht="13.8">
      <c r="A158" s="784"/>
      <c r="B158" s="784"/>
      <c r="C158" s="784"/>
      <c r="D158" s="784"/>
      <c r="E158" s="784"/>
      <c r="F158" s="784"/>
      <c r="G158" s="784"/>
      <c r="H158" s="647"/>
      <c r="I158" s="784"/>
    </row>
    <row r="159" spans="1:9" ht="13.8">
      <c r="A159" s="784"/>
      <c r="B159" s="784"/>
      <c r="C159" s="784"/>
      <c r="D159" s="784"/>
      <c r="E159" s="784"/>
      <c r="F159" s="784"/>
      <c r="G159" s="784"/>
      <c r="H159" s="647"/>
      <c r="I159" s="784"/>
    </row>
    <row r="160" spans="1:9" ht="13.8">
      <c r="A160" s="784"/>
      <c r="B160" s="784"/>
      <c r="C160" s="784"/>
      <c r="D160" s="784"/>
      <c r="E160" s="784"/>
      <c r="F160" s="784"/>
      <c r="G160" s="784"/>
      <c r="H160" s="647"/>
      <c r="I160" s="784"/>
    </row>
    <row r="161" spans="1:9" ht="13.8">
      <c r="A161" s="784"/>
      <c r="B161" s="784"/>
      <c r="C161" s="784"/>
      <c r="D161" s="784"/>
      <c r="E161" s="784"/>
      <c r="F161" s="784"/>
      <c r="G161" s="784"/>
      <c r="H161" s="647"/>
      <c r="I161" s="784"/>
    </row>
    <row r="162" spans="1:9" ht="13.8">
      <c r="A162" s="784"/>
      <c r="B162" s="784"/>
      <c r="C162" s="784"/>
      <c r="D162" s="784"/>
      <c r="E162" s="784"/>
      <c r="F162" s="784"/>
      <c r="G162" s="784"/>
      <c r="H162" s="647"/>
      <c r="I162" s="784"/>
    </row>
    <row r="163" spans="1:9" ht="13.8">
      <c r="A163" s="784"/>
      <c r="B163" s="784"/>
      <c r="C163" s="784"/>
      <c r="D163" s="784"/>
      <c r="E163" s="784"/>
      <c r="F163" s="784"/>
      <c r="G163" s="784"/>
      <c r="H163" s="647"/>
      <c r="I163" s="784"/>
    </row>
    <row r="164" spans="1:9" ht="13.8">
      <c r="A164" s="784"/>
      <c r="B164" s="784"/>
      <c r="C164" s="784"/>
      <c r="D164" s="784"/>
      <c r="E164" s="784"/>
      <c r="F164" s="784"/>
      <c r="G164" s="784"/>
      <c r="H164" s="647"/>
      <c r="I164" s="784"/>
    </row>
    <row r="165" spans="1:9" ht="13.8">
      <c r="A165" s="784"/>
      <c r="B165" s="784"/>
      <c r="C165" s="784"/>
      <c r="D165" s="784"/>
      <c r="E165" s="784"/>
      <c r="F165" s="784"/>
      <c r="G165" s="784"/>
      <c r="H165" s="647"/>
      <c r="I165" s="784"/>
    </row>
    <row r="166" spans="1:9" ht="13.8">
      <c r="A166" s="784"/>
      <c r="B166" s="784"/>
      <c r="C166" s="784"/>
      <c r="D166" s="784"/>
      <c r="E166" s="784"/>
      <c r="F166" s="784"/>
      <c r="G166" s="784"/>
      <c r="H166" s="647"/>
      <c r="I166" s="784"/>
    </row>
    <row r="167" spans="1:9" ht="13.8">
      <c r="A167" s="784"/>
      <c r="B167" s="784"/>
      <c r="C167" s="784"/>
      <c r="D167" s="784"/>
      <c r="E167" s="784"/>
      <c r="F167" s="784"/>
      <c r="G167" s="784"/>
      <c r="H167" s="647"/>
      <c r="I167" s="784"/>
    </row>
    <row r="168" spans="1:9" ht="13.8">
      <c r="A168" s="784"/>
      <c r="B168" s="784"/>
      <c r="C168" s="784"/>
      <c r="D168" s="784"/>
      <c r="E168" s="784"/>
      <c r="F168" s="784"/>
      <c r="G168" s="784"/>
      <c r="H168" s="647"/>
      <c r="I168" s="784"/>
    </row>
    <row r="169" spans="1:9" ht="13.8">
      <c r="A169" s="784"/>
      <c r="B169" s="784"/>
      <c r="C169" s="784"/>
      <c r="D169" s="784"/>
      <c r="E169" s="784"/>
      <c r="F169" s="784"/>
      <c r="G169" s="784"/>
      <c r="H169" s="647"/>
      <c r="I169" s="784"/>
    </row>
    <row r="170" spans="1:9" ht="13.8">
      <c r="A170" s="784"/>
      <c r="B170" s="784"/>
      <c r="C170" s="784"/>
      <c r="D170" s="784"/>
      <c r="E170" s="784"/>
      <c r="F170" s="784"/>
      <c r="G170" s="784"/>
      <c r="H170" s="647"/>
      <c r="I170" s="784"/>
    </row>
    <row r="171" spans="1:9" ht="13.8">
      <c r="A171" s="784"/>
      <c r="B171" s="784"/>
      <c r="C171" s="784"/>
      <c r="D171" s="784"/>
      <c r="E171" s="784"/>
      <c r="F171" s="784"/>
      <c r="G171" s="784"/>
      <c r="H171" s="647"/>
      <c r="I171" s="784"/>
    </row>
    <row r="172" spans="1:9" ht="13.8">
      <c r="A172" s="784"/>
      <c r="B172" s="784"/>
      <c r="C172" s="784"/>
      <c r="D172" s="784"/>
      <c r="E172" s="784"/>
      <c r="F172" s="784"/>
      <c r="G172" s="784"/>
      <c r="H172" s="647"/>
      <c r="I172" s="784"/>
    </row>
    <row r="173" spans="1:9" ht="13.8">
      <c r="A173" s="784"/>
      <c r="B173" s="784"/>
      <c r="C173" s="784"/>
      <c r="D173" s="784"/>
      <c r="E173" s="784"/>
      <c r="F173" s="784"/>
      <c r="G173" s="784"/>
      <c r="H173" s="647"/>
      <c r="I173" s="784"/>
    </row>
    <row r="174" spans="1:9" ht="13.8">
      <c r="A174" s="784"/>
      <c r="B174" s="784"/>
      <c r="C174" s="784"/>
      <c r="D174" s="784"/>
      <c r="E174" s="784"/>
      <c r="F174" s="784"/>
      <c r="G174" s="784"/>
      <c r="H174" s="647"/>
      <c r="I174" s="784"/>
    </row>
    <row r="175" spans="1:9" ht="13.8">
      <c r="A175" s="784"/>
      <c r="B175" s="784"/>
      <c r="C175" s="784"/>
      <c r="D175" s="784"/>
      <c r="E175" s="784"/>
      <c r="F175" s="784"/>
      <c r="G175" s="784"/>
      <c r="H175" s="647"/>
      <c r="I175" s="784"/>
    </row>
    <row r="176" spans="1:9" ht="13.8">
      <c r="A176" s="784"/>
      <c r="B176" s="784"/>
      <c r="C176" s="784"/>
      <c r="D176" s="784"/>
      <c r="E176" s="784"/>
      <c r="F176" s="784"/>
      <c r="G176" s="784"/>
      <c r="H176" s="647"/>
      <c r="I176" s="784"/>
    </row>
    <row r="177" spans="1:9" ht="13.8">
      <c r="A177" s="784"/>
      <c r="B177" s="784"/>
      <c r="C177" s="784"/>
      <c r="D177" s="784"/>
      <c r="E177" s="784"/>
      <c r="F177" s="784"/>
      <c r="G177" s="784"/>
      <c r="H177" s="647"/>
      <c r="I177" s="784"/>
    </row>
    <row r="178" spans="1:9" ht="13.8">
      <c r="A178" s="784"/>
      <c r="B178" s="784"/>
      <c r="C178" s="784"/>
      <c r="D178" s="784"/>
      <c r="E178" s="784"/>
      <c r="F178" s="784"/>
      <c r="G178" s="784"/>
      <c r="H178" s="647"/>
      <c r="I178" s="784"/>
    </row>
    <row r="179" spans="1:9" ht="13.8">
      <c r="A179" s="784"/>
      <c r="B179" s="784"/>
      <c r="C179" s="784"/>
      <c r="D179" s="784"/>
      <c r="E179" s="784"/>
      <c r="F179" s="784"/>
      <c r="G179" s="784"/>
      <c r="H179" s="647"/>
      <c r="I179" s="784"/>
    </row>
    <row r="180" spans="1:9" ht="13.8">
      <c r="A180" s="784"/>
      <c r="B180" s="784"/>
      <c r="C180" s="784"/>
      <c r="D180" s="784"/>
      <c r="E180" s="784"/>
      <c r="F180" s="784"/>
      <c r="G180" s="784"/>
      <c r="H180" s="647"/>
      <c r="I180" s="784"/>
    </row>
    <row r="181" spans="1:9" ht="13.8">
      <c r="A181" s="784"/>
      <c r="B181" s="784"/>
      <c r="C181" s="784"/>
      <c r="D181" s="784"/>
      <c r="E181" s="784"/>
      <c r="F181" s="784"/>
      <c r="G181" s="784"/>
      <c r="H181" s="647"/>
      <c r="I181" s="784"/>
    </row>
    <row r="182" spans="1:9" ht="13.8">
      <c r="A182" s="784"/>
      <c r="B182" s="784"/>
      <c r="C182" s="784"/>
      <c r="D182" s="784"/>
      <c r="E182" s="784"/>
      <c r="F182" s="784"/>
      <c r="G182" s="784"/>
      <c r="H182" s="647"/>
      <c r="I182" s="784"/>
    </row>
    <row r="183" spans="1:9" ht="13.8">
      <c r="A183" s="784"/>
      <c r="B183" s="784"/>
      <c r="C183" s="784"/>
      <c r="D183" s="784"/>
      <c r="E183" s="784"/>
      <c r="F183" s="784"/>
      <c r="G183" s="784"/>
      <c r="H183" s="647"/>
      <c r="I183" s="784"/>
    </row>
    <row r="184" spans="1:9" ht="13.8">
      <c r="A184" s="784"/>
      <c r="B184" s="784"/>
      <c r="C184" s="784"/>
      <c r="D184" s="784"/>
      <c r="E184" s="784"/>
      <c r="F184" s="784"/>
      <c r="G184" s="784"/>
      <c r="H184" s="647"/>
      <c r="I184" s="784"/>
    </row>
    <row r="185" spans="1:9" ht="13.8">
      <c r="A185" s="784"/>
      <c r="B185" s="784"/>
      <c r="C185" s="784"/>
      <c r="D185" s="784"/>
      <c r="E185" s="784"/>
      <c r="F185" s="784"/>
      <c r="G185" s="784"/>
      <c r="H185" s="647"/>
      <c r="I185" s="784"/>
    </row>
    <row r="186" spans="1:9" ht="13.8">
      <c r="A186" s="784"/>
      <c r="B186" s="784"/>
      <c r="C186" s="784"/>
      <c r="D186" s="784"/>
      <c r="E186" s="784"/>
      <c r="F186" s="784"/>
      <c r="G186" s="784"/>
      <c r="H186" s="647"/>
      <c r="I186" s="784"/>
    </row>
    <row r="187" spans="1:9" ht="13.8">
      <c r="A187" s="784"/>
      <c r="B187" s="784"/>
      <c r="C187" s="784"/>
      <c r="D187" s="784"/>
      <c r="E187" s="784"/>
      <c r="F187" s="784"/>
      <c r="G187" s="784"/>
      <c r="H187" s="647"/>
      <c r="I187" s="784"/>
    </row>
    <row r="188" spans="1:9" ht="13.8">
      <c r="A188" s="784"/>
      <c r="B188" s="784"/>
      <c r="C188" s="784"/>
      <c r="D188" s="784"/>
      <c r="E188" s="784"/>
      <c r="F188" s="784"/>
      <c r="G188" s="784"/>
      <c r="H188" s="647"/>
      <c r="I188" s="784"/>
    </row>
    <row r="189" spans="1:9" ht="13.8">
      <c r="A189" s="784"/>
      <c r="B189" s="784"/>
      <c r="C189" s="784"/>
      <c r="D189" s="784"/>
      <c r="E189" s="784"/>
      <c r="F189" s="784"/>
      <c r="G189" s="784"/>
      <c r="H189" s="647"/>
      <c r="I189" s="784"/>
    </row>
    <row r="190" spans="1:9" ht="13.8">
      <c r="A190" s="784"/>
      <c r="B190" s="784"/>
      <c r="C190" s="784"/>
      <c r="D190" s="784"/>
      <c r="E190" s="784"/>
      <c r="F190" s="784"/>
      <c r="G190" s="784"/>
      <c r="H190" s="647"/>
      <c r="I190" s="784"/>
    </row>
    <row r="191" spans="1:9" ht="13.8">
      <c r="A191" s="784"/>
      <c r="B191" s="784"/>
      <c r="C191" s="784"/>
      <c r="D191" s="784"/>
      <c r="E191" s="784"/>
      <c r="F191" s="784"/>
      <c r="G191" s="784"/>
      <c r="H191" s="647"/>
      <c r="I191" s="784"/>
    </row>
    <row r="192" spans="1:9" ht="13.8">
      <c r="A192" s="784"/>
      <c r="B192" s="784"/>
      <c r="C192" s="784"/>
      <c r="D192" s="784"/>
      <c r="E192" s="784"/>
      <c r="F192" s="784"/>
      <c r="G192" s="784"/>
      <c r="H192" s="647"/>
      <c r="I192" s="784"/>
    </row>
    <row r="193" spans="1:9" ht="13.8">
      <c r="A193" s="784"/>
      <c r="B193" s="784"/>
      <c r="C193" s="784"/>
      <c r="D193" s="784"/>
      <c r="E193" s="784"/>
      <c r="F193" s="784"/>
      <c r="G193" s="784"/>
      <c r="H193" s="647"/>
      <c r="I193" s="784"/>
    </row>
    <row r="194" spans="1:9" ht="13.8">
      <c r="A194" s="784"/>
      <c r="B194" s="784"/>
      <c r="C194" s="784"/>
      <c r="D194" s="784"/>
      <c r="E194" s="784"/>
      <c r="F194" s="784"/>
      <c r="G194" s="784"/>
      <c r="H194" s="647"/>
      <c r="I194" s="784"/>
    </row>
    <row r="195" spans="1:9" ht="13.8">
      <c r="A195" s="784"/>
      <c r="B195" s="784"/>
      <c r="C195" s="784"/>
      <c r="D195" s="784"/>
      <c r="E195" s="784"/>
      <c r="F195" s="784"/>
      <c r="G195" s="784"/>
      <c r="H195" s="647"/>
      <c r="I195" s="784"/>
    </row>
    <row r="196" spans="1:9" ht="13.8">
      <c r="A196" s="784"/>
      <c r="B196" s="784"/>
      <c r="C196" s="784"/>
      <c r="D196" s="784"/>
      <c r="E196" s="784"/>
      <c r="F196" s="784"/>
      <c r="G196" s="784"/>
      <c r="H196" s="647"/>
      <c r="I196" s="784"/>
    </row>
    <row r="197" spans="1:9" ht="13.8">
      <c r="A197" s="784"/>
      <c r="B197" s="784"/>
      <c r="C197" s="784"/>
      <c r="D197" s="784"/>
      <c r="E197" s="784"/>
      <c r="F197" s="784"/>
      <c r="G197" s="784"/>
      <c r="H197" s="647"/>
      <c r="I197" s="784"/>
    </row>
    <row r="198" spans="1:9" ht="13.8">
      <c r="A198" s="784"/>
      <c r="B198" s="784"/>
      <c r="C198" s="784"/>
      <c r="D198" s="784"/>
      <c r="E198" s="784"/>
      <c r="F198" s="784"/>
      <c r="G198" s="784"/>
      <c r="H198" s="647"/>
      <c r="I198" s="784"/>
    </row>
    <row r="199" spans="1:9" ht="13.8">
      <c r="A199" s="784"/>
      <c r="B199" s="784"/>
      <c r="C199" s="784"/>
      <c r="D199" s="784"/>
      <c r="E199" s="784"/>
      <c r="F199" s="784"/>
      <c r="G199" s="784"/>
      <c r="H199" s="647"/>
      <c r="I199" s="784"/>
    </row>
    <row r="200" spans="1:9" ht="13.8">
      <c r="A200" s="784"/>
      <c r="B200" s="784"/>
      <c r="C200" s="784"/>
      <c r="D200" s="784"/>
      <c r="E200" s="784"/>
      <c r="F200" s="784"/>
      <c r="G200" s="784"/>
      <c r="H200" s="647"/>
      <c r="I200" s="784"/>
    </row>
    <row r="201" spans="1:9" ht="13.8">
      <c r="A201" s="784"/>
      <c r="B201" s="784"/>
      <c r="C201" s="784"/>
      <c r="D201" s="784"/>
      <c r="E201" s="784"/>
      <c r="F201" s="784"/>
      <c r="G201" s="784"/>
      <c r="H201" s="647"/>
      <c r="I201" s="784"/>
    </row>
    <row r="202" spans="1:9" ht="13.8">
      <c r="A202" s="784"/>
      <c r="B202" s="784"/>
      <c r="C202" s="784"/>
      <c r="D202" s="784"/>
      <c r="E202" s="784"/>
      <c r="F202" s="784"/>
      <c r="G202" s="784"/>
      <c r="H202" s="647"/>
      <c r="I202" s="784"/>
    </row>
    <row r="203" spans="1:9" ht="13.8">
      <c r="A203" s="784"/>
      <c r="B203" s="784"/>
      <c r="C203" s="784"/>
      <c r="D203" s="784"/>
      <c r="E203" s="784"/>
      <c r="F203" s="784"/>
      <c r="G203" s="784"/>
      <c r="H203" s="647"/>
      <c r="I203" s="784"/>
    </row>
    <row r="204" spans="1:9" ht="13.8">
      <c r="A204" s="784"/>
      <c r="B204" s="784"/>
      <c r="C204" s="784"/>
      <c r="D204" s="784"/>
      <c r="E204" s="784"/>
      <c r="F204" s="784"/>
      <c r="G204" s="784"/>
      <c r="H204" s="647"/>
      <c r="I204" s="784"/>
    </row>
    <row r="205" spans="1:9" ht="13.8">
      <c r="A205" s="784"/>
      <c r="B205" s="784"/>
      <c r="C205" s="784"/>
      <c r="D205" s="784"/>
      <c r="E205" s="784"/>
      <c r="F205" s="784"/>
      <c r="G205" s="784"/>
      <c r="H205" s="647"/>
      <c r="I205" s="784"/>
    </row>
    <row r="206" spans="1:9" ht="13.8">
      <c r="A206" s="784"/>
      <c r="B206" s="784"/>
      <c r="C206" s="784"/>
      <c r="D206" s="784"/>
      <c r="E206" s="784"/>
      <c r="F206" s="784"/>
      <c r="G206" s="784"/>
      <c r="H206" s="647"/>
      <c r="I206" s="784"/>
    </row>
    <row r="207" spans="1:9" ht="13.8">
      <c r="A207" s="784"/>
      <c r="B207" s="784"/>
      <c r="C207" s="784"/>
      <c r="D207" s="784"/>
      <c r="E207" s="784"/>
      <c r="F207" s="784"/>
      <c r="G207" s="784"/>
      <c r="H207" s="647"/>
      <c r="I207" s="784"/>
    </row>
    <row r="208" spans="1:9" ht="13.8">
      <c r="A208" s="784"/>
      <c r="B208" s="784"/>
      <c r="C208" s="784"/>
      <c r="D208" s="784"/>
      <c r="E208" s="784"/>
      <c r="F208" s="784"/>
      <c r="G208" s="784"/>
      <c r="H208" s="647"/>
      <c r="I208" s="784"/>
    </row>
    <row r="209" spans="1:9" ht="13.8">
      <c r="A209" s="784"/>
      <c r="B209" s="784"/>
      <c r="C209" s="784"/>
      <c r="D209" s="784"/>
      <c r="E209" s="784"/>
      <c r="F209" s="784"/>
      <c r="G209" s="784"/>
      <c r="H209" s="647"/>
      <c r="I209" s="784"/>
    </row>
    <row r="210" spans="1:9" ht="13.8">
      <c r="A210" s="784"/>
      <c r="B210" s="784"/>
      <c r="C210" s="784"/>
      <c r="D210" s="784"/>
      <c r="E210" s="784"/>
      <c r="F210" s="784"/>
      <c r="G210" s="784"/>
      <c r="H210" s="647"/>
      <c r="I210" s="784"/>
    </row>
    <row r="211" spans="1:9" ht="13.8">
      <c r="A211" s="784"/>
      <c r="B211" s="784"/>
      <c r="C211" s="784"/>
      <c r="D211" s="784"/>
      <c r="E211" s="784"/>
      <c r="F211" s="784"/>
      <c r="G211" s="784"/>
      <c r="H211" s="647"/>
      <c r="I211" s="784"/>
    </row>
    <row r="212" spans="1:9" ht="13.8">
      <c r="A212" s="784"/>
      <c r="B212" s="784"/>
      <c r="C212" s="784"/>
      <c r="D212" s="784"/>
      <c r="E212" s="784"/>
      <c r="F212" s="784"/>
      <c r="G212" s="784"/>
      <c r="H212" s="647"/>
      <c r="I212" s="784"/>
    </row>
    <row r="213" spans="1:9" ht="13.8">
      <c r="A213" s="784"/>
      <c r="B213" s="784"/>
      <c r="C213" s="784"/>
      <c r="D213" s="784"/>
      <c r="E213" s="784"/>
      <c r="F213" s="784"/>
      <c r="G213" s="784"/>
      <c r="H213" s="647"/>
      <c r="I213" s="784"/>
    </row>
    <row r="214" spans="1:9" ht="13.8">
      <c r="A214" s="784"/>
      <c r="B214" s="784"/>
      <c r="C214" s="784"/>
      <c r="D214" s="784"/>
      <c r="E214" s="784"/>
      <c r="F214" s="784"/>
      <c r="G214" s="784"/>
      <c r="H214" s="647"/>
      <c r="I214" s="784"/>
    </row>
    <row r="215" spans="1:9" ht="13.8">
      <c r="A215" s="784"/>
      <c r="B215" s="784"/>
      <c r="C215" s="784"/>
      <c r="D215" s="784"/>
      <c r="E215" s="784"/>
      <c r="F215" s="784"/>
      <c r="G215" s="784"/>
      <c r="H215" s="647"/>
      <c r="I215" s="784"/>
    </row>
    <row r="216" spans="1:9" ht="13.8">
      <c r="A216" s="784"/>
      <c r="B216" s="784"/>
      <c r="C216" s="784"/>
      <c r="D216" s="784"/>
      <c r="E216" s="784"/>
      <c r="F216" s="784"/>
      <c r="G216" s="784"/>
      <c r="H216" s="647"/>
      <c r="I216" s="784"/>
    </row>
    <row r="217" spans="1:9" ht="13.8">
      <c r="A217" s="784"/>
      <c r="B217" s="784"/>
      <c r="C217" s="784"/>
      <c r="D217" s="784"/>
      <c r="E217" s="784"/>
      <c r="F217" s="784"/>
      <c r="G217" s="784"/>
      <c r="H217" s="647"/>
      <c r="I217" s="784"/>
    </row>
    <row r="218" spans="1:9" ht="13.8">
      <c r="A218" s="784"/>
      <c r="B218" s="784"/>
      <c r="C218" s="784"/>
      <c r="D218" s="784"/>
      <c r="E218" s="784"/>
      <c r="F218" s="784"/>
      <c r="G218" s="784"/>
      <c r="H218" s="647"/>
      <c r="I218" s="784"/>
    </row>
    <row r="219" spans="1:9" ht="13.8">
      <c r="A219" s="784"/>
      <c r="B219" s="784"/>
      <c r="C219" s="784"/>
      <c r="D219" s="784"/>
      <c r="E219" s="784"/>
      <c r="F219" s="784"/>
      <c r="G219" s="784"/>
      <c r="H219" s="647"/>
      <c r="I219" s="784"/>
    </row>
    <row r="220" spans="1:9" ht="13.8">
      <c r="A220" s="784"/>
      <c r="B220" s="784"/>
      <c r="C220" s="784"/>
      <c r="D220" s="784"/>
      <c r="E220" s="784"/>
      <c r="F220" s="784"/>
      <c r="G220" s="784"/>
      <c r="H220" s="647"/>
      <c r="I220" s="784"/>
    </row>
    <row r="221" spans="1:9" ht="13.8">
      <c r="A221" s="784"/>
      <c r="B221" s="784"/>
      <c r="C221" s="784"/>
      <c r="D221" s="784"/>
      <c r="E221" s="784"/>
      <c r="F221" s="784"/>
      <c r="G221" s="784"/>
      <c r="H221" s="647"/>
      <c r="I221" s="784"/>
    </row>
    <row r="222" spans="1:9" ht="13.8">
      <c r="A222" s="784"/>
      <c r="B222" s="784"/>
      <c r="C222" s="784"/>
      <c r="D222" s="784"/>
      <c r="E222" s="784"/>
      <c r="F222" s="784"/>
      <c r="G222" s="784"/>
      <c r="H222" s="647"/>
      <c r="I222" s="784"/>
    </row>
    <row r="223" spans="1:9" ht="13.8">
      <c r="A223" s="784"/>
      <c r="B223" s="784"/>
      <c r="C223" s="784"/>
      <c r="D223" s="784"/>
      <c r="E223" s="784"/>
      <c r="F223" s="784"/>
      <c r="G223" s="784"/>
      <c r="H223" s="647"/>
      <c r="I223" s="784"/>
    </row>
    <row r="224" spans="1:9" ht="13.8">
      <c r="A224" s="784"/>
      <c r="B224" s="784"/>
      <c r="C224" s="784"/>
      <c r="D224" s="784"/>
      <c r="E224" s="784"/>
      <c r="F224" s="784"/>
      <c r="G224" s="784"/>
      <c r="H224" s="647"/>
      <c r="I224" s="784"/>
    </row>
    <row r="225" spans="1:9" ht="13.8">
      <c r="A225" s="784"/>
      <c r="B225" s="784"/>
      <c r="C225" s="784"/>
      <c r="D225" s="784"/>
      <c r="E225" s="784"/>
      <c r="F225" s="784"/>
      <c r="G225" s="784"/>
      <c r="H225" s="647"/>
      <c r="I225" s="784"/>
    </row>
    <row r="226" spans="1:9" ht="13.8">
      <c r="A226" s="784"/>
      <c r="B226" s="784"/>
      <c r="C226" s="784"/>
      <c r="D226" s="784"/>
      <c r="E226" s="784"/>
      <c r="F226" s="784"/>
      <c r="G226" s="784"/>
      <c r="H226" s="647"/>
      <c r="I226" s="784"/>
    </row>
    <row r="227" spans="1:9" ht="13.8">
      <c r="A227" s="784"/>
      <c r="B227" s="784"/>
      <c r="C227" s="784"/>
      <c r="D227" s="784"/>
      <c r="E227" s="784"/>
      <c r="F227" s="784"/>
      <c r="G227" s="784"/>
      <c r="H227" s="647"/>
      <c r="I227" s="784"/>
    </row>
    <row r="228" spans="1:9" ht="13.8">
      <c r="A228" s="784"/>
      <c r="B228" s="784"/>
      <c r="C228" s="784"/>
      <c r="D228" s="784"/>
      <c r="E228" s="784"/>
      <c r="F228" s="784"/>
      <c r="G228" s="784"/>
      <c r="H228" s="647"/>
      <c r="I228" s="784"/>
    </row>
    <row r="229" spans="1:9" ht="13.8">
      <c r="A229" s="784"/>
      <c r="B229" s="784"/>
      <c r="C229" s="784"/>
      <c r="D229" s="784"/>
      <c r="E229" s="784"/>
      <c r="F229" s="784"/>
      <c r="G229" s="784"/>
      <c r="H229" s="647"/>
      <c r="I229" s="784"/>
    </row>
    <row r="230" spans="1:9" ht="13.8">
      <c r="A230" s="784"/>
      <c r="B230" s="784"/>
      <c r="C230" s="784"/>
      <c r="D230" s="784"/>
      <c r="E230" s="784"/>
      <c r="F230" s="784"/>
      <c r="G230" s="784"/>
      <c r="H230" s="647"/>
      <c r="I230" s="784"/>
    </row>
    <row r="231" spans="1:9" ht="13.8">
      <c r="A231" s="784"/>
      <c r="B231" s="784"/>
      <c r="C231" s="784"/>
      <c r="D231" s="784"/>
      <c r="E231" s="784"/>
      <c r="F231" s="784"/>
      <c r="G231" s="784"/>
      <c r="H231" s="647"/>
      <c r="I231" s="784"/>
    </row>
    <row r="232" spans="1:9" ht="13.8">
      <c r="A232" s="784"/>
      <c r="B232" s="784"/>
      <c r="C232" s="784"/>
      <c r="D232" s="784"/>
      <c r="E232" s="784"/>
      <c r="F232" s="784"/>
      <c r="G232" s="784"/>
      <c r="H232" s="647"/>
      <c r="I232" s="784"/>
    </row>
    <row r="233" spans="1:9" ht="13.8">
      <c r="A233" s="784"/>
      <c r="B233" s="784"/>
      <c r="C233" s="784"/>
      <c r="D233" s="784"/>
      <c r="E233" s="784"/>
      <c r="F233" s="784"/>
      <c r="G233" s="784"/>
      <c r="H233" s="647"/>
      <c r="I233" s="784"/>
    </row>
    <row r="234" spans="1:9" ht="13.8">
      <c r="A234" s="784"/>
      <c r="B234" s="784"/>
      <c r="C234" s="784"/>
      <c r="D234" s="784"/>
      <c r="E234" s="784"/>
      <c r="F234" s="784"/>
      <c r="G234" s="784"/>
      <c r="H234" s="647"/>
      <c r="I234" s="784"/>
    </row>
    <row r="235" spans="1:9" ht="13.8">
      <c r="A235" s="784"/>
      <c r="B235" s="784"/>
      <c r="C235" s="784"/>
      <c r="D235" s="784"/>
      <c r="E235" s="784"/>
      <c r="F235" s="784"/>
      <c r="G235" s="784"/>
      <c r="H235" s="647"/>
      <c r="I235" s="784"/>
    </row>
    <row r="236" spans="1:9" ht="13.8">
      <c r="A236" s="784"/>
      <c r="B236" s="784"/>
      <c r="C236" s="784"/>
      <c r="D236" s="784"/>
      <c r="E236" s="784"/>
      <c r="F236" s="784"/>
      <c r="G236" s="784"/>
      <c r="H236" s="647"/>
      <c r="I236" s="784"/>
    </row>
    <row r="237" spans="1:9" ht="13.8">
      <c r="A237" s="784"/>
      <c r="B237" s="784"/>
      <c r="C237" s="784"/>
      <c r="D237" s="784"/>
      <c r="E237" s="784"/>
      <c r="F237" s="784"/>
      <c r="G237" s="784"/>
      <c r="H237" s="647"/>
      <c r="I237" s="784"/>
    </row>
    <row r="238" spans="1:9" ht="13.8">
      <c r="A238" s="784"/>
      <c r="B238" s="784"/>
      <c r="C238" s="784"/>
      <c r="D238" s="784"/>
      <c r="E238" s="784"/>
      <c r="F238" s="784"/>
      <c r="G238" s="784"/>
      <c r="H238" s="647"/>
      <c r="I238" s="784"/>
    </row>
    <row r="239" spans="1:9" ht="13.8">
      <c r="A239" s="784"/>
      <c r="B239" s="784"/>
      <c r="C239" s="784"/>
      <c r="D239" s="784"/>
      <c r="E239" s="784"/>
      <c r="F239" s="784"/>
      <c r="G239" s="784"/>
      <c r="H239" s="647"/>
      <c r="I239" s="784"/>
    </row>
    <row r="240" spans="1:9" ht="13.8">
      <c r="A240" s="784"/>
      <c r="B240" s="784"/>
      <c r="C240" s="784"/>
      <c r="D240" s="784"/>
      <c r="E240" s="784"/>
      <c r="F240" s="784"/>
      <c r="G240" s="784"/>
      <c r="H240" s="647"/>
      <c r="I240" s="784"/>
    </row>
    <row r="241" spans="1:9" ht="13.8">
      <c r="A241" s="784"/>
      <c r="B241" s="784"/>
      <c r="C241" s="784"/>
      <c r="D241" s="784"/>
      <c r="E241" s="784"/>
      <c r="F241" s="784"/>
      <c r="G241" s="784"/>
      <c r="H241" s="647"/>
      <c r="I241" s="784"/>
    </row>
    <row r="242" spans="1:9" ht="13.8">
      <c r="A242" s="784"/>
      <c r="B242" s="784"/>
      <c r="C242" s="784"/>
      <c r="D242" s="784"/>
      <c r="E242" s="784"/>
      <c r="F242" s="784"/>
      <c r="G242" s="784"/>
      <c r="H242" s="647"/>
      <c r="I242" s="784"/>
    </row>
    <row r="243" spans="1:9" ht="13.8">
      <c r="A243" s="784"/>
      <c r="B243" s="784"/>
      <c r="C243" s="784"/>
      <c r="D243" s="784"/>
      <c r="E243" s="784"/>
      <c r="F243" s="784"/>
      <c r="G243" s="784"/>
      <c r="H243" s="647"/>
      <c r="I243" s="784"/>
    </row>
    <row r="244" spans="1:9" ht="13.8">
      <c r="A244" s="784"/>
      <c r="B244" s="784"/>
      <c r="C244" s="784"/>
      <c r="D244" s="784"/>
      <c r="E244" s="784"/>
      <c r="F244" s="784"/>
      <c r="G244" s="784"/>
      <c r="H244" s="647"/>
      <c r="I244" s="784"/>
    </row>
    <row r="245" spans="1:9" ht="13.8">
      <c r="A245" s="784"/>
      <c r="B245" s="784"/>
      <c r="C245" s="784"/>
      <c r="D245" s="784"/>
      <c r="E245" s="784"/>
      <c r="F245" s="784"/>
      <c r="G245" s="784"/>
      <c r="H245" s="647"/>
      <c r="I245" s="784"/>
    </row>
    <row r="246" spans="1:9" ht="13.8">
      <c r="A246" s="784"/>
      <c r="B246" s="784"/>
      <c r="C246" s="784"/>
      <c r="D246" s="784"/>
      <c r="E246" s="784"/>
      <c r="F246" s="784"/>
      <c r="G246" s="784"/>
      <c r="H246" s="647"/>
      <c r="I246" s="784"/>
    </row>
    <row r="247" spans="1:9" ht="13.8">
      <c r="A247" s="784"/>
      <c r="B247" s="784"/>
      <c r="C247" s="784"/>
      <c r="D247" s="784"/>
      <c r="E247" s="784"/>
      <c r="F247" s="784"/>
      <c r="G247" s="784"/>
      <c r="H247" s="647"/>
      <c r="I247" s="784"/>
    </row>
    <row r="248" spans="1:9" ht="13.8">
      <c r="A248" s="784"/>
      <c r="B248" s="784"/>
      <c r="C248" s="784"/>
      <c r="D248" s="784"/>
      <c r="E248" s="784"/>
      <c r="F248" s="784"/>
      <c r="G248" s="784"/>
      <c r="H248" s="647"/>
      <c r="I248" s="784"/>
    </row>
    <row r="249" spans="1:9" ht="13.8">
      <c r="A249" s="784"/>
      <c r="B249" s="784"/>
      <c r="C249" s="784"/>
      <c r="D249" s="784"/>
      <c r="E249" s="784"/>
      <c r="F249" s="784"/>
      <c r="G249" s="784"/>
      <c r="H249" s="647"/>
      <c r="I249" s="784"/>
    </row>
    <row r="250" spans="1:9" ht="13.8">
      <c r="A250" s="784"/>
      <c r="B250" s="784"/>
      <c r="C250" s="784"/>
      <c r="D250" s="784"/>
      <c r="E250" s="784"/>
      <c r="F250" s="784"/>
      <c r="G250" s="784"/>
      <c r="H250" s="647"/>
      <c r="I250" s="784"/>
    </row>
    <row r="251" spans="1:9" ht="13.8">
      <c r="A251" s="784"/>
      <c r="B251" s="784"/>
      <c r="C251" s="784"/>
      <c r="D251" s="784"/>
      <c r="E251" s="784"/>
      <c r="F251" s="784"/>
      <c r="G251" s="784"/>
      <c r="H251" s="647"/>
      <c r="I251" s="784"/>
    </row>
    <row r="252" spans="1:9" ht="13.8">
      <c r="A252" s="784"/>
      <c r="B252" s="784"/>
      <c r="C252" s="784"/>
      <c r="D252" s="784"/>
      <c r="E252" s="784"/>
      <c r="F252" s="784"/>
      <c r="G252" s="784"/>
      <c r="H252" s="647"/>
      <c r="I252" s="784"/>
    </row>
    <row r="253" spans="1:9" ht="13.8">
      <c r="A253" s="784"/>
      <c r="B253" s="784"/>
      <c r="C253" s="784"/>
      <c r="D253" s="784"/>
      <c r="E253" s="784"/>
      <c r="F253" s="784"/>
      <c r="G253" s="784"/>
      <c r="H253" s="647"/>
      <c r="I253" s="784"/>
    </row>
    <row r="254" spans="1:9" ht="13.8">
      <c r="A254" s="784"/>
      <c r="B254" s="784"/>
      <c r="C254" s="784"/>
      <c r="D254" s="784"/>
      <c r="E254" s="784"/>
      <c r="F254" s="784"/>
      <c r="G254" s="784"/>
      <c r="H254" s="647"/>
      <c r="I254" s="784"/>
    </row>
    <row r="255" spans="1:9" ht="13.8">
      <c r="A255" s="784"/>
      <c r="B255" s="784"/>
      <c r="C255" s="784"/>
      <c r="D255" s="784"/>
      <c r="E255" s="784"/>
      <c r="F255" s="784"/>
      <c r="G255" s="784"/>
      <c r="H255" s="647"/>
      <c r="I255" s="784"/>
    </row>
    <row r="256" spans="1:9" ht="13.8">
      <c r="A256" s="784"/>
      <c r="B256" s="784"/>
      <c r="C256" s="784"/>
      <c r="D256" s="784"/>
      <c r="E256" s="784"/>
      <c r="F256" s="784"/>
      <c r="G256" s="784"/>
      <c r="H256" s="647"/>
      <c r="I256" s="784"/>
    </row>
    <row r="257" spans="1:9" ht="13.8">
      <c r="A257" s="784"/>
      <c r="B257" s="784"/>
      <c r="C257" s="784"/>
      <c r="D257" s="784"/>
      <c r="E257" s="784"/>
      <c r="F257" s="784"/>
      <c r="G257" s="784"/>
      <c r="H257" s="647"/>
      <c r="I257" s="784"/>
    </row>
    <row r="258" spans="1:9" ht="13.8">
      <c r="A258" s="784"/>
      <c r="B258" s="784"/>
      <c r="C258" s="784"/>
      <c r="D258" s="784"/>
      <c r="E258" s="784"/>
      <c r="F258" s="784"/>
      <c r="G258" s="784"/>
      <c r="H258" s="647"/>
      <c r="I258" s="784"/>
    </row>
    <row r="259" spans="1:9" ht="13.8">
      <c r="A259" s="784"/>
      <c r="B259" s="784"/>
      <c r="C259" s="784"/>
      <c r="D259" s="784"/>
      <c r="E259" s="784"/>
      <c r="F259" s="784"/>
      <c r="G259" s="784"/>
      <c r="H259" s="647"/>
      <c r="I259" s="784"/>
    </row>
    <row r="260" spans="1:9" ht="13.8">
      <c r="A260" s="784"/>
      <c r="B260" s="784"/>
      <c r="C260" s="784"/>
      <c r="D260" s="784"/>
      <c r="E260" s="784"/>
      <c r="F260" s="784"/>
      <c r="G260" s="784"/>
      <c r="H260" s="647"/>
      <c r="I260" s="784"/>
    </row>
    <row r="261" spans="1:9" ht="13.8">
      <c r="A261" s="784"/>
      <c r="B261" s="784"/>
      <c r="C261" s="784"/>
      <c r="D261" s="784"/>
      <c r="E261" s="784"/>
      <c r="F261" s="784"/>
      <c r="G261" s="784"/>
      <c r="H261" s="647"/>
      <c r="I261" s="784"/>
    </row>
    <row r="262" spans="1:9" ht="13.8">
      <c r="A262" s="784"/>
      <c r="B262" s="784"/>
      <c r="C262" s="784"/>
      <c r="D262" s="784"/>
      <c r="E262" s="784"/>
      <c r="F262" s="784"/>
      <c r="G262" s="784"/>
      <c r="H262" s="647"/>
      <c r="I262" s="784"/>
    </row>
    <row r="263" spans="1:9" ht="13.8">
      <c r="A263" s="784"/>
      <c r="B263" s="784"/>
      <c r="C263" s="784"/>
      <c r="D263" s="784"/>
      <c r="E263" s="784"/>
      <c r="F263" s="784"/>
      <c r="G263" s="784"/>
      <c r="H263" s="647"/>
      <c r="I263" s="784"/>
    </row>
    <row r="264" spans="1:9" ht="13.8">
      <c r="A264" s="784"/>
      <c r="B264" s="784"/>
      <c r="C264" s="784"/>
      <c r="D264" s="784"/>
      <c r="E264" s="784"/>
      <c r="F264" s="784"/>
      <c r="G264" s="784"/>
      <c r="H264" s="647"/>
      <c r="I264" s="784"/>
    </row>
    <row r="265" spans="1:9" ht="13.8">
      <c r="A265" s="784"/>
      <c r="B265" s="784"/>
      <c r="C265" s="784"/>
      <c r="D265" s="784"/>
      <c r="E265" s="784"/>
      <c r="F265" s="784"/>
      <c r="G265" s="784"/>
      <c r="H265" s="647"/>
      <c r="I265" s="784"/>
    </row>
    <row r="266" spans="1:9" ht="13.8">
      <c r="A266" s="784"/>
      <c r="B266" s="784"/>
      <c r="C266" s="784"/>
      <c r="D266" s="784"/>
      <c r="E266" s="784"/>
      <c r="F266" s="784"/>
      <c r="G266" s="784"/>
      <c r="H266" s="647"/>
      <c r="I266" s="784"/>
    </row>
    <row r="267" spans="1:9" ht="13.8">
      <c r="A267" s="784"/>
      <c r="B267" s="784"/>
      <c r="C267" s="784"/>
      <c r="D267" s="784"/>
      <c r="E267" s="784"/>
      <c r="F267" s="784"/>
      <c r="G267" s="784"/>
      <c r="H267" s="647"/>
      <c r="I267" s="784"/>
    </row>
    <row r="268" spans="1:9" ht="13.8">
      <c r="A268" s="784"/>
      <c r="B268" s="784"/>
      <c r="C268" s="784"/>
      <c r="D268" s="784"/>
      <c r="E268" s="784"/>
      <c r="F268" s="784"/>
      <c r="G268" s="784"/>
      <c r="H268" s="647"/>
      <c r="I268" s="784"/>
    </row>
    <row r="269" spans="1:9" ht="13.8">
      <c r="A269" s="784"/>
      <c r="B269" s="784"/>
      <c r="C269" s="784"/>
      <c r="D269" s="784"/>
      <c r="E269" s="784"/>
      <c r="F269" s="784"/>
      <c r="G269" s="784"/>
      <c r="H269" s="647"/>
      <c r="I269" s="784"/>
    </row>
    <row r="270" spans="1:9" ht="13.8">
      <c r="A270" s="784"/>
      <c r="B270" s="784"/>
      <c r="C270" s="784"/>
      <c r="D270" s="784"/>
      <c r="E270" s="784"/>
      <c r="F270" s="784"/>
      <c r="G270" s="784"/>
      <c r="H270" s="647"/>
      <c r="I270" s="784"/>
    </row>
    <row r="271" spans="1:9" ht="13.8">
      <c r="A271" s="784"/>
      <c r="B271" s="784"/>
      <c r="C271" s="784"/>
      <c r="D271" s="784"/>
      <c r="E271" s="784"/>
      <c r="F271" s="784"/>
      <c r="G271" s="784"/>
      <c r="H271" s="647"/>
      <c r="I271" s="784"/>
    </row>
    <row r="272" spans="1:9" ht="13.8">
      <c r="A272" s="784"/>
      <c r="B272" s="784"/>
      <c r="C272" s="784"/>
      <c r="D272" s="784"/>
      <c r="E272" s="784"/>
      <c r="F272" s="784"/>
      <c r="G272" s="784"/>
      <c r="H272" s="647"/>
      <c r="I272" s="784"/>
    </row>
    <row r="273" spans="1:9" ht="13.8">
      <c r="A273" s="784"/>
      <c r="B273" s="784"/>
      <c r="C273" s="784"/>
      <c r="D273" s="784"/>
      <c r="E273" s="784"/>
      <c r="F273" s="784"/>
      <c r="G273" s="784"/>
      <c r="H273" s="647"/>
      <c r="I273" s="784"/>
    </row>
    <row r="274" spans="1:9" ht="13.8">
      <c r="A274" s="784"/>
      <c r="B274" s="784"/>
      <c r="C274" s="784"/>
      <c r="D274" s="784"/>
      <c r="E274" s="784"/>
      <c r="F274" s="784"/>
      <c r="G274" s="784"/>
      <c r="H274" s="647"/>
      <c r="I274" s="784"/>
    </row>
    <row r="275" spans="1:9" ht="13.8">
      <c r="A275" s="784"/>
      <c r="B275" s="784"/>
      <c r="C275" s="784"/>
      <c r="D275" s="784"/>
      <c r="E275" s="784"/>
      <c r="F275" s="784"/>
      <c r="G275" s="784"/>
      <c r="H275" s="647"/>
      <c r="I275" s="784"/>
    </row>
    <row r="276" spans="1:9" ht="13.8">
      <c r="A276" s="784"/>
      <c r="B276" s="784"/>
      <c r="C276" s="784"/>
      <c r="D276" s="784"/>
      <c r="E276" s="784"/>
      <c r="F276" s="784"/>
      <c r="G276" s="784"/>
      <c r="H276" s="647"/>
      <c r="I276" s="784"/>
    </row>
    <row r="277" spans="1:9" ht="13.8">
      <c r="A277" s="784"/>
      <c r="B277" s="784"/>
      <c r="C277" s="784"/>
      <c r="D277" s="784"/>
      <c r="E277" s="784"/>
      <c r="F277" s="784"/>
      <c r="G277" s="784"/>
      <c r="H277" s="647"/>
      <c r="I277" s="784"/>
    </row>
    <row r="278" spans="1:9" ht="13.8">
      <c r="A278" s="784"/>
      <c r="B278" s="784"/>
      <c r="C278" s="784"/>
      <c r="D278" s="784"/>
      <c r="E278" s="784"/>
      <c r="F278" s="784"/>
      <c r="G278" s="784"/>
      <c r="H278" s="647"/>
      <c r="I278" s="784"/>
    </row>
    <row r="279" spans="1:9" ht="13.8">
      <c r="A279" s="784"/>
      <c r="B279" s="784"/>
      <c r="C279" s="784"/>
      <c r="D279" s="784"/>
      <c r="E279" s="784"/>
      <c r="F279" s="784"/>
      <c r="G279" s="784"/>
      <c r="H279" s="647"/>
      <c r="I279" s="784"/>
    </row>
    <row r="280" spans="1:9" ht="13.8">
      <c r="A280" s="784"/>
      <c r="B280" s="784"/>
      <c r="C280" s="784"/>
      <c r="D280" s="784"/>
      <c r="E280" s="784"/>
      <c r="F280" s="784"/>
      <c r="G280" s="784"/>
      <c r="H280" s="647"/>
      <c r="I280" s="784"/>
    </row>
    <row r="281" spans="1:9" ht="13.8">
      <c r="A281" s="784"/>
      <c r="B281" s="784"/>
      <c r="C281" s="784"/>
      <c r="D281" s="784"/>
      <c r="E281" s="784"/>
      <c r="F281" s="784"/>
      <c r="G281" s="784"/>
      <c r="H281" s="647"/>
      <c r="I281" s="784"/>
    </row>
    <row r="282" spans="1:9" ht="13.8">
      <c r="A282" s="784"/>
      <c r="B282" s="784"/>
      <c r="C282" s="784"/>
      <c r="D282" s="784"/>
      <c r="E282" s="784"/>
      <c r="F282" s="784"/>
      <c r="G282" s="784"/>
      <c r="H282" s="647"/>
      <c r="I282" s="784"/>
    </row>
    <row r="283" spans="1:9" ht="13.8">
      <c r="A283" s="784"/>
      <c r="B283" s="784"/>
      <c r="C283" s="784"/>
      <c r="D283" s="784"/>
      <c r="E283" s="784"/>
      <c r="F283" s="784"/>
      <c r="G283" s="784"/>
      <c r="H283" s="647"/>
      <c r="I283" s="784"/>
    </row>
    <row r="284" spans="1:9" ht="13.8">
      <c r="A284" s="784"/>
      <c r="B284" s="784"/>
      <c r="C284" s="784"/>
      <c r="D284" s="784"/>
      <c r="E284" s="784"/>
      <c r="F284" s="784"/>
      <c r="G284" s="784"/>
      <c r="H284" s="647"/>
      <c r="I284" s="784"/>
    </row>
    <row r="285" spans="1:9" ht="13.8">
      <c r="A285" s="784"/>
      <c r="B285" s="784"/>
      <c r="C285" s="784"/>
      <c r="D285" s="784"/>
      <c r="E285" s="784"/>
      <c r="F285" s="784"/>
      <c r="G285" s="784"/>
      <c r="H285" s="647"/>
      <c r="I285" s="784"/>
    </row>
    <row r="286" spans="1:9" ht="13.8">
      <c r="A286" s="784"/>
      <c r="B286" s="784"/>
      <c r="C286" s="784"/>
      <c r="D286" s="784"/>
      <c r="E286" s="784"/>
      <c r="F286" s="784"/>
      <c r="G286" s="784"/>
      <c r="H286" s="647"/>
      <c r="I286" s="784"/>
    </row>
    <row r="287" spans="1:9" ht="13.8">
      <c r="A287" s="784"/>
      <c r="B287" s="784"/>
      <c r="C287" s="784"/>
      <c r="D287" s="784"/>
      <c r="E287" s="784"/>
      <c r="F287" s="784"/>
      <c r="G287" s="784"/>
      <c r="H287" s="647"/>
      <c r="I287" s="784"/>
    </row>
    <row r="288" spans="1:9" ht="13.8">
      <c r="A288" s="784"/>
      <c r="B288" s="784"/>
      <c r="C288" s="784"/>
      <c r="D288" s="784"/>
      <c r="E288" s="784"/>
      <c r="F288" s="784"/>
      <c r="G288" s="784"/>
      <c r="H288" s="647"/>
      <c r="I288" s="784"/>
    </row>
    <row r="289" spans="1:9" ht="13.8">
      <c r="A289" s="784"/>
      <c r="B289" s="784"/>
      <c r="C289" s="784"/>
      <c r="D289" s="784"/>
      <c r="E289" s="784"/>
      <c r="F289" s="784"/>
      <c r="G289" s="784"/>
      <c r="H289" s="647"/>
      <c r="I289" s="784"/>
    </row>
    <row r="290" spans="1:9" ht="13.8">
      <c r="A290" s="784"/>
      <c r="B290" s="784"/>
      <c r="C290" s="784"/>
      <c r="D290" s="784"/>
      <c r="E290" s="784"/>
      <c r="F290" s="784"/>
      <c r="G290" s="784"/>
      <c r="H290" s="647"/>
      <c r="I290" s="784"/>
    </row>
    <row r="291" spans="1:9" ht="13.8">
      <c r="A291" s="784"/>
      <c r="B291" s="784"/>
      <c r="C291" s="784"/>
      <c r="D291" s="784"/>
      <c r="E291" s="784"/>
      <c r="F291" s="784"/>
      <c r="G291" s="784"/>
      <c r="H291" s="647"/>
      <c r="I291" s="784"/>
    </row>
    <row r="292" spans="1:9" ht="13.8">
      <c r="A292" s="784"/>
      <c r="B292" s="784"/>
      <c r="C292" s="784"/>
      <c r="D292" s="784"/>
      <c r="E292" s="784"/>
      <c r="F292" s="784"/>
      <c r="G292" s="784"/>
      <c r="H292" s="647"/>
      <c r="I292" s="784"/>
    </row>
    <row r="293" spans="1:9" ht="13.8">
      <c r="A293" s="784"/>
      <c r="B293" s="784"/>
      <c r="C293" s="784"/>
      <c r="D293" s="784"/>
      <c r="E293" s="784"/>
      <c r="F293" s="784"/>
      <c r="G293" s="784"/>
      <c r="H293" s="647"/>
      <c r="I293" s="784"/>
    </row>
    <row r="294" spans="1:9" ht="13.8">
      <c r="A294" s="784"/>
      <c r="B294" s="784"/>
      <c r="C294" s="784"/>
      <c r="D294" s="784"/>
      <c r="E294" s="784"/>
      <c r="F294" s="784"/>
      <c r="G294" s="784"/>
      <c r="H294" s="647"/>
      <c r="I294" s="784"/>
    </row>
    <row r="295" spans="1:9" ht="13.8">
      <c r="A295" s="784"/>
      <c r="B295" s="784"/>
      <c r="C295" s="784"/>
      <c r="D295" s="784"/>
      <c r="E295" s="784"/>
      <c r="F295" s="784"/>
      <c r="G295" s="784"/>
      <c r="H295" s="647"/>
      <c r="I295" s="784"/>
    </row>
    <row r="296" spans="1:9" ht="13.8">
      <c r="A296" s="784"/>
      <c r="B296" s="784"/>
      <c r="C296" s="784"/>
      <c r="D296" s="784"/>
      <c r="E296" s="784"/>
      <c r="F296" s="784"/>
      <c r="G296" s="784"/>
      <c r="H296" s="647"/>
      <c r="I296" s="784"/>
    </row>
    <row r="297" spans="1:9" ht="13.8">
      <c r="A297" s="784"/>
      <c r="B297" s="784"/>
      <c r="C297" s="784"/>
      <c r="D297" s="784"/>
      <c r="E297" s="784"/>
      <c r="F297" s="784"/>
      <c r="G297" s="784"/>
      <c r="H297" s="647"/>
      <c r="I297" s="784"/>
    </row>
    <row r="298" spans="1:9" ht="13.8">
      <c r="A298" s="784"/>
      <c r="B298" s="784"/>
      <c r="C298" s="784"/>
      <c r="D298" s="784"/>
      <c r="E298" s="784"/>
      <c r="F298" s="784"/>
      <c r="G298" s="784"/>
      <c r="H298" s="647"/>
      <c r="I298" s="784"/>
    </row>
    <row r="299" spans="1:9" ht="13.8">
      <c r="A299" s="784"/>
      <c r="B299" s="784"/>
      <c r="C299" s="784"/>
      <c r="D299" s="784"/>
      <c r="E299" s="784"/>
      <c r="F299" s="784"/>
      <c r="G299" s="784"/>
      <c r="H299" s="647"/>
      <c r="I299" s="784"/>
    </row>
    <row r="300" spans="1:9" ht="13.8">
      <c r="A300" s="784"/>
      <c r="B300" s="784"/>
      <c r="C300" s="784"/>
      <c r="D300" s="784"/>
      <c r="E300" s="784"/>
      <c r="F300" s="784"/>
      <c r="G300" s="784"/>
      <c r="H300" s="647"/>
      <c r="I300" s="784"/>
    </row>
    <row r="301" spans="1:9" ht="13.8">
      <c r="A301" s="784"/>
      <c r="B301" s="784"/>
      <c r="C301" s="784"/>
      <c r="D301" s="784"/>
      <c r="E301" s="784"/>
      <c r="F301" s="784"/>
      <c r="G301" s="784"/>
      <c r="H301" s="647"/>
      <c r="I301" s="784"/>
    </row>
    <row r="302" spans="1:9" ht="13.8">
      <c r="A302" s="784"/>
      <c r="B302" s="784"/>
      <c r="C302" s="784"/>
      <c r="D302" s="784"/>
      <c r="E302" s="784"/>
      <c r="F302" s="784"/>
      <c r="G302" s="784"/>
      <c r="H302" s="647"/>
      <c r="I302" s="784"/>
    </row>
    <row r="303" spans="1:9" ht="13.8">
      <c r="A303" s="784"/>
      <c r="B303" s="784"/>
      <c r="C303" s="784"/>
      <c r="D303" s="784"/>
      <c r="E303" s="784"/>
      <c r="F303" s="784"/>
      <c r="G303" s="784"/>
      <c r="H303" s="647"/>
      <c r="I303" s="784"/>
    </row>
    <row r="304" spans="1:9" ht="13.8">
      <c r="A304" s="784"/>
      <c r="B304" s="784"/>
      <c r="C304" s="784"/>
      <c r="D304" s="784"/>
      <c r="E304" s="784"/>
      <c r="F304" s="784"/>
      <c r="G304" s="784"/>
      <c r="H304" s="647"/>
      <c r="I304" s="784"/>
    </row>
    <row r="305" spans="1:9" ht="13.8">
      <c r="A305" s="784"/>
      <c r="B305" s="784"/>
      <c r="C305" s="784"/>
      <c r="D305" s="784"/>
      <c r="E305" s="784"/>
      <c r="F305" s="784"/>
      <c r="G305" s="784"/>
      <c r="H305" s="647"/>
      <c r="I305" s="784"/>
    </row>
    <row r="306" spans="1:9" ht="13.8">
      <c r="A306" s="784"/>
      <c r="B306" s="784"/>
      <c r="C306" s="784"/>
      <c r="D306" s="784"/>
      <c r="E306" s="784"/>
      <c r="F306" s="784"/>
      <c r="G306" s="784"/>
      <c r="H306" s="647"/>
      <c r="I306" s="784"/>
    </row>
    <row r="307" spans="1:9" ht="13.8">
      <c r="A307" s="784"/>
      <c r="B307" s="784"/>
      <c r="C307" s="784"/>
      <c r="D307" s="784"/>
      <c r="E307" s="784"/>
      <c r="F307" s="784"/>
      <c r="G307" s="784"/>
      <c r="H307" s="647"/>
      <c r="I307" s="784"/>
    </row>
    <row r="308" spans="1:9" ht="13.8">
      <c r="A308" s="784"/>
      <c r="B308" s="784"/>
      <c r="C308" s="784"/>
      <c r="D308" s="784"/>
      <c r="E308" s="784"/>
      <c r="F308" s="784"/>
      <c r="G308" s="784"/>
      <c r="H308" s="647"/>
      <c r="I308" s="784"/>
    </row>
    <row r="309" spans="1:9" ht="13.8">
      <c r="A309" s="784"/>
      <c r="B309" s="784"/>
      <c r="C309" s="784"/>
      <c r="D309" s="784"/>
      <c r="E309" s="784"/>
      <c r="F309" s="784"/>
      <c r="G309" s="784"/>
      <c r="H309" s="647"/>
      <c r="I309" s="784"/>
    </row>
    <row r="310" spans="1:9" ht="13.8">
      <c r="A310" s="784"/>
      <c r="B310" s="784"/>
      <c r="C310" s="784"/>
      <c r="D310" s="784"/>
      <c r="E310" s="784"/>
      <c r="F310" s="784"/>
      <c r="G310" s="784"/>
      <c r="H310" s="647"/>
      <c r="I310" s="784"/>
    </row>
    <row r="311" spans="1:9" ht="13.8">
      <c r="A311" s="784"/>
      <c r="B311" s="784"/>
      <c r="C311" s="784"/>
      <c r="D311" s="784"/>
      <c r="E311" s="784"/>
      <c r="F311" s="784"/>
      <c r="G311" s="784"/>
      <c r="H311" s="647"/>
      <c r="I311" s="784"/>
    </row>
    <row r="312" spans="1:9" ht="13.8">
      <c r="A312" s="784"/>
      <c r="B312" s="784"/>
      <c r="C312" s="784"/>
      <c r="D312" s="784"/>
      <c r="E312" s="784"/>
      <c r="F312" s="784"/>
      <c r="G312" s="784"/>
      <c r="H312" s="647"/>
      <c r="I312" s="784"/>
    </row>
    <row r="313" spans="1:9" ht="13.8">
      <c r="A313" s="784"/>
      <c r="B313" s="784"/>
      <c r="C313" s="784"/>
      <c r="D313" s="784"/>
      <c r="E313" s="784"/>
      <c r="F313" s="784"/>
      <c r="G313" s="784"/>
      <c r="H313" s="647"/>
      <c r="I313" s="784"/>
    </row>
    <row r="314" spans="1:9" ht="13.8">
      <c r="A314" s="784"/>
      <c r="B314" s="784"/>
      <c r="C314" s="784"/>
      <c r="D314" s="784"/>
      <c r="E314" s="784"/>
      <c r="F314" s="784"/>
      <c r="G314" s="784"/>
      <c r="H314" s="647"/>
      <c r="I314" s="784"/>
    </row>
    <row r="315" spans="1:9" ht="13.8">
      <c r="A315" s="784"/>
      <c r="B315" s="784"/>
      <c r="C315" s="784"/>
      <c r="D315" s="784"/>
      <c r="E315" s="784"/>
      <c r="F315" s="784"/>
      <c r="G315" s="784"/>
      <c r="H315" s="647"/>
      <c r="I315" s="784"/>
    </row>
    <row r="316" spans="1:9" ht="13.8">
      <c r="A316" s="784"/>
      <c r="B316" s="784"/>
      <c r="C316" s="784"/>
      <c r="D316" s="784"/>
      <c r="E316" s="784"/>
      <c r="F316" s="784"/>
      <c r="G316" s="784"/>
      <c r="H316" s="647"/>
      <c r="I316" s="784"/>
    </row>
    <row r="317" spans="1:9" ht="13.8">
      <c r="A317" s="784"/>
      <c r="B317" s="784"/>
      <c r="C317" s="784"/>
      <c r="D317" s="784"/>
      <c r="E317" s="784"/>
      <c r="F317" s="784"/>
      <c r="G317" s="784"/>
      <c r="H317" s="647"/>
      <c r="I317" s="784"/>
    </row>
    <row r="318" spans="1:9" ht="13.8">
      <c r="A318" s="784"/>
      <c r="B318" s="784"/>
      <c r="C318" s="784"/>
      <c r="D318" s="784"/>
      <c r="E318" s="784"/>
      <c r="F318" s="784"/>
      <c r="G318" s="784"/>
      <c r="H318" s="647"/>
      <c r="I318" s="784"/>
    </row>
    <row r="319" spans="1:9" ht="13.8">
      <c r="A319" s="784"/>
      <c r="B319" s="784"/>
      <c r="C319" s="784"/>
      <c r="D319" s="784"/>
      <c r="E319" s="784"/>
      <c r="F319" s="784"/>
      <c r="G319" s="784"/>
      <c r="H319" s="647"/>
      <c r="I319" s="784"/>
    </row>
    <row r="320" spans="1:9" ht="13.8">
      <c r="A320" s="784"/>
      <c r="B320" s="784"/>
      <c r="C320" s="784"/>
      <c r="D320" s="784"/>
      <c r="E320" s="784"/>
      <c r="F320" s="784"/>
      <c r="G320" s="784"/>
      <c r="H320" s="647"/>
      <c r="I320" s="784"/>
    </row>
    <row r="321" spans="1:9" ht="13.8">
      <c r="A321" s="784"/>
      <c r="B321" s="784"/>
      <c r="C321" s="784"/>
      <c r="D321" s="784"/>
      <c r="E321" s="784"/>
      <c r="F321" s="784"/>
      <c r="G321" s="784"/>
      <c r="H321" s="647"/>
      <c r="I321" s="784"/>
    </row>
    <row r="322" spans="1:9" ht="13.8">
      <c r="A322" s="784"/>
      <c r="B322" s="784"/>
      <c r="C322" s="784"/>
      <c r="D322" s="784"/>
      <c r="E322" s="784"/>
      <c r="F322" s="784"/>
      <c r="G322" s="784"/>
      <c r="H322" s="647"/>
      <c r="I322" s="784"/>
    </row>
    <row r="323" spans="1:9" ht="13.8">
      <c r="A323" s="784"/>
      <c r="B323" s="784"/>
      <c r="C323" s="784"/>
      <c r="D323" s="784"/>
      <c r="E323" s="784"/>
      <c r="F323" s="784"/>
      <c r="G323" s="784"/>
      <c r="H323" s="647"/>
      <c r="I323" s="784"/>
    </row>
    <row r="324" spans="1:9" ht="13.8">
      <c r="A324" s="784"/>
      <c r="B324" s="784"/>
      <c r="C324" s="784"/>
      <c r="D324" s="784"/>
      <c r="E324" s="784"/>
      <c r="F324" s="784"/>
      <c r="G324" s="784"/>
      <c r="H324" s="647"/>
      <c r="I324" s="784"/>
    </row>
    <row r="325" spans="1:9" ht="13.8">
      <c r="A325" s="784"/>
      <c r="B325" s="784"/>
      <c r="C325" s="784"/>
      <c r="D325" s="784"/>
      <c r="E325" s="784"/>
      <c r="F325" s="784"/>
      <c r="G325" s="784"/>
      <c r="H325" s="647"/>
      <c r="I325" s="784"/>
    </row>
    <row r="326" spans="1:9" ht="13.8">
      <c r="A326" s="784"/>
      <c r="B326" s="784"/>
      <c r="C326" s="784"/>
      <c r="D326" s="784"/>
      <c r="E326" s="784"/>
      <c r="F326" s="784"/>
      <c r="G326" s="784"/>
      <c r="H326" s="647"/>
      <c r="I326" s="784"/>
    </row>
    <row r="327" spans="1:9" ht="13.8">
      <c r="A327" s="784"/>
      <c r="B327" s="784"/>
      <c r="C327" s="784"/>
      <c r="D327" s="784"/>
      <c r="E327" s="784"/>
      <c r="F327" s="784"/>
      <c r="G327" s="784"/>
      <c r="H327" s="647"/>
      <c r="I327" s="784"/>
    </row>
    <row r="328" spans="1:9" ht="13.8">
      <c r="A328" s="784"/>
      <c r="B328" s="784"/>
      <c r="C328" s="784"/>
      <c r="D328" s="784"/>
      <c r="E328" s="784"/>
      <c r="F328" s="784"/>
      <c r="G328" s="784"/>
      <c r="H328" s="647"/>
      <c r="I328" s="784"/>
    </row>
    <row r="329" spans="1:9" ht="13.8">
      <c r="A329" s="784"/>
      <c r="B329" s="784"/>
      <c r="C329" s="784"/>
      <c r="D329" s="784"/>
      <c r="E329" s="784"/>
      <c r="F329" s="784"/>
      <c r="G329" s="784"/>
      <c r="H329" s="647"/>
      <c r="I329" s="784"/>
    </row>
    <row r="330" spans="1:9" ht="13.8">
      <c r="A330" s="784"/>
      <c r="B330" s="784"/>
      <c r="C330" s="784"/>
      <c r="D330" s="784"/>
      <c r="E330" s="784"/>
      <c r="F330" s="784"/>
      <c r="G330" s="784"/>
      <c r="H330" s="647"/>
      <c r="I330" s="784"/>
    </row>
    <row r="331" spans="1:9" ht="13.8">
      <c r="A331" s="784"/>
      <c r="B331" s="784"/>
      <c r="C331" s="784"/>
      <c r="D331" s="784"/>
      <c r="E331" s="784"/>
      <c r="F331" s="784"/>
      <c r="G331" s="784"/>
      <c r="H331" s="647"/>
      <c r="I331" s="784"/>
    </row>
    <row r="332" spans="1:9" ht="13.8">
      <c r="A332" s="784"/>
      <c r="B332" s="784"/>
      <c r="C332" s="784"/>
      <c r="D332" s="784"/>
      <c r="E332" s="784"/>
      <c r="F332" s="784"/>
      <c r="G332" s="784"/>
      <c r="H332" s="647"/>
      <c r="I332" s="784"/>
    </row>
    <row r="333" spans="1:9" ht="13.8">
      <c r="A333" s="784"/>
      <c r="B333" s="784"/>
      <c r="C333" s="784"/>
      <c r="D333" s="784"/>
      <c r="E333" s="784"/>
      <c r="F333" s="784"/>
      <c r="G333" s="784"/>
      <c r="H333" s="647"/>
      <c r="I333" s="784"/>
    </row>
    <row r="334" spans="1:9" ht="13.8">
      <c r="A334" s="784"/>
      <c r="B334" s="784"/>
      <c r="C334" s="784"/>
      <c r="D334" s="784"/>
      <c r="E334" s="784"/>
      <c r="F334" s="784"/>
      <c r="G334" s="784"/>
      <c r="H334" s="647"/>
      <c r="I334" s="784"/>
    </row>
    <row r="335" spans="1:9" ht="13.8">
      <c r="A335" s="784"/>
      <c r="B335" s="784"/>
      <c r="C335" s="784"/>
      <c r="D335" s="784"/>
      <c r="E335" s="784"/>
      <c r="F335" s="784"/>
      <c r="G335" s="784"/>
      <c r="H335" s="647"/>
      <c r="I335" s="784"/>
    </row>
    <row r="336" spans="1:9" ht="13.8">
      <c r="A336" s="784"/>
      <c r="B336" s="784"/>
      <c r="C336" s="784"/>
      <c r="D336" s="784"/>
      <c r="E336" s="784"/>
      <c r="F336" s="784"/>
      <c r="G336" s="784"/>
      <c r="H336" s="647"/>
      <c r="I336" s="784"/>
    </row>
    <row r="337" spans="1:9" ht="13.8">
      <c r="A337" s="784"/>
      <c r="B337" s="784"/>
      <c r="C337" s="784"/>
      <c r="D337" s="784"/>
      <c r="E337" s="784"/>
      <c r="F337" s="784"/>
      <c r="G337" s="784"/>
      <c r="H337" s="647"/>
      <c r="I337" s="784"/>
    </row>
    <row r="338" spans="1:9" ht="13.8">
      <c r="A338" s="784"/>
      <c r="B338" s="784"/>
      <c r="C338" s="784"/>
      <c r="D338" s="784"/>
      <c r="E338" s="784"/>
      <c r="F338" s="784"/>
      <c r="G338" s="784"/>
      <c r="H338" s="647"/>
      <c r="I338" s="784"/>
    </row>
    <row r="339" spans="1:9" ht="13.8">
      <c r="A339" s="784"/>
      <c r="B339" s="784"/>
      <c r="C339" s="784"/>
      <c r="D339" s="784"/>
      <c r="E339" s="784"/>
      <c r="F339" s="784"/>
      <c r="G339" s="784"/>
      <c r="H339" s="647"/>
      <c r="I339" s="784"/>
    </row>
    <row r="340" spans="1:9" ht="13.8">
      <c r="A340" s="784"/>
      <c r="B340" s="784"/>
      <c r="C340" s="784"/>
      <c r="D340" s="784"/>
      <c r="E340" s="784"/>
      <c r="F340" s="784"/>
      <c r="G340" s="784"/>
      <c r="H340" s="647"/>
      <c r="I340" s="784"/>
    </row>
    <row r="341" spans="1:9" ht="13.8">
      <c r="A341" s="784"/>
      <c r="B341" s="784"/>
      <c r="C341" s="784"/>
      <c r="D341" s="784"/>
      <c r="E341" s="784"/>
      <c r="F341" s="784"/>
      <c r="G341" s="784"/>
      <c r="H341" s="647"/>
      <c r="I341" s="784"/>
    </row>
    <row r="342" spans="1:9" ht="13.8">
      <c r="A342" s="784"/>
      <c r="B342" s="784"/>
      <c r="C342" s="784"/>
      <c r="D342" s="784"/>
      <c r="E342" s="784"/>
      <c r="F342" s="784"/>
      <c r="G342" s="784"/>
      <c r="H342" s="647"/>
      <c r="I342" s="784"/>
    </row>
    <row r="343" spans="1:9" ht="13.8">
      <c r="A343" s="784"/>
      <c r="B343" s="784"/>
      <c r="C343" s="784"/>
      <c r="D343" s="784"/>
      <c r="E343" s="784"/>
      <c r="F343" s="784"/>
      <c r="G343" s="784"/>
      <c r="H343" s="647"/>
      <c r="I343" s="784"/>
    </row>
    <row r="344" spans="1:9" ht="13.8">
      <c r="A344" s="784"/>
      <c r="B344" s="784"/>
      <c r="C344" s="784"/>
      <c r="D344" s="784"/>
      <c r="E344" s="784"/>
      <c r="F344" s="784"/>
      <c r="G344" s="784"/>
      <c r="H344" s="647"/>
      <c r="I344" s="784"/>
    </row>
    <row r="345" spans="1:9" ht="13.8">
      <c r="A345" s="784"/>
      <c r="B345" s="784"/>
      <c r="C345" s="784"/>
      <c r="D345" s="784"/>
      <c r="E345" s="784"/>
      <c r="F345" s="784"/>
      <c r="G345" s="784"/>
      <c r="H345" s="647"/>
      <c r="I345" s="784"/>
    </row>
    <row r="346" spans="1:9" ht="13.8">
      <c r="A346" s="784"/>
      <c r="B346" s="784"/>
      <c r="C346" s="784"/>
      <c r="D346" s="784"/>
      <c r="E346" s="784"/>
      <c r="F346" s="784"/>
      <c r="G346" s="784"/>
      <c r="H346" s="647"/>
      <c r="I346" s="784"/>
    </row>
    <row r="347" spans="1:9" ht="13.8">
      <c r="A347" s="784"/>
      <c r="B347" s="784"/>
      <c r="C347" s="784"/>
      <c r="D347" s="784"/>
      <c r="E347" s="784"/>
      <c r="F347" s="784"/>
      <c r="G347" s="784"/>
      <c r="H347" s="647"/>
      <c r="I347" s="784"/>
    </row>
    <row r="348" spans="1:9" ht="13.8">
      <c r="A348" s="784"/>
      <c r="B348" s="784"/>
      <c r="C348" s="784"/>
      <c r="D348" s="784"/>
      <c r="E348" s="784"/>
      <c r="F348" s="784"/>
      <c r="G348" s="784"/>
      <c r="H348" s="647"/>
      <c r="I348" s="784"/>
    </row>
    <row r="349" spans="1:9" ht="13.8">
      <c r="A349" s="784"/>
      <c r="B349" s="784"/>
      <c r="C349" s="784"/>
      <c r="D349" s="784"/>
      <c r="E349" s="784"/>
      <c r="F349" s="784"/>
      <c r="G349" s="784"/>
      <c r="H349" s="647"/>
      <c r="I349" s="784"/>
    </row>
    <row r="350" spans="1:9" ht="13.8">
      <c r="A350" s="784"/>
      <c r="B350" s="784"/>
      <c r="C350" s="784"/>
      <c r="D350" s="784"/>
      <c r="E350" s="784"/>
      <c r="F350" s="784"/>
      <c r="G350" s="784"/>
      <c r="H350" s="647"/>
      <c r="I350" s="784"/>
    </row>
    <row r="351" spans="1:9" ht="13.8">
      <c r="A351" s="784"/>
      <c r="B351" s="784"/>
      <c r="C351" s="784"/>
      <c r="D351" s="784"/>
      <c r="E351" s="784"/>
      <c r="F351" s="784"/>
      <c r="G351" s="784"/>
      <c r="H351" s="647"/>
      <c r="I351" s="784"/>
    </row>
    <row r="352" spans="1:9" ht="13.8">
      <c r="A352" s="784"/>
      <c r="B352" s="784"/>
      <c r="C352" s="784"/>
      <c r="D352" s="784"/>
      <c r="E352" s="784"/>
      <c r="F352" s="784"/>
      <c r="G352" s="784"/>
      <c r="H352" s="647"/>
      <c r="I352" s="784"/>
    </row>
    <row r="353" spans="1:9" ht="13.8">
      <c r="A353" s="784"/>
      <c r="B353" s="784"/>
      <c r="C353" s="784"/>
      <c r="D353" s="784"/>
      <c r="E353" s="784"/>
      <c r="F353" s="784"/>
      <c r="G353" s="784"/>
      <c r="H353" s="647"/>
      <c r="I353" s="784"/>
    </row>
    <row r="354" spans="1:9" ht="13.8">
      <c r="A354" s="784"/>
      <c r="B354" s="784"/>
      <c r="C354" s="784"/>
      <c r="D354" s="784"/>
      <c r="E354" s="784"/>
      <c r="F354" s="784"/>
      <c r="G354" s="784"/>
      <c r="H354" s="647"/>
      <c r="I354" s="784"/>
    </row>
    <row r="355" spans="1:9" ht="13.8">
      <c r="A355" s="784"/>
      <c r="B355" s="784"/>
      <c r="C355" s="784"/>
      <c r="D355" s="784"/>
      <c r="E355" s="784"/>
      <c r="F355" s="784"/>
      <c r="G355" s="784"/>
      <c r="H355" s="647"/>
      <c r="I355" s="784"/>
    </row>
    <row r="356" spans="1:9" ht="13.8">
      <c r="A356" s="784"/>
      <c r="B356" s="784"/>
      <c r="C356" s="784"/>
      <c r="D356" s="784"/>
      <c r="E356" s="784"/>
      <c r="F356" s="784"/>
      <c r="G356" s="784"/>
      <c r="H356" s="647"/>
      <c r="I356" s="784"/>
    </row>
    <row r="357" spans="1:9" ht="13.8">
      <c r="A357" s="784"/>
      <c r="B357" s="784"/>
      <c r="C357" s="784"/>
      <c r="D357" s="784"/>
      <c r="E357" s="784"/>
      <c r="F357" s="784"/>
      <c r="G357" s="784"/>
      <c r="H357" s="647"/>
      <c r="I357" s="784"/>
    </row>
    <row r="358" spans="1:9" ht="13.8">
      <c r="A358" s="784"/>
      <c r="B358" s="784"/>
      <c r="C358" s="784"/>
      <c r="D358" s="784"/>
      <c r="E358" s="784"/>
      <c r="F358" s="784"/>
      <c r="G358" s="784"/>
      <c r="H358" s="647"/>
      <c r="I358" s="784"/>
    </row>
    <row r="359" spans="1:9" ht="13.8">
      <c r="A359" s="784"/>
      <c r="B359" s="784"/>
      <c r="C359" s="784"/>
      <c r="D359" s="784"/>
      <c r="E359" s="784"/>
      <c r="F359" s="784"/>
      <c r="G359" s="784"/>
      <c r="H359" s="647"/>
      <c r="I359" s="784"/>
    </row>
    <row r="360" spans="1:9" ht="13.8">
      <c r="A360" s="784"/>
      <c r="B360" s="784"/>
      <c r="C360" s="784"/>
      <c r="D360" s="784"/>
      <c r="E360" s="784"/>
      <c r="F360" s="784"/>
      <c r="G360" s="784"/>
      <c r="H360" s="647"/>
      <c r="I360" s="784"/>
    </row>
    <row r="361" spans="1:9" ht="13.8">
      <c r="A361" s="784"/>
      <c r="B361" s="784"/>
      <c r="C361" s="784"/>
      <c r="D361" s="784"/>
      <c r="E361" s="784"/>
      <c r="F361" s="784"/>
      <c r="G361" s="784"/>
      <c r="H361" s="647"/>
      <c r="I361" s="784"/>
    </row>
    <row r="362" spans="1:9" ht="13.8">
      <c r="A362" s="784"/>
      <c r="B362" s="784"/>
      <c r="C362" s="784"/>
      <c r="D362" s="784"/>
      <c r="E362" s="784"/>
      <c r="F362" s="784"/>
      <c r="G362" s="784"/>
      <c r="H362" s="647"/>
      <c r="I362" s="784"/>
    </row>
    <row r="363" spans="1:9" ht="13.8">
      <c r="A363" s="784"/>
      <c r="B363" s="784"/>
      <c r="C363" s="784"/>
      <c r="D363" s="784"/>
      <c r="E363" s="784"/>
      <c r="F363" s="784"/>
      <c r="G363" s="784"/>
      <c r="H363" s="647"/>
      <c r="I363" s="784"/>
    </row>
    <row r="364" spans="1:9" ht="13.8">
      <c r="A364" s="784"/>
      <c r="B364" s="784"/>
      <c r="C364" s="784"/>
      <c r="D364" s="784"/>
      <c r="E364" s="784"/>
      <c r="F364" s="784"/>
      <c r="G364" s="784"/>
      <c r="H364" s="647"/>
      <c r="I364" s="784"/>
    </row>
    <row r="365" spans="1:9" ht="13.8">
      <c r="A365" s="784"/>
      <c r="B365" s="784"/>
      <c r="C365" s="784"/>
      <c r="D365" s="784"/>
      <c r="E365" s="784"/>
      <c r="F365" s="784"/>
      <c r="G365" s="784"/>
      <c r="H365" s="647"/>
      <c r="I365" s="784"/>
    </row>
    <row r="366" spans="1:9" ht="13.8">
      <c r="A366" s="784"/>
      <c r="B366" s="784"/>
      <c r="C366" s="784"/>
      <c r="D366" s="784"/>
      <c r="E366" s="784"/>
      <c r="F366" s="784"/>
      <c r="G366" s="784"/>
      <c r="H366" s="647"/>
      <c r="I366" s="784"/>
    </row>
    <row r="367" spans="1:9" ht="13.8">
      <c r="A367" s="784"/>
      <c r="B367" s="784"/>
      <c r="C367" s="784"/>
      <c r="D367" s="784"/>
      <c r="E367" s="784"/>
      <c r="F367" s="784"/>
      <c r="G367" s="784"/>
      <c r="H367" s="647"/>
      <c r="I367" s="784"/>
    </row>
    <row r="368" spans="1:9" ht="13.8">
      <c r="A368" s="784"/>
      <c r="B368" s="784"/>
      <c r="C368" s="784"/>
      <c r="D368" s="784"/>
      <c r="E368" s="784"/>
      <c r="F368" s="784"/>
      <c r="G368" s="784"/>
      <c r="H368" s="647"/>
      <c r="I368" s="784"/>
    </row>
    <row r="369" spans="1:9" ht="13.8">
      <c r="A369" s="784"/>
      <c r="B369" s="784"/>
      <c r="C369" s="784"/>
      <c r="D369" s="784"/>
      <c r="E369" s="784"/>
      <c r="F369" s="784"/>
      <c r="G369" s="784"/>
      <c r="H369" s="647"/>
      <c r="I369" s="784"/>
    </row>
    <row r="370" spans="1:9" ht="13.8">
      <c r="A370" s="784"/>
      <c r="B370" s="784"/>
      <c r="C370" s="784"/>
      <c r="D370" s="784"/>
      <c r="E370" s="784"/>
      <c r="F370" s="784"/>
      <c r="G370" s="784"/>
      <c r="H370" s="647"/>
      <c r="I370" s="784"/>
    </row>
    <row r="371" spans="1:9" ht="13.8">
      <c r="A371" s="784"/>
      <c r="B371" s="784"/>
      <c r="C371" s="784"/>
      <c r="D371" s="784"/>
      <c r="E371" s="784"/>
      <c r="F371" s="784"/>
      <c r="G371" s="784"/>
      <c r="H371" s="647"/>
      <c r="I371" s="784"/>
    </row>
    <row r="372" spans="1:9" ht="13.8">
      <c r="A372" s="784"/>
      <c r="B372" s="784"/>
      <c r="C372" s="784"/>
      <c r="D372" s="784"/>
      <c r="E372" s="784"/>
      <c r="F372" s="784"/>
      <c r="G372" s="784"/>
      <c r="H372" s="647"/>
      <c r="I372" s="784"/>
    </row>
    <row r="373" spans="1:9" ht="13.8">
      <c r="A373" s="784"/>
      <c r="B373" s="784"/>
      <c r="C373" s="784"/>
      <c r="D373" s="784"/>
      <c r="E373" s="784"/>
      <c r="F373" s="784"/>
      <c r="G373" s="784"/>
      <c r="H373" s="647"/>
      <c r="I373" s="784"/>
    </row>
    <row r="374" spans="1:9" ht="13.8">
      <c r="A374" s="784"/>
      <c r="B374" s="784"/>
      <c r="C374" s="784"/>
      <c r="D374" s="784"/>
      <c r="E374" s="784"/>
      <c r="F374" s="784"/>
      <c r="G374" s="784"/>
      <c r="H374" s="647"/>
      <c r="I374" s="784"/>
    </row>
    <row r="375" spans="1:9" ht="13.8">
      <c r="A375" s="784"/>
      <c r="B375" s="784"/>
      <c r="C375" s="784"/>
      <c r="D375" s="784"/>
      <c r="E375" s="784"/>
      <c r="F375" s="784"/>
      <c r="G375" s="784"/>
      <c r="H375" s="647"/>
      <c r="I375" s="784"/>
    </row>
    <row r="376" spans="1:9" ht="13.8">
      <c r="A376" s="784"/>
      <c r="B376" s="784"/>
      <c r="C376" s="784"/>
      <c r="D376" s="784"/>
      <c r="E376" s="784"/>
      <c r="F376" s="784"/>
      <c r="G376" s="784"/>
      <c r="H376" s="647"/>
      <c r="I376" s="784"/>
    </row>
    <row r="377" spans="1:9" ht="13.8">
      <c r="A377" s="784"/>
      <c r="B377" s="784"/>
      <c r="C377" s="784"/>
      <c r="D377" s="784"/>
      <c r="E377" s="784"/>
      <c r="F377" s="784"/>
      <c r="G377" s="784"/>
      <c r="H377" s="647"/>
      <c r="I377" s="784"/>
    </row>
    <row r="378" spans="1:9" ht="13.8">
      <c r="A378" s="784"/>
      <c r="B378" s="784"/>
      <c r="C378" s="784"/>
      <c r="D378" s="784"/>
      <c r="E378" s="784"/>
      <c r="F378" s="784"/>
      <c r="G378" s="784"/>
      <c r="H378" s="647"/>
      <c r="I378" s="784"/>
    </row>
    <row r="379" spans="1:9" ht="13.8">
      <c r="A379" s="784"/>
      <c r="B379" s="784"/>
      <c r="C379" s="784"/>
      <c r="D379" s="784"/>
      <c r="E379" s="784"/>
      <c r="F379" s="784"/>
      <c r="G379" s="784"/>
      <c r="H379" s="647"/>
      <c r="I379" s="784"/>
    </row>
    <row r="380" spans="1:9" ht="13.8">
      <c r="A380" s="784"/>
      <c r="B380" s="784"/>
      <c r="C380" s="784"/>
      <c r="D380" s="784"/>
      <c r="E380" s="784"/>
      <c r="F380" s="784"/>
      <c r="G380" s="784"/>
      <c r="H380" s="647"/>
      <c r="I380" s="784"/>
    </row>
    <row r="381" spans="1:9" ht="13.8">
      <c r="A381" s="784"/>
      <c r="B381" s="784"/>
      <c r="C381" s="784"/>
      <c r="D381" s="784"/>
      <c r="E381" s="784"/>
      <c r="F381" s="784"/>
      <c r="G381" s="784"/>
      <c r="H381" s="647"/>
      <c r="I381" s="784"/>
    </row>
    <row r="382" spans="1:9" ht="13.8">
      <c r="A382" s="784"/>
      <c r="B382" s="784"/>
      <c r="C382" s="784"/>
      <c r="D382" s="784"/>
      <c r="E382" s="784"/>
      <c r="F382" s="784"/>
      <c r="G382" s="784"/>
      <c r="H382" s="647"/>
      <c r="I382" s="784"/>
    </row>
    <row r="383" spans="1:9" ht="13.8">
      <c r="A383" s="784"/>
      <c r="B383" s="784"/>
      <c r="C383" s="784"/>
      <c r="D383" s="784"/>
      <c r="E383" s="784"/>
      <c r="F383" s="784"/>
      <c r="G383" s="784"/>
      <c r="H383" s="647"/>
      <c r="I383" s="784"/>
    </row>
    <row r="384" spans="1:9" ht="13.8">
      <c r="A384" s="784"/>
      <c r="B384" s="784"/>
      <c r="C384" s="784"/>
      <c r="D384" s="784"/>
      <c r="E384" s="784"/>
      <c r="F384" s="784"/>
      <c r="G384" s="784"/>
      <c r="H384" s="647"/>
      <c r="I384" s="784"/>
    </row>
    <row r="385" spans="1:9" ht="13.8">
      <c r="A385" s="784"/>
      <c r="B385" s="784"/>
      <c r="C385" s="784"/>
      <c r="D385" s="784"/>
      <c r="E385" s="784"/>
      <c r="F385" s="784"/>
      <c r="G385" s="784"/>
      <c r="H385" s="647"/>
      <c r="I385" s="784"/>
    </row>
    <row r="386" spans="1:9" ht="13.8">
      <c r="A386" s="784"/>
      <c r="B386" s="784"/>
      <c r="C386" s="784"/>
      <c r="D386" s="784"/>
      <c r="E386" s="784"/>
      <c r="F386" s="784"/>
      <c r="G386" s="784"/>
      <c r="H386" s="647"/>
      <c r="I386" s="784"/>
    </row>
    <row r="387" spans="1:9" ht="13.8">
      <c r="A387" s="784"/>
      <c r="B387" s="784"/>
      <c r="C387" s="784"/>
      <c r="D387" s="784"/>
      <c r="E387" s="784"/>
      <c r="F387" s="784"/>
      <c r="G387" s="784"/>
      <c r="H387" s="647"/>
      <c r="I387" s="784"/>
    </row>
    <row r="388" spans="1:9" ht="13.8">
      <c r="A388" s="784"/>
      <c r="B388" s="784"/>
      <c r="C388" s="784"/>
      <c r="D388" s="784"/>
      <c r="E388" s="784"/>
      <c r="F388" s="784"/>
      <c r="G388" s="784"/>
      <c r="H388" s="647"/>
      <c r="I388" s="784"/>
    </row>
    <row r="389" spans="1:9" ht="13.8">
      <c r="A389" s="784"/>
      <c r="B389" s="784"/>
      <c r="C389" s="784"/>
      <c r="D389" s="784"/>
      <c r="E389" s="784"/>
      <c r="F389" s="784"/>
      <c r="G389" s="784"/>
      <c r="H389" s="647"/>
      <c r="I389" s="784"/>
    </row>
    <row r="390" spans="1:9" ht="13.8">
      <c r="A390" s="784"/>
      <c r="B390" s="784"/>
      <c r="C390" s="784"/>
      <c r="D390" s="784"/>
      <c r="E390" s="784"/>
      <c r="F390" s="784"/>
      <c r="G390" s="784"/>
      <c r="H390" s="647"/>
      <c r="I390" s="784"/>
    </row>
    <row r="391" spans="1:9" ht="13.8">
      <c r="A391" s="784"/>
      <c r="B391" s="784"/>
      <c r="C391" s="784"/>
      <c r="D391" s="784"/>
      <c r="E391" s="784"/>
      <c r="F391" s="784"/>
      <c r="G391" s="784"/>
      <c r="H391" s="647"/>
      <c r="I391" s="784"/>
    </row>
    <row r="392" spans="1:9" ht="13.8">
      <c r="A392" s="784"/>
      <c r="B392" s="784"/>
      <c r="C392" s="784"/>
      <c r="D392" s="784"/>
      <c r="E392" s="784"/>
      <c r="F392" s="784"/>
      <c r="G392" s="784"/>
      <c r="H392" s="647"/>
      <c r="I392" s="784"/>
    </row>
    <row r="393" spans="1:9" ht="13.8">
      <c r="A393" s="784"/>
      <c r="B393" s="784"/>
      <c r="C393" s="784"/>
      <c r="D393" s="784"/>
      <c r="E393" s="784"/>
      <c r="F393" s="784"/>
      <c r="G393" s="784"/>
      <c r="H393" s="647"/>
      <c r="I393" s="784"/>
    </row>
    <row r="394" spans="1:9" ht="13.8">
      <c r="A394" s="784"/>
      <c r="B394" s="784"/>
      <c r="C394" s="784"/>
      <c r="D394" s="784"/>
      <c r="E394" s="784"/>
      <c r="F394" s="784"/>
      <c r="G394" s="784"/>
      <c r="H394" s="647"/>
      <c r="I394" s="784"/>
    </row>
    <row r="395" spans="1:9" ht="13.8">
      <c r="A395" s="784"/>
      <c r="B395" s="784"/>
      <c r="C395" s="784"/>
      <c r="D395" s="784"/>
      <c r="E395" s="784"/>
      <c r="F395" s="784"/>
      <c r="G395" s="784"/>
      <c r="H395" s="647"/>
      <c r="I395" s="784"/>
    </row>
    <row r="396" spans="1:9" ht="13.8">
      <c r="A396" s="784"/>
      <c r="B396" s="784"/>
      <c r="C396" s="784"/>
      <c r="D396" s="784"/>
      <c r="E396" s="784"/>
      <c r="F396" s="784"/>
      <c r="G396" s="784"/>
      <c r="H396" s="647"/>
      <c r="I396" s="784"/>
    </row>
    <row r="397" spans="1:9" ht="13.8">
      <c r="A397" s="784"/>
      <c r="B397" s="784"/>
      <c r="C397" s="784"/>
      <c r="D397" s="784"/>
      <c r="E397" s="784"/>
      <c r="F397" s="784"/>
      <c r="G397" s="784"/>
      <c r="H397" s="647"/>
      <c r="I397" s="784"/>
    </row>
    <row r="398" spans="1:9" ht="13.8">
      <c r="A398" s="784"/>
      <c r="B398" s="784"/>
      <c r="C398" s="784"/>
      <c r="D398" s="784"/>
      <c r="E398" s="784"/>
      <c r="F398" s="784"/>
      <c r="G398" s="784"/>
      <c r="H398" s="647"/>
      <c r="I398" s="784"/>
    </row>
    <row r="399" spans="1:9" ht="13.8">
      <c r="A399" s="784"/>
      <c r="B399" s="784"/>
      <c r="C399" s="784"/>
      <c r="D399" s="784"/>
      <c r="E399" s="784"/>
      <c r="F399" s="784"/>
      <c r="G399" s="784"/>
      <c r="H399" s="647"/>
      <c r="I399" s="784"/>
    </row>
    <row r="400" spans="1:9" ht="13.8">
      <c r="A400" s="784"/>
      <c r="B400" s="784"/>
      <c r="C400" s="784"/>
      <c r="D400" s="784"/>
      <c r="E400" s="784"/>
      <c r="F400" s="784"/>
      <c r="G400" s="784"/>
      <c r="H400" s="647"/>
      <c r="I400" s="784"/>
    </row>
    <row r="401" spans="1:9" ht="13.8">
      <c r="A401" s="784"/>
      <c r="B401" s="784"/>
      <c r="C401" s="784"/>
      <c r="D401" s="784"/>
      <c r="E401" s="784"/>
      <c r="F401" s="784"/>
      <c r="G401" s="784"/>
      <c r="H401" s="647"/>
      <c r="I401" s="784"/>
    </row>
    <row r="402" spans="1:9" ht="13.8">
      <c r="A402" s="784"/>
      <c r="B402" s="784"/>
      <c r="C402" s="784"/>
      <c r="D402" s="784"/>
      <c r="E402" s="784"/>
      <c r="F402" s="784"/>
      <c r="G402" s="784"/>
      <c r="H402" s="647"/>
      <c r="I402" s="784"/>
    </row>
    <row r="403" spans="1:9" ht="13.8">
      <c r="A403" s="784"/>
      <c r="B403" s="784"/>
      <c r="C403" s="784"/>
      <c r="D403" s="784"/>
      <c r="E403" s="784"/>
      <c r="F403" s="784"/>
      <c r="G403" s="784"/>
      <c r="H403" s="647"/>
      <c r="I403" s="784"/>
    </row>
    <row r="404" spans="1:9" ht="13.8">
      <c r="A404" s="784"/>
      <c r="B404" s="784"/>
      <c r="C404" s="784"/>
      <c r="D404" s="784"/>
      <c r="E404" s="784"/>
      <c r="F404" s="784"/>
      <c r="G404" s="784"/>
      <c r="H404" s="647"/>
      <c r="I404" s="784"/>
    </row>
    <row r="405" spans="1:9" ht="13.8">
      <c r="A405" s="784"/>
      <c r="B405" s="784"/>
      <c r="C405" s="784"/>
      <c r="D405" s="784"/>
      <c r="E405" s="784"/>
      <c r="F405" s="784"/>
      <c r="G405" s="784"/>
      <c r="H405" s="647"/>
      <c r="I405" s="784"/>
    </row>
    <row r="406" spans="1:9" ht="13.8">
      <c r="A406" s="784"/>
      <c r="B406" s="784"/>
      <c r="C406" s="784"/>
      <c r="D406" s="784"/>
      <c r="E406" s="784"/>
      <c r="F406" s="784"/>
      <c r="G406" s="784"/>
      <c r="H406" s="647"/>
      <c r="I406" s="784"/>
    </row>
    <row r="407" spans="1:9" ht="13.8">
      <c r="A407" s="784"/>
      <c r="B407" s="784"/>
      <c r="C407" s="784"/>
      <c r="D407" s="784"/>
      <c r="E407" s="784"/>
      <c r="F407" s="784"/>
      <c r="G407" s="784"/>
      <c r="H407" s="647"/>
      <c r="I407" s="784"/>
    </row>
    <row r="408" spans="1:9" ht="13.8">
      <c r="A408" s="784"/>
      <c r="B408" s="784"/>
      <c r="C408" s="784"/>
      <c r="D408" s="784"/>
      <c r="E408" s="784"/>
      <c r="F408" s="784"/>
      <c r="G408" s="784"/>
      <c r="H408" s="647"/>
      <c r="I408" s="784"/>
    </row>
    <row r="409" spans="1:9" ht="13.8">
      <c r="A409" s="784"/>
      <c r="B409" s="784"/>
      <c r="C409" s="784"/>
      <c r="D409" s="784"/>
      <c r="E409" s="784"/>
      <c r="F409" s="784"/>
      <c r="G409" s="784"/>
      <c r="H409" s="647"/>
      <c r="I409" s="784"/>
    </row>
    <row r="410" spans="1:9" ht="13.8">
      <c r="A410" s="784"/>
      <c r="B410" s="784"/>
      <c r="C410" s="784"/>
      <c r="D410" s="784"/>
      <c r="E410" s="784"/>
      <c r="F410" s="784"/>
      <c r="G410" s="784"/>
      <c r="H410" s="647"/>
      <c r="I410" s="784"/>
    </row>
    <row r="411" spans="1:9" ht="13.8">
      <c r="A411" s="784"/>
      <c r="B411" s="784"/>
      <c r="C411" s="784"/>
      <c r="D411" s="784"/>
      <c r="E411" s="784"/>
      <c r="F411" s="784"/>
      <c r="G411" s="784"/>
      <c r="H411" s="647"/>
      <c r="I411" s="784"/>
    </row>
    <row r="412" spans="1:9" ht="13.8">
      <c r="A412" s="784"/>
      <c r="B412" s="784"/>
      <c r="C412" s="784"/>
      <c r="D412" s="784"/>
      <c r="E412" s="784"/>
      <c r="F412" s="784"/>
      <c r="G412" s="784"/>
      <c r="H412" s="647"/>
      <c r="I412" s="784"/>
    </row>
    <row r="413" spans="1:9" ht="13.8">
      <c r="A413" s="784"/>
      <c r="B413" s="784"/>
      <c r="C413" s="784"/>
      <c r="D413" s="784"/>
      <c r="E413" s="784"/>
      <c r="F413" s="784"/>
      <c r="G413" s="784"/>
      <c r="H413" s="647"/>
      <c r="I413" s="784"/>
    </row>
    <row r="414" spans="1:9" ht="13.8">
      <c r="A414" s="784"/>
      <c r="B414" s="784"/>
      <c r="C414" s="784"/>
      <c r="D414" s="784"/>
      <c r="E414" s="784"/>
      <c r="F414" s="784"/>
      <c r="G414" s="784"/>
      <c r="H414" s="647"/>
      <c r="I414" s="784"/>
    </row>
    <row r="415" spans="1:9" ht="13.8">
      <c r="A415" s="784"/>
      <c r="B415" s="784"/>
      <c r="C415" s="784"/>
      <c r="D415" s="784"/>
      <c r="E415" s="784"/>
      <c r="F415" s="784"/>
      <c r="G415" s="784"/>
      <c r="H415" s="647"/>
      <c r="I415" s="784"/>
    </row>
    <row r="416" spans="1:9" ht="13.8">
      <c r="A416" s="784"/>
      <c r="B416" s="784"/>
      <c r="C416" s="784"/>
      <c r="D416" s="784"/>
      <c r="E416" s="784"/>
      <c r="F416" s="784"/>
      <c r="G416" s="784"/>
      <c r="H416" s="647"/>
      <c r="I416" s="784"/>
    </row>
    <row r="417" spans="1:9" ht="13.8">
      <c r="A417" s="784"/>
      <c r="B417" s="784"/>
      <c r="C417" s="784"/>
      <c r="D417" s="784"/>
      <c r="E417" s="784"/>
      <c r="F417" s="784"/>
      <c r="G417" s="784"/>
      <c r="H417" s="647"/>
      <c r="I417" s="784"/>
    </row>
    <row r="418" spans="1:9" ht="13.8">
      <c r="A418" s="784"/>
      <c r="B418" s="784"/>
      <c r="C418" s="784"/>
      <c r="D418" s="784"/>
      <c r="E418" s="784"/>
      <c r="F418" s="784"/>
      <c r="G418" s="784"/>
      <c r="H418" s="647"/>
      <c r="I418" s="784"/>
    </row>
    <row r="419" spans="1:9" ht="13.8">
      <c r="A419" s="784"/>
      <c r="B419" s="784"/>
      <c r="C419" s="784"/>
      <c r="D419" s="784"/>
      <c r="E419" s="784"/>
      <c r="F419" s="784"/>
      <c r="G419" s="784"/>
      <c r="H419" s="647"/>
      <c r="I419" s="784"/>
    </row>
    <row r="420" spans="1:9" ht="13.8">
      <c r="A420" s="784"/>
      <c r="B420" s="784"/>
      <c r="C420" s="784"/>
      <c r="D420" s="784"/>
      <c r="E420" s="784"/>
      <c r="F420" s="784"/>
      <c r="G420" s="784"/>
      <c r="H420" s="647"/>
      <c r="I420" s="784"/>
    </row>
    <row r="421" spans="1:9" ht="13.8">
      <c r="A421" s="784"/>
      <c r="B421" s="784"/>
      <c r="C421" s="784"/>
      <c r="D421" s="784"/>
      <c r="E421" s="784"/>
      <c r="F421" s="784"/>
      <c r="G421" s="784"/>
      <c r="H421" s="647"/>
      <c r="I421" s="784"/>
    </row>
    <row r="422" spans="1:9" ht="13.8">
      <c r="A422" s="784"/>
      <c r="B422" s="784"/>
      <c r="C422" s="784"/>
      <c r="D422" s="784"/>
      <c r="E422" s="784"/>
      <c r="F422" s="784"/>
      <c r="G422" s="784"/>
      <c r="H422" s="647"/>
      <c r="I422" s="784"/>
    </row>
    <row r="423" spans="1:9" ht="13.8">
      <c r="A423" s="784"/>
      <c r="B423" s="784"/>
      <c r="C423" s="784"/>
      <c r="D423" s="784"/>
      <c r="E423" s="784"/>
      <c r="F423" s="784"/>
      <c r="G423" s="784"/>
      <c r="H423" s="647"/>
      <c r="I423" s="784"/>
    </row>
    <row r="424" spans="1:9" ht="13.8">
      <c r="A424" s="784"/>
      <c r="B424" s="784"/>
      <c r="C424" s="784"/>
      <c r="D424" s="784"/>
      <c r="E424" s="784"/>
      <c r="F424" s="784"/>
      <c r="G424" s="784"/>
      <c r="H424" s="647"/>
      <c r="I424" s="784"/>
    </row>
    <row r="425" spans="1:9" ht="13.8">
      <c r="A425" s="784"/>
      <c r="B425" s="784"/>
      <c r="C425" s="784"/>
      <c r="D425" s="784"/>
      <c r="E425" s="784"/>
      <c r="F425" s="784"/>
      <c r="G425" s="784"/>
      <c r="H425" s="647"/>
      <c r="I425" s="784"/>
    </row>
    <row r="426" spans="1:9" ht="13.8">
      <c r="A426" s="784"/>
      <c r="B426" s="784"/>
      <c r="C426" s="784"/>
      <c r="D426" s="784"/>
      <c r="E426" s="784"/>
      <c r="F426" s="784"/>
      <c r="G426" s="784"/>
      <c r="H426" s="647"/>
      <c r="I426" s="784"/>
    </row>
    <row r="427" spans="1:9" ht="13.8">
      <c r="A427" s="784"/>
      <c r="B427" s="784"/>
      <c r="C427" s="784"/>
      <c r="D427" s="784"/>
      <c r="E427" s="784"/>
      <c r="F427" s="784"/>
      <c r="G427" s="784"/>
      <c r="H427" s="647"/>
      <c r="I427" s="784"/>
    </row>
    <row r="428" spans="1:9" ht="13.8">
      <c r="A428" s="784"/>
      <c r="B428" s="784"/>
      <c r="C428" s="784"/>
      <c r="D428" s="784"/>
      <c r="E428" s="784"/>
      <c r="F428" s="784"/>
      <c r="G428" s="784"/>
      <c r="H428" s="647"/>
      <c r="I428" s="784"/>
    </row>
    <row r="429" spans="1:9" ht="13.8">
      <c r="A429" s="784"/>
      <c r="B429" s="784"/>
      <c r="C429" s="784"/>
      <c r="D429" s="784"/>
      <c r="E429" s="784"/>
      <c r="F429" s="784"/>
      <c r="G429" s="784"/>
      <c r="H429" s="647"/>
      <c r="I429" s="784"/>
    </row>
    <row r="430" spans="1:9" ht="13.8">
      <c r="A430" s="784"/>
      <c r="B430" s="784"/>
      <c r="C430" s="784"/>
      <c r="D430" s="784"/>
      <c r="E430" s="784"/>
      <c r="F430" s="784"/>
      <c r="G430" s="784"/>
      <c r="H430" s="647"/>
      <c r="I430" s="784"/>
    </row>
    <row r="431" spans="1:9" ht="13.8">
      <c r="A431" s="784"/>
      <c r="B431" s="784"/>
      <c r="C431" s="784"/>
      <c r="D431" s="784"/>
      <c r="E431" s="784"/>
      <c r="F431" s="784"/>
      <c r="G431" s="784"/>
      <c r="H431" s="647"/>
      <c r="I431" s="784"/>
    </row>
    <row r="432" spans="1:9" ht="13.8">
      <c r="A432" s="784"/>
      <c r="B432" s="784"/>
      <c r="C432" s="784"/>
      <c r="D432" s="784"/>
      <c r="E432" s="784"/>
      <c r="F432" s="784"/>
      <c r="G432" s="784"/>
      <c r="H432" s="647"/>
      <c r="I432" s="784"/>
    </row>
    <row r="433" spans="1:9" ht="13.8">
      <c r="A433" s="784"/>
      <c r="B433" s="784"/>
      <c r="C433" s="784"/>
      <c r="D433" s="784"/>
      <c r="E433" s="784"/>
      <c r="F433" s="784"/>
      <c r="G433" s="784"/>
      <c r="H433" s="647"/>
      <c r="I433" s="784"/>
    </row>
    <row r="434" spans="1:9" ht="13.8">
      <c r="A434" s="784"/>
      <c r="B434" s="784"/>
      <c r="C434" s="784"/>
      <c r="D434" s="784"/>
      <c r="E434" s="784"/>
      <c r="F434" s="784"/>
      <c r="G434" s="784"/>
      <c r="H434" s="647"/>
      <c r="I434" s="784"/>
    </row>
    <row r="435" spans="1:9" ht="13.8">
      <c r="A435" s="784"/>
      <c r="B435" s="784"/>
      <c r="C435" s="784"/>
      <c r="D435" s="784"/>
      <c r="E435" s="784"/>
      <c r="F435" s="784"/>
      <c r="G435" s="784"/>
      <c r="H435" s="647"/>
      <c r="I435" s="784"/>
    </row>
    <row r="436" spans="1:9" ht="13.8">
      <c r="A436" s="784"/>
      <c r="B436" s="784"/>
      <c r="C436" s="784"/>
      <c r="D436" s="784"/>
      <c r="E436" s="784"/>
      <c r="F436" s="784"/>
      <c r="G436" s="784"/>
      <c r="H436" s="647"/>
      <c r="I436" s="784"/>
    </row>
    <row r="437" spans="1:9" ht="13.8">
      <c r="A437" s="784"/>
      <c r="B437" s="784"/>
      <c r="C437" s="784"/>
      <c r="D437" s="784"/>
      <c r="E437" s="784"/>
      <c r="F437" s="784"/>
      <c r="G437" s="784"/>
      <c r="H437" s="647"/>
      <c r="I437" s="784"/>
    </row>
    <row r="438" spans="1:9" ht="13.8">
      <c r="A438" s="784"/>
      <c r="B438" s="784"/>
      <c r="C438" s="784"/>
      <c r="D438" s="784"/>
      <c r="E438" s="784"/>
      <c r="F438" s="784"/>
      <c r="G438" s="784"/>
      <c r="H438" s="647"/>
      <c r="I438" s="784"/>
    </row>
    <row r="439" spans="1:9" ht="13.8">
      <c r="A439" s="784"/>
      <c r="B439" s="784"/>
      <c r="C439" s="784"/>
      <c r="D439" s="784"/>
      <c r="E439" s="784"/>
      <c r="F439" s="784"/>
      <c r="G439" s="784"/>
      <c r="H439" s="647"/>
      <c r="I439" s="784"/>
    </row>
    <row r="440" spans="1:9" ht="13.8">
      <c r="A440" s="784"/>
      <c r="B440" s="784"/>
      <c r="C440" s="784"/>
      <c r="D440" s="784"/>
      <c r="E440" s="784"/>
      <c r="F440" s="784"/>
      <c r="G440" s="784"/>
      <c r="H440" s="647"/>
      <c r="I440" s="784"/>
    </row>
    <row r="441" spans="1:9" ht="13.8">
      <c r="A441" s="784"/>
      <c r="B441" s="784"/>
      <c r="C441" s="784"/>
      <c r="D441" s="784"/>
      <c r="E441" s="784"/>
      <c r="F441" s="784"/>
      <c r="G441" s="784"/>
      <c r="H441" s="647"/>
      <c r="I441" s="784"/>
    </row>
    <row r="442" spans="1:9" ht="13.8">
      <c r="A442" s="784"/>
      <c r="B442" s="784"/>
      <c r="C442" s="784"/>
      <c r="D442" s="784"/>
      <c r="E442" s="784"/>
      <c r="F442" s="784"/>
      <c r="G442" s="784"/>
      <c r="H442" s="647"/>
      <c r="I442" s="784"/>
    </row>
    <row r="443" spans="1:9" ht="13.8">
      <c r="A443" s="784"/>
      <c r="B443" s="784"/>
      <c r="C443" s="784"/>
      <c r="D443" s="784"/>
      <c r="E443" s="784"/>
      <c r="F443" s="784"/>
      <c r="G443" s="784"/>
      <c r="H443" s="647"/>
      <c r="I443" s="784"/>
    </row>
    <row r="444" spans="1:9" ht="13.8">
      <c r="A444" s="784"/>
      <c r="B444" s="784"/>
      <c r="C444" s="784"/>
      <c r="D444" s="784"/>
      <c r="E444" s="784"/>
      <c r="F444" s="784"/>
      <c r="G444" s="784"/>
      <c r="H444" s="647"/>
      <c r="I444" s="784"/>
    </row>
    <row r="445" spans="1:9" ht="13.8">
      <c r="A445" s="784"/>
      <c r="B445" s="784"/>
      <c r="C445" s="784"/>
      <c r="D445" s="784"/>
      <c r="E445" s="784"/>
      <c r="F445" s="784"/>
      <c r="G445" s="784"/>
      <c r="H445" s="647"/>
      <c r="I445" s="784"/>
    </row>
    <row r="446" spans="1:9" ht="13.8">
      <c r="A446" s="784"/>
      <c r="B446" s="784"/>
      <c r="C446" s="784"/>
      <c r="D446" s="784"/>
      <c r="E446" s="784"/>
      <c r="F446" s="784"/>
      <c r="G446" s="784"/>
      <c r="H446" s="647"/>
      <c r="I446" s="784"/>
    </row>
    <row r="447" spans="1:9" ht="13.8">
      <c r="A447" s="784"/>
      <c r="B447" s="784"/>
      <c r="C447" s="784"/>
      <c r="D447" s="784"/>
      <c r="E447" s="784"/>
      <c r="F447" s="784"/>
      <c r="G447" s="784"/>
      <c r="H447" s="647"/>
      <c r="I447" s="784"/>
    </row>
    <row r="448" spans="1:9" ht="13.8">
      <c r="A448" s="784"/>
      <c r="B448" s="784"/>
      <c r="C448" s="784"/>
      <c r="D448" s="784"/>
      <c r="E448" s="784"/>
      <c r="F448" s="784"/>
      <c r="G448" s="784"/>
      <c r="H448" s="647"/>
      <c r="I448" s="784"/>
    </row>
    <row r="449" spans="1:9" ht="13.8">
      <c r="A449" s="784"/>
      <c r="B449" s="784"/>
      <c r="C449" s="784"/>
      <c r="D449" s="784"/>
      <c r="E449" s="784"/>
      <c r="F449" s="784"/>
      <c r="G449" s="784"/>
      <c r="H449" s="647"/>
      <c r="I449" s="784"/>
    </row>
    <row r="450" spans="1:9" ht="13.8">
      <c r="A450" s="784"/>
      <c r="B450" s="784"/>
      <c r="C450" s="784"/>
      <c r="D450" s="784"/>
      <c r="E450" s="784"/>
      <c r="F450" s="784"/>
      <c r="G450" s="784"/>
      <c r="H450" s="647"/>
      <c r="I450" s="784"/>
    </row>
    <row r="451" spans="1:9" ht="13.8">
      <c r="A451" s="784"/>
      <c r="B451" s="784"/>
      <c r="C451" s="784"/>
      <c r="D451" s="784"/>
      <c r="E451" s="784"/>
      <c r="F451" s="784"/>
      <c r="G451" s="784"/>
      <c r="H451" s="647"/>
      <c r="I451" s="784"/>
    </row>
    <row r="452" spans="1:9" ht="13.8">
      <c r="A452" s="784"/>
      <c r="B452" s="784"/>
      <c r="C452" s="784"/>
      <c r="D452" s="784"/>
      <c r="E452" s="784"/>
      <c r="F452" s="784"/>
      <c r="G452" s="784"/>
      <c r="H452" s="647"/>
      <c r="I452" s="784"/>
    </row>
    <row r="453" spans="1:9" ht="13.8">
      <c r="A453" s="784"/>
      <c r="B453" s="784"/>
      <c r="C453" s="784"/>
      <c r="D453" s="784"/>
      <c r="E453" s="784"/>
      <c r="F453" s="784"/>
      <c r="G453" s="784"/>
      <c r="H453" s="647"/>
      <c r="I453" s="784"/>
    </row>
    <row r="454" spans="1:9" ht="13.8">
      <c r="A454" s="784"/>
      <c r="B454" s="784"/>
      <c r="C454" s="784"/>
      <c r="D454" s="784"/>
      <c r="E454" s="784"/>
      <c r="F454" s="784"/>
      <c r="G454" s="784"/>
      <c r="H454" s="647"/>
      <c r="I454" s="784"/>
    </row>
    <row r="455" spans="1:9" ht="13.8">
      <c r="A455" s="784"/>
      <c r="B455" s="784"/>
      <c r="C455" s="784"/>
      <c r="D455" s="784"/>
      <c r="E455" s="784"/>
      <c r="F455" s="784"/>
      <c r="G455" s="784"/>
      <c r="H455" s="647"/>
      <c r="I455" s="784"/>
    </row>
    <row r="456" spans="1:9" ht="13.8">
      <c r="A456" s="784"/>
      <c r="B456" s="784"/>
      <c r="C456" s="784"/>
      <c r="D456" s="784"/>
      <c r="E456" s="784"/>
      <c r="F456" s="784"/>
      <c r="G456" s="784"/>
      <c r="H456" s="647"/>
      <c r="I456" s="784"/>
    </row>
    <row r="457" spans="1:9" ht="13.8">
      <c r="A457" s="784"/>
      <c r="B457" s="784"/>
      <c r="C457" s="784"/>
      <c r="D457" s="784"/>
      <c r="E457" s="784"/>
      <c r="F457" s="784"/>
      <c r="G457" s="784"/>
      <c r="H457" s="647"/>
      <c r="I457" s="784"/>
    </row>
    <row r="458" spans="1:9" ht="13.8">
      <c r="A458" s="784"/>
      <c r="B458" s="784"/>
      <c r="C458" s="784"/>
      <c r="D458" s="784"/>
      <c r="E458" s="784"/>
      <c r="F458" s="784"/>
      <c r="G458" s="784"/>
      <c r="H458" s="647"/>
      <c r="I458" s="784"/>
    </row>
    <row r="459" spans="1:9" ht="13.8">
      <c r="A459" s="784"/>
      <c r="B459" s="784"/>
      <c r="C459" s="784"/>
      <c r="D459" s="784"/>
      <c r="E459" s="784"/>
      <c r="F459" s="784"/>
      <c r="G459" s="784"/>
      <c r="H459" s="647"/>
      <c r="I459" s="784"/>
    </row>
    <row r="460" spans="1:9" ht="13.8">
      <c r="A460" s="784"/>
      <c r="B460" s="784"/>
      <c r="C460" s="784"/>
      <c r="D460" s="784"/>
      <c r="E460" s="784"/>
      <c r="F460" s="784"/>
      <c r="G460" s="784"/>
      <c r="H460" s="647"/>
      <c r="I460" s="784"/>
    </row>
    <row r="461" spans="1:9" ht="13.8">
      <c r="A461" s="784"/>
      <c r="B461" s="784"/>
      <c r="C461" s="784"/>
      <c r="D461" s="784"/>
      <c r="E461" s="784"/>
      <c r="F461" s="784"/>
      <c r="G461" s="784"/>
      <c r="H461" s="647"/>
      <c r="I461" s="784"/>
    </row>
    <row r="462" spans="1:9" ht="13.8">
      <c r="A462" s="784"/>
      <c r="B462" s="784"/>
      <c r="C462" s="784"/>
      <c r="D462" s="784"/>
      <c r="E462" s="784"/>
      <c r="F462" s="784"/>
      <c r="G462" s="784"/>
      <c r="H462" s="647"/>
      <c r="I462" s="784"/>
    </row>
    <row r="463" spans="1:9" ht="13.8">
      <c r="A463" s="784"/>
      <c r="B463" s="784"/>
      <c r="C463" s="784"/>
      <c r="D463" s="784"/>
      <c r="E463" s="784"/>
      <c r="F463" s="784"/>
      <c r="G463" s="784"/>
      <c r="H463" s="647"/>
      <c r="I463" s="784"/>
    </row>
    <row r="464" spans="1:9" ht="13.8">
      <c r="A464" s="784"/>
      <c r="B464" s="784"/>
      <c r="C464" s="784"/>
      <c r="D464" s="784"/>
      <c r="E464" s="784"/>
      <c r="F464" s="784"/>
      <c r="G464" s="784"/>
      <c r="H464" s="647"/>
      <c r="I464" s="784"/>
    </row>
    <row r="465" spans="1:9" ht="13.8">
      <c r="A465" s="784"/>
      <c r="B465" s="784"/>
      <c r="C465" s="784"/>
      <c r="D465" s="784"/>
      <c r="E465" s="784"/>
      <c r="F465" s="784"/>
      <c r="G465" s="784"/>
      <c r="H465" s="647"/>
      <c r="I465" s="784"/>
    </row>
    <row r="466" spans="1:9" ht="13.8">
      <c r="A466" s="784"/>
      <c r="B466" s="784"/>
      <c r="C466" s="784"/>
      <c r="D466" s="784"/>
      <c r="E466" s="784"/>
      <c r="F466" s="784"/>
      <c r="G466" s="784"/>
      <c r="H466" s="647"/>
      <c r="I466" s="784"/>
    </row>
    <row r="467" spans="1:9" ht="13.8">
      <c r="A467" s="784"/>
      <c r="B467" s="784"/>
      <c r="C467" s="784"/>
      <c r="D467" s="784"/>
      <c r="E467" s="784"/>
      <c r="F467" s="784"/>
      <c r="G467" s="784"/>
      <c r="H467" s="647"/>
      <c r="I467" s="784"/>
    </row>
    <row r="468" spans="1:9" ht="13.8">
      <c r="A468" s="784"/>
      <c r="B468" s="784"/>
      <c r="C468" s="784"/>
      <c r="D468" s="784"/>
      <c r="E468" s="784"/>
      <c r="F468" s="784"/>
      <c r="G468" s="784"/>
      <c r="H468" s="647"/>
      <c r="I468" s="784"/>
    </row>
    <row r="469" spans="1:9" ht="13.8">
      <c r="A469" s="784"/>
      <c r="B469" s="784"/>
      <c r="C469" s="784"/>
      <c r="D469" s="784"/>
      <c r="E469" s="784"/>
      <c r="F469" s="784"/>
      <c r="G469" s="784"/>
      <c r="H469" s="647"/>
      <c r="I469" s="784"/>
    </row>
    <row r="470" spans="1:9" ht="13.8">
      <c r="A470" s="784"/>
      <c r="B470" s="784"/>
      <c r="C470" s="784"/>
      <c r="D470" s="784"/>
      <c r="E470" s="784"/>
      <c r="F470" s="784"/>
      <c r="G470" s="784"/>
      <c r="H470" s="647"/>
      <c r="I470" s="784"/>
    </row>
    <row r="471" spans="1:9" ht="13.8">
      <c r="A471" s="784"/>
      <c r="B471" s="784"/>
      <c r="C471" s="784"/>
      <c r="D471" s="784"/>
      <c r="E471" s="784"/>
      <c r="F471" s="784"/>
      <c r="G471" s="784"/>
      <c r="H471" s="647"/>
      <c r="I471" s="784"/>
    </row>
    <row r="472" spans="1:9" ht="13.8">
      <c r="A472" s="784"/>
      <c r="B472" s="784"/>
      <c r="C472" s="784"/>
      <c r="D472" s="784"/>
      <c r="E472" s="784"/>
      <c r="F472" s="784"/>
      <c r="G472" s="784"/>
      <c r="H472" s="647"/>
      <c r="I472" s="784"/>
    </row>
    <row r="473" spans="1:9" ht="13.8">
      <c r="A473" s="784"/>
      <c r="B473" s="784"/>
      <c r="C473" s="784"/>
      <c r="D473" s="784"/>
      <c r="E473" s="784"/>
      <c r="F473" s="784"/>
      <c r="G473" s="784"/>
      <c r="H473" s="647"/>
      <c r="I473" s="784"/>
    </row>
    <row r="474" spans="1:9" ht="13.8">
      <c r="A474" s="784"/>
      <c r="B474" s="784"/>
      <c r="C474" s="784"/>
      <c r="D474" s="784"/>
      <c r="E474" s="784"/>
      <c r="F474" s="784"/>
      <c r="G474" s="784"/>
      <c r="H474" s="647"/>
      <c r="I474" s="784"/>
    </row>
    <row r="475" spans="1:9" ht="13.8">
      <c r="A475" s="784"/>
      <c r="B475" s="784"/>
      <c r="C475" s="784"/>
      <c r="D475" s="784"/>
      <c r="E475" s="784"/>
      <c r="F475" s="784"/>
      <c r="G475" s="784"/>
      <c r="H475" s="647"/>
      <c r="I475" s="784"/>
    </row>
    <row r="476" spans="1:9" ht="13.8">
      <c r="A476" s="784"/>
      <c r="B476" s="784"/>
      <c r="C476" s="784"/>
      <c r="D476" s="784"/>
      <c r="E476" s="784"/>
      <c r="F476" s="784"/>
      <c r="G476" s="784"/>
      <c r="H476" s="647"/>
      <c r="I476" s="784"/>
    </row>
    <row r="477" spans="1:9" ht="13.8">
      <c r="A477" s="784"/>
      <c r="B477" s="784"/>
      <c r="C477" s="784"/>
      <c r="D477" s="784"/>
      <c r="E477" s="784"/>
      <c r="F477" s="784"/>
      <c r="G477" s="784"/>
      <c r="H477" s="647"/>
      <c r="I477" s="784"/>
    </row>
    <row r="478" spans="1:9" ht="13.8">
      <c r="A478" s="784"/>
      <c r="B478" s="784"/>
      <c r="C478" s="784"/>
      <c r="D478" s="784"/>
      <c r="E478" s="784"/>
      <c r="F478" s="784"/>
      <c r="G478" s="784"/>
      <c r="H478" s="647"/>
      <c r="I478" s="784"/>
    </row>
    <row r="479" spans="1:9" ht="13.8">
      <c r="A479" s="784"/>
      <c r="B479" s="784"/>
      <c r="C479" s="784"/>
      <c r="D479" s="784"/>
      <c r="E479" s="784"/>
      <c r="F479" s="784"/>
      <c r="G479" s="784"/>
      <c r="H479" s="647"/>
      <c r="I479" s="784"/>
    </row>
    <row r="480" spans="1:9" ht="13.8">
      <c r="A480" s="784"/>
      <c r="B480" s="784"/>
      <c r="C480" s="784"/>
      <c r="D480" s="784"/>
      <c r="E480" s="784"/>
      <c r="F480" s="784"/>
      <c r="G480" s="784"/>
      <c r="H480" s="647"/>
      <c r="I480" s="784"/>
    </row>
    <row r="481" spans="1:9" ht="13.8">
      <c r="A481" s="784"/>
      <c r="B481" s="784"/>
      <c r="C481" s="784"/>
      <c r="D481" s="784"/>
      <c r="E481" s="784"/>
      <c r="F481" s="784"/>
      <c r="G481" s="784"/>
      <c r="H481" s="647"/>
      <c r="I481" s="784"/>
    </row>
    <row r="482" spans="1:9" ht="13.8">
      <c r="A482" s="784"/>
      <c r="B482" s="784"/>
      <c r="C482" s="784"/>
      <c r="D482" s="784"/>
      <c r="E482" s="784"/>
      <c r="F482" s="784"/>
      <c r="G482" s="784"/>
      <c r="H482" s="647"/>
      <c r="I482" s="784"/>
    </row>
    <row r="483" spans="1:9" ht="13.8">
      <c r="A483" s="784"/>
      <c r="B483" s="784"/>
      <c r="C483" s="784"/>
      <c r="D483" s="784"/>
      <c r="E483" s="784"/>
      <c r="F483" s="784"/>
      <c r="G483" s="784"/>
      <c r="H483" s="647"/>
      <c r="I483" s="784"/>
    </row>
    <row r="484" spans="1:9" ht="13.8">
      <c r="A484" s="784"/>
      <c r="B484" s="784"/>
      <c r="C484" s="784"/>
      <c r="D484" s="784"/>
      <c r="E484" s="784"/>
      <c r="F484" s="784"/>
      <c r="G484" s="784"/>
      <c r="H484" s="647"/>
      <c r="I484" s="784"/>
    </row>
    <row r="485" spans="1:9" ht="13.8">
      <c r="A485" s="784"/>
      <c r="B485" s="784"/>
      <c r="C485" s="784"/>
      <c r="D485" s="784"/>
      <c r="E485" s="784"/>
      <c r="F485" s="784"/>
      <c r="G485" s="784"/>
      <c r="H485" s="647"/>
      <c r="I485" s="784"/>
    </row>
    <row r="486" spans="1:9" ht="13.8">
      <c r="A486" s="784"/>
      <c r="B486" s="784"/>
      <c r="C486" s="784"/>
      <c r="D486" s="784"/>
      <c r="E486" s="784"/>
      <c r="F486" s="784"/>
      <c r="G486" s="784"/>
      <c r="H486" s="647"/>
      <c r="I486" s="784"/>
    </row>
    <row r="487" spans="1:9" ht="13.8">
      <c r="A487" s="784"/>
      <c r="B487" s="784"/>
      <c r="C487" s="784"/>
      <c r="D487" s="784"/>
      <c r="E487" s="784"/>
      <c r="F487" s="784"/>
      <c r="G487" s="784"/>
      <c r="H487" s="647"/>
      <c r="I487" s="784"/>
    </row>
    <row r="488" spans="1:9" ht="13.8">
      <c r="A488" s="784"/>
      <c r="B488" s="784"/>
      <c r="C488" s="784"/>
      <c r="D488" s="784"/>
      <c r="E488" s="784"/>
      <c r="F488" s="784"/>
      <c r="G488" s="784"/>
      <c r="H488" s="647"/>
      <c r="I488" s="784"/>
    </row>
    <row r="489" spans="1:9" ht="13.8">
      <c r="A489" s="784"/>
      <c r="B489" s="784"/>
      <c r="C489" s="784"/>
      <c r="D489" s="784"/>
      <c r="E489" s="784"/>
      <c r="F489" s="784"/>
      <c r="G489" s="784"/>
      <c r="H489" s="647"/>
      <c r="I489" s="784"/>
    </row>
    <row r="490" spans="1:9" ht="13.8">
      <c r="A490" s="784"/>
      <c r="B490" s="784"/>
      <c r="C490" s="784"/>
      <c r="D490" s="784"/>
      <c r="E490" s="784"/>
      <c r="F490" s="784"/>
      <c r="G490" s="784"/>
      <c r="H490" s="647"/>
      <c r="I490" s="784"/>
    </row>
    <row r="491" spans="1:9" ht="13.8">
      <c r="A491" s="784"/>
      <c r="B491" s="784"/>
      <c r="C491" s="784"/>
      <c r="D491" s="784"/>
      <c r="E491" s="784"/>
      <c r="F491" s="784"/>
      <c r="G491" s="784"/>
      <c r="H491" s="647"/>
      <c r="I491" s="784"/>
    </row>
    <row r="492" spans="1:9" ht="13.8">
      <c r="A492" s="784"/>
      <c r="B492" s="784"/>
      <c r="C492" s="784"/>
      <c r="D492" s="784"/>
      <c r="E492" s="784"/>
      <c r="F492" s="784"/>
      <c r="G492" s="784"/>
      <c r="H492" s="647"/>
      <c r="I492" s="784"/>
    </row>
    <row r="493" spans="1:9" ht="13.8">
      <c r="A493" s="784"/>
      <c r="B493" s="784"/>
      <c r="C493" s="784"/>
      <c r="D493" s="784"/>
      <c r="E493" s="784"/>
      <c r="F493" s="784"/>
      <c r="G493" s="784"/>
      <c r="H493" s="647"/>
      <c r="I493" s="784"/>
    </row>
    <row r="494" spans="1:9" ht="13.8">
      <c r="A494" s="784"/>
      <c r="B494" s="784"/>
      <c r="C494" s="784"/>
      <c r="D494" s="784"/>
      <c r="E494" s="784"/>
      <c r="F494" s="784"/>
      <c r="G494" s="784"/>
      <c r="H494" s="647"/>
      <c r="I494" s="784"/>
    </row>
    <row r="495" spans="1:9" ht="13.8">
      <c r="A495" s="784"/>
      <c r="B495" s="784"/>
      <c r="C495" s="784"/>
      <c r="D495" s="784"/>
      <c r="E495" s="784"/>
      <c r="F495" s="784"/>
      <c r="G495" s="784"/>
      <c r="H495" s="647"/>
      <c r="I495" s="784"/>
    </row>
    <row r="496" spans="1:9" ht="13.8">
      <c r="A496" s="784"/>
      <c r="B496" s="784"/>
      <c r="C496" s="784"/>
      <c r="D496" s="784"/>
      <c r="E496" s="784"/>
      <c r="F496" s="784"/>
      <c r="G496" s="784"/>
      <c r="H496" s="647"/>
      <c r="I496" s="784"/>
    </row>
    <row r="497" spans="1:9" ht="13.8">
      <c r="A497" s="784"/>
      <c r="B497" s="784"/>
      <c r="C497" s="784"/>
      <c r="D497" s="784"/>
      <c r="E497" s="784"/>
      <c r="F497" s="784"/>
      <c r="G497" s="784"/>
      <c r="H497" s="647"/>
      <c r="I497" s="784"/>
    </row>
    <row r="498" spans="1:9" ht="13.8">
      <c r="A498" s="784"/>
      <c r="B498" s="784"/>
      <c r="C498" s="784"/>
      <c r="D498" s="784"/>
      <c r="E498" s="784"/>
      <c r="F498" s="784"/>
      <c r="G498" s="784"/>
      <c r="H498" s="647"/>
      <c r="I498" s="784"/>
    </row>
    <row r="499" spans="1:9" ht="13.8">
      <c r="A499" s="784"/>
      <c r="B499" s="784"/>
      <c r="C499" s="784"/>
      <c r="D499" s="784"/>
      <c r="E499" s="784"/>
      <c r="F499" s="784"/>
      <c r="G499" s="784"/>
      <c r="H499" s="647"/>
      <c r="I499" s="784"/>
    </row>
    <row r="500" spans="1:9" ht="13.8">
      <c r="A500" s="784"/>
      <c r="B500" s="784"/>
      <c r="C500" s="784"/>
      <c r="D500" s="784"/>
      <c r="E500" s="784"/>
      <c r="F500" s="784"/>
      <c r="G500" s="784"/>
      <c r="H500" s="647"/>
      <c r="I500" s="784"/>
    </row>
    <row r="501" spans="1:9" ht="13.8">
      <c r="A501" s="784"/>
      <c r="B501" s="784"/>
      <c r="C501" s="784"/>
      <c r="D501" s="784"/>
      <c r="E501" s="784"/>
      <c r="F501" s="784"/>
      <c r="G501" s="784"/>
      <c r="H501" s="647"/>
      <c r="I501" s="784"/>
    </row>
    <row r="502" spans="1:9" ht="13.8">
      <c r="A502" s="784"/>
      <c r="B502" s="784"/>
      <c r="C502" s="784"/>
      <c r="D502" s="784"/>
      <c r="E502" s="784"/>
      <c r="F502" s="784"/>
      <c r="G502" s="784"/>
      <c r="H502" s="647"/>
      <c r="I502" s="784"/>
    </row>
    <row r="503" spans="1:9" ht="13.8">
      <c r="A503" s="784"/>
      <c r="B503" s="784"/>
      <c r="C503" s="784"/>
      <c r="D503" s="784"/>
      <c r="E503" s="784"/>
      <c r="F503" s="784"/>
      <c r="G503" s="784"/>
      <c r="H503" s="647"/>
      <c r="I503" s="784"/>
    </row>
    <row r="504" spans="1:9" ht="13.8">
      <c r="A504" s="784"/>
      <c r="B504" s="784"/>
      <c r="C504" s="784"/>
      <c r="D504" s="784"/>
      <c r="E504" s="784"/>
      <c r="F504" s="784"/>
      <c r="G504" s="784"/>
      <c r="H504" s="647"/>
      <c r="I504" s="784"/>
    </row>
    <row r="505" spans="1:9" ht="13.8">
      <c r="A505" s="784"/>
      <c r="B505" s="784"/>
      <c r="C505" s="784"/>
      <c r="D505" s="784"/>
      <c r="E505" s="784"/>
      <c r="F505" s="784"/>
      <c r="G505" s="784"/>
      <c r="H505" s="647"/>
      <c r="I505" s="784"/>
    </row>
    <row r="506" spans="1:9" ht="13.8">
      <c r="A506" s="784"/>
      <c r="B506" s="784"/>
      <c r="C506" s="784"/>
      <c r="D506" s="784"/>
      <c r="E506" s="784"/>
      <c r="F506" s="784"/>
      <c r="G506" s="784"/>
      <c r="H506" s="647"/>
      <c r="I506" s="784"/>
    </row>
    <row r="507" spans="1:9" ht="13.8">
      <c r="A507" s="784"/>
      <c r="B507" s="784"/>
      <c r="C507" s="784"/>
      <c r="D507" s="784"/>
      <c r="E507" s="784"/>
      <c r="F507" s="784"/>
      <c r="G507" s="784"/>
      <c r="H507" s="647"/>
      <c r="I507" s="784"/>
    </row>
    <row r="508" spans="1:9" ht="13.8">
      <c r="A508" s="784"/>
      <c r="B508" s="784"/>
      <c r="C508" s="784"/>
      <c r="D508" s="784"/>
      <c r="E508" s="784"/>
      <c r="F508" s="784"/>
      <c r="G508" s="784"/>
      <c r="H508" s="647"/>
      <c r="I508" s="784"/>
    </row>
    <row r="509" spans="1:9" ht="13.8">
      <c r="A509" s="784"/>
      <c r="B509" s="784"/>
      <c r="C509" s="784"/>
      <c r="D509" s="784"/>
      <c r="E509" s="784"/>
      <c r="F509" s="784"/>
      <c r="G509" s="784"/>
      <c r="H509" s="647"/>
      <c r="I509" s="784"/>
    </row>
    <row r="510" spans="1:9" ht="13.8">
      <c r="A510" s="784"/>
      <c r="B510" s="784"/>
      <c r="C510" s="784"/>
      <c r="D510" s="784"/>
      <c r="E510" s="784"/>
      <c r="F510" s="784"/>
      <c r="G510" s="784"/>
      <c r="H510" s="647"/>
      <c r="I510" s="784"/>
    </row>
    <row r="511" spans="1:9" ht="13.8">
      <c r="A511" s="784"/>
      <c r="B511" s="784"/>
      <c r="C511" s="784"/>
      <c r="D511" s="784"/>
      <c r="E511" s="784"/>
      <c r="F511" s="784"/>
      <c r="G511" s="784"/>
      <c r="H511" s="647"/>
      <c r="I511" s="784"/>
    </row>
    <row r="512" spans="1:9" ht="13.8">
      <c r="A512" s="784"/>
      <c r="B512" s="784"/>
      <c r="C512" s="784"/>
      <c r="D512" s="784"/>
      <c r="E512" s="784"/>
      <c r="F512" s="784"/>
      <c r="G512" s="784"/>
      <c r="H512" s="647"/>
      <c r="I512" s="784"/>
    </row>
    <row r="513" spans="1:9" ht="13.8">
      <c r="A513" s="784"/>
      <c r="B513" s="784"/>
      <c r="C513" s="784"/>
      <c r="D513" s="784"/>
      <c r="E513" s="784"/>
      <c r="F513" s="784"/>
      <c r="G513" s="784"/>
      <c r="H513" s="647"/>
      <c r="I513" s="784"/>
    </row>
    <row r="514" spans="1:9" ht="13.8">
      <c r="A514" s="784"/>
      <c r="B514" s="784"/>
      <c r="C514" s="784"/>
      <c r="D514" s="784"/>
      <c r="E514" s="784"/>
      <c r="F514" s="784"/>
      <c r="G514" s="784"/>
      <c r="H514" s="647"/>
      <c r="I514" s="784"/>
    </row>
    <row r="515" spans="1:9" ht="13.8">
      <c r="A515" s="784"/>
      <c r="B515" s="784"/>
      <c r="C515" s="784"/>
      <c r="D515" s="784"/>
      <c r="E515" s="784"/>
      <c r="F515" s="784"/>
      <c r="G515" s="784"/>
      <c r="H515" s="647"/>
      <c r="I515" s="784"/>
    </row>
    <row r="516" spans="1:9" ht="13.8">
      <c r="A516" s="784"/>
      <c r="B516" s="784"/>
      <c r="C516" s="784"/>
      <c r="D516" s="784"/>
      <c r="E516" s="784"/>
      <c r="F516" s="784"/>
      <c r="G516" s="784"/>
      <c r="H516" s="647"/>
      <c r="I516" s="784"/>
    </row>
    <row r="517" spans="1:9" ht="13.8">
      <c r="A517" s="784"/>
      <c r="B517" s="784"/>
      <c r="C517" s="784"/>
      <c r="D517" s="784"/>
      <c r="E517" s="784"/>
      <c r="F517" s="784"/>
      <c r="G517" s="784"/>
      <c r="H517" s="647"/>
      <c r="I517" s="784"/>
    </row>
    <row r="518" spans="1:9" ht="13.8">
      <c r="A518" s="784"/>
      <c r="B518" s="784"/>
      <c r="C518" s="784"/>
      <c r="D518" s="784"/>
      <c r="E518" s="784"/>
      <c r="F518" s="784"/>
      <c r="G518" s="784"/>
      <c r="H518" s="647"/>
      <c r="I518" s="784"/>
    </row>
    <row r="519" spans="1:9" ht="13.8">
      <c r="A519" s="784"/>
      <c r="B519" s="784"/>
      <c r="C519" s="784"/>
      <c r="D519" s="784"/>
      <c r="E519" s="784"/>
      <c r="F519" s="784"/>
      <c r="G519" s="784"/>
      <c r="H519" s="647"/>
      <c r="I519" s="784"/>
    </row>
    <row r="520" spans="1:9" ht="13.8">
      <c r="A520" s="784"/>
      <c r="B520" s="784"/>
      <c r="C520" s="784"/>
      <c r="D520" s="784"/>
      <c r="E520" s="784"/>
      <c r="F520" s="784"/>
      <c r="G520" s="784"/>
      <c r="H520" s="647"/>
      <c r="I520" s="784"/>
    </row>
    <row r="521" spans="1:9" ht="13.8">
      <c r="A521" s="784"/>
      <c r="B521" s="784"/>
      <c r="C521" s="784"/>
      <c r="D521" s="784"/>
      <c r="E521" s="784"/>
      <c r="F521" s="784"/>
      <c r="G521" s="784"/>
      <c r="H521" s="647"/>
      <c r="I521" s="784"/>
    </row>
    <row r="522" spans="1:9" ht="13.8">
      <c r="A522" s="784"/>
      <c r="B522" s="784"/>
      <c r="C522" s="784"/>
      <c r="D522" s="784"/>
      <c r="E522" s="784"/>
      <c r="F522" s="784"/>
      <c r="G522" s="784"/>
      <c r="H522" s="647"/>
      <c r="I522" s="784"/>
    </row>
    <row r="523" spans="1:9" ht="13.8">
      <c r="A523" s="784"/>
      <c r="B523" s="784"/>
      <c r="C523" s="784"/>
      <c r="D523" s="784"/>
      <c r="E523" s="784"/>
      <c r="F523" s="784"/>
      <c r="G523" s="784"/>
      <c r="H523" s="647"/>
      <c r="I523" s="784"/>
    </row>
    <row r="524" spans="1:9" ht="13.8">
      <c r="A524" s="784"/>
      <c r="B524" s="784"/>
      <c r="C524" s="784"/>
      <c r="D524" s="784"/>
      <c r="E524" s="784"/>
      <c r="F524" s="784"/>
      <c r="G524" s="784"/>
      <c r="H524" s="647"/>
      <c r="I524" s="784"/>
    </row>
    <row r="525" spans="1:9" ht="13.8">
      <c r="A525" s="784"/>
      <c r="B525" s="784"/>
      <c r="C525" s="784"/>
      <c r="D525" s="784"/>
      <c r="E525" s="784"/>
      <c r="F525" s="784"/>
      <c r="G525" s="784"/>
      <c r="H525" s="647"/>
      <c r="I525" s="784"/>
    </row>
    <row r="526" spans="1:9" ht="13.8">
      <c r="A526" s="784"/>
      <c r="B526" s="784"/>
      <c r="C526" s="784"/>
      <c r="D526" s="784"/>
      <c r="E526" s="784"/>
      <c r="F526" s="784"/>
      <c r="G526" s="784"/>
      <c r="H526" s="647"/>
      <c r="I526" s="784"/>
    </row>
    <row r="527" spans="1:9" ht="13.8">
      <c r="A527" s="784"/>
      <c r="B527" s="784"/>
      <c r="C527" s="784"/>
      <c r="D527" s="784"/>
      <c r="E527" s="784"/>
      <c r="F527" s="784"/>
      <c r="G527" s="784"/>
      <c r="H527" s="647"/>
      <c r="I527" s="784"/>
    </row>
    <row r="528" spans="1:9" ht="13.8">
      <c r="A528" s="784"/>
      <c r="B528" s="784"/>
      <c r="C528" s="784"/>
      <c r="D528" s="784"/>
      <c r="E528" s="784"/>
      <c r="F528" s="784"/>
      <c r="G528" s="784"/>
      <c r="H528" s="647"/>
      <c r="I528" s="784"/>
    </row>
    <row r="529" spans="1:9" ht="13.8">
      <c r="A529" s="784"/>
      <c r="B529" s="784"/>
      <c r="C529" s="784"/>
      <c r="D529" s="784"/>
      <c r="E529" s="784"/>
      <c r="F529" s="784"/>
      <c r="G529" s="784"/>
      <c r="H529" s="647"/>
      <c r="I529" s="784"/>
    </row>
    <row r="530" spans="1:9" ht="13.8">
      <c r="A530" s="784"/>
      <c r="B530" s="784"/>
      <c r="C530" s="784"/>
      <c r="D530" s="784"/>
      <c r="E530" s="784"/>
      <c r="F530" s="784"/>
      <c r="G530" s="784"/>
      <c r="H530" s="647"/>
      <c r="I530" s="784"/>
    </row>
    <row r="531" spans="1:9" ht="13.8">
      <c r="A531" s="784"/>
      <c r="B531" s="784"/>
      <c r="C531" s="784"/>
      <c r="D531" s="784"/>
      <c r="E531" s="784"/>
      <c r="F531" s="784"/>
      <c r="G531" s="784"/>
      <c r="H531" s="647"/>
      <c r="I531" s="784"/>
    </row>
    <row r="532" spans="1:9" ht="13.8">
      <c r="A532" s="784"/>
      <c r="B532" s="784"/>
      <c r="C532" s="784"/>
      <c r="D532" s="784"/>
      <c r="E532" s="784"/>
      <c r="F532" s="784"/>
      <c r="G532" s="784"/>
      <c r="H532" s="647"/>
      <c r="I532" s="784"/>
    </row>
    <row r="533" spans="1:9" ht="13.8">
      <c r="A533" s="784"/>
      <c r="B533" s="784"/>
      <c r="C533" s="784"/>
      <c r="D533" s="784"/>
      <c r="E533" s="784"/>
      <c r="F533" s="784"/>
      <c r="G533" s="784"/>
      <c r="H533" s="647"/>
      <c r="I533" s="784"/>
    </row>
    <row r="534" spans="1:9" ht="13.8">
      <c r="A534" s="784"/>
      <c r="B534" s="784"/>
      <c r="C534" s="784"/>
      <c r="D534" s="784"/>
      <c r="E534" s="784"/>
      <c r="F534" s="784"/>
      <c r="G534" s="784"/>
      <c r="H534" s="647"/>
      <c r="I534" s="784"/>
    </row>
    <row r="535" spans="1:9" ht="13.8">
      <c r="A535" s="784"/>
      <c r="B535" s="784"/>
      <c r="C535" s="784"/>
      <c r="D535" s="784"/>
      <c r="E535" s="784"/>
      <c r="F535" s="784"/>
      <c r="G535" s="784"/>
      <c r="H535" s="647"/>
      <c r="I535" s="784"/>
    </row>
    <row r="536" spans="1:9" ht="13.8">
      <c r="A536" s="784"/>
      <c r="B536" s="784"/>
      <c r="C536" s="784"/>
      <c r="D536" s="784"/>
      <c r="E536" s="784"/>
      <c r="F536" s="784"/>
      <c r="G536" s="784"/>
      <c r="H536" s="647"/>
      <c r="I536" s="784"/>
    </row>
    <row r="537" spans="1:9" ht="13.8">
      <c r="A537" s="784"/>
      <c r="B537" s="784"/>
      <c r="C537" s="784"/>
      <c r="D537" s="784"/>
      <c r="E537" s="784"/>
      <c r="F537" s="784"/>
      <c r="G537" s="784"/>
      <c r="H537" s="647"/>
      <c r="I537" s="784"/>
    </row>
    <row r="538" spans="1:9" ht="13.8">
      <c r="A538" s="784"/>
      <c r="B538" s="784"/>
      <c r="C538" s="784"/>
      <c r="D538" s="784"/>
      <c r="E538" s="784"/>
      <c r="F538" s="784"/>
      <c r="G538" s="784"/>
      <c r="H538" s="647"/>
      <c r="I538" s="784"/>
    </row>
    <row r="539" spans="1:9" ht="13.8">
      <c r="A539" s="784"/>
      <c r="B539" s="784"/>
      <c r="C539" s="784"/>
      <c r="D539" s="784"/>
      <c r="E539" s="784"/>
      <c r="F539" s="784"/>
      <c r="G539" s="784"/>
      <c r="H539" s="647"/>
      <c r="I539" s="784"/>
    </row>
    <row r="540" spans="1:9" ht="13.8">
      <c r="A540" s="784"/>
      <c r="B540" s="784"/>
      <c r="C540" s="784"/>
      <c r="D540" s="784"/>
      <c r="E540" s="784"/>
      <c r="F540" s="784"/>
      <c r="G540" s="784"/>
      <c r="H540" s="647"/>
      <c r="I540" s="784"/>
    </row>
    <row r="541" spans="1:9" ht="13.8">
      <c r="A541" s="784"/>
      <c r="B541" s="784"/>
      <c r="C541" s="784"/>
      <c r="D541" s="784"/>
      <c r="E541" s="784"/>
      <c r="F541" s="784"/>
      <c r="G541" s="784"/>
      <c r="H541" s="647"/>
      <c r="I541" s="784"/>
    </row>
    <row r="542" spans="1:9" ht="13.8">
      <c r="A542" s="784"/>
      <c r="B542" s="784"/>
      <c r="C542" s="784"/>
      <c r="D542" s="784"/>
      <c r="E542" s="784"/>
      <c r="F542" s="784"/>
      <c r="G542" s="784"/>
      <c r="H542" s="647"/>
      <c r="I542" s="784"/>
    </row>
    <row r="543" spans="1:9" ht="13.8">
      <c r="A543" s="784"/>
      <c r="B543" s="784"/>
      <c r="C543" s="784"/>
      <c r="D543" s="784"/>
      <c r="E543" s="784"/>
      <c r="F543" s="784"/>
      <c r="G543" s="784"/>
      <c r="H543" s="647"/>
      <c r="I543" s="784"/>
    </row>
    <row r="544" spans="1:9" ht="13.8">
      <c r="A544" s="784"/>
      <c r="B544" s="784"/>
      <c r="C544" s="784"/>
      <c r="D544" s="784"/>
      <c r="E544" s="784"/>
      <c r="F544" s="784"/>
      <c r="G544" s="784"/>
      <c r="H544" s="647"/>
      <c r="I544" s="784"/>
    </row>
    <row r="545" spans="1:9" ht="13.8">
      <c r="A545" s="784"/>
      <c r="B545" s="784"/>
      <c r="C545" s="784"/>
      <c r="D545" s="784"/>
      <c r="E545" s="784"/>
      <c r="F545" s="784"/>
      <c r="G545" s="784"/>
      <c r="H545" s="647"/>
      <c r="I545" s="784"/>
    </row>
    <row r="546" spans="1:9" ht="13.8">
      <c r="A546" s="784"/>
      <c r="B546" s="784"/>
      <c r="C546" s="784"/>
      <c r="D546" s="784"/>
      <c r="E546" s="784"/>
      <c r="F546" s="784"/>
      <c r="G546" s="784"/>
      <c r="H546" s="647"/>
      <c r="I546" s="784"/>
    </row>
    <row r="547" spans="1:9" ht="13.8">
      <c r="A547" s="784"/>
      <c r="B547" s="784"/>
      <c r="C547" s="784"/>
      <c r="D547" s="784"/>
      <c r="E547" s="784"/>
      <c r="F547" s="784"/>
      <c r="G547" s="784"/>
      <c r="H547" s="647"/>
      <c r="I547" s="784"/>
    </row>
    <row r="548" spans="1:9" ht="13.8">
      <c r="A548" s="784"/>
      <c r="B548" s="784"/>
      <c r="C548" s="784"/>
      <c r="D548" s="784"/>
      <c r="E548" s="784"/>
      <c r="F548" s="784"/>
      <c r="G548" s="784"/>
      <c r="H548" s="647"/>
      <c r="I548" s="784"/>
    </row>
    <row r="549" spans="1:9" ht="13.8">
      <c r="A549" s="784"/>
      <c r="B549" s="784"/>
      <c r="C549" s="784"/>
      <c r="D549" s="784"/>
      <c r="E549" s="784"/>
      <c r="F549" s="784"/>
      <c r="G549" s="784"/>
      <c r="H549" s="647"/>
      <c r="I549" s="784"/>
    </row>
    <row r="550" spans="1:9" ht="13.8">
      <c r="A550" s="784"/>
      <c r="B550" s="784"/>
      <c r="C550" s="784"/>
      <c r="D550" s="784"/>
      <c r="E550" s="784"/>
      <c r="F550" s="784"/>
      <c r="G550" s="784"/>
      <c r="H550" s="647"/>
      <c r="I550" s="784"/>
    </row>
    <row r="551" spans="1:9" ht="13.8">
      <c r="A551" s="784"/>
      <c r="B551" s="784"/>
      <c r="C551" s="784"/>
      <c r="D551" s="784"/>
      <c r="E551" s="784"/>
      <c r="F551" s="784"/>
      <c r="G551" s="784"/>
      <c r="H551" s="647"/>
      <c r="I551" s="784"/>
    </row>
    <row r="552" spans="1:9" ht="13.8">
      <c r="A552" s="784"/>
      <c r="B552" s="784"/>
      <c r="C552" s="784"/>
      <c r="D552" s="784"/>
      <c r="E552" s="784"/>
      <c r="F552" s="784"/>
      <c r="G552" s="784"/>
      <c r="H552" s="647"/>
      <c r="I552" s="784"/>
    </row>
    <row r="553" spans="1:9" ht="13.8">
      <c r="A553" s="784"/>
      <c r="B553" s="784"/>
      <c r="C553" s="784"/>
      <c r="D553" s="784"/>
      <c r="E553" s="784"/>
      <c r="F553" s="784"/>
      <c r="G553" s="784"/>
      <c r="H553" s="647"/>
      <c r="I553" s="784"/>
    </row>
    <row r="554" spans="1:9" ht="13.8">
      <c r="A554" s="784"/>
      <c r="B554" s="784"/>
      <c r="C554" s="784"/>
      <c r="D554" s="784"/>
      <c r="E554" s="784"/>
      <c r="F554" s="784"/>
      <c r="G554" s="784"/>
      <c r="H554" s="647"/>
      <c r="I554" s="784"/>
    </row>
    <row r="555" spans="1:9" ht="13.8">
      <c r="A555" s="784"/>
      <c r="B555" s="784"/>
      <c r="C555" s="784"/>
      <c r="D555" s="784"/>
      <c r="E555" s="784"/>
      <c r="F555" s="784"/>
      <c r="G555" s="784"/>
      <c r="H555" s="647"/>
      <c r="I555" s="784"/>
    </row>
    <row r="556" spans="1:9" ht="13.8">
      <c r="A556" s="784"/>
      <c r="B556" s="784"/>
      <c r="C556" s="784"/>
      <c r="D556" s="784"/>
      <c r="E556" s="784"/>
      <c r="F556" s="784"/>
      <c r="G556" s="784"/>
      <c r="H556" s="647"/>
      <c r="I556" s="784"/>
    </row>
    <row r="557" spans="1:9" ht="13.8">
      <c r="A557" s="784"/>
      <c r="B557" s="784"/>
      <c r="C557" s="784"/>
      <c r="D557" s="784"/>
      <c r="E557" s="784"/>
      <c r="F557" s="784"/>
      <c r="G557" s="784"/>
      <c r="H557" s="647"/>
      <c r="I557" s="784"/>
    </row>
    <row r="558" spans="1:9" ht="13.8">
      <c r="A558" s="784"/>
      <c r="B558" s="784"/>
      <c r="C558" s="784"/>
      <c r="D558" s="784"/>
      <c r="E558" s="784"/>
      <c r="F558" s="784"/>
      <c r="G558" s="784"/>
      <c r="H558" s="647"/>
      <c r="I558" s="784"/>
    </row>
    <row r="559" spans="1:9" ht="13.8">
      <c r="A559" s="784"/>
      <c r="B559" s="784"/>
      <c r="C559" s="784"/>
      <c r="D559" s="784"/>
      <c r="E559" s="784"/>
      <c r="F559" s="784"/>
      <c r="G559" s="784"/>
      <c r="H559" s="647"/>
      <c r="I559" s="784"/>
    </row>
    <row r="560" spans="1:9" ht="13.8">
      <c r="A560" s="784"/>
      <c r="B560" s="784"/>
      <c r="C560" s="784"/>
      <c r="D560" s="784"/>
      <c r="E560" s="784"/>
      <c r="F560" s="784"/>
      <c r="G560" s="784"/>
      <c r="H560" s="647"/>
      <c r="I560" s="784"/>
    </row>
    <row r="561" spans="1:9" ht="13.8">
      <c r="A561" s="784"/>
      <c r="B561" s="784"/>
      <c r="C561" s="784"/>
      <c r="D561" s="784"/>
      <c r="E561" s="784"/>
      <c r="F561" s="784"/>
      <c r="G561" s="784"/>
      <c r="H561" s="647"/>
      <c r="I561" s="784"/>
    </row>
    <row r="562" spans="1:9" ht="13.8">
      <c r="A562" s="784"/>
      <c r="B562" s="784"/>
      <c r="C562" s="784"/>
      <c r="D562" s="784"/>
      <c r="E562" s="784"/>
      <c r="F562" s="784"/>
      <c r="G562" s="784"/>
      <c r="H562" s="647"/>
      <c r="I562" s="784"/>
    </row>
    <row r="563" spans="1:9" ht="13.8">
      <c r="A563" s="784"/>
      <c r="B563" s="784"/>
      <c r="C563" s="784"/>
      <c r="D563" s="784"/>
      <c r="E563" s="784"/>
      <c r="F563" s="784"/>
      <c r="G563" s="784"/>
      <c r="H563" s="647"/>
      <c r="I563" s="784"/>
    </row>
    <row r="564" spans="1:9" ht="13.8">
      <c r="A564" s="784"/>
      <c r="B564" s="784"/>
      <c r="C564" s="784"/>
      <c r="D564" s="784"/>
      <c r="E564" s="784"/>
      <c r="F564" s="784"/>
      <c r="G564" s="784"/>
      <c r="H564" s="647"/>
      <c r="I564" s="784"/>
    </row>
    <row r="565" spans="1:9" ht="13.8">
      <c r="A565" s="784"/>
      <c r="B565" s="784"/>
      <c r="C565" s="784"/>
      <c r="D565" s="784"/>
      <c r="E565" s="784"/>
      <c r="F565" s="784"/>
      <c r="G565" s="784"/>
      <c r="H565" s="647"/>
      <c r="I565" s="784"/>
    </row>
    <row r="566" spans="1:9" ht="13.8">
      <c r="A566" s="784"/>
      <c r="B566" s="784"/>
      <c r="C566" s="784"/>
      <c r="D566" s="784"/>
      <c r="E566" s="784"/>
      <c r="F566" s="784"/>
      <c r="G566" s="784"/>
      <c r="H566" s="647"/>
      <c r="I566" s="784"/>
    </row>
    <row r="567" spans="1:9" ht="13.8">
      <c r="A567" s="784"/>
      <c r="B567" s="784"/>
      <c r="C567" s="784"/>
      <c r="D567" s="784"/>
      <c r="E567" s="784"/>
      <c r="F567" s="784"/>
      <c r="G567" s="784"/>
      <c r="H567" s="647"/>
      <c r="I567" s="784"/>
    </row>
    <row r="568" spans="1:9" ht="13.8">
      <c r="A568" s="784"/>
      <c r="B568" s="784"/>
      <c r="C568" s="784"/>
      <c r="D568" s="784"/>
      <c r="E568" s="784"/>
      <c r="F568" s="784"/>
      <c r="G568" s="784"/>
      <c r="H568" s="647"/>
      <c r="I568" s="784"/>
    </row>
    <row r="569" spans="1:9" ht="13.8">
      <c r="A569" s="784"/>
      <c r="B569" s="784"/>
      <c r="C569" s="784"/>
      <c r="D569" s="784"/>
      <c r="E569" s="784"/>
      <c r="F569" s="784"/>
      <c r="G569" s="784"/>
      <c r="H569" s="647"/>
      <c r="I569" s="784"/>
    </row>
    <row r="570" spans="1:9" ht="13.8">
      <c r="A570" s="784"/>
      <c r="B570" s="784"/>
      <c r="C570" s="784"/>
      <c r="D570" s="784"/>
      <c r="E570" s="784"/>
      <c r="F570" s="784"/>
      <c r="G570" s="784"/>
      <c r="H570" s="647"/>
      <c r="I570" s="784"/>
    </row>
    <row r="571" spans="1:9" ht="13.8">
      <c r="A571" s="784"/>
      <c r="B571" s="784"/>
      <c r="C571" s="784"/>
      <c r="D571" s="784"/>
      <c r="E571" s="784"/>
      <c r="F571" s="784"/>
      <c r="G571" s="784"/>
      <c r="H571" s="647"/>
      <c r="I571" s="784"/>
    </row>
    <row r="572" spans="1:9" ht="13.8">
      <c r="A572" s="784"/>
      <c r="B572" s="784"/>
      <c r="C572" s="784"/>
      <c r="D572" s="784"/>
      <c r="E572" s="784"/>
      <c r="F572" s="784"/>
      <c r="G572" s="784"/>
      <c r="H572" s="647"/>
      <c r="I572" s="784"/>
    </row>
    <row r="573" spans="1:9" ht="13.8">
      <c r="A573" s="784"/>
      <c r="B573" s="784"/>
      <c r="C573" s="784"/>
      <c r="D573" s="784"/>
      <c r="E573" s="784"/>
      <c r="F573" s="784"/>
      <c r="G573" s="784"/>
      <c r="H573" s="647"/>
      <c r="I573" s="784"/>
    </row>
    <row r="574" spans="1:9" ht="13.8">
      <c r="A574" s="784"/>
      <c r="B574" s="784"/>
      <c r="C574" s="784"/>
      <c r="D574" s="784"/>
      <c r="E574" s="784"/>
      <c r="F574" s="784"/>
      <c r="G574" s="784"/>
      <c r="H574" s="647"/>
      <c r="I574" s="784"/>
    </row>
    <row r="575" spans="1:9" ht="13.8">
      <c r="A575" s="784"/>
      <c r="B575" s="784"/>
      <c r="C575" s="784"/>
      <c r="D575" s="784"/>
      <c r="E575" s="784"/>
      <c r="F575" s="784"/>
      <c r="G575" s="784"/>
      <c r="H575" s="647"/>
      <c r="I575" s="784"/>
    </row>
    <row r="576" spans="1:9" ht="13.8">
      <c r="A576" s="784"/>
      <c r="B576" s="784"/>
      <c r="C576" s="784"/>
      <c r="D576" s="784"/>
      <c r="E576" s="784"/>
      <c r="F576" s="784"/>
      <c r="G576" s="784"/>
      <c r="H576" s="647"/>
      <c r="I576" s="784"/>
    </row>
    <row r="577" spans="1:9" ht="13.8">
      <c r="A577" s="784"/>
      <c r="B577" s="784"/>
      <c r="C577" s="784"/>
      <c r="D577" s="784"/>
      <c r="E577" s="784"/>
      <c r="F577" s="784"/>
      <c r="G577" s="784"/>
      <c r="H577" s="647"/>
      <c r="I577" s="784"/>
    </row>
    <row r="578" spans="1:9" ht="13.8">
      <c r="A578" s="784"/>
      <c r="B578" s="784"/>
      <c r="C578" s="784"/>
      <c r="D578" s="784"/>
      <c r="E578" s="784"/>
      <c r="F578" s="784"/>
      <c r="G578" s="784"/>
      <c r="H578" s="647"/>
      <c r="I578" s="784"/>
    </row>
    <row r="579" spans="1:9" ht="13.8">
      <c r="A579" s="784"/>
      <c r="B579" s="784"/>
      <c r="C579" s="784"/>
      <c r="D579" s="784"/>
      <c r="E579" s="784"/>
      <c r="F579" s="784"/>
      <c r="G579" s="784"/>
      <c r="H579" s="647"/>
      <c r="I579" s="784"/>
    </row>
    <row r="580" spans="1:9" ht="13.8">
      <c r="A580" s="784"/>
      <c r="B580" s="784"/>
      <c r="C580" s="784"/>
      <c r="D580" s="784"/>
      <c r="E580" s="784"/>
      <c r="F580" s="784"/>
      <c r="G580" s="784"/>
      <c r="H580" s="647"/>
      <c r="I580" s="784"/>
    </row>
    <row r="581" spans="1:9" ht="13.8">
      <c r="A581" s="784"/>
      <c r="B581" s="784"/>
      <c r="C581" s="784"/>
      <c r="D581" s="784"/>
      <c r="E581" s="784"/>
      <c r="F581" s="784"/>
      <c r="G581" s="784"/>
      <c r="H581" s="647"/>
      <c r="I581" s="784"/>
    </row>
    <row r="582" spans="1:9" ht="13.8">
      <c r="A582" s="784"/>
      <c r="B582" s="784"/>
      <c r="C582" s="784"/>
      <c r="D582" s="784"/>
      <c r="E582" s="784"/>
      <c r="F582" s="784"/>
      <c r="G582" s="784"/>
      <c r="H582" s="647"/>
      <c r="I582" s="784"/>
    </row>
    <row r="583" spans="1:9" ht="13.8">
      <c r="A583" s="784"/>
      <c r="B583" s="784"/>
      <c r="C583" s="784"/>
      <c r="D583" s="784"/>
      <c r="E583" s="784"/>
      <c r="F583" s="784"/>
      <c r="G583" s="784"/>
      <c r="H583" s="647"/>
      <c r="I583" s="784"/>
    </row>
    <row r="584" spans="1:9" ht="13.8">
      <c r="A584" s="784"/>
      <c r="B584" s="784"/>
      <c r="C584" s="784"/>
      <c r="D584" s="784"/>
      <c r="E584" s="784"/>
      <c r="F584" s="784"/>
      <c r="G584" s="784"/>
      <c r="H584" s="647"/>
      <c r="I584" s="784"/>
    </row>
    <row r="585" spans="1:9" ht="13.8">
      <c r="A585" s="784"/>
      <c r="B585" s="784"/>
      <c r="C585" s="784"/>
      <c r="D585" s="784"/>
      <c r="E585" s="784"/>
      <c r="F585" s="784"/>
      <c r="G585" s="784"/>
      <c r="H585" s="647"/>
      <c r="I585" s="784"/>
    </row>
    <row r="586" spans="1:9" ht="13.8">
      <c r="A586" s="784"/>
      <c r="B586" s="784"/>
      <c r="C586" s="784"/>
      <c r="D586" s="784"/>
      <c r="E586" s="784"/>
      <c r="F586" s="784"/>
      <c r="G586" s="784"/>
      <c r="H586" s="647"/>
      <c r="I586" s="784"/>
    </row>
    <row r="587" spans="1:9" ht="13.8">
      <c r="A587" s="784"/>
      <c r="B587" s="784"/>
      <c r="C587" s="784"/>
      <c r="D587" s="784"/>
      <c r="E587" s="784"/>
      <c r="F587" s="784"/>
      <c r="G587" s="784"/>
      <c r="H587" s="647"/>
      <c r="I587" s="784"/>
    </row>
    <row r="588" spans="1:9" ht="13.8">
      <c r="A588" s="784"/>
      <c r="B588" s="784"/>
      <c r="C588" s="784"/>
      <c r="D588" s="784"/>
      <c r="E588" s="784"/>
      <c r="F588" s="784"/>
      <c r="G588" s="784"/>
      <c r="H588" s="647"/>
      <c r="I588" s="784"/>
    </row>
    <row r="589" spans="1:9" ht="13.8">
      <c r="A589" s="784"/>
      <c r="B589" s="784"/>
      <c r="C589" s="784"/>
      <c r="D589" s="784"/>
      <c r="E589" s="784"/>
      <c r="F589" s="784"/>
      <c r="G589" s="784"/>
      <c r="H589" s="647"/>
      <c r="I589" s="784"/>
    </row>
    <row r="590" spans="1:9" ht="13.8">
      <c r="A590" s="784"/>
      <c r="B590" s="784"/>
      <c r="C590" s="784"/>
      <c r="D590" s="784"/>
      <c r="E590" s="784"/>
      <c r="F590" s="784"/>
      <c r="G590" s="784"/>
      <c r="H590" s="647"/>
      <c r="I590" s="784"/>
    </row>
    <row r="591" spans="1:9" ht="13.8">
      <c r="A591" s="784"/>
      <c r="B591" s="784"/>
      <c r="C591" s="784"/>
      <c r="D591" s="784"/>
      <c r="E591" s="784"/>
      <c r="F591" s="784"/>
      <c r="G591" s="784"/>
      <c r="H591" s="647"/>
      <c r="I591" s="784"/>
    </row>
    <row r="592" spans="1:9" ht="13.8">
      <c r="A592" s="784"/>
      <c r="B592" s="784"/>
      <c r="C592" s="784"/>
      <c r="D592" s="784"/>
      <c r="E592" s="784"/>
      <c r="F592" s="784"/>
      <c r="G592" s="784"/>
      <c r="H592" s="647"/>
      <c r="I592" s="784"/>
    </row>
    <row r="593" spans="1:9" ht="13.8">
      <c r="A593" s="784"/>
      <c r="B593" s="784"/>
      <c r="C593" s="784"/>
      <c r="D593" s="784"/>
      <c r="E593" s="784"/>
      <c r="F593" s="784"/>
      <c r="G593" s="784"/>
      <c r="H593" s="647"/>
      <c r="I593" s="784"/>
    </row>
    <row r="594" spans="1:9" ht="13.8">
      <c r="A594" s="784"/>
      <c r="B594" s="784"/>
      <c r="C594" s="784"/>
      <c r="D594" s="784"/>
      <c r="E594" s="784"/>
      <c r="F594" s="784"/>
      <c r="G594" s="784"/>
      <c r="H594" s="647"/>
      <c r="I594" s="784"/>
    </row>
    <row r="595" spans="1:9" ht="13.8">
      <c r="A595" s="784"/>
      <c r="B595" s="784"/>
      <c r="C595" s="784"/>
      <c r="D595" s="784"/>
      <c r="E595" s="784"/>
      <c r="F595" s="784"/>
      <c r="G595" s="784"/>
      <c r="H595" s="647"/>
      <c r="I595" s="784"/>
    </row>
    <row r="596" spans="1:9" ht="13.8">
      <c r="A596" s="784"/>
      <c r="B596" s="784"/>
      <c r="C596" s="784"/>
      <c r="D596" s="784"/>
      <c r="E596" s="784"/>
      <c r="F596" s="784"/>
      <c r="G596" s="784"/>
      <c r="H596" s="647"/>
      <c r="I596" s="784"/>
    </row>
    <row r="597" spans="1:9" ht="13.8">
      <c r="A597" s="784"/>
      <c r="B597" s="784"/>
      <c r="C597" s="784"/>
      <c r="D597" s="784"/>
      <c r="E597" s="784"/>
      <c r="F597" s="784"/>
      <c r="G597" s="784"/>
      <c r="H597" s="647"/>
      <c r="I597" s="784"/>
    </row>
    <row r="598" spans="1:9" ht="13.8">
      <c r="A598" s="784"/>
      <c r="B598" s="784"/>
      <c r="C598" s="784"/>
      <c r="D598" s="784"/>
      <c r="E598" s="784"/>
      <c r="F598" s="784"/>
      <c r="G598" s="784"/>
      <c r="H598" s="647"/>
      <c r="I598" s="784"/>
    </row>
    <row r="599" spans="1:9" ht="13.8">
      <c r="A599" s="784"/>
      <c r="B599" s="784"/>
      <c r="C599" s="784"/>
      <c r="D599" s="784"/>
      <c r="E599" s="784"/>
      <c r="F599" s="784"/>
      <c r="G599" s="784"/>
      <c r="H599" s="647"/>
      <c r="I599" s="784"/>
    </row>
    <row r="600" spans="1:9" ht="13.8">
      <c r="A600" s="784"/>
      <c r="B600" s="784"/>
      <c r="C600" s="784"/>
      <c r="D600" s="784"/>
      <c r="E600" s="784"/>
      <c r="F600" s="784"/>
      <c r="G600" s="784"/>
      <c r="H600" s="647"/>
      <c r="I600" s="784"/>
    </row>
    <row r="601" spans="1:9" ht="13.8">
      <c r="A601" s="784"/>
      <c r="B601" s="784"/>
      <c r="C601" s="784"/>
      <c r="D601" s="784"/>
      <c r="E601" s="784"/>
      <c r="F601" s="784"/>
      <c r="G601" s="784"/>
      <c r="H601" s="647"/>
      <c r="I601" s="784"/>
    </row>
    <row r="602" spans="1:9" ht="13.8">
      <c r="A602" s="784"/>
      <c r="B602" s="784"/>
      <c r="C602" s="784"/>
      <c r="D602" s="784"/>
      <c r="E602" s="784"/>
      <c r="F602" s="784"/>
      <c r="G602" s="784"/>
      <c r="H602" s="647"/>
      <c r="I602" s="784"/>
    </row>
    <row r="603" spans="1:9" ht="13.8">
      <c r="A603" s="784"/>
      <c r="B603" s="784"/>
      <c r="C603" s="784"/>
      <c r="D603" s="784"/>
      <c r="E603" s="784"/>
      <c r="F603" s="784"/>
      <c r="G603" s="784"/>
      <c r="H603" s="647"/>
      <c r="I603" s="784"/>
    </row>
    <row r="604" spans="1:9" ht="13.8">
      <c r="A604" s="784"/>
      <c r="B604" s="784"/>
      <c r="C604" s="784"/>
      <c r="D604" s="784"/>
      <c r="E604" s="784"/>
      <c r="F604" s="784"/>
      <c r="G604" s="784"/>
      <c r="H604" s="647"/>
      <c r="I604" s="784"/>
    </row>
    <row r="605" spans="1:9" ht="13.8">
      <c r="A605" s="784"/>
      <c r="B605" s="784"/>
      <c r="C605" s="784"/>
      <c r="D605" s="784"/>
      <c r="E605" s="784"/>
      <c r="F605" s="784"/>
      <c r="G605" s="784"/>
      <c r="H605" s="647"/>
      <c r="I605" s="784"/>
    </row>
    <row r="606" spans="1:9" ht="13.8">
      <c r="A606" s="784"/>
      <c r="B606" s="784"/>
      <c r="C606" s="784"/>
      <c r="D606" s="784"/>
      <c r="E606" s="784"/>
      <c r="F606" s="784"/>
      <c r="G606" s="784"/>
      <c r="H606" s="647"/>
      <c r="I606" s="784"/>
    </row>
    <row r="607" spans="1:9" ht="13.8">
      <c r="A607" s="784"/>
      <c r="B607" s="784"/>
      <c r="C607" s="784"/>
      <c r="D607" s="784"/>
      <c r="E607" s="784"/>
      <c r="F607" s="784"/>
      <c r="G607" s="784"/>
      <c r="H607" s="647"/>
      <c r="I607" s="784"/>
    </row>
    <row r="608" spans="1:9" ht="13.8">
      <c r="A608" s="784"/>
      <c r="B608" s="784"/>
      <c r="C608" s="784"/>
      <c r="D608" s="784"/>
      <c r="E608" s="784"/>
      <c r="F608" s="784"/>
      <c r="G608" s="784"/>
      <c r="H608" s="647"/>
      <c r="I608" s="784"/>
    </row>
    <row r="609" spans="1:9" ht="13.8">
      <c r="A609" s="784"/>
      <c r="B609" s="784"/>
      <c r="C609" s="784"/>
      <c r="D609" s="784"/>
      <c r="E609" s="784"/>
      <c r="F609" s="784"/>
      <c r="G609" s="784"/>
      <c r="H609" s="647"/>
      <c r="I609" s="784"/>
    </row>
    <row r="610" spans="1:9" ht="13.8">
      <c r="A610" s="784"/>
      <c r="B610" s="784"/>
      <c r="C610" s="784"/>
      <c r="D610" s="784"/>
      <c r="E610" s="784"/>
      <c r="F610" s="784"/>
      <c r="G610" s="784"/>
      <c r="H610" s="647"/>
      <c r="I610" s="784"/>
    </row>
    <row r="611" spans="1:9" ht="13.8">
      <c r="A611" s="784"/>
      <c r="B611" s="784"/>
      <c r="C611" s="784"/>
      <c r="D611" s="784"/>
      <c r="E611" s="784"/>
      <c r="F611" s="784"/>
      <c r="G611" s="784"/>
      <c r="H611" s="647"/>
      <c r="I611" s="784"/>
    </row>
    <row r="612" spans="1:9" ht="13.8">
      <c r="A612" s="784"/>
      <c r="B612" s="784"/>
      <c r="C612" s="784"/>
      <c r="D612" s="784"/>
      <c r="E612" s="784"/>
      <c r="F612" s="784"/>
      <c r="G612" s="784"/>
      <c r="H612" s="647"/>
      <c r="I612" s="784"/>
    </row>
    <row r="613" spans="1:9" ht="13.8">
      <c r="A613" s="784"/>
      <c r="B613" s="784"/>
      <c r="C613" s="784"/>
      <c r="D613" s="784"/>
      <c r="E613" s="784"/>
      <c r="F613" s="784"/>
      <c r="G613" s="784"/>
      <c r="H613" s="647"/>
      <c r="I613" s="784"/>
    </row>
    <row r="614" spans="1:9" ht="13.8">
      <c r="A614" s="784"/>
      <c r="B614" s="784"/>
      <c r="C614" s="784"/>
      <c r="D614" s="784"/>
      <c r="E614" s="784"/>
      <c r="F614" s="784"/>
      <c r="G614" s="784"/>
      <c r="H614" s="647"/>
      <c r="I614" s="784"/>
    </row>
    <row r="615" spans="1:9" ht="13.8">
      <c r="A615" s="784"/>
      <c r="B615" s="784"/>
      <c r="C615" s="784"/>
      <c r="D615" s="784"/>
      <c r="E615" s="784"/>
      <c r="F615" s="784"/>
      <c r="G615" s="784"/>
      <c r="H615" s="647"/>
      <c r="I615" s="784"/>
    </row>
    <row r="616" spans="1:9" ht="13.8">
      <c r="A616" s="784"/>
      <c r="B616" s="784"/>
      <c r="C616" s="784"/>
      <c r="D616" s="784"/>
      <c r="E616" s="784"/>
      <c r="F616" s="784"/>
      <c r="G616" s="784"/>
      <c r="H616" s="647"/>
      <c r="I616" s="784"/>
    </row>
    <row r="617" spans="1:9" ht="13.8">
      <c r="A617" s="784"/>
      <c r="B617" s="784"/>
      <c r="C617" s="784"/>
      <c r="D617" s="784"/>
      <c r="E617" s="784"/>
      <c r="F617" s="784"/>
      <c r="G617" s="784"/>
      <c r="H617" s="647"/>
      <c r="I617" s="784"/>
    </row>
    <row r="618" spans="1:9" ht="13.8">
      <c r="A618" s="784"/>
      <c r="B618" s="784"/>
      <c r="C618" s="784"/>
      <c r="D618" s="784"/>
      <c r="E618" s="784"/>
      <c r="F618" s="784"/>
      <c r="G618" s="784"/>
      <c r="H618" s="647"/>
      <c r="I618" s="784"/>
    </row>
    <row r="619" spans="1:9" ht="13.8">
      <c r="A619" s="784"/>
      <c r="B619" s="784"/>
      <c r="C619" s="784"/>
      <c r="D619" s="784"/>
      <c r="E619" s="784"/>
      <c r="F619" s="784"/>
      <c r="G619" s="784"/>
      <c r="H619" s="647"/>
      <c r="I619" s="784"/>
    </row>
    <row r="620" spans="1:9" ht="13.8">
      <c r="A620" s="784"/>
      <c r="B620" s="784"/>
      <c r="C620" s="784"/>
      <c r="D620" s="784"/>
      <c r="E620" s="784"/>
      <c r="F620" s="784"/>
      <c r="G620" s="784"/>
      <c r="H620" s="647"/>
      <c r="I620" s="784"/>
    </row>
    <row r="621" spans="1:9" ht="13.8">
      <c r="A621" s="784"/>
      <c r="B621" s="784"/>
      <c r="C621" s="784"/>
      <c r="D621" s="784"/>
      <c r="E621" s="784"/>
      <c r="F621" s="784"/>
      <c r="G621" s="784"/>
      <c r="H621" s="647"/>
      <c r="I621" s="784"/>
    </row>
    <row r="622" spans="1:9" ht="13.8">
      <c r="A622" s="784"/>
      <c r="B622" s="784"/>
      <c r="C622" s="784"/>
      <c r="D622" s="784"/>
      <c r="E622" s="784"/>
      <c r="F622" s="784"/>
      <c r="G622" s="784"/>
      <c r="H622" s="647"/>
      <c r="I622" s="784"/>
    </row>
    <row r="623" spans="1:9" ht="13.8">
      <c r="A623" s="784"/>
      <c r="B623" s="784"/>
      <c r="C623" s="784"/>
      <c r="D623" s="784"/>
      <c r="E623" s="784"/>
      <c r="F623" s="784"/>
      <c r="G623" s="784"/>
      <c r="H623" s="647"/>
      <c r="I623" s="784"/>
    </row>
    <row r="624" spans="1:9" ht="13.8">
      <c r="A624" s="784"/>
      <c r="B624" s="784"/>
      <c r="C624" s="784"/>
      <c r="D624" s="784"/>
      <c r="E624" s="784"/>
      <c r="F624" s="784"/>
      <c r="G624" s="784"/>
      <c r="H624" s="647"/>
      <c r="I624" s="784"/>
    </row>
    <row r="625" spans="1:9" ht="13.8">
      <c r="A625" s="784"/>
      <c r="B625" s="784"/>
      <c r="C625" s="784"/>
      <c r="D625" s="784"/>
      <c r="E625" s="784"/>
      <c r="F625" s="784"/>
      <c r="G625" s="784"/>
      <c r="H625" s="647"/>
      <c r="I625" s="784"/>
    </row>
    <row r="626" spans="1:9" ht="13.8">
      <c r="A626" s="784"/>
      <c r="B626" s="784"/>
      <c r="C626" s="784"/>
      <c r="D626" s="784"/>
      <c r="E626" s="784"/>
      <c r="F626" s="784"/>
      <c r="G626" s="784"/>
      <c r="H626" s="647"/>
      <c r="I626" s="784"/>
    </row>
    <row r="627" spans="1:9" ht="13.8">
      <c r="A627" s="784"/>
      <c r="B627" s="784"/>
      <c r="C627" s="784"/>
      <c r="D627" s="784"/>
      <c r="E627" s="784"/>
      <c r="F627" s="784"/>
      <c r="G627" s="784"/>
      <c r="H627" s="647"/>
      <c r="I627" s="784"/>
    </row>
    <row r="628" spans="1:9" ht="13.8">
      <c r="A628" s="784"/>
      <c r="B628" s="784"/>
      <c r="C628" s="784"/>
      <c r="D628" s="784"/>
      <c r="E628" s="784"/>
      <c r="F628" s="784"/>
      <c r="G628" s="784"/>
      <c r="H628" s="647"/>
      <c r="I628" s="784"/>
    </row>
    <row r="629" spans="1:9" ht="13.8">
      <c r="A629" s="784"/>
      <c r="B629" s="784"/>
      <c r="C629" s="784"/>
      <c r="D629" s="784"/>
      <c r="E629" s="784"/>
      <c r="F629" s="784"/>
      <c r="G629" s="784"/>
      <c r="H629" s="647"/>
      <c r="I629" s="784"/>
    </row>
    <row r="630" spans="1:9" ht="13.8">
      <c r="A630" s="784"/>
      <c r="B630" s="784"/>
      <c r="C630" s="784"/>
      <c r="D630" s="784"/>
      <c r="E630" s="784"/>
      <c r="F630" s="784"/>
      <c r="G630" s="784"/>
      <c r="H630" s="647"/>
      <c r="I630" s="784"/>
    </row>
    <row r="631" spans="1:9" ht="13.8">
      <c r="A631" s="784"/>
      <c r="B631" s="784"/>
      <c r="C631" s="784"/>
      <c r="D631" s="784"/>
      <c r="E631" s="784"/>
      <c r="F631" s="784"/>
      <c r="G631" s="784"/>
      <c r="H631" s="647"/>
      <c r="I631" s="784"/>
    </row>
    <row r="632" spans="1:9" ht="13.8">
      <c r="A632" s="784"/>
      <c r="B632" s="784"/>
      <c r="C632" s="784"/>
      <c r="D632" s="784"/>
      <c r="E632" s="784"/>
      <c r="F632" s="784"/>
      <c r="G632" s="784"/>
      <c r="H632" s="647"/>
      <c r="I632" s="784"/>
    </row>
    <row r="633" spans="1:9" ht="13.8">
      <c r="A633" s="784"/>
      <c r="B633" s="784"/>
      <c r="C633" s="784"/>
      <c r="D633" s="784"/>
      <c r="E633" s="784"/>
      <c r="F633" s="784"/>
      <c r="G633" s="784"/>
      <c r="H633" s="647"/>
      <c r="I633" s="784"/>
    </row>
    <row r="634" spans="1:9" ht="13.8">
      <c r="A634" s="784"/>
      <c r="B634" s="784"/>
      <c r="C634" s="784"/>
      <c r="D634" s="784"/>
      <c r="E634" s="784"/>
      <c r="F634" s="784"/>
      <c r="G634" s="784"/>
      <c r="H634" s="647"/>
      <c r="I634" s="784"/>
    </row>
    <row r="635" spans="1:9" ht="13.8">
      <c r="A635" s="784"/>
      <c r="B635" s="784"/>
      <c r="C635" s="784"/>
      <c r="D635" s="784"/>
      <c r="E635" s="784"/>
      <c r="F635" s="784"/>
      <c r="G635" s="784"/>
      <c r="H635" s="647"/>
      <c r="I635" s="784"/>
    </row>
    <row r="636" spans="1:9" ht="13.8">
      <c r="A636" s="784"/>
      <c r="B636" s="784"/>
      <c r="C636" s="784"/>
      <c r="D636" s="784"/>
      <c r="E636" s="784"/>
      <c r="F636" s="784"/>
      <c r="G636" s="784"/>
      <c r="H636" s="647"/>
      <c r="I636" s="784"/>
    </row>
    <row r="637" spans="1:9" ht="13.8">
      <c r="A637" s="784"/>
      <c r="B637" s="784"/>
      <c r="C637" s="784"/>
      <c r="D637" s="784"/>
      <c r="E637" s="784"/>
      <c r="F637" s="784"/>
      <c r="G637" s="784"/>
      <c r="H637" s="647"/>
      <c r="I637" s="784"/>
    </row>
    <row r="638" spans="1:9" ht="13.8">
      <c r="A638" s="784"/>
      <c r="B638" s="784"/>
      <c r="C638" s="784"/>
      <c r="D638" s="784"/>
      <c r="E638" s="784"/>
      <c r="F638" s="784"/>
      <c r="G638" s="784"/>
      <c r="H638" s="647"/>
      <c r="I638" s="784"/>
    </row>
    <row r="639" spans="1:9" ht="13.8">
      <c r="A639" s="784"/>
      <c r="B639" s="784"/>
      <c r="C639" s="784"/>
      <c r="D639" s="784"/>
      <c r="E639" s="784"/>
      <c r="F639" s="784"/>
      <c r="G639" s="784"/>
      <c r="H639" s="647"/>
      <c r="I639" s="784"/>
    </row>
    <row r="640" spans="1:9" ht="13.8">
      <c r="A640" s="784"/>
      <c r="B640" s="784"/>
      <c r="C640" s="784"/>
      <c r="D640" s="784"/>
      <c r="E640" s="784"/>
      <c r="F640" s="784"/>
      <c r="G640" s="784"/>
      <c r="H640" s="647"/>
      <c r="I640" s="784"/>
    </row>
    <row r="641" spans="1:9" ht="13.8">
      <c r="A641" s="784"/>
      <c r="B641" s="784"/>
      <c r="C641" s="784"/>
      <c r="D641" s="784"/>
      <c r="E641" s="784"/>
      <c r="F641" s="784"/>
      <c r="G641" s="784"/>
      <c r="H641" s="647"/>
      <c r="I641" s="784"/>
    </row>
    <row r="642" spans="1:9" ht="13.8">
      <c r="A642" s="784"/>
      <c r="B642" s="784"/>
      <c r="C642" s="784"/>
      <c r="D642" s="784"/>
      <c r="E642" s="784"/>
      <c r="F642" s="784"/>
      <c r="G642" s="784"/>
      <c r="H642" s="647"/>
      <c r="I642" s="784"/>
    </row>
    <row r="643" spans="1:9" ht="13.8">
      <c r="A643" s="784"/>
      <c r="B643" s="784"/>
      <c r="C643" s="784"/>
      <c r="D643" s="784"/>
      <c r="E643" s="784"/>
      <c r="F643" s="784"/>
      <c r="G643" s="784"/>
      <c r="H643" s="647"/>
      <c r="I643" s="784"/>
    </row>
    <row r="644" spans="1:9" ht="13.8">
      <c r="A644" s="784"/>
      <c r="B644" s="784"/>
      <c r="C644" s="784"/>
      <c r="D644" s="784"/>
      <c r="E644" s="784"/>
      <c r="F644" s="784"/>
      <c r="G644" s="784"/>
      <c r="H644" s="647"/>
      <c r="I644" s="784"/>
    </row>
    <row r="645" spans="1:9" ht="13.8">
      <c r="A645" s="784"/>
      <c r="B645" s="784"/>
      <c r="C645" s="784"/>
      <c r="D645" s="784"/>
      <c r="E645" s="784"/>
      <c r="F645" s="784"/>
      <c r="G645" s="784"/>
      <c r="H645" s="647"/>
      <c r="I645" s="784"/>
    </row>
    <row r="646" spans="1:9" ht="13.8">
      <c r="A646" s="784"/>
      <c r="B646" s="784"/>
      <c r="C646" s="784"/>
      <c r="D646" s="784"/>
      <c r="E646" s="784"/>
      <c r="F646" s="784"/>
      <c r="G646" s="784"/>
      <c r="H646" s="647"/>
      <c r="I646" s="784"/>
    </row>
    <row r="647" spans="1:9" ht="13.8">
      <c r="A647" s="784"/>
      <c r="B647" s="784"/>
      <c r="C647" s="784"/>
      <c r="D647" s="784"/>
      <c r="E647" s="784"/>
      <c r="F647" s="784"/>
      <c r="G647" s="784"/>
      <c r="H647" s="647"/>
      <c r="I647" s="784"/>
    </row>
    <row r="648" spans="1:9" ht="13.8">
      <c r="A648" s="784"/>
      <c r="B648" s="784"/>
      <c r="C648" s="784"/>
      <c r="D648" s="784"/>
      <c r="E648" s="784"/>
      <c r="F648" s="784"/>
      <c r="G648" s="784"/>
      <c r="H648" s="647"/>
      <c r="I648" s="784"/>
    </row>
    <row r="649" spans="1:9" ht="13.8">
      <c r="A649" s="784"/>
      <c r="B649" s="784"/>
      <c r="C649" s="784"/>
      <c r="D649" s="784"/>
      <c r="E649" s="784"/>
      <c r="F649" s="784"/>
      <c r="G649" s="784"/>
      <c r="H649" s="647"/>
      <c r="I649" s="784"/>
    </row>
    <row r="650" spans="1:9" ht="13.8">
      <c r="A650" s="784"/>
      <c r="B650" s="784"/>
      <c r="C650" s="784"/>
      <c r="D650" s="784"/>
      <c r="E650" s="784"/>
      <c r="F650" s="784"/>
      <c r="G650" s="784"/>
      <c r="H650" s="647"/>
      <c r="I650" s="784"/>
    </row>
    <row r="651" spans="1:9" ht="13.8">
      <c r="A651" s="784"/>
      <c r="B651" s="784"/>
      <c r="C651" s="784"/>
      <c r="D651" s="784"/>
      <c r="E651" s="784"/>
      <c r="F651" s="784"/>
      <c r="G651" s="784"/>
      <c r="H651" s="647"/>
      <c r="I651" s="784"/>
    </row>
    <row r="652" spans="1:9" ht="13.8">
      <c r="A652" s="784"/>
      <c r="B652" s="784"/>
      <c r="C652" s="784"/>
      <c r="D652" s="784"/>
      <c r="E652" s="784"/>
      <c r="F652" s="784"/>
      <c r="G652" s="784"/>
      <c r="H652" s="647"/>
      <c r="I652" s="784"/>
    </row>
    <row r="653" spans="1:9" ht="13.8">
      <c r="A653" s="784"/>
      <c r="B653" s="784"/>
      <c r="C653" s="784"/>
      <c r="D653" s="784"/>
      <c r="E653" s="784"/>
      <c r="F653" s="784"/>
      <c r="G653" s="784"/>
      <c r="H653" s="647"/>
      <c r="I653" s="784"/>
    </row>
    <row r="654" spans="1:9" ht="13.8">
      <c r="A654" s="784"/>
      <c r="B654" s="784"/>
      <c r="C654" s="784"/>
      <c r="D654" s="784"/>
      <c r="E654" s="784"/>
      <c r="F654" s="784"/>
      <c r="G654" s="784"/>
      <c r="H654" s="647"/>
      <c r="I654" s="784"/>
    </row>
    <row r="655" spans="1:9" ht="13.8">
      <c r="A655" s="784"/>
      <c r="B655" s="784"/>
      <c r="C655" s="784"/>
      <c r="D655" s="784"/>
      <c r="E655" s="784"/>
      <c r="F655" s="784"/>
      <c r="G655" s="784"/>
      <c r="H655" s="647"/>
      <c r="I655" s="784"/>
    </row>
    <row r="656" spans="1:9" ht="13.8">
      <c r="A656" s="784"/>
      <c r="B656" s="784"/>
      <c r="C656" s="784"/>
      <c r="D656" s="784"/>
      <c r="E656" s="784"/>
      <c r="F656" s="784"/>
      <c r="G656" s="784"/>
      <c r="H656" s="647"/>
      <c r="I656" s="784"/>
    </row>
    <row r="657" spans="1:9" ht="13.8">
      <c r="A657" s="784"/>
      <c r="B657" s="784"/>
      <c r="C657" s="784"/>
      <c r="D657" s="784"/>
      <c r="E657" s="784"/>
      <c r="F657" s="784"/>
      <c r="G657" s="784"/>
      <c r="H657" s="647"/>
      <c r="I657" s="784"/>
    </row>
    <row r="658" spans="1:9" ht="13.8">
      <c r="A658" s="784"/>
      <c r="B658" s="784"/>
      <c r="C658" s="784"/>
      <c r="D658" s="784"/>
      <c r="E658" s="784"/>
      <c r="F658" s="784"/>
      <c r="G658" s="784"/>
      <c r="H658" s="647"/>
      <c r="I658" s="784"/>
    </row>
    <row r="659" spans="1:9" ht="13.8">
      <c r="A659" s="784"/>
      <c r="B659" s="784"/>
      <c r="C659" s="784"/>
      <c r="D659" s="784"/>
      <c r="E659" s="784"/>
      <c r="F659" s="784"/>
      <c r="G659" s="784"/>
      <c r="H659" s="647"/>
      <c r="I659" s="784"/>
    </row>
    <row r="660" spans="1:9" ht="13.8">
      <c r="A660" s="784"/>
      <c r="B660" s="784"/>
      <c r="C660" s="784"/>
      <c r="D660" s="784"/>
      <c r="E660" s="784"/>
      <c r="F660" s="784"/>
      <c r="G660" s="784"/>
      <c r="H660" s="647"/>
      <c r="I660" s="784"/>
    </row>
    <row r="661" spans="1:9" ht="13.8">
      <c r="A661" s="784"/>
      <c r="B661" s="784"/>
      <c r="C661" s="784"/>
      <c r="D661" s="784"/>
      <c r="E661" s="784"/>
      <c r="F661" s="784"/>
      <c r="G661" s="784"/>
      <c r="H661" s="647"/>
      <c r="I661" s="784"/>
    </row>
    <row r="662" spans="1:9" ht="13.8">
      <c r="A662" s="784"/>
      <c r="B662" s="784"/>
      <c r="C662" s="784"/>
      <c r="D662" s="784"/>
      <c r="E662" s="784"/>
      <c r="F662" s="784"/>
      <c r="G662" s="784"/>
      <c r="H662" s="647"/>
      <c r="I662" s="784"/>
    </row>
    <row r="663" spans="1:9" ht="13.8">
      <c r="A663" s="784"/>
      <c r="B663" s="784"/>
      <c r="C663" s="784"/>
      <c r="D663" s="784"/>
      <c r="E663" s="784"/>
      <c r="F663" s="784"/>
      <c r="G663" s="784"/>
      <c r="H663" s="647"/>
      <c r="I663" s="784"/>
    </row>
    <row r="664" spans="1:9" ht="13.8">
      <c r="A664" s="784"/>
      <c r="B664" s="784"/>
      <c r="C664" s="784"/>
      <c r="D664" s="784"/>
      <c r="E664" s="784"/>
      <c r="F664" s="784"/>
      <c r="G664" s="784"/>
      <c r="H664" s="647"/>
      <c r="I664" s="784"/>
    </row>
    <row r="665" spans="1:9" ht="13.8">
      <c r="A665" s="784"/>
      <c r="B665" s="784"/>
      <c r="C665" s="784"/>
      <c r="D665" s="784"/>
      <c r="E665" s="784"/>
      <c r="F665" s="784"/>
      <c r="G665" s="784"/>
      <c r="H665" s="647"/>
      <c r="I665" s="784"/>
    </row>
    <row r="666" spans="1:9" ht="13.8">
      <c r="A666" s="784"/>
      <c r="B666" s="784"/>
      <c r="C666" s="784"/>
      <c r="D666" s="784"/>
      <c r="E666" s="784"/>
      <c r="F666" s="784"/>
      <c r="G666" s="784"/>
      <c r="H666" s="647"/>
      <c r="I666" s="784"/>
    </row>
    <row r="667" spans="1:9" ht="13.8">
      <c r="A667" s="784"/>
      <c r="B667" s="784"/>
      <c r="C667" s="784"/>
      <c r="D667" s="784"/>
      <c r="E667" s="784"/>
      <c r="F667" s="784"/>
      <c r="G667" s="784"/>
      <c r="H667" s="647"/>
      <c r="I667" s="784"/>
    </row>
    <row r="668" spans="1:9" ht="13.8">
      <c r="A668" s="784"/>
      <c r="B668" s="784"/>
      <c r="C668" s="784"/>
      <c r="D668" s="784"/>
      <c r="E668" s="784"/>
      <c r="F668" s="784"/>
      <c r="G668" s="784"/>
      <c r="H668" s="647"/>
      <c r="I668" s="784"/>
    </row>
    <row r="669" spans="1:9" ht="13.8">
      <c r="A669" s="784"/>
      <c r="B669" s="784"/>
      <c r="C669" s="784"/>
      <c r="D669" s="784"/>
      <c r="E669" s="784"/>
      <c r="F669" s="784"/>
      <c r="G669" s="784"/>
      <c r="H669" s="647"/>
      <c r="I669" s="784"/>
    </row>
    <row r="670" spans="1:9" ht="13.8">
      <c r="A670" s="784"/>
      <c r="B670" s="784"/>
      <c r="C670" s="784"/>
      <c r="D670" s="784"/>
      <c r="E670" s="784"/>
      <c r="F670" s="784"/>
      <c r="G670" s="784"/>
      <c r="H670" s="647"/>
      <c r="I670" s="784"/>
    </row>
    <row r="671" spans="1:9" ht="13.8">
      <c r="A671" s="784"/>
      <c r="B671" s="784"/>
      <c r="C671" s="784"/>
      <c r="D671" s="784"/>
      <c r="E671" s="784"/>
      <c r="F671" s="784"/>
      <c r="G671" s="784"/>
      <c r="H671" s="647"/>
      <c r="I671" s="784"/>
    </row>
    <row r="672" spans="1:9" ht="13.8">
      <c r="A672" s="784"/>
      <c r="B672" s="784"/>
      <c r="C672" s="784"/>
      <c r="D672" s="784"/>
      <c r="E672" s="784"/>
      <c r="F672" s="784"/>
      <c r="G672" s="784"/>
      <c r="H672" s="647"/>
      <c r="I672" s="784"/>
    </row>
    <row r="673" spans="1:9" ht="13.8">
      <c r="A673" s="784"/>
      <c r="B673" s="784"/>
      <c r="C673" s="784"/>
      <c r="D673" s="784"/>
      <c r="E673" s="784"/>
      <c r="F673" s="784"/>
      <c r="G673" s="784"/>
      <c r="H673" s="647"/>
      <c r="I673" s="784"/>
    </row>
    <row r="674" spans="1:9" ht="13.8">
      <c r="A674" s="784"/>
      <c r="B674" s="784"/>
      <c r="C674" s="784"/>
      <c r="D674" s="784"/>
      <c r="E674" s="784"/>
      <c r="F674" s="784"/>
      <c r="G674" s="784"/>
      <c r="H674" s="647"/>
      <c r="I674" s="784"/>
    </row>
    <row r="675" spans="1:9" ht="13.8">
      <c r="A675" s="784"/>
      <c r="B675" s="784"/>
      <c r="C675" s="784"/>
      <c r="D675" s="784"/>
      <c r="E675" s="784"/>
      <c r="F675" s="784"/>
      <c r="G675" s="784"/>
      <c r="H675" s="647"/>
      <c r="I675" s="784"/>
    </row>
    <row r="676" spans="1:9" ht="13.8">
      <c r="A676" s="784"/>
      <c r="B676" s="784"/>
      <c r="C676" s="784"/>
      <c r="D676" s="784"/>
      <c r="E676" s="784"/>
      <c r="F676" s="784"/>
      <c r="G676" s="784"/>
      <c r="H676" s="647"/>
      <c r="I676" s="784"/>
    </row>
    <row r="677" spans="1:9" ht="13.8">
      <c r="A677" s="784"/>
      <c r="B677" s="784"/>
      <c r="C677" s="784"/>
      <c r="D677" s="784"/>
      <c r="E677" s="784"/>
      <c r="F677" s="784"/>
      <c r="G677" s="784"/>
      <c r="H677" s="647"/>
      <c r="I677" s="784"/>
    </row>
    <row r="678" spans="1:9" ht="13.8">
      <c r="A678" s="784"/>
      <c r="B678" s="784"/>
      <c r="C678" s="784"/>
      <c r="D678" s="784"/>
      <c r="E678" s="784"/>
      <c r="F678" s="784"/>
      <c r="G678" s="784"/>
      <c r="H678" s="647"/>
      <c r="I678" s="784"/>
    </row>
    <row r="679" spans="1:9" ht="13.8">
      <c r="A679" s="784"/>
      <c r="B679" s="784"/>
      <c r="C679" s="784"/>
      <c r="D679" s="784"/>
      <c r="E679" s="784"/>
      <c r="F679" s="784"/>
      <c r="G679" s="784"/>
      <c r="H679" s="647"/>
      <c r="I679" s="784"/>
    </row>
    <row r="680" spans="1:9" ht="13.8">
      <c r="A680" s="784"/>
      <c r="B680" s="784"/>
      <c r="C680" s="784"/>
      <c r="D680" s="784"/>
      <c r="E680" s="784"/>
      <c r="F680" s="784"/>
      <c r="G680" s="784"/>
      <c r="H680" s="647"/>
      <c r="I680" s="784"/>
    </row>
    <row r="681" spans="1:9" ht="13.8">
      <c r="A681" s="784"/>
      <c r="B681" s="784"/>
      <c r="C681" s="784"/>
      <c r="D681" s="784"/>
      <c r="E681" s="784"/>
      <c r="F681" s="784"/>
      <c r="G681" s="784"/>
      <c r="H681" s="647"/>
      <c r="I681" s="784"/>
    </row>
    <row r="682" spans="1:9" ht="13.8">
      <c r="A682" s="784"/>
      <c r="B682" s="784"/>
      <c r="C682" s="784"/>
      <c r="D682" s="784"/>
      <c r="E682" s="784"/>
      <c r="F682" s="784"/>
      <c r="G682" s="784"/>
      <c r="H682" s="647"/>
      <c r="I682" s="784"/>
    </row>
    <row r="683" spans="1:9" ht="13.8">
      <c r="A683" s="784"/>
      <c r="B683" s="784"/>
      <c r="C683" s="784"/>
      <c r="D683" s="784"/>
      <c r="E683" s="784"/>
      <c r="F683" s="784"/>
      <c r="G683" s="784"/>
      <c r="H683" s="647"/>
      <c r="I683" s="784"/>
    </row>
    <row r="684" spans="1:9" ht="13.8">
      <c r="A684" s="784"/>
      <c r="B684" s="784"/>
      <c r="C684" s="784"/>
      <c r="D684" s="784"/>
      <c r="E684" s="784"/>
      <c r="F684" s="784"/>
      <c r="G684" s="784"/>
      <c r="H684" s="647"/>
      <c r="I684" s="784"/>
    </row>
    <row r="685" spans="1:9" ht="13.8">
      <c r="A685" s="784"/>
      <c r="B685" s="784"/>
      <c r="C685" s="784"/>
      <c r="D685" s="784"/>
      <c r="E685" s="784"/>
      <c r="F685" s="784"/>
      <c r="G685" s="784"/>
      <c r="H685" s="647"/>
      <c r="I685" s="784"/>
    </row>
    <row r="686" spans="1:9" ht="13.8">
      <c r="A686" s="784"/>
      <c r="B686" s="784"/>
      <c r="C686" s="784"/>
      <c r="D686" s="784"/>
      <c r="E686" s="784"/>
      <c r="F686" s="784"/>
      <c r="G686" s="784"/>
      <c r="H686" s="647"/>
      <c r="I686" s="784"/>
    </row>
    <row r="687" spans="1:9" ht="13.8">
      <c r="A687" s="784"/>
      <c r="B687" s="784"/>
      <c r="C687" s="784"/>
      <c r="D687" s="784"/>
      <c r="E687" s="784"/>
      <c r="F687" s="784"/>
      <c r="G687" s="784"/>
      <c r="H687" s="647"/>
      <c r="I687" s="784"/>
    </row>
    <row r="688" spans="1:9" ht="13.8">
      <c r="A688" s="784"/>
      <c r="B688" s="784"/>
      <c r="C688" s="784"/>
      <c r="D688" s="784"/>
      <c r="E688" s="784"/>
      <c r="F688" s="784"/>
      <c r="G688" s="784"/>
      <c r="H688" s="647"/>
      <c r="I688" s="784"/>
    </row>
    <row r="689" spans="1:9" ht="13.8">
      <c r="A689" s="784"/>
      <c r="B689" s="784"/>
      <c r="C689" s="784"/>
      <c r="D689" s="784"/>
      <c r="E689" s="784"/>
      <c r="F689" s="784"/>
      <c r="G689" s="784"/>
      <c r="H689" s="647"/>
      <c r="I689" s="784"/>
    </row>
    <row r="690" spans="1:9" ht="13.8">
      <c r="A690" s="784"/>
      <c r="B690" s="784"/>
      <c r="C690" s="784"/>
      <c r="D690" s="784"/>
      <c r="E690" s="784"/>
      <c r="F690" s="784"/>
      <c r="G690" s="784"/>
      <c r="H690" s="647"/>
      <c r="I690" s="784"/>
    </row>
    <row r="691" spans="1:9" ht="13.8">
      <c r="A691" s="784"/>
      <c r="B691" s="784"/>
      <c r="C691" s="784"/>
      <c r="D691" s="784"/>
      <c r="E691" s="784"/>
      <c r="F691" s="784"/>
      <c r="G691" s="784"/>
      <c r="H691" s="647"/>
      <c r="I691" s="784"/>
    </row>
    <row r="692" spans="1:9" ht="13.8">
      <c r="A692" s="784"/>
      <c r="B692" s="784"/>
      <c r="C692" s="784"/>
      <c r="D692" s="784"/>
      <c r="E692" s="784"/>
      <c r="F692" s="784"/>
      <c r="G692" s="784"/>
      <c r="H692" s="647"/>
      <c r="I692" s="784"/>
    </row>
    <row r="693" spans="1:9" ht="13.8">
      <c r="A693" s="784"/>
      <c r="B693" s="784"/>
      <c r="C693" s="784"/>
      <c r="D693" s="784"/>
      <c r="E693" s="784"/>
      <c r="F693" s="784"/>
      <c r="G693" s="784"/>
      <c r="H693" s="647"/>
      <c r="I693" s="784"/>
    </row>
    <row r="694" spans="1:9" ht="13.8">
      <c r="A694" s="784"/>
      <c r="B694" s="784"/>
      <c r="C694" s="784"/>
      <c r="D694" s="784"/>
      <c r="E694" s="784"/>
      <c r="F694" s="784"/>
      <c r="G694" s="784"/>
      <c r="H694" s="647"/>
      <c r="I694" s="784"/>
    </row>
    <row r="695" spans="1:9" ht="13.8">
      <c r="A695" s="784"/>
      <c r="B695" s="784"/>
      <c r="C695" s="784"/>
      <c r="D695" s="784"/>
      <c r="E695" s="784"/>
      <c r="F695" s="784"/>
      <c r="G695" s="784"/>
      <c r="H695" s="647"/>
      <c r="I695" s="784"/>
    </row>
    <row r="696" spans="1:9" ht="13.8">
      <c r="A696" s="784"/>
      <c r="B696" s="784"/>
      <c r="C696" s="784"/>
      <c r="D696" s="784"/>
      <c r="E696" s="784"/>
      <c r="F696" s="784"/>
      <c r="G696" s="784"/>
      <c r="H696" s="647"/>
      <c r="I696" s="784"/>
    </row>
    <row r="697" spans="1:9" ht="13.8">
      <c r="A697" s="784"/>
      <c r="B697" s="784"/>
      <c r="C697" s="784"/>
      <c r="D697" s="784"/>
      <c r="E697" s="784"/>
      <c r="F697" s="784"/>
      <c r="G697" s="784"/>
      <c r="H697" s="647"/>
      <c r="I697" s="784"/>
    </row>
    <row r="698" spans="1:9" ht="13.8">
      <c r="A698" s="784"/>
      <c r="B698" s="784"/>
      <c r="C698" s="784"/>
      <c r="D698" s="784"/>
      <c r="E698" s="784"/>
      <c r="F698" s="784"/>
      <c r="G698" s="784"/>
      <c r="H698" s="647"/>
      <c r="I698" s="784"/>
    </row>
    <row r="699" spans="1:9" ht="13.8">
      <c r="A699" s="784"/>
      <c r="B699" s="784"/>
      <c r="C699" s="784"/>
      <c r="D699" s="784"/>
      <c r="E699" s="784"/>
      <c r="F699" s="784"/>
      <c r="G699" s="784"/>
      <c r="H699" s="647"/>
      <c r="I699" s="784"/>
    </row>
    <row r="700" spans="1:9" ht="13.8">
      <c r="A700" s="784"/>
      <c r="B700" s="784"/>
      <c r="C700" s="784"/>
      <c r="D700" s="784"/>
      <c r="E700" s="784"/>
      <c r="F700" s="784"/>
      <c r="G700" s="784"/>
      <c r="H700" s="647"/>
      <c r="I700" s="784"/>
    </row>
    <row r="701" spans="1:9" ht="13.8">
      <c r="A701" s="784"/>
      <c r="B701" s="784"/>
      <c r="C701" s="784"/>
      <c r="D701" s="784"/>
      <c r="E701" s="784"/>
      <c r="F701" s="784"/>
      <c r="G701" s="784"/>
      <c r="H701" s="647"/>
      <c r="I701" s="784"/>
    </row>
    <row r="702" spans="1:9" ht="13.8">
      <c r="A702" s="784"/>
      <c r="B702" s="784"/>
      <c r="C702" s="784"/>
      <c r="D702" s="784"/>
      <c r="E702" s="784"/>
      <c r="F702" s="784"/>
      <c r="G702" s="784"/>
      <c r="H702" s="647"/>
      <c r="I702" s="784"/>
    </row>
    <row r="703" spans="1:9" ht="13.8">
      <c r="A703" s="784"/>
      <c r="B703" s="784"/>
      <c r="C703" s="784"/>
      <c r="D703" s="784"/>
      <c r="E703" s="784"/>
      <c r="F703" s="784"/>
      <c r="G703" s="784"/>
      <c r="H703" s="647"/>
      <c r="I703" s="784"/>
    </row>
    <row r="704" spans="1:9" ht="13.8">
      <c r="A704" s="784"/>
      <c r="B704" s="784"/>
      <c r="C704" s="784"/>
      <c r="D704" s="784"/>
      <c r="E704" s="784"/>
      <c r="F704" s="784"/>
      <c r="G704" s="784"/>
      <c r="H704" s="647"/>
      <c r="I704" s="784"/>
    </row>
    <row r="705" spans="1:9" ht="13.8">
      <c r="A705" s="784"/>
      <c r="B705" s="784"/>
      <c r="C705" s="784"/>
      <c r="D705" s="784"/>
      <c r="E705" s="784"/>
      <c r="F705" s="784"/>
      <c r="G705" s="784"/>
      <c r="H705" s="647"/>
      <c r="I705" s="784"/>
    </row>
    <row r="706" spans="1:9" ht="13.8">
      <c r="A706" s="784"/>
      <c r="B706" s="784"/>
      <c r="C706" s="784"/>
      <c r="D706" s="784"/>
      <c r="E706" s="784"/>
      <c r="F706" s="784"/>
      <c r="G706" s="784"/>
      <c r="H706" s="647"/>
      <c r="I706" s="784"/>
    </row>
    <row r="707" spans="1:9" ht="13.8">
      <c r="A707" s="784"/>
      <c r="B707" s="784"/>
      <c r="C707" s="784"/>
      <c r="D707" s="784"/>
      <c r="E707" s="784"/>
      <c r="F707" s="784"/>
      <c r="G707" s="784"/>
      <c r="H707" s="647"/>
      <c r="I707" s="784"/>
    </row>
    <row r="708" spans="1:9" ht="13.8">
      <c r="A708" s="784"/>
      <c r="B708" s="784"/>
      <c r="C708" s="784"/>
      <c r="D708" s="784"/>
      <c r="E708" s="784"/>
      <c r="F708" s="784"/>
      <c r="G708" s="784"/>
      <c r="H708" s="647"/>
      <c r="I708" s="784"/>
    </row>
    <row r="709" spans="1:9" ht="13.8">
      <c r="A709" s="784"/>
      <c r="B709" s="784"/>
      <c r="C709" s="784"/>
      <c r="D709" s="784"/>
      <c r="E709" s="784"/>
      <c r="F709" s="784"/>
      <c r="G709" s="784"/>
      <c r="H709" s="647"/>
      <c r="I709" s="784"/>
    </row>
    <row r="710" spans="1:9" ht="13.8">
      <c r="A710" s="784"/>
      <c r="B710" s="784"/>
      <c r="C710" s="784"/>
      <c r="D710" s="784"/>
      <c r="E710" s="784"/>
      <c r="F710" s="784"/>
      <c r="G710" s="784"/>
      <c r="H710" s="647"/>
      <c r="I710" s="784"/>
    </row>
    <row r="711" spans="1:9" ht="13.8">
      <c r="A711" s="784"/>
      <c r="B711" s="784"/>
      <c r="C711" s="784"/>
      <c r="D711" s="784"/>
      <c r="E711" s="784"/>
      <c r="F711" s="784"/>
      <c r="G711" s="784"/>
      <c r="H711" s="647"/>
      <c r="I711" s="784"/>
    </row>
    <row r="712" spans="1:9" ht="13.8">
      <c r="A712" s="784"/>
      <c r="B712" s="784"/>
      <c r="C712" s="784"/>
      <c r="D712" s="784"/>
      <c r="E712" s="784"/>
      <c r="F712" s="784"/>
      <c r="G712" s="784"/>
      <c r="H712" s="647"/>
      <c r="I712" s="784"/>
    </row>
    <row r="713" spans="1:9" ht="13.8">
      <c r="A713" s="784"/>
      <c r="B713" s="784"/>
      <c r="C713" s="784"/>
      <c r="D713" s="784"/>
      <c r="E713" s="784"/>
      <c r="F713" s="784"/>
      <c r="G713" s="784"/>
      <c r="H713" s="647"/>
      <c r="I713" s="784"/>
    </row>
    <row r="714" spans="1:9" ht="13.8">
      <c r="A714" s="784"/>
      <c r="B714" s="784"/>
      <c r="C714" s="784"/>
      <c r="D714" s="784"/>
      <c r="E714" s="784"/>
      <c r="F714" s="784"/>
      <c r="G714" s="784"/>
      <c r="H714" s="647"/>
      <c r="I714" s="784"/>
    </row>
    <row r="715" spans="1:9" ht="13.8">
      <c r="A715" s="784"/>
      <c r="B715" s="784"/>
      <c r="C715" s="784"/>
      <c r="D715" s="784"/>
      <c r="E715" s="784"/>
      <c r="F715" s="784"/>
      <c r="G715" s="784"/>
      <c r="H715" s="647"/>
      <c r="I715" s="784"/>
    </row>
    <row r="716" spans="1:9" ht="13.8">
      <c r="A716" s="784"/>
      <c r="B716" s="784"/>
      <c r="C716" s="784"/>
      <c r="D716" s="784"/>
      <c r="E716" s="784"/>
      <c r="F716" s="784"/>
      <c r="G716" s="784"/>
      <c r="H716" s="647"/>
      <c r="I716" s="784"/>
    </row>
    <row r="717" spans="1:9" ht="13.8">
      <c r="A717" s="784"/>
      <c r="B717" s="784"/>
      <c r="C717" s="784"/>
      <c r="D717" s="784"/>
      <c r="E717" s="784"/>
      <c r="F717" s="784"/>
      <c r="G717" s="784"/>
      <c r="H717" s="647"/>
      <c r="I717" s="784"/>
    </row>
    <row r="718" spans="1:9" ht="13.8">
      <c r="A718" s="784"/>
      <c r="B718" s="784"/>
      <c r="C718" s="784"/>
      <c r="D718" s="784"/>
      <c r="E718" s="784"/>
      <c r="F718" s="784"/>
      <c r="G718" s="784"/>
      <c r="H718" s="647"/>
      <c r="I718" s="784"/>
    </row>
    <row r="719" spans="1:9" ht="13.8">
      <c r="A719" s="784"/>
      <c r="B719" s="784"/>
      <c r="C719" s="784"/>
      <c r="D719" s="784"/>
      <c r="E719" s="784"/>
      <c r="F719" s="784"/>
      <c r="G719" s="784"/>
      <c r="H719" s="647"/>
      <c r="I719" s="784"/>
    </row>
    <row r="720" spans="1:9" ht="13.8">
      <c r="A720" s="784"/>
      <c r="B720" s="784"/>
      <c r="C720" s="784"/>
      <c r="D720" s="784"/>
      <c r="E720" s="784"/>
      <c r="F720" s="784"/>
      <c r="G720" s="784"/>
      <c r="H720" s="647"/>
      <c r="I720" s="784"/>
    </row>
    <row r="721" spans="1:9" ht="13.8">
      <c r="A721" s="784"/>
      <c r="B721" s="784"/>
      <c r="C721" s="784"/>
      <c r="D721" s="784"/>
      <c r="E721" s="784"/>
      <c r="F721" s="784"/>
      <c r="G721" s="784"/>
      <c r="H721" s="647"/>
      <c r="I721" s="784"/>
    </row>
    <row r="722" spans="1:9" ht="13.8">
      <c r="A722" s="784"/>
      <c r="B722" s="784"/>
      <c r="C722" s="784"/>
      <c r="D722" s="784"/>
      <c r="E722" s="784"/>
      <c r="F722" s="784"/>
      <c r="G722" s="784"/>
      <c r="H722" s="647"/>
      <c r="I722" s="784"/>
    </row>
    <row r="723" spans="1:9" ht="13.8">
      <c r="A723" s="784"/>
      <c r="B723" s="784"/>
      <c r="C723" s="784"/>
      <c r="D723" s="784"/>
      <c r="E723" s="784"/>
      <c r="F723" s="784"/>
      <c r="G723" s="784"/>
      <c r="H723" s="647"/>
      <c r="I723" s="784"/>
    </row>
    <row r="724" spans="1:9" ht="13.8">
      <c r="A724" s="784"/>
      <c r="B724" s="784"/>
      <c r="C724" s="784"/>
      <c r="D724" s="784"/>
      <c r="E724" s="784"/>
      <c r="F724" s="784"/>
      <c r="G724" s="784"/>
      <c r="H724" s="647"/>
      <c r="I724" s="784"/>
    </row>
    <row r="725" spans="1:9" ht="13.8">
      <c r="A725" s="784"/>
      <c r="B725" s="784"/>
      <c r="C725" s="784"/>
      <c r="D725" s="784"/>
      <c r="E725" s="784"/>
      <c r="F725" s="784"/>
      <c r="G725" s="784"/>
      <c r="H725" s="647"/>
      <c r="I725" s="784"/>
    </row>
    <row r="726" spans="1:9" ht="13.8">
      <c r="A726" s="784"/>
      <c r="B726" s="784"/>
      <c r="C726" s="784"/>
      <c r="D726" s="784"/>
      <c r="E726" s="784"/>
      <c r="F726" s="784"/>
      <c r="G726" s="784"/>
      <c r="H726" s="647"/>
      <c r="I726" s="784"/>
    </row>
    <row r="727" spans="1:9" ht="13.8">
      <c r="A727" s="784"/>
      <c r="B727" s="784"/>
      <c r="C727" s="784"/>
      <c r="D727" s="784"/>
      <c r="E727" s="784"/>
      <c r="F727" s="784"/>
      <c r="G727" s="784"/>
      <c r="H727" s="647"/>
      <c r="I727" s="784"/>
    </row>
    <row r="728" spans="1:9" ht="13.8">
      <c r="A728" s="784"/>
      <c r="B728" s="784"/>
      <c r="C728" s="784"/>
      <c r="D728" s="784"/>
      <c r="E728" s="784"/>
      <c r="F728" s="784"/>
      <c r="G728" s="784"/>
      <c r="H728" s="647"/>
      <c r="I728" s="784"/>
    </row>
    <row r="729" spans="1:9" ht="13.8">
      <c r="A729" s="784"/>
      <c r="B729" s="784"/>
      <c r="C729" s="784"/>
      <c r="D729" s="784"/>
      <c r="E729" s="784"/>
      <c r="F729" s="784"/>
      <c r="G729" s="784"/>
      <c r="H729" s="647"/>
      <c r="I729" s="784"/>
    </row>
    <row r="730" spans="1:9" ht="13.8">
      <c r="A730" s="784"/>
      <c r="B730" s="784"/>
      <c r="C730" s="784"/>
      <c r="D730" s="784"/>
      <c r="E730" s="784"/>
      <c r="F730" s="784"/>
      <c r="G730" s="784"/>
      <c r="H730" s="647"/>
      <c r="I730" s="784"/>
    </row>
    <row r="731" spans="1:9" ht="13.8">
      <c r="A731" s="784"/>
      <c r="B731" s="784"/>
      <c r="C731" s="784"/>
      <c r="D731" s="784"/>
      <c r="E731" s="784"/>
      <c r="F731" s="784"/>
      <c r="G731" s="784"/>
      <c r="H731" s="647"/>
      <c r="I731" s="784"/>
    </row>
    <row r="732" spans="1:9" ht="13.8">
      <c r="A732" s="784"/>
      <c r="B732" s="784"/>
      <c r="C732" s="784"/>
      <c r="D732" s="784"/>
      <c r="E732" s="784"/>
      <c r="F732" s="784"/>
      <c r="G732" s="784"/>
      <c r="H732" s="647"/>
      <c r="I732" s="784"/>
    </row>
    <row r="733" spans="1:9" ht="13.8">
      <c r="A733" s="784"/>
      <c r="B733" s="784"/>
      <c r="C733" s="784"/>
      <c r="D733" s="784"/>
      <c r="E733" s="784"/>
      <c r="F733" s="784"/>
      <c r="G733" s="784"/>
      <c r="H733" s="647"/>
      <c r="I733" s="784"/>
    </row>
    <row r="734" spans="1:9" ht="13.8">
      <c r="A734" s="784"/>
      <c r="B734" s="784"/>
      <c r="C734" s="784"/>
      <c r="D734" s="784"/>
      <c r="E734" s="784"/>
      <c r="F734" s="784"/>
      <c r="G734" s="784"/>
      <c r="H734" s="647"/>
      <c r="I734" s="784"/>
    </row>
    <row r="735" spans="1:9" ht="13.8">
      <c r="A735" s="784"/>
      <c r="B735" s="784"/>
      <c r="C735" s="784"/>
      <c r="D735" s="784"/>
      <c r="E735" s="784"/>
      <c r="F735" s="784"/>
      <c r="G735" s="784"/>
      <c r="H735" s="647"/>
      <c r="I735" s="784"/>
    </row>
    <row r="736" spans="1:9" ht="13.8">
      <c r="A736" s="784"/>
      <c r="B736" s="784"/>
      <c r="C736" s="784"/>
      <c r="D736" s="784"/>
      <c r="E736" s="784"/>
      <c r="F736" s="784"/>
      <c r="G736" s="784"/>
      <c r="H736" s="647"/>
      <c r="I736" s="784"/>
    </row>
    <row r="737" spans="1:9" ht="13.8">
      <c r="A737" s="784"/>
      <c r="B737" s="784"/>
      <c r="C737" s="784"/>
      <c r="D737" s="784"/>
      <c r="E737" s="784"/>
      <c r="F737" s="784"/>
      <c r="G737" s="784"/>
      <c r="H737" s="647"/>
      <c r="I737" s="784"/>
    </row>
    <row r="738" spans="1:9" ht="13.8">
      <c r="A738" s="784"/>
      <c r="B738" s="784"/>
      <c r="C738" s="784"/>
      <c r="D738" s="784"/>
      <c r="E738" s="784"/>
      <c r="F738" s="784"/>
      <c r="G738" s="784"/>
      <c r="H738" s="647"/>
      <c r="I738" s="784"/>
    </row>
    <row r="739" spans="1:9" ht="13.8">
      <c r="A739" s="784"/>
      <c r="B739" s="784"/>
      <c r="C739" s="784"/>
      <c r="D739" s="784"/>
      <c r="E739" s="784"/>
      <c r="F739" s="784"/>
      <c r="G739" s="784"/>
      <c r="H739" s="647"/>
      <c r="I739" s="784"/>
    </row>
    <row r="740" spans="1:9" ht="13.8">
      <c r="A740" s="784"/>
      <c r="B740" s="784"/>
      <c r="C740" s="784"/>
      <c r="D740" s="784"/>
      <c r="E740" s="784"/>
      <c r="F740" s="784"/>
      <c r="G740" s="784"/>
      <c r="H740" s="647"/>
      <c r="I740" s="784"/>
    </row>
    <row r="741" spans="1:9" ht="13.8">
      <c r="A741" s="784"/>
      <c r="B741" s="784"/>
      <c r="C741" s="784"/>
      <c r="D741" s="784"/>
      <c r="E741" s="784"/>
      <c r="F741" s="784"/>
      <c r="G741" s="784"/>
      <c r="H741" s="647"/>
      <c r="I741" s="784"/>
    </row>
    <row r="742" spans="1:9" ht="13.8">
      <c r="A742" s="784"/>
      <c r="B742" s="784"/>
      <c r="C742" s="784"/>
      <c r="D742" s="784"/>
      <c r="E742" s="784"/>
      <c r="F742" s="784"/>
      <c r="G742" s="784"/>
      <c r="H742" s="647"/>
      <c r="I742" s="784"/>
    </row>
    <row r="743" spans="1:9" ht="13.8">
      <c r="A743" s="784"/>
      <c r="B743" s="784"/>
      <c r="C743" s="784"/>
      <c r="D743" s="784"/>
      <c r="E743" s="784"/>
      <c r="F743" s="784"/>
      <c r="G743" s="784"/>
      <c r="H743" s="647"/>
      <c r="I743" s="784"/>
    </row>
    <row r="744" spans="1:9" ht="13.8">
      <c r="A744" s="784"/>
      <c r="B744" s="784"/>
      <c r="C744" s="784"/>
      <c r="D744" s="784"/>
      <c r="E744" s="784"/>
      <c r="F744" s="784"/>
      <c r="G744" s="784"/>
      <c r="H744" s="647"/>
      <c r="I744" s="784"/>
    </row>
    <row r="745" spans="1:9" ht="13.8">
      <c r="A745" s="784"/>
      <c r="B745" s="784"/>
      <c r="C745" s="784"/>
      <c r="D745" s="784"/>
      <c r="E745" s="784"/>
      <c r="F745" s="784"/>
      <c r="G745" s="784"/>
      <c r="H745" s="647"/>
      <c r="I745" s="784"/>
    </row>
    <row r="746" spans="1:9" ht="13.8">
      <c r="A746" s="784"/>
      <c r="B746" s="784"/>
      <c r="C746" s="784"/>
      <c r="D746" s="784"/>
      <c r="E746" s="784"/>
      <c r="F746" s="784"/>
      <c r="G746" s="784"/>
      <c r="H746" s="647"/>
      <c r="I746" s="784"/>
    </row>
    <row r="747" spans="1:9" ht="13.8">
      <c r="A747" s="784"/>
      <c r="B747" s="784"/>
      <c r="C747" s="784"/>
      <c r="D747" s="784"/>
      <c r="E747" s="784"/>
      <c r="F747" s="784"/>
      <c r="G747" s="784"/>
      <c r="H747" s="647"/>
      <c r="I747" s="784"/>
    </row>
    <row r="748" spans="1:9" ht="13.8">
      <c r="A748" s="784"/>
      <c r="B748" s="784"/>
      <c r="C748" s="784"/>
      <c r="D748" s="784"/>
      <c r="E748" s="784"/>
      <c r="F748" s="784"/>
      <c r="G748" s="784"/>
      <c r="H748" s="647"/>
      <c r="I748" s="784"/>
    </row>
    <row r="749" spans="1:9" ht="13.8">
      <c r="A749" s="784"/>
      <c r="B749" s="784"/>
      <c r="C749" s="784"/>
      <c r="D749" s="784"/>
      <c r="E749" s="784"/>
      <c r="F749" s="784"/>
      <c r="G749" s="784"/>
      <c r="H749" s="647"/>
      <c r="I749" s="784"/>
    </row>
    <row r="750" spans="1:9" ht="13.8">
      <c r="A750" s="784"/>
      <c r="B750" s="784"/>
      <c r="C750" s="784"/>
      <c r="D750" s="784"/>
      <c r="E750" s="784"/>
      <c r="F750" s="784"/>
      <c r="G750" s="784"/>
      <c r="H750" s="647"/>
      <c r="I750" s="784"/>
    </row>
    <row r="751" spans="1:9" ht="13.8">
      <c r="A751" s="784"/>
      <c r="B751" s="784"/>
      <c r="C751" s="784"/>
      <c r="D751" s="784"/>
      <c r="E751" s="784"/>
      <c r="F751" s="784"/>
      <c r="G751" s="784"/>
      <c r="H751" s="647"/>
      <c r="I751" s="784"/>
    </row>
    <row r="752" spans="1:9" ht="13.8">
      <c r="A752" s="784"/>
      <c r="B752" s="784"/>
      <c r="C752" s="784"/>
      <c r="D752" s="784"/>
      <c r="E752" s="784"/>
      <c r="F752" s="784"/>
      <c r="G752" s="784"/>
      <c r="H752" s="647"/>
      <c r="I752" s="784"/>
    </row>
    <row r="753" spans="1:9" ht="13.8">
      <c r="A753" s="784"/>
      <c r="B753" s="784"/>
      <c r="C753" s="784"/>
      <c r="D753" s="784"/>
      <c r="E753" s="784"/>
      <c r="F753" s="784"/>
      <c r="G753" s="784"/>
      <c r="H753" s="647"/>
      <c r="I753" s="784"/>
    </row>
    <row r="754" spans="1:9" ht="13.8">
      <c r="A754" s="784"/>
      <c r="B754" s="784"/>
      <c r="C754" s="784"/>
      <c r="D754" s="784"/>
      <c r="E754" s="784"/>
      <c r="F754" s="784"/>
      <c r="G754" s="784"/>
      <c r="H754" s="647"/>
      <c r="I754" s="784"/>
    </row>
    <row r="755" spans="1:9" ht="13.8">
      <c r="A755" s="784"/>
      <c r="B755" s="784"/>
      <c r="C755" s="784"/>
      <c r="D755" s="784"/>
      <c r="E755" s="784"/>
      <c r="F755" s="784"/>
      <c r="G755" s="784"/>
      <c r="H755" s="647"/>
      <c r="I755" s="784"/>
    </row>
    <row r="756" spans="1:9" ht="13.8">
      <c r="A756" s="784"/>
      <c r="B756" s="784"/>
      <c r="C756" s="784"/>
      <c r="D756" s="784"/>
      <c r="E756" s="784"/>
      <c r="F756" s="784"/>
      <c r="G756" s="784"/>
      <c r="H756" s="647"/>
      <c r="I756" s="784"/>
    </row>
    <row r="757" spans="1:9" ht="13.8">
      <c r="A757" s="784"/>
      <c r="B757" s="784"/>
      <c r="C757" s="784"/>
      <c r="D757" s="784"/>
      <c r="E757" s="784"/>
      <c r="F757" s="784"/>
      <c r="G757" s="784"/>
      <c r="H757" s="647"/>
      <c r="I757" s="784"/>
    </row>
    <row r="758" spans="1:9" ht="13.8">
      <c r="A758" s="784"/>
      <c r="B758" s="784"/>
      <c r="C758" s="784"/>
      <c r="D758" s="784"/>
      <c r="E758" s="784"/>
      <c r="F758" s="784"/>
      <c r="G758" s="784"/>
      <c r="H758" s="647"/>
      <c r="I758" s="784"/>
    </row>
    <row r="759" spans="1:9" ht="13.8">
      <c r="A759" s="784"/>
      <c r="B759" s="784"/>
      <c r="C759" s="784"/>
      <c r="D759" s="784"/>
      <c r="E759" s="784"/>
      <c r="F759" s="784"/>
      <c r="G759" s="784"/>
      <c r="H759" s="647"/>
      <c r="I759" s="784"/>
    </row>
    <row r="760" spans="1:9" ht="13.8">
      <c r="A760" s="784"/>
      <c r="B760" s="784"/>
      <c r="C760" s="784"/>
      <c r="D760" s="784"/>
      <c r="E760" s="784"/>
      <c r="F760" s="784"/>
      <c r="G760" s="784"/>
      <c r="H760" s="647"/>
      <c r="I760" s="784"/>
    </row>
    <row r="761" spans="1:9" ht="13.8">
      <c r="A761" s="784"/>
      <c r="B761" s="784"/>
      <c r="C761" s="784"/>
      <c r="D761" s="784"/>
      <c r="E761" s="784"/>
      <c r="F761" s="784"/>
      <c r="G761" s="784"/>
      <c r="H761" s="647"/>
      <c r="I761" s="784"/>
    </row>
    <row r="762" spans="1:9" ht="13.8">
      <c r="A762" s="784"/>
      <c r="B762" s="784"/>
      <c r="C762" s="784"/>
      <c r="D762" s="784"/>
      <c r="E762" s="784"/>
      <c r="F762" s="784"/>
      <c r="G762" s="784"/>
      <c r="H762" s="647"/>
      <c r="I762" s="784"/>
    </row>
    <row r="763" spans="1:9" ht="13.8">
      <c r="A763" s="784"/>
      <c r="B763" s="784"/>
      <c r="C763" s="784"/>
      <c r="D763" s="784"/>
      <c r="E763" s="784"/>
      <c r="F763" s="784"/>
      <c r="G763" s="784"/>
      <c r="H763" s="647"/>
      <c r="I763" s="784"/>
    </row>
    <row r="764" spans="1:9" ht="13.8">
      <c r="A764" s="784"/>
      <c r="B764" s="784"/>
      <c r="C764" s="784"/>
      <c r="D764" s="784"/>
      <c r="E764" s="784"/>
      <c r="F764" s="784"/>
      <c r="G764" s="784"/>
      <c r="H764" s="647"/>
      <c r="I764" s="784"/>
    </row>
    <row r="765" spans="1:9" ht="13.8">
      <c r="A765" s="784"/>
      <c r="B765" s="784"/>
      <c r="C765" s="784"/>
      <c r="D765" s="784"/>
      <c r="E765" s="784"/>
      <c r="F765" s="784"/>
      <c r="G765" s="784"/>
      <c r="H765" s="647"/>
      <c r="I765" s="784"/>
    </row>
    <row r="766" spans="1:9" ht="13.8">
      <c r="A766" s="784"/>
      <c r="B766" s="784"/>
      <c r="C766" s="784"/>
      <c r="D766" s="784"/>
      <c r="E766" s="784"/>
      <c r="F766" s="784"/>
      <c r="G766" s="784"/>
      <c r="H766" s="647"/>
      <c r="I766" s="784"/>
    </row>
    <row r="767" spans="1:9" ht="13.8">
      <c r="A767" s="784"/>
      <c r="B767" s="784"/>
      <c r="C767" s="784"/>
      <c r="D767" s="784"/>
      <c r="E767" s="784"/>
      <c r="F767" s="784"/>
      <c r="G767" s="784"/>
      <c r="H767" s="647"/>
      <c r="I767" s="784"/>
    </row>
    <row r="768" spans="1:9" ht="13.8">
      <c r="A768" s="784"/>
      <c r="B768" s="784"/>
      <c r="C768" s="784"/>
      <c r="D768" s="784"/>
      <c r="E768" s="784"/>
      <c r="F768" s="784"/>
      <c r="G768" s="784"/>
      <c r="H768" s="647"/>
      <c r="I768" s="784"/>
    </row>
    <row r="769" spans="1:9" ht="13.8">
      <c r="A769" s="784"/>
      <c r="B769" s="784"/>
      <c r="C769" s="784"/>
      <c r="D769" s="784"/>
      <c r="E769" s="784"/>
      <c r="F769" s="784"/>
      <c r="G769" s="784"/>
      <c r="H769" s="647"/>
      <c r="I769" s="784"/>
    </row>
    <row r="770" spans="1:9" ht="13.8">
      <c r="A770" s="784"/>
      <c r="B770" s="784"/>
      <c r="C770" s="784"/>
      <c r="D770" s="784"/>
      <c r="E770" s="784"/>
      <c r="F770" s="784"/>
      <c r="G770" s="784"/>
      <c r="H770" s="647"/>
      <c r="I770" s="784"/>
    </row>
    <row r="771" spans="1:9" ht="13.8">
      <c r="A771" s="784"/>
      <c r="B771" s="784"/>
      <c r="C771" s="784"/>
      <c r="D771" s="784"/>
      <c r="E771" s="784"/>
      <c r="F771" s="784"/>
      <c r="G771" s="784"/>
      <c r="H771" s="647"/>
      <c r="I771" s="784"/>
    </row>
    <row r="772" spans="1:9" ht="13.8">
      <c r="A772" s="784"/>
      <c r="B772" s="784"/>
      <c r="C772" s="784"/>
      <c r="D772" s="784"/>
      <c r="E772" s="784"/>
      <c r="F772" s="784"/>
      <c r="G772" s="784"/>
      <c r="H772" s="647"/>
      <c r="I772" s="784"/>
    </row>
    <row r="773" spans="1:9" ht="13.8">
      <c r="A773" s="784"/>
      <c r="B773" s="784"/>
      <c r="C773" s="784"/>
      <c r="D773" s="784"/>
      <c r="E773" s="784"/>
      <c r="F773" s="784"/>
      <c r="G773" s="784"/>
      <c r="H773" s="647"/>
      <c r="I773" s="784"/>
    </row>
    <row r="774" spans="1:9" ht="13.8">
      <c r="A774" s="784"/>
      <c r="B774" s="784"/>
      <c r="C774" s="784"/>
      <c r="D774" s="784"/>
      <c r="E774" s="784"/>
      <c r="F774" s="784"/>
      <c r="G774" s="784"/>
      <c r="H774" s="647"/>
      <c r="I774" s="784"/>
    </row>
    <row r="775" spans="1:9" ht="13.8">
      <c r="A775" s="784"/>
      <c r="B775" s="784"/>
      <c r="C775" s="784"/>
      <c r="D775" s="784"/>
      <c r="E775" s="784"/>
      <c r="F775" s="784"/>
      <c r="G775" s="784"/>
      <c r="H775" s="647"/>
      <c r="I775" s="784"/>
    </row>
    <row r="776" spans="1:9" ht="13.8">
      <c r="A776" s="784"/>
      <c r="B776" s="784"/>
      <c r="C776" s="784"/>
      <c r="D776" s="784"/>
      <c r="E776" s="784"/>
      <c r="F776" s="784"/>
      <c r="G776" s="784"/>
      <c r="H776" s="647"/>
      <c r="I776" s="784"/>
    </row>
    <row r="777" spans="1:9" ht="13.8">
      <c r="A777" s="784"/>
      <c r="B777" s="784"/>
      <c r="C777" s="784"/>
      <c r="D777" s="784"/>
      <c r="E777" s="784"/>
      <c r="F777" s="784"/>
      <c r="G777" s="784"/>
      <c r="H777" s="647"/>
      <c r="I777" s="784"/>
    </row>
    <row r="778" spans="1:9" ht="13.8">
      <c r="A778" s="784"/>
      <c r="B778" s="784"/>
      <c r="C778" s="784"/>
      <c r="D778" s="784"/>
      <c r="E778" s="784"/>
      <c r="F778" s="784"/>
      <c r="G778" s="784"/>
      <c r="H778" s="647"/>
      <c r="I778" s="784"/>
    </row>
    <row r="779" spans="1:9" ht="13.8">
      <c r="A779" s="784"/>
      <c r="B779" s="784"/>
      <c r="C779" s="784"/>
      <c r="D779" s="784"/>
      <c r="E779" s="784"/>
      <c r="F779" s="784"/>
      <c r="G779" s="784"/>
      <c r="H779" s="647"/>
      <c r="I779" s="784"/>
    </row>
    <row r="780" spans="1:9" ht="13.8">
      <c r="A780" s="784"/>
      <c r="B780" s="784"/>
      <c r="C780" s="784"/>
      <c r="D780" s="784"/>
      <c r="E780" s="784"/>
      <c r="F780" s="784"/>
      <c r="G780" s="784"/>
      <c r="H780" s="647"/>
      <c r="I780" s="784"/>
    </row>
    <row r="781" spans="1:9" ht="13.8">
      <c r="A781" s="784"/>
      <c r="B781" s="784"/>
      <c r="C781" s="784"/>
      <c r="D781" s="784"/>
      <c r="E781" s="784"/>
      <c r="F781" s="784"/>
      <c r="G781" s="784"/>
      <c r="H781" s="647"/>
      <c r="I781" s="784"/>
    </row>
    <row r="782" spans="1:9" ht="13.8">
      <c r="A782" s="784"/>
      <c r="B782" s="784"/>
      <c r="C782" s="784"/>
      <c r="D782" s="784"/>
      <c r="E782" s="784"/>
      <c r="F782" s="784"/>
      <c r="G782" s="784"/>
      <c r="H782" s="647"/>
      <c r="I782" s="784"/>
    </row>
    <row r="783" spans="1:9" ht="13.8">
      <c r="A783" s="784"/>
      <c r="B783" s="784"/>
      <c r="C783" s="784"/>
      <c r="D783" s="784"/>
      <c r="E783" s="784"/>
      <c r="F783" s="784"/>
      <c r="G783" s="784"/>
      <c r="H783" s="647"/>
      <c r="I783" s="784"/>
    </row>
    <row r="784" spans="1:9" ht="13.8">
      <c r="A784" s="784"/>
      <c r="B784" s="784"/>
      <c r="C784" s="784"/>
      <c r="D784" s="784"/>
      <c r="E784" s="784"/>
      <c r="F784" s="784"/>
      <c r="G784" s="784"/>
      <c r="H784" s="647"/>
      <c r="I784" s="784"/>
    </row>
    <row r="785" spans="1:9" ht="13.8">
      <c r="A785" s="784"/>
      <c r="B785" s="784"/>
      <c r="C785" s="784"/>
      <c r="D785" s="784"/>
      <c r="E785" s="784"/>
      <c r="F785" s="784"/>
      <c r="G785" s="784"/>
      <c r="H785" s="647"/>
      <c r="I785" s="784"/>
    </row>
    <row r="786" spans="1:9" ht="13.8">
      <c r="A786" s="784"/>
      <c r="B786" s="784"/>
      <c r="C786" s="784"/>
      <c r="D786" s="784"/>
      <c r="E786" s="784"/>
      <c r="F786" s="784"/>
      <c r="G786" s="784"/>
      <c r="H786" s="647"/>
      <c r="I786" s="784"/>
    </row>
    <row r="787" spans="1:9" ht="13.8">
      <c r="A787" s="784"/>
      <c r="B787" s="784"/>
      <c r="C787" s="784"/>
      <c r="D787" s="784"/>
      <c r="E787" s="784"/>
      <c r="F787" s="784"/>
      <c r="G787" s="784"/>
      <c r="H787" s="647"/>
      <c r="I787" s="784"/>
    </row>
    <row r="788" spans="1:9" ht="13.8">
      <c r="A788" s="784"/>
      <c r="B788" s="784"/>
      <c r="C788" s="784"/>
      <c r="D788" s="784"/>
      <c r="E788" s="784"/>
      <c r="F788" s="784"/>
      <c r="G788" s="784"/>
      <c r="H788" s="647"/>
      <c r="I788" s="784"/>
    </row>
    <row r="789" spans="1:9" ht="13.8">
      <c r="A789" s="784"/>
      <c r="B789" s="784"/>
      <c r="C789" s="784"/>
      <c r="D789" s="784"/>
      <c r="E789" s="784"/>
      <c r="F789" s="784"/>
      <c r="G789" s="784"/>
      <c r="H789" s="647"/>
      <c r="I789" s="784"/>
    </row>
    <row r="790" spans="1:9" ht="13.8">
      <c r="A790" s="784"/>
      <c r="B790" s="784"/>
      <c r="C790" s="784"/>
      <c r="D790" s="784"/>
      <c r="E790" s="784"/>
      <c r="F790" s="784"/>
      <c r="G790" s="784"/>
      <c r="H790" s="647"/>
      <c r="I790" s="784"/>
    </row>
    <row r="791" spans="1:9" ht="13.8">
      <c r="A791" s="784"/>
      <c r="B791" s="784"/>
      <c r="C791" s="784"/>
      <c r="D791" s="784"/>
      <c r="E791" s="784"/>
      <c r="F791" s="784"/>
      <c r="G791" s="784"/>
      <c r="H791" s="647"/>
      <c r="I791" s="784"/>
    </row>
    <row r="792" spans="1:9" ht="13.8">
      <c r="A792" s="784"/>
      <c r="B792" s="784"/>
      <c r="C792" s="784"/>
      <c r="D792" s="784"/>
      <c r="E792" s="784"/>
      <c r="F792" s="784"/>
      <c r="G792" s="784"/>
      <c r="H792" s="647"/>
      <c r="I792" s="784"/>
    </row>
    <row r="793" spans="1:9" ht="13.8">
      <c r="A793" s="784"/>
      <c r="B793" s="784"/>
      <c r="C793" s="784"/>
      <c r="D793" s="784"/>
      <c r="E793" s="784"/>
      <c r="F793" s="784"/>
      <c r="G793" s="784"/>
      <c r="H793" s="647"/>
      <c r="I793" s="784"/>
    </row>
    <row r="794" spans="1:9" ht="13.8">
      <c r="A794" s="784"/>
      <c r="B794" s="784"/>
      <c r="C794" s="784"/>
      <c r="D794" s="784"/>
      <c r="E794" s="784"/>
      <c r="F794" s="784"/>
      <c r="G794" s="784"/>
      <c r="H794" s="647"/>
      <c r="I794" s="784"/>
    </row>
    <row r="795" spans="1:9" ht="13.8">
      <c r="A795" s="784"/>
      <c r="B795" s="784"/>
      <c r="C795" s="784"/>
      <c r="D795" s="784"/>
      <c r="E795" s="784"/>
      <c r="F795" s="784"/>
      <c r="G795" s="784"/>
      <c r="H795" s="647"/>
      <c r="I795" s="784"/>
    </row>
    <row r="796" spans="1:9" ht="13.8">
      <c r="A796" s="784"/>
      <c r="B796" s="784"/>
      <c r="C796" s="784"/>
      <c r="D796" s="784"/>
      <c r="E796" s="784"/>
      <c r="F796" s="784"/>
      <c r="G796" s="784"/>
      <c r="H796" s="647"/>
      <c r="I796" s="784"/>
    </row>
    <row r="797" spans="1:9" ht="13.8">
      <c r="A797" s="784"/>
      <c r="B797" s="784"/>
      <c r="C797" s="784"/>
      <c r="D797" s="784"/>
      <c r="E797" s="784"/>
      <c r="F797" s="784"/>
      <c r="G797" s="784"/>
      <c r="H797" s="647"/>
      <c r="I797" s="784"/>
    </row>
    <row r="798" spans="1:9" ht="13.8">
      <c r="A798" s="784"/>
      <c r="B798" s="784"/>
      <c r="C798" s="784"/>
      <c r="D798" s="784"/>
      <c r="E798" s="784"/>
      <c r="F798" s="784"/>
      <c r="G798" s="784"/>
      <c r="H798" s="647"/>
      <c r="I798" s="784"/>
    </row>
    <row r="799" spans="1:9" ht="13.8">
      <c r="A799" s="784"/>
      <c r="B799" s="784"/>
      <c r="C799" s="784"/>
      <c r="D799" s="784"/>
      <c r="E799" s="784"/>
      <c r="F799" s="784"/>
      <c r="G799" s="784"/>
      <c r="H799" s="647"/>
      <c r="I799" s="784"/>
    </row>
    <row r="800" spans="1:9" ht="13.8">
      <c r="A800" s="784"/>
      <c r="B800" s="784"/>
      <c r="C800" s="784"/>
      <c r="D800" s="784"/>
      <c r="E800" s="784"/>
      <c r="F800" s="784"/>
      <c r="G800" s="784"/>
      <c r="H800" s="647"/>
      <c r="I800" s="784"/>
    </row>
    <row r="801" spans="1:9" ht="13.8">
      <c r="A801" s="784"/>
      <c r="B801" s="784"/>
      <c r="C801" s="784"/>
      <c r="D801" s="784"/>
      <c r="E801" s="784"/>
      <c r="F801" s="784"/>
      <c r="G801" s="784"/>
      <c r="H801" s="647"/>
      <c r="I801" s="784"/>
    </row>
    <row r="802" spans="1:9" ht="13.8">
      <c r="A802" s="784"/>
      <c r="B802" s="784"/>
      <c r="C802" s="784"/>
      <c r="D802" s="784"/>
      <c r="E802" s="784"/>
      <c r="F802" s="784"/>
      <c r="G802" s="784"/>
      <c r="H802" s="647"/>
      <c r="I802" s="784"/>
    </row>
    <row r="803" spans="1:9" ht="13.8">
      <c r="A803" s="784"/>
      <c r="B803" s="784"/>
      <c r="C803" s="784"/>
      <c r="D803" s="784"/>
      <c r="E803" s="784"/>
      <c r="F803" s="784"/>
      <c r="G803" s="784"/>
      <c r="H803" s="647"/>
      <c r="I803" s="784"/>
    </row>
    <row r="804" spans="1:9" ht="13.8">
      <c r="A804" s="784"/>
      <c r="B804" s="784"/>
      <c r="C804" s="784"/>
      <c r="D804" s="784"/>
      <c r="E804" s="784"/>
      <c r="F804" s="784"/>
      <c r="G804" s="784"/>
      <c r="H804" s="647"/>
      <c r="I804" s="784"/>
    </row>
    <row r="805" spans="1:9" ht="13.8">
      <c r="A805" s="784"/>
      <c r="B805" s="784"/>
      <c r="C805" s="784"/>
      <c r="D805" s="784"/>
      <c r="E805" s="784"/>
      <c r="F805" s="784"/>
      <c r="G805" s="784"/>
      <c r="H805" s="647"/>
      <c r="I805" s="784"/>
    </row>
    <row r="806" spans="1:9" ht="13.8">
      <c r="A806" s="784"/>
      <c r="B806" s="784"/>
      <c r="C806" s="784"/>
      <c r="D806" s="784"/>
      <c r="E806" s="784"/>
      <c r="F806" s="784"/>
      <c r="G806" s="784"/>
      <c r="H806" s="647"/>
      <c r="I806" s="784"/>
    </row>
    <row r="807" spans="1:9" ht="13.8">
      <c r="A807" s="784"/>
      <c r="B807" s="784"/>
      <c r="C807" s="784"/>
      <c r="D807" s="784"/>
      <c r="E807" s="784"/>
      <c r="F807" s="784"/>
      <c r="G807" s="784"/>
      <c r="H807" s="647"/>
      <c r="I807" s="784"/>
    </row>
    <row r="808" spans="1:9" ht="13.8">
      <c r="A808" s="784"/>
      <c r="B808" s="784"/>
      <c r="C808" s="784"/>
      <c r="D808" s="784"/>
      <c r="E808" s="784"/>
      <c r="F808" s="784"/>
      <c r="G808" s="784"/>
      <c r="H808" s="647"/>
      <c r="I808" s="784"/>
    </row>
    <row r="809" spans="1:9" ht="13.8">
      <c r="A809" s="784"/>
      <c r="B809" s="784"/>
      <c r="C809" s="784"/>
      <c r="D809" s="784"/>
      <c r="E809" s="784"/>
      <c r="F809" s="784"/>
      <c r="G809" s="784"/>
      <c r="H809" s="647"/>
      <c r="I809" s="784"/>
    </row>
    <row r="810" spans="1:9" ht="13.8">
      <c r="A810" s="784"/>
      <c r="B810" s="784"/>
      <c r="C810" s="784"/>
      <c r="D810" s="784"/>
      <c r="E810" s="784"/>
      <c r="F810" s="784"/>
      <c r="G810" s="784"/>
      <c r="H810" s="647"/>
      <c r="I810" s="784"/>
    </row>
    <row r="811" spans="1:9" ht="13.8">
      <c r="A811" s="784"/>
      <c r="B811" s="784"/>
      <c r="C811" s="784"/>
      <c r="D811" s="784"/>
      <c r="E811" s="784"/>
      <c r="F811" s="784"/>
      <c r="G811" s="784"/>
      <c r="H811" s="647"/>
      <c r="I811" s="784"/>
    </row>
    <row r="812" spans="1:9" ht="13.8">
      <c r="A812" s="784"/>
      <c r="B812" s="784"/>
      <c r="C812" s="784"/>
      <c r="D812" s="784"/>
      <c r="E812" s="784"/>
      <c r="F812" s="784"/>
      <c r="G812" s="784"/>
      <c r="H812" s="647"/>
      <c r="I812" s="784"/>
    </row>
    <row r="813" spans="1:9" ht="13.8">
      <c r="A813" s="784"/>
      <c r="B813" s="784"/>
      <c r="C813" s="784"/>
      <c r="D813" s="784"/>
      <c r="E813" s="784"/>
      <c r="F813" s="784"/>
      <c r="G813" s="784"/>
      <c r="H813" s="647"/>
      <c r="I813" s="784"/>
    </row>
    <row r="814" spans="1:9" ht="13.8">
      <c r="A814" s="784"/>
      <c r="B814" s="784"/>
      <c r="C814" s="784"/>
      <c r="D814" s="784"/>
      <c r="E814" s="784"/>
      <c r="F814" s="784"/>
      <c r="G814" s="784"/>
      <c r="H814" s="647"/>
      <c r="I814" s="784"/>
    </row>
    <row r="815" spans="1:9" ht="13.8">
      <c r="A815" s="784"/>
      <c r="B815" s="784"/>
      <c r="C815" s="784"/>
      <c r="D815" s="784"/>
      <c r="E815" s="784"/>
      <c r="F815" s="784"/>
      <c r="G815" s="784"/>
      <c r="H815" s="647"/>
      <c r="I815" s="784"/>
    </row>
    <row r="816" spans="1:9" ht="13.8">
      <c r="A816" s="784"/>
      <c r="B816" s="784"/>
      <c r="C816" s="784"/>
      <c r="D816" s="784"/>
      <c r="E816" s="784"/>
      <c r="F816" s="784"/>
      <c r="G816" s="784"/>
      <c r="H816" s="647"/>
      <c r="I816" s="784"/>
    </row>
    <row r="817" spans="1:9" ht="13.8">
      <c r="A817" s="784"/>
      <c r="B817" s="784"/>
      <c r="C817" s="784"/>
      <c r="D817" s="784"/>
      <c r="E817" s="784"/>
      <c r="F817" s="784"/>
      <c r="G817" s="784"/>
      <c r="H817" s="647"/>
      <c r="I817" s="784"/>
    </row>
    <row r="818" spans="1:9" ht="13.8">
      <c r="A818" s="784"/>
      <c r="B818" s="784"/>
      <c r="C818" s="784"/>
      <c r="D818" s="784"/>
      <c r="E818" s="784"/>
      <c r="F818" s="784"/>
      <c r="G818" s="784"/>
      <c r="H818" s="647"/>
      <c r="I818" s="784"/>
    </row>
    <row r="819" spans="1:9" ht="13.8">
      <c r="A819" s="784"/>
      <c r="B819" s="784"/>
      <c r="C819" s="784"/>
      <c r="D819" s="784"/>
      <c r="E819" s="784"/>
      <c r="F819" s="784"/>
      <c r="G819" s="784"/>
      <c r="H819" s="647"/>
      <c r="I819" s="784"/>
    </row>
    <row r="820" spans="1:9" ht="13.8">
      <c r="A820" s="784"/>
      <c r="B820" s="784"/>
      <c r="C820" s="784"/>
      <c r="D820" s="784"/>
      <c r="E820" s="784"/>
      <c r="F820" s="784"/>
      <c r="G820" s="784"/>
      <c r="H820" s="647"/>
      <c r="I820" s="784"/>
    </row>
    <row r="821" spans="1:9" ht="13.8">
      <c r="A821" s="784"/>
      <c r="B821" s="784"/>
      <c r="C821" s="784"/>
      <c r="D821" s="784"/>
      <c r="E821" s="784"/>
      <c r="F821" s="784"/>
      <c r="G821" s="784"/>
      <c r="H821" s="647"/>
      <c r="I821" s="784"/>
    </row>
    <row r="822" spans="1:9" ht="13.8">
      <c r="A822" s="784"/>
      <c r="B822" s="784"/>
      <c r="C822" s="784"/>
      <c r="D822" s="784"/>
      <c r="E822" s="784"/>
      <c r="F822" s="784"/>
      <c r="G822" s="784"/>
      <c r="H822" s="647"/>
      <c r="I822" s="784"/>
    </row>
    <row r="823" spans="1:9" ht="13.8">
      <c r="A823" s="784"/>
      <c r="B823" s="784"/>
      <c r="C823" s="784"/>
      <c r="D823" s="784"/>
      <c r="E823" s="784"/>
      <c r="F823" s="784"/>
      <c r="G823" s="784"/>
      <c r="H823" s="647"/>
      <c r="I823" s="784"/>
    </row>
    <row r="824" spans="1:9" ht="13.8">
      <c r="A824" s="784"/>
      <c r="B824" s="784"/>
      <c r="C824" s="784"/>
      <c r="D824" s="784"/>
      <c r="E824" s="784"/>
      <c r="F824" s="784"/>
      <c r="G824" s="784"/>
      <c r="H824" s="647"/>
      <c r="I824" s="784"/>
    </row>
    <row r="825" spans="1:9" ht="13.8">
      <c r="A825" s="784"/>
      <c r="B825" s="784"/>
      <c r="C825" s="784"/>
      <c r="D825" s="784"/>
      <c r="E825" s="784"/>
      <c r="F825" s="784"/>
      <c r="G825" s="784"/>
      <c r="H825" s="647"/>
      <c r="I825" s="784"/>
    </row>
    <row r="826" spans="1:9" ht="13.8">
      <c r="A826" s="784"/>
      <c r="B826" s="784"/>
      <c r="C826" s="784"/>
      <c r="D826" s="784"/>
      <c r="E826" s="784"/>
      <c r="F826" s="784"/>
      <c r="G826" s="784"/>
      <c r="H826" s="647"/>
      <c r="I826" s="784"/>
    </row>
    <row r="827" spans="1:9" ht="13.8">
      <c r="A827" s="784"/>
      <c r="B827" s="784"/>
      <c r="C827" s="784"/>
      <c r="D827" s="784"/>
      <c r="E827" s="784"/>
      <c r="F827" s="784"/>
      <c r="G827" s="784"/>
      <c r="H827" s="647"/>
      <c r="I827" s="784"/>
    </row>
    <row r="828" spans="1:9" ht="13.8">
      <c r="A828" s="784"/>
      <c r="B828" s="784"/>
      <c r="C828" s="784"/>
      <c r="D828" s="784"/>
      <c r="E828" s="784"/>
      <c r="F828" s="784"/>
      <c r="G828" s="784"/>
      <c r="H828" s="647"/>
      <c r="I828" s="784"/>
    </row>
    <row r="829" spans="1:9" ht="13.8">
      <c r="A829" s="784"/>
      <c r="B829" s="784"/>
      <c r="C829" s="784"/>
      <c r="D829" s="784"/>
      <c r="E829" s="784"/>
      <c r="F829" s="784"/>
      <c r="G829" s="784"/>
      <c r="H829" s="647"/>
      <c r="I829" s="784"/>
    </row>
    <row r="830" spans="1:9" ht="13.8">
      <c r="A830" s="784"/>
      <c r="B830" s="784"/>
      <c r="C830" s="784"/>
      <c r="D830" s="784"/>
      <c r="E830" s="784"/>
      <c r="F830" s="784"/>
      <c r="G830" s="784"/>
      <c r="H830" s="647"/>
      <c r="I830" s="784"/>
    </row>
    <row r="831" spans="1:9" ht="13.8">
      <c r="A831" s="784"/>
      <c r="B831" s="784"/>
      <c r="C831" s="784"/>
      <c r="D831" s="784"/>
      <c r="E831" s="784"/>
      <c r="F831" s="784"/>
      <c r="G831" s="784"/>
      <c r="H831" s="647"/>
      <c r="I831" s="784"/>
    </row>
    <row r="832" spans="1:9" ht="13.8">
      <c r="A832" s="784"/>
      <c r="B832" s="784"/>
      <c r="C832" s="784"/>
      <c r="D832" s="784"/>
      <c r="E832" s="784"/>
      <c r="F832" s="784"/>
      <c r="G832" s="784"/>
      <c r="H832" s="647"/>
      <c r="I832" s="784"/>
    </row>
    <row r="833" spans="1:9" ht="13.8">
      <c r="A833" s="784"/>
      <c r="B833" s="784"/>
      <c r="C833" s="784"/>
      <c r="D833" s="784"/>
      <c r="E833" s="784"/>
      <c r="F833" s="784"/>
      <c r="G833" s="784"/>
      <c r="H833" s="647"/>
      <c r="I833" s="784"/>
    </row>
    <row r="834" spans="1:9" ht="13.8">
      <c r="A834" s="784"/>
      <c r="B834" s="784"/>
      <c r="C834" s="784"/>
      <c r="D834" s="784"/>
      <c r="E834" s="784"/>
      <c r="F834" s="784"/>
      <c r="G834" s="784"/>
      <c r="H834" s="647"/>
      <c r="I834" s="784"/>
    </row>
    <row r="835" spans="1:9" ht="13.8">
      <c r="A835" s="784"/>
      <c r="B835" s="784"/>
      <c r="C835" s="784"/>
      <c r="D835" s="784"/>
      <c r="E835" s="784"/>
      <c r="F835" s="784"/>
      <c r="G835" s="784"/>
      <c r="H835" s="647"/>
      <c r="I835" s="784"/>
    </row>
    <row r="836" spans="1:9" ht="13.8">
      <c r="A836" s="784"/>
      <c r="B836" s="784"/>
      <c r="C836" s="784"/>
      <c r="D836" s="784"/>
      <c r="E836" s="784"/>
      <c r="F836" s="784"/>
      <c r="G836" s="784"/>
      <c r="H836" s="647"/>
      <c r="I836" s="784"/>
    </row>
    <row r="837" spans="1:9" ht="13.8">
      <c r="A837" s="784"/>
      <c r="B837" s="784"/>
      <c r="C837" s="784"/>
      <c r="D837" s="784"/>
      <c r="E837" s="784"/>
      <c r="F837" s="784"/>
      <c r="G837" s="784"/>
      <c r="H837" s="647"/>
      <c r="I837" s="784"/>
    </row>
    <row r="838" spans="1:9" ht="13.8">
      <c r="A838" s="784"/>
      <c r="B838" s="784"/>
      <c r="C838" s="784"/>
      <c r="D838" s="784"/>
      <c r="E838" s="784"/>
      <c r="F838" s="784"/>
      <c r="G838" s="784"/>
      <c r="H838" s="647"/>
      <c r="I838" s="784"/>
    </row>
    <row r="839" spans="1:9" ht="13.8">
      <c r="A839" s="784"/>
      <c r="B839" s="784"/>
      <c r="C839" s="784"/>
      <c r="D839" s="784"/>
      <c r="E839" s="784"/>
      <c r="F839" s="784"/>
      <c r="G839" s="784"/>
      <c r="H839" s="647"/>
      <c r="I839" s="784"/>
    </row>
    <row r="840" spans="1:9" ht="13.8">
      <c r="A840" s="784"/>
      <c r="B840" s="784"/>
      <c r="C840" s="784"/>
      <c r="D840" s="784"/>
      <c r="E840" s="784"/>
      <c r="F840" s="784"/>
      <c r="G840" s="784"/>
      <c r="H840" s="647"/>
      <c r="I840" s="784"/>
    </row>
    <row r="841" spans="1:9" ht="13.8">
      <c r="A841" s="784"/>
      <c r="B841" s="784"/>
      <c r="C841" s="784"/>
      <c r="D841" s="784"/>
      <c r="E841" s="784"/>
      <c r="F841" s="784"/>
      <c r="G841" s="784"/>
      <c r="H841" s="647"/>
      <c r="I841" s="784"/>
    </row>
    <row r="842" spans="1:9" ht="13.8">
      <c r="A842" s="784"/>
      <c r="B842" s="784"/>
      <c r="C842" s="784"/>
      <c r="D842" s="784"/>
      <c r="E842" s="784"/>
      <c r="F842" s="784"/>
      <c r="G842" s="784"/>
      <c r="H842" s="647"/>
      <c r="I842" s="784"/>
    </row>
    <row r="843" spans="1:9" ht="13.8">
      <c r="A843" s="784"/>
      <c r="B843" s="784"/>
      <c r="C843" s="784"/>
      <c r="D843" s="784"/>
      <c r="E843" s="784"/>
      <c r="F843" s="784"/>
      <c r="G843" s="784"/>
      <c r="H843" s="647"/>
      <c r="I843" s="784"/>
    </row>
    <row r="844" spans="1:9" ht="13.8">
      <c r="A844" s="784"/>
      <c r="B844" s="784"/>
      <c r="C844" s="784"/>
      <c r="D844" s="784"/>
      <c r="E844" s="784"/>
      <c r="F844" s="784"/>
      <c r="G844" s="784"/>
      <c r="H844" s="647"/>
      <c r="I844" s="784"/>
    </row>
    <row r="845" spans="1:9" ht="13.8">
      <c r="A845" s="784"/>
      <c r="B845" s="784"/>
      <c r="C845" s="784"/>
      <c r="D845" s="784"/>
      <c r="E845" s="784"/>
      <c r="F845" s="784"/>
      <c r="G845" s="784"/>
      <c r="H845" s="647"/>
      <c r="I845" s="784"/>
    </row>
    <row r="846" spans="1:9" ht="13.8">
      <c r="A846" s="784"/>
      <c r="B846" s="784"/>
      <c r="C846" s="784"/>
      <c r="D846" s="784"/>
      <c r="E846" s="784"/>
      <c r="F846" s="784"/>
      <c r="G846" s="784"/>
      <c r="H846" s="647"/>
      <c r="I846" s="784"/>
    </row>
    <row r="847" spans="1:9" ht="13.8">
      <c r="A847" s="784"/>
      <c r="B847" s="784"/>
      <c r="C847" s="784"/>
      <c r="D847" s="784"/>
      <c r="E847" s="784"/>
      <c r="F847" s="784"/>
      <c r="G847" s="784"/>
      <c r="H847" s="647"/>
      <c r="I847" s="784"/>
    </row>
    <row r="848" spans="1:9" ht="13.8">
      <c r="A848" s="784"/>
      <c r="B848" s="784"/>
      <c r="C848" s="784"/>
      <c r="D848" s="784"/>
      <c r="E848" s="784"/>
      <c r="F848" s="784"/>
      <c r="G848" s="784"/>
      <c r="H848" s="647"/>
      <c r="I848" s="784"/>
    </row>
    <row r="849" spans="1:9" ht="13.8">
      <c r="A849" s="784"/>
      <c r="B849" s="784"/>
      <c r="C849" s="784"/>
      <c r="D849" s="784"/>
      <c r="E849" s="784"/>
      <c r="F849" s="784"/>
      <c r="G849" s="784"/>
      <c r="H849" s="647"/>
      <c r="I849" s="784"/>
    </row>
    <row r="850" spans="1:9" ht="13.8">
      <c r="A850" s="784"/>
      <c r="B850" s="784"/>
      <c r="C850" s="784"/>
      <c r="D850" s="784"/>
      <c r="E850" s="784"/>
      <c r="F850" s="784"/>
      <c r="G850" s="784"/>
      <c r="H850" s="647"/>
      <c r="I850" s="784"/>
    </row>
    <row r="851" spans="1:9" ht="13.8">
      <c r="A851" s="784"/>
      <c r="B851" s="784"/>
      <c r="C851" s="784"/>
      <c r="D851" s="784"/>
      <c r="E851" s="784"/>
      <c r="F851" s="784"/>
      <c r="G851" s="784"/>
      <c r="H851" s="647"/>
      <c r="I851" s="784"/>
    </row>
    <row r="852" spans="1:9" ht="13.8">
      <c r="A852" s="784"/>
      <c r="B852" s="784"/>
      <c r="C852" s="784"/>
      <c r="D852" s="784"/>
      <c r="E852" s="784"/>
      <c r="F852" s="784"/>
      <c r="G852" s="784"/>
      <c r="H852" s="647"/>
      <c r="I852" s="784"/>
    </row>
    <row r="853" spans="1:9" ht="13.8">
      <c r="A853" s="784"/>
      <c r="B853" s="784"/>
      <c r="C853" s="784"/>
      <c r="D853" s="784"/>
      <c r="E853" s="784"/>
      <c r="F853" s="784"/>
      <c r="G853" s="784"/>
      <c r="H853" s="647"/>
      <c r="I853" s="784"/>
    </row>
    <row r="854" spans="1:9" ht="13.8">
      <c r="A854" s="784"/>
      <c r="B854" s="784"/>
      <c r="C854" s="784"/>
      <c r="D854" s="784"/>
      <c r="E854" s="784"/>
      <c r="F854" s="784"/>
      <c r="G854" s="784"/>
      <c r="H854" s="647"/>
      <c r="I854" s="784"/>
    </row>
    <row r="855" spans="1:9" ht="13.8">
      <c r="A855" s="784"/>
      <c r="B855" s="784"/>
      <c r="C855" s="784"/>
      <c r="D855" s="784"/>
      <c r="E855" s="784"/>
      <c r="F855" s="784"/>
      <c r="G855" s="784"/>
      <c r="H855" s="647"/>
      <c r="I855" s="784"/>
    </row>
    <row r="856" spans="1:9" ht="13.8">
      <c r="A856" s="784"/>
      <c r="B856" s="784"/>
      <c r="C856" s="784"/>
      <c r="D856" s="784"/>
      <c r="E856" s="784"/>
      <c r="F856" s="784"/>
      <c r="G856" s="784"/>
      <c r="H856" s="647"/>
      <c r="I856" s="784"/>
    </row>
    <row r="857" spans="1:9" ht="13.8">
      <c r="A857" s="784"/>
      <c r="B857" s="784"/>
      <c r="C857" s="784"/>
      <c r="D857" s="784"/>
      <c r="E857" s="784"/>
      <c r="F857" s="784"/>
      <c r="G857" s="784"/>
      <c r="H857" s="647"/>
      <c r="I857" s="784"/>
    </row>
    <row r="858" spans="1:9" ht="13.8">
      <c r="A858" s="784"/>
      <c r="B858" s="784"/>
      <c r="C858" s="784"/>
      <c r="D858" s="784"/>
      <c r="E858" s="784"/>
      <c r="F858" s="784"/>
      <c r="G858" s="784"/>
      <c r="H858" s="647"/>
      <c r="I858" s="784"/>
    </row>
    <row r="859" spans="1:9" ht="13.8">
      <c r="A859" s="784"/>
      <c r="B859" s="784"/>
      <c r="C859" s="784"/>
      <c r="D859" s="784"/>
      <c r="E859" s="784"/>
      <c r="F859" s="784"/>
      <c r="G859" s="784"/>
      <c r="H859" s="647"/>
      <c r="I859" s="784"/>
    </row>
    <row r="860" spans="1:9" ht="13.8">
      <c r="A860" s="784"/>
      <c r="B860" s="784"/>
      <c r="C860" s="784"/>
      <c r="D860" s="784"/>
      <c r="E860" s="784"/>
      <c r="F860" s="784"/>
      <c r="G860" s="784"/>
      <c r="H860" s="647"/>
      <c r="I860" s="784"/>
    </row>
    <row r="861" spans="1:9" ht="13.8">
      <c r="A861" s="784"/>
      <c r="B861" s="784"/>
      <c r="C861" s="784"/>
      <c r="D861" s="784"/>
      <c r="E861" s="784"/>
      <c r="F861" s="784"/>
      <c r="G861" s="784"/>
      <c r="H861" s="647"/>
      <c r="I861" s="784"/>
    </row>
    <row r="862" spans="1:9" ht="13.8">
      <c r="A862" s="784"/>
      <c r="B862" s="784"/>
      <c r="C862" s="784"/>
      <c r="D862" s="784"/>
      <c r="E862" s="784"/>
      <c r="F862" s="784"/>
      <c r="G862" s="784"/>
      <c r="H862" s="647"/>
      <c r="I862" s="784"/>
    </row>
    <row r="863" spans="1:9" ht="13.8">
      <c r="A863" s="784"/>
      <c r="B863" s="784"/>
      <c r="C863" s="784"/>
      <c r="D863" s="784"/>
      <c r="E863" s="784"/>
      <c r="F863" s="784"/>
      <c r="G863" s="784"/>
      <c r="H863" s="647"/>
      <c r="I863" s="784"/>
    </row>
    <row r="864" spans="1:9" ht="13.8">
      <c r="A864" s="784"/>
      <c r="B864" s="784"/>
      <c r="C864" s="784"/>
      <c r="D864" s="784"/>
      <c r="E864" s="784"/>
      <c r="F864" s="784"/>
      <c r="G864" s="784"/>
      <c r="H864" s="647"/>
      <c r="I864" s="784"/>
    </row>
    <row r="865" spans="1:9" ht="13.8">
      <c r="A865" s="784"/>
      <c r="B865" s="784"/>
      <c r="C865" s="784"/>
      <c r="D865" s="784"/>
      <c r="E865" s="784"/>
      <c r="F865" s="784"/>
      <c r="G865" s="784"/>
      <c r="H865" s="647"/>
      <c r="I865" s="784"/>
    </row>
    <row r="866" spans="1:9" ht="13.8">
      <c r="A866" s="784"/>
      <c r="B866" s="784"/>
      <c r="C866" s="784"/>
      <c r="D866" s="784"/>
      <c r="E866" s="784"/>
      <c r="F866" s="784"/>
      <c r="G866" s="784"/>
      <c r="H866" s="647"/>
      <c r="I866" s="784"/>
    </row>
    <row r="867" spans="1:9" ht="13.8">
      <c r="A867" s="784"/>
      <c r="B867" s="784"/>
      <c r="C867" s="784"/>
      <c r="D867" s="784"/>
      <c r="E867" s="784"/>
      <c r="F867" s="784"/>
      <c r="G867" s="784"/>
      <c r="H867" s="647"/>
      <c r="I867" s="784"/>
    </row>
    <row r="868" spans="1:9" ht="13.8">
      <c r="A868" s="784"/>
      <c r="B868" s="784"/>
      <c r="C868" s="784"/>
      <c r="D868" s="784"/>
      <c r="E868" s="784"/>
      <c r="F868" s="784"/>
      <c r="G868" s="784"/>
      <c r="H868" s="647"/>
      <c r="I868" s="784"/>
    </row>
    <row r="869" spans="1:9" ht="13.8">
      <c r="A869" s="784"/>
      <c r="B869" s="784"/>
      <c r="C869" s="784"/>
      <c r="D869" s="784"/>
      <c r="E869" s="784"/>
      <c r="F869" s="784"/>
      <c r="G869" s="784"/>
      <c r="H869" s="647"/>
      <c r="I869" s="784"/>
    </row>
    <row r="870" spans="1:9" ht="13.8">
      <c r="A870" s="784"/>
      <c r="B870" s="784"/>
      <c r="C870" s="784"/>
      <c r="D870" s="784"/>
      <c r="E870" s="784"/>
      <c r="F870" s="784"/>
      <c r="G870" s="784"/>
      <c r="H870" s="647"/>
      <c r="I870" s="784"/>
    </row>
    <row r="871" spans="1:9" ht="13.8">
      <c r="A871" s="784"/>
      <c r="B871" s="784"/>
      <c r="C871" s="784"/>
      <c r="D871" s="784"/>
      <c r="E871" s="784"/>
      <c r="F871" s="784"/>
      <c r="G871" s="784"/>
      <c r="H871" s="647"/>
      <c r="I871" s="784"/>
    </row>
    <row r="872" spans="1:9" ht="13.8">
      <c r="A872" s="784"/>
      <c r="B872" s="784"/>
      <c r="C872" s="784"/>
      <c r="D872" s="784"/>
      <c r="E872" s="784"/>
      <c r="F872" s="784"/>
      <c r="G872" s="784"/>
      <c r="H872" s="647"/>
      <c r="I872" s="784"/>
    </row>
    <row r="873" spans="1:9" ht="13.8">
      <c r="A873" s="784"/>
      <c r="B873" s="784"/>
      <c r="C873" s="784"/>
      <c r="D873" s="784"/>
      <c r="E873" s="784"/>
      <c r="F873" s="784"/>
      <c r="G873" s="784"/>
      <c r="H873" s="647"/>
      <c r="I873" s="784"/>
    </row>
    <row r="874" spans="1:9" ht="13.8">
      <c r="A874" s="784"/>
      <c r="B874" s="784"/>
      <c r="C874" s="784"/>
      <c r="D874" s="784"/>
      <c r="E874" s="784"/>
      <c r="F874" s="784"/>
      <c r="G874" s="784"/>
      <c r="H874" s="647"/>
      <c r="I874" s="784"/>
    </row>
    <row r="875" spans="1:9" ht="13.8">
      <c r="A875" s="784"/>
      <c r="B875" s="784"/>
      <c r="C875" s="784"/>
      <c r="D875" s="784"/>
      <c r="E875" s="784"/>
      <c r="F875" s="784"/>
      <c r="G875" s="784"/>
      <c r="H875" s="647"/>
      <c r="I875" s="784"/>
    </row>
    <row r="876" spans="1:9" ht="13.8">
      <c r="A876" s="784"/>
      <c r="B876" s="784"/>
      <c r="C876" s="784"/>
      <c r="D876" s="784"/>
      <c r="E876" s="784"/>
      <c r="F876" s="784"/>
      <c r="G876" s="784"/>
      <c r="H876" s="647"/>
      <c r="I876" s="784"/>
    </row>
    <row r="877" spans="1:9" ht="13.8">
      <c r="A877" s="784"/>
      <c r="B877" s="784"/>
      <c r="C877" s="784"/>
      <c r="D877" s="784"/>
      <c r="E877" s="784"/>
      <c r="F877" s="784"/>
      <c r="G877" s="784"/>
      <c r="H877" s="647"/>
      <c r="I877" s="784"/>
    </row>
    <row r="878" spans="1:9" ht="13.8">
      <c r="A878" s="784"/>
      <c r="B878" s="784"/>
      <c r="C878" s="784"/>
      <c r="D878" s="784"/>
      <c r="E878" s="784"/>
      <c r="F878" s="784"/>
      <c r="G878" s="784"/>
      <c r="H878" s="647"/>
      <c r="I878" s="784"/>
    </row>
    <row r="879" spans="1:9" ht="13.8">
      <c r="A879" s="784"/>
      <c r="B879" s="784"/>
      <c r="C879" s="784"/>
      <c r="D879" s="784"/>
      <c r="E879" s="784"/>
      <c r="F879" s="784"/>
      <c r="G879" s="784"/>
      <c r="H879" s="647"/>
      <c r="I879" s="784"/>
    </row>
    <row r="880" spans="1:9" ht="13.8">
      <c r="A880" s="784"/>
      <c r="B880" s="784"/>
      <c r="C880" s="784"/>
      <c r="D880" s="784"/>
      <c r="E880" s="784"/>
      <c r="F880" s="784"/>
      <c r="G880" s="784"/>
      <c r="H880" s="647"/>
      <c r="I880" s="784"/>
    </row>
    <row r="881" spans="1:9" ht="13.8">
      <c r="A881" s="784"/>
      <c r="B881" s="784"/>
      <c r="C881" s="784"/>
      <c r="D881" s="784"/>
      <c r="E881" s="784"/>
      <c r="F881" s="784"/>
      <c r="G881" s="784"/>
      <c r="H881" s="647"/>
      <c r="I881" s="784"/>
    </row>
    <row r="882" spans="1:9" ht="13.8">
      <c r="A882" s="784"/>
      <c r="B882" s="784"/>
      <c r="C882" s="784"/>
      <c r="D882" s="784"/>
      <c r="E882" s="784"/>
      <c r="F882" s="784"/>
      <c r="G882" s="784"/>
      <c r="H882" s="647"/>
      <c r="I882" s="784"/>
    </row>
    <row r="883" spans="1:9" ht="13.8">
      <c r="A883" s="784"/>
      <c r="B883" s="784"/>
      <c r="C883" s="784"/>
      <c r="D883" s="784"/>
      <c r="E883" s="784"/>
      <c r="F883" s="784"/>
      <c r="G883" s="784"/>
      <c r="H883" s="647"/>
      <c r="I883" s="784"/>
    </row>
    <row r="884" spans="1:9" ht="13.8">
      <c r="A884" s="784"/>
      <c r="B884" s="784"/>
      <c r="C884" s="784"/>
      <c r="D884" s="784"/>
      <c r="E884" s="784"/>
      <c r="F884" s="784"/>
      <c r="G884" s="784"/>
      <c r="H884" s="647"/>
      <c r="I884" s="784"/>
    </row>
    <row r="885" spans="1:9" ht="13.8">
      <c r="A885" s="784"/>
      <c r="B885" s="784"/>
      <c r="C885" s="784"/>
      <c r="D885" s="784"/>
      <c r="E885" s="784"/>
      <c r="F885" s="784"/>
      <c r="G885" s="784"/>
      <c r="H885" s="647"/>
      <c r="I885" s="784"/>
    </row>
    <row r="886" spans="1:9" ht="13.8">
      <c r="A886" s="784"/>
      <c r="B886" s="784"/>
      <c r="C886" s="784"/>
      <c r="D886" s="784"/>
      <c r="E886" s="784"/>
      <c r="F886" s="784"/>
      <c r="G886" s="784"/>
      <c r="H886" s="647"/>
      <c r="I886" s="784"/>
    </row>
    <row r="887" spans="1:9" ht="13.8">
      <c r="A887" s="784"/>
      <c r="B887" s="784"/>
      <c r="C887" s="784"/>
      <c r="D887" s="784"/>
      <c r="E887" s="784"/>
      <c r="F887" s="784"/>
      <c r="G887" s="784"/>
      <c r="H887" s="647"/>
      <c r="I887" s="784"/>
    </row>
    <row r="888" spans="1:9" ht="13.8">
      <c r="A888" s="784"/>
      <c r="B888" s="784"/>
      <c r="C888" s="784"/>
      <c r="D888" s="784"/>
      <c r="E888" s="784"/>
      <c r="F888" s="784"/>
      <c r="G888" s="784"/>
      <c r="H888" s="647"/>
      <c r="I888" s="784"/>
    </row>
    <row r="889" spans="1:9" ht="13.8">
      <c r="A889" s="784"/>
      <c r="B889" s="784"/>
      <c r="C889" s="784"/>
      <c r="D889" s="784"/>
      <c r="E889" s="784"/>
      <c r="F889" s="784"/>
      <c r="G889" s="784"/>
      <c r="H889" s="647"/>
      <c r="I889" s="784"/>
    </row>
    <row r="890" spans="1:9" ht="13.8">
      <c r="A890" s="784"/>
      <c r="B890" s="784"/>
      <c r="C890" s="784"/>
      <c r="D890" s="784"/>
      <c r="E890" s="784"/>
      <c r="F890" s="784"/>
      <c r="G890" s="784"/>
      <c r="H890" s="647"/>
      <c r="I890" s="784"/>
    </row>
    <row r="891" spans="1:9" ht="13.8">
      <c r="A891" s="784"/>
      <c r="B891" s="784"/>
      <c r="C891" s="784"/>
      <c r="D891" s="784"/>
      <c r="E891" s="784"/>
      <c r="F891" s="784"/>
      <c r="G891" s="784"/>
      <c r="H891" s="647"/>
      <c r="I891" s="784"/>
    </row>
    <row r="892" spans="1:9" ht="13.8">
      <c r="A892" s="784"/>
      <c r="B892" s="784"/>
      <c r="C892" s="784"/>
      <c r="D892" s="784"/>
      <c r="E892" s="784"/>
      <c r="F892" s="784"/>
      <c r="G892" s="784"/>
      <c r="H892" s="647"/>
      <c r="I892" s="784"/>
    </row>
    <row r="893" spans="1:9" ht="13.8">
      <c r="A893" s="784"/>
      <c r="B893" s="784"/>
      <c r="C893" s="784"/>
      <c r="D893" s="784"/>
      <c r="E893" s="784"/>
      <c r="F893" s="784"/>
      <c r="G893" s="784"/>
      <c r="H893" s="647"/>
      <c r="I893" s="784"/>
    </row>
    <row r="894" spans="1:9" ht="13.8">
      <c r="A894" s="784"/>
      <c r="B894" s="784"/>
      <c r="C894" s="784"/>
      <c r="D894" s="784"/>
      <c r="E894" s="784"/>
      <c r="F894" s="784"/>
      <c r="G894" s="784"/>
      <c r="H894" s="647"/>
      <c r="I894" s="784"/>
    </row>
    <row r="895" spans="1:9" ht="13.8">
      <c r="A895" s="784"/>
      <c r="B895" s="784"/>
      <c r="C895" s="784"/>
      <c r="D895" s="784"/>
      <c r="E895" s="784"/>
      <c r="F895" s="784"/>
      <c r="G895" s="784"/>
      <c r="H895" s="647"/>
      <c r="I895" s="784"/>
    </row>
    <row r="896" spans="1:9" ht="13.8">
      <c r="A896" s="784"/>
      <c r="B896" s="784"/>
      <c r="C896" s="784"/>
      <c r="D896" s="784"/>
      <c r="E896" s="784"/>
      <c r="F896" s="784"/>
      <c r="G896" s="784"/>
      <c r="H896" s="647"/>
      <c r="I896" s="784"/>
    </row>
    <row r="897" spans="1:9" ht="13.8">
      <c r="A897" s="784"/>
      <c r="B897" s="784"/>
      <c r="C897" s="784"/>
      <c r="D897" s="784"/>
      <c r="E897" s="784"/>
      <c r="F897" s="784"/>
      <c r="G897" s="784"/>
      <c r="H897" s="647"/>
      <c r="I897" s="784"/>
    </row>
    <row r="898" spans="1:9" ht="13.8">
      <c r="A898" s="784"/>
      <c r="B898" s="784"/>
      <c r="C898" s="784"/>
      <c r="D898" s="784"/>
      <c r="E898" s="784"/>
      <c r="F898" s="784"/>
      <c r="G898" s="784"/>
      <c r="H898" s="647"/>
      <c r="I898" s="784"/>
    </row>
    <row r="899" spans="1:9" ht="13.8">
      <c r="A899" s="784"/>
      <c r="B899" s="784"/>
      <c r="C899" s="784"/>
      <c r="D899" s="784"/>
      <c r="E899" s="784"/>
      <c r="F899" s="784"/>
      <c r="G899" s="784"/>
      <c r="H899" s="647"/>
      <c r="I899" s="784"/>
    </row>
    <row r="900" spans="1:9" ht="13.8">
      <c r="A900" s="784"/>
      <c r="B900" s="784"/>
      <c r="C900" s="784"/>
      <c r="D900" s="784"/>
      <c r="E900" s="784"/>
      <c r="F900" s="784"/>
      <c r="G900" s="784"/>
      <c r="H900" s="647"/>
      <c r="I900" s="784"/>
    </row>
    <row r="901" spans="1:9" ht="13.8">
      <c r="A901" s="784"/>
      <c r="B901" s="784"/>
      <c r="C901" s="784"/>
      <c r="D901" s="784"/>
      <c r="E901" s="784"/>
      <c r="F901" s="784"/>
      <c r="G901" s="784"/>
      <c r="H901" s="647"/>
      <c r="I901" s="784"/>
    </row>
    <row r="902" spans="1:9" ht="13.8">
      <c r="A902" s="784"/>
      <c r="B902" s="784"/>
      <c r="C902" s="784"/>
      <c r="D902" s="784"/>
      <c r="E902" s="784"/>
      <c r="F902" s="784"/>
      <c r="G902" s="784"/>
      <c r="H902" s="647"/>
      <c r="I902" s="784"/>
    </row>
    <row r="903" spans="1:9" ht="13.8">
      <c r="A903" s="784"/>
      <c r="B903" s="784"/>
      <c r="C903" s="784"/>
      <c r="D903" s="784"/>
      <c r="E903" s="784"/>
      <c r="F903" s="784"/>
      <c r="G903" s="784"/>
      <c r="H903" s="647"/>
      <c r="I903" s="784"/>
    </row>
    <row r="904" spans="1:9" ht="13.8">
      <c r="A904" s="784"/>
      <c r="B904" s="784"/>
      <c r="C904" s="784"/>
      <c r="D904" s="784"/>
      <c r="E904" s="784"/>
      <c r="F904" s="784"/>
      <c r="G904" s="784"/>
      <c r="H904" s="647"/>
      <c r="I904" s="784"/>
    </row>
    <row r="905" spans="1:9" ht="13.8">
      <c r="A905" s="784"/>
      <c r="B905" s="784"/>
      <c r="C905" s="784"/>
      <c r="D905" s="784"/>
      <c r="E905" s="784"/>
      <c r="F905" s="784"/>
      <c r="G905" s="784"/>
      <c r="H905" s="647"/>
      <c r="I905" s="784"/>
    </row>
    <row r="906" spans="1:9" ht="13.8">
      <c r="A906" s="784"/>
      <c r="B906" s="784"/>
      <c r="C906" s="784"/>
      <c r="D906" s="784"/>
      <c r="E906" s="784"/>
      <c r="F906" s="784"/>
      <c r="G906" s="784"/>
      <c r="H906" s="647"/>
      <c r="I906" s="784"/>
    </row>
    <row r="907" spans="1:9" ht="13.8">
      <c r="A907" s="784"/>
      <c r="B907" s="784"/>
      <c r="C907" s="784"/>
      <c r="D907" s="784"/>
      <c r="E907" s="784"/>
      <c r="F907" s="784"/>
      <c r="G907" s="784"/>
      <c r="H907" s="647"/>
      <c r="I907" s="784"/>
    </row>
    <row r="908" spans="1:9" ht="13.8">
      <c r="A908" s="784"/>
      <c r="B908" s="784"/>
      <c r="C908" s="784"/>
      <c r="D908" s="784"/>
      <c r="E908" s="784"/>
      <c r="F908" s="784"/>
      <c r="G908" s="784"/>
      <c r="H908" s="647"/>
      <c r="I908" s="784"/>
    </row>
    <row r="909" spans="1:9" ht="13.8">
      <c r="A909" s="784"/>
      <c r="B909" s="784"/>
      <c r="C909" s="784"/>
      <c r="D909" s="784"/>
      <c r="E909" s="784"/>
      <c r="F909" s="784"/>
      <c r="G909" s="784"/>
      <c r="H909" s="647"/>
      <c r="I909" s="784"/>
    </row>
    <row r="910" spans="1:9" ht="13.8">
      <c r="A910" s="784"/>
      <c r="B910" s="784"/>
      <c r="C910" s="784"/>
      <c r="D910" s="784"/>
      <c r="E910" s="784"/>
      <c r="F910" s="784"/>
      <c r="G910" s="784"/>
      <c r="H910" s="647"/>
      <c r="I910" s="784"/>
    </row>
    <row r="911" spans="1:9" ht="13.8">
      <c r="A911" s="784"/>
      <c r="B911" s="784"/>
      <c r="C911" s="784"/>
      <c r="D911" s="784"/>
      <c r="E911" s="784"/>
      <c r="F911" s="784"/>
      <c r="G911" s="784"/>
      <c r="H911" s="647"/>
      <c r="I911" s="784"/>
    </row>
    <row r="912" spans="1:9" ht="13.8">
      <c r="A912" s="784"/>
      <c r="B912" s="784"/>
      <c r="C912" s="784"/>
      <c r="D912" s="784"/>
      <c r="E912" s="784"/>
      <c r="F912" s="784"/>
      <c r="G912" s="784"/>
      <c r="H912" s="647"/>
      <c r="I912" s="784"/>
    </row>
    <row r="913" spans="1:9" ht="13.8">
      <c r="A913" s="784"/>
      <c r="B913" s="784"/>
      <c r="C913" s="784"/>
      <c r="D913" s="784"/>
      <c r="E913" s="784"/>
      <c r="F913" s="784"/>
      <c r="G913" s="784"/>
      <c r="H913" s="647"/>
      <c r="I913" s="784"/>
    </row>
    <row r="914" spans="1:9" ht="13.8">
      <c r="A914" s="784"/>
      <c r="B914" s="784"/>
      <c r="C914" s="784"/>
      <c r="D914" s="784"/>
      <c r="E914" s="784"/>
      <c r="F914" s="784"/>
      <c r="G914" s="784"/>
      <c r="H914" s="647"/>
      <c r="I914" s="784"/>
    </row>
    <row r="915" spans="1:9" ht="13.8">
      <c r="A915" s="784"/>
      <c r="B915" s="784"/>
      <c r="C915" s="784"/>
      <c r="D915" s="784"/>
      <c r="E915" s="784"/>
      <c r="F915" s="784"/>
      <c r="G915" s="784"/>
      <c r="H915" s="647"/>
      <c r="I915" s="784"/>
    </row>
    <row r="916" spans="1:9" ht="13.8">
      <c r="A916" s="784"/>
      <c r="B916" s="784"/>
      <c r="C916" s="784"/>
      <c r="D916" s="784"/>
      <c r="E916" s="784"/>
      <c r="F916" s="784"/>
      <c r="G916" s="784"/>
      <c r="H916" s="647"/>
      <c r="I916" s="784"/>
    </row>
    <row r="917" spans="1:9" ht="13.8">
      <c r="A917" s="784"/>
      <c r="B917" s="784"/>
      <c r="C917" s="784"/>
      <c r="D917" s="784"/>
      <c r="E917" s="784"/>
      <c r="F917" s="784"/>
      <c r="G917" s="784"/>
      <c r="H917" s="647"/>
      <c r="I917" s="784"/>
    </row>
    <row r="918" spans="1:9" ht="13.8">
      <c r="A918" s="784"/>
      <c r="B918" s="784"/>
      <c r="C918" s="784"/>
      <c r="D918" s="784"/>
      <c r="E918" s="784"/>
      <c r="F918" s="784"/>
      <c r="G918" s="784"/>
      <c r="H918" s="647"/>
      <c r="I918" s="784"/>
    </row>
    <row r="919" spans="1:9" ht="13.8">
      <c r="A919" s="784"/>
      <c r="B919" s="784"/>
      <c r="C919" s="784"/>
      <c r="D919" s="784"/>
      <c r="E919" s="784"/>
      <c r="F919" s="784"/>
      <c r="G919" s="784"/>
      <c r="H919" s="647"/>
      <c r="I919" s="784"/>
    </row>
    <row r="920" spans="1:9" ht="13.8">
      <c r="A920" s="784"/>
      <c r="B920" s="784"/>
      <c r="C920" s="784"/>
      <c r="D920" s="784"/>
      <c r="E920" s="784"/>
      <c r="F920" s="784"/>
      <c r="G920" s="784"/>
      <c r="H920" s="647"/>
      <c r="I920" s="784"/>
    </row>
    <row r="921" spans="1:9" ht="13.8">
      <c r="A921" s="784"/>
      <c r="B921" s="784"/>
      <c r="C921" s="784"/>
      <c r="D921" s="784"/>
      <c r="E921" s="784"/>
      <c r="F921" s="784"/>
      <c r="G921" s="784"/>
      <c r="H921" s="647"/>
      <c r="I921" s="784"/>
    </row>
    <row r="922" spans="1:9" ht="13.8">
      <c r="A922" s="784"/>
      <c r="B922" s="784"/>
      <c r="C922" s="784"/>
      <c r="D922" s="784"/>
      <c r="E922" s="784"/>
      <c r="F922" s="784"/>
      <c r="G922" s="784"/>
      <c r="H922" s="647"/>
      <c r="I922" s="784"/>
    </row>
    <row r="923" spans="1:9" ht="13.8">
      <c r="A923" s="784"/>
      <c r="B923" s="784"/>
      <c r="C923" s="784"/>
      <c r="D923" s="784"/>
      <c r="E923" s="784"/>
      <c r="F923" s="784"/>
      <c r="G923" s="784"/>
      <c r="H923" s="647"/>
      <c r="I923" s="784"/>
    </row>
    <row r="924" spans="1:9" ht="13.8">
      <c r="A924" s="784"/>
      <c r="B924" s="784"/>
      <c r="C924" s="784"/>
      <c r="D924" s="784"/>
      <c r="E924" s="784"/>
      <c r="F924" s="784"/>
      <c r="G924" s="784"/>
      <c r="H924" s="647"/>
      <c r="I924" s="784"/>
    </row>
    <row r="925" spans="1:9" ht="13.8">
      <c r="A925" s="784"/>
      <c r="B925" s="784"/>
      <c r="C925" s="784"/>
      <c r="D925" s="784"/>
      <c r="E925" s="784"/>
      <c r="F925" s="784"/>
      <c r="G925" s="784"/>
      <c r="H925" s="647"/>
      <c r="I925" s="784"/>
    </row>
    <row r="926" spans="1:9" ht="13.8">
      <c r="A926" s="784"/>
      <c r="B926" s="784"/>
      <c r="C926" s="784"/>
      <c r="D926" s="784"/>
      <c r="E926" s="784"/>
      <c r="F926" s="784"/>
      <c r="G926" s="784"/>
      <c r="H926" s="647"/>
      <c r="I926" s="784"/>
    </row>
    <row r="927" spans="1:9" ht="13.8">
      <c r="A927" s="784"/>
      <c r="B927" s="784"/>
      <c r="C927" s="784"/>
      <c r="D927" s="784"/>
      <c r="E927" s="784"/>
      <c r="F927" s="784"/>
      <c r="G927" s="784"/>
      <c r="H927" s="647"/>
      <c r="I927" s="784"/>
    </row>
    <row r="928" spans="1:9" ht="13.8">
      <c r="A928" s="784"/>
      <c r="B928" s="784"/>
      <c r="C928" s="784"/>
      <c r="D928" s="784"/>
      <c r="E928" s="784"/>
      <c r="F928" s="784"/>
      <c r="G928" s="784"/>
      <c r="H928" s="647"/>
      <c r="I928" s="784"/>
    </row>
    <row r="929" spans="1:9" ht="13.8">
      <c r="A929" s="784"/>
      <c r="B929" s="784"/>
      <c r="C929" s="784"/>
      <c r="D929" s="784"/>
      <c r="E929" s="784"/>
      <c r="F929" s="784"/>
      <c r="G929" s="784"/>
      <c r="H929" s="647"/>
      <c r="I929" s="784"/>
    </row>
    <row r="930" spans="1:9" ht="13.8">
      <c r="A930" s="784"/>
      <c r="B930" s="784"/>
      <c r="C930" s="784"/>
      <c r="D930" s="784"/>
      <c r="E930" s="784"/>
      <c r="F930" s="784"/>
      <c r="G930" s="784"/>
      <c r="H930" s="647"/>
      <c r="I930" s="784"/>
    </row>
    <row r="931" spans="1:9" ht="13.8">
      <c r="A931" s="784"/>
      <c r="B931" s="784"/>
      <c r="C931" s="784"/>
      <c r="D931" s="784"/>
      <c r="E931" s="784"/>
      <c r="F931" s="784"/>
      <c r="G931" s="784"/>
      <c r="H931" s="647"/>
      <c r="I931" s="784"/>
    </row>
    <row r="932" spans="1:9" ht="13.8">
      <c r="A932" s="784"/>
      <c r="B932" s="784"/>
      <c r="C932" s="784"/>
      <c r="D932" s="784"/>
      <c r="E932" s="784"/>
      <c r="F932" s="784"/>
      <c r="G932" s="784"/>
      <c r="H932" s="647"/>
      <c r="I932" s="784"/>
    </row>
    <row r="933" spans="1:9" ht="13.8">
      <c r="A933" s="784"/>
      <c r="B933" s="784"/>
      <c r="C933" s="784"/>
      <c r="D933" s="784"/>
      <c r="E933" s="784"/>
      <c r="F933" s="784"/>
      <c r="G933" s="784"/>
      <c r="H933" s="647"/>
      <c r="I933" s="784"/>
    </row>
    <row r="934" spans="1:9" ht="13.8">
      <c r="A934" s="784"/>
      <c r="B934" s="784"/>
      <c r="C934" s="784"/>
      <c r="D934" s="784"/>
      <c r="E934" s="784"/>
      <c r="F934" s="784"/>
      <c r="G934" s="784"/>
      <c r="H934" s="647"/>
      <c r="I934" s="784"/>
    </row>
    <row r="935" spans="1:9" ht="13.8">
      <c r="A935" s="784"/>
      <c r="B935" s="784"/>
      <c r="C935" s="784"/>
      <c r="D935" s="784"/>
      <c r="E935" s="784"/>
      <c r="F935" s="784"/>
      <c r="G935" s="784"/>
      <c r="H935" s="647"/>
      <c r="I935" s="784"/>
    </row>
    <row r="936" spans="1:9" ht="13.8">
      <c r="A936" s="784"/>
      <c r="B936" s="784"/>
      <c r="C936" s="784"/>
      <c r="D936" s="784"/>
      <c r="E936" s="784"/>
      <c r="F936" s="784"/>
      <c r="G936" s="784"/>
      <c r="H936" s="647"/>
      <c r="I936" s="784"/>
    </row>
    <row r="937" spans="1:9" ht="13.8">
      <c r="A937" s="784"/>
      <c r="B937" s="784"/>
      <c r="C937" s="784"/>
      <c r="D937" s="784"/>
      <c r="E937" s="784"/>
      <c r="F937" s="784"/>
      <c r="G937" s="784"/>
      <c r="H937" s="647"/>
      <c r="I937" s="784"/>
    </row>
    <row r="938" spans="1:9" ht="13.8">
      <c r="A938" s="784"/>
      <c r="B938" s="784"/>
      <c r="C938" s="784"/>
      <c r="D938" s="784"/>
      <c r="E938" s="784"/>
      <c r="F938" s="784"/>
      <c r="G938" s="784"/>
      <c r="H938" s="647"/>
      <c r="I938" s="784"/>
    </row>
    <row r="939" spans="1:9" ht="13.8">
      <c r="A939" s="784"/>
      <c r="B939" s="784"/>
      <c r="C939" s="784"/>
      <c r="D939" s="784"/>
      <c r="E939" s="784"/>
      <c r="F939" s="784"/>
      <c r="G939" s="784"/>
      <c r="H939" s="647"/>
      <c r="I939" s="784"/>
    </row>
    <row r="940" spans="1:9" ht="13.8">
      <c r="A940" s="784"/>
      <c r="B940" s="784"/>
      <c r="C940" s="784"/>
      <c r="D940" s="784"/>
      <c r="E940" s="784"/>
      <c r="F940" s="784"/>
      <c r="G940" s="784"/>
      <c r="H940" s="647"/>
      <c r="I940" s="784"/>
    </row>
    <row r="941" spans="1:9" ht="13.8">
      <c r="A941" s="784"/>
      <c r="B941" s="784"/>
      <c r="C941" s="784"/>
      <c r="D941" s="784"/>
      <c r="E941" s="784"/>
      <c r="F941" s="784"/>
      <c r="G941" s="784"/>
      <c r="H941" s="647"/>
      <c r="I941" s="784"/>
    </row>
    <row r="942" spans="1:9" ht="13.8">
      <c r="A942" s="784"/>
      <c r="B942" s="784"/>
      <c r="C942" s="784"/>
      <c r="D942" s="784"/>
      <c r="E942" s="784"/>
      <c r="F942" s="784"/>
      <c r="G942" s="784"/>
      <c r="H942" s="647"/>
      <c r="I942" s="784"/>
    </row>
    <row r="943" spans="1:9" ht="13.8">
      <c r="A943" s="784"/>
      <c r="B943" s="784"/>
      <c r="C943" s="784"/>
      <c r="D943" s="784"/>
      <c r="E943" s="784"/>
      <c r="F943" s="784"/>
      <c r="G943" s="784"/>
      <c r="H943" s="647"/>
      <c r="I943" s="784"/>
    </row>
    <row r="944" spans="1:9" ht="13.8">
      <c r="A944" s="784"/>
      <c r="B944" s="784"/>
      <c r="C944" s="784"/>
      <c r="D944" s="784"/>
      <c r="E944" s="784"/>
      <c r="F944" s="784"/>
      <c r="G944" s="784"/>
      <c r="H944" s="647"/>
      <c r="I944" s="784"/>
    </row>
    <row r="945" spans="1:9" ht="13.8">
      <c r="A945" s="784"/>
      <c r="B945" s="784"/>
      <c r="C945" s="784"/>
      <c r="D945" s="784"/>
      <c r="E945" s="784"/>
      <c r="F945" s="784"/>
      <c r="G945" s="784"/>
      <c r="H945" s="647"/>
      <c r="I945" s="784"/>
    </row>
    <row r="946" spans="1:9" ht="13.8">
      <c r="A946" s="784"/>
      <c r="B946" s="784"/>
      <c r="C946" s="784"/>
      <c r="D946" s="784"/>
      <c r="E946" s="784"/>
      <c r="F946" s="784"/>
      <c r="G946" s="784"/>
      <c r="H946" s="647"/>
      <c r="I946" s="784"/>
    </row>
    <row r="947" spans="1:9" ht="15" customHeight="1">
      <c r="A947" s="784"/>
      <c r="B947" s="784"/>
      <c r="C947" s="784"/>
      <c r="D947" s="784"/>
      <c r="E947" s="784"/>
    </row>
    <row r="948" spans="1:9" ht="15" customHeight="1">
      <c r="A948" s="784"/>
      <c r="B948" s="784"/>
      <c r="C948" s="784"/>
      <c r="D948" s="784"/>
      <c r="E948" s="784"/>
    </row>
    <row r="949" spans="1:9" ht="15" customHeight="1">
      <c r="A949" s="784"/>
      <c r="B949" s="784"/>
      <c r="C949" s="784"/>
      <c r="D949" s="784"/>
      <c r="E949" s="784"/>
    </row>
    <row r="950" spans="1:9" ht="15" customHeight="1">
      <c r="A950" s="784"/>
      <c r="B950" s="784"/>
      <c r="C950" s="784"/>
      <c r="D950" s="784"/>
      <c r="E950" s="784"/>
    </row>
    <row r="951" spans="1:9" ht="15" customHeight="1">
      <c r="A951" s="784"/>
      <c r="B951" s="784"/>
      <c r="C951" s="784"/>
      <c r="D951" s="784"/>
      <c r="E951" s="784"/>
    </row>
    <row r="952" spans="1:9" ht="15" customHeight="1">
      <c r="A952" s="784"/>
      <c r="B952" s="784"/>
      <c r="C952" s="784"/>
      <c r="D952" s="784"/>
      <c r="E952" s="784"/>
    </row>
    <row r="953" spans="1:9" ht="15" customHeight="1">
      <c r="A953" s="784"/>
      <c r="B953" s="784"/>
      <c r="C953" s="784"/>
      <c r="D953" s="784"/>
      <c r="E953" s="784"/>
    </row>
    <row r="954" spans="1:9" ht="15" customHeight="1">
      <c r="A954" s="784"/>
      <c r="B954" s="784"/>
      <c r="C954" s="784"/>
      <c r="D954" s="784"/>
      <c r="E954" s="784"/>
    </row>
  </sheetData>
  <mergeCells count="1">
    <mergeCell ref="A36:C36"/>
  </mergeCells>
  <dataValidations count="3">
    <dataValidation type="list" allowBlank="1" showErrorMessage="1" sqref="H7:H8 H19:H22">
      <formula1>"8:00 - 16:00,8:00 - 12:00,12:30 - 16:00"</formula1>
    </dataValidation>
    <dataValidation type="list" allowBlank="1" showErrorMessage="1" sqref="H15:H18 H23">
      <formula1>"8:00 - 16:00,8:00 - 12:00,12:30- 16:00"</formula1>
    </dataValidation>
    <dataValidation type="list" allowBlank="1" showErrorMessage="1" sqref="G7:G8 G29:G30 G15:G23">
      <formula1>"Weekend,Lễ 02/09"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999"/>
  <sheetViews>
    <sheetView topLeftCell="J1" workbookViewId="0">
      <selection activeCell="N31" sqref="N31"/>
    </sheetView>
  </sheetViews>
  <sheetFormatPr defaultColWidth="14.44140625" defaultRowHeight="15" customHeight="1"/>
  <cols>
    <col min="1" max="1" width="9" customWidth="1"/>
    <col min="2" max="2" width="21.6640625" customWidth="1"/>
    <col min="3" max="3" width="12.6640625" style="631" customWidth="1"/>
    <col min="4" max="4" width="14.109375" customWidth="1"/>
    <col min="5" max="5" width="13" customWidth="1"/>
    <col min="7" max="7" width="4.109375" style="884" customWidth="1"/>
    <col min="8" max="8" width="24.109375" customWidth="1"/>
    <col min="9" max="9" width="24.109375" style="1019" customWidth="1"/>
    <col min="10" max="10" width="25.5546875" customWidth="1"/>
    <col min="12" max="12" width="19" customWidth="1"/>
    <col min="15" max="15" width="26.77734375" style="1078" bestFit="1" customWidth="1"/>
    <col min="16" max="16" width="13" customWidth="1"/>
    <col min="17" max="17" width="14.5546875" customWidth="1"/>
    <col min="18" max="18" width="14.44140625" style="1078"/>
  </cols>
  <sheetData>
    <row r="1" spans="1:23" ht="13.8">
      <c r="A1" s="269"/>
      <c r="B1" s="269"/>
      <c r="C1" s="651"/>
      <c r="D1" s="269"/>
      <c r="E1" s="269"/>
      <c r="F1" s="269"/>
      <c r="G1" s="269"/>
      <c r="H1" s="215" t="s">
        <v>6012</v>
      </c>
      <c r="I1" s="269"/>
      <c r="J1" s="269"/>
      <c r="K1" s="269"/>
      <c r="L1" s="269"/>
      <c r="N1" s="269"/>
      <c r="O1" s="1024" t="s">
        <v>6031</v>
      </c>
      <c r="P1" s="1124">
        <f>SUM(P3:P37)</f>
        <v>32</v>
      </c>
      <c r="Q1" s="1124">
        <f>SUM(Q3:Q37)</f>
        <v>24</v>
      </c>
      <c r="R1" s="1124">
        <f>SUM(R3:R37)</f>
        <v>30</v>
      </c>
      <c r="S1" s="1124">
        <f>SUM(S3:S37)</f>
        <v>18</v>
      </c>
      <c r="T1" s="1124">
        <f>SUM(T3:T37)</f>
        <v>37</v>
      </c>
      <c r="U1" s="269"/>
      <c r="V1" s="269"/>
      <c r="W1" s="269"/>
    </row>
    <row r="2" spans="1:23" ht="37.200000000000003" customHeight="1">
      <c r="A2" s="643" t="s">
        <v>977</v>
      </c>
      <c r="B2" s="643" t="s">
        <v>268</v>
      </c>
      <c r="C2" s="652" t="s">
        <v>64</v>
      </c>
      <c r="D2" s="644" t="s">
        <v>978</v>
      </c>
      <c r="E2" s="644" t="s">
        <v>997</v>
      </c>
      <c r="F2" s="269"/>
      <c r="G2" s="269"/>
      <c r="H2" s="1053" t="s">
        <v>6011</v>
      </c>
      <c r="I2" s="1053" t="s">
        <v>6009</v>
      </c>
      <c r="J2" s="650" t="s">
        <v>1218</v>
      </c>
      <c r="K2" s="650" t="s">
        <v>978</v>
      </c>
      <c r="L2" s="650" t="s">
        <v>6008</v>
      </c>
      <c r="M2" s="650" t="s">
        <v>6029</v>
      </c>
      <c r="N2" s="215" t="s">
        <v>997</v>
      </c>
      <c r="O2" s="650" t="s">
        <v>17</v>
      </c>
      <c r="P2" s="650" t="s">
        <v>6032</v>
      </c>
      <c r="Q2" s="650" t="s">
        <v>6033</v>
      </c>
      <c r="R2" s="650" t="s">
        <v>6029</v>
      </c>
      <c r="S2" s="650" t="s">
        <v>6034</v>
      </c>
      <c r="T2" s="650" t="s">
        <v>6035</v>
      </c>
      <c r="U2" s="269"/>
      <c r="V2" s="269"/>
      <c r="W2" s="269"/>
    </row>
    <row r="3" spans="1:23" s="622" customFormat="1" ht="14.4" thickBot="1">
      <c r="A3" s="665">
        <v>1</v>
      </c>
      <c r="B3" s="667" t="s">
        <v>90</v>
      </c>
      <c r="C3" s="666">
        <f>SUMIF($I$4:$I$300,$B3,$L$4:$L$300)</f>
        <v>0</v>
      </c>
      <c r="D3" s="1029">
        <v>22</v>
      </c>
      <c r="E3" s="668">
        <f t="shared" ref="E3:E34" si="0">22-D3</f>
        <v>0</v>
      </c>
      <c r="F3" s="365">
        <f>IF(B3=H3,0,1)</f>
        <v>1</v>
      </c>
      <c r="G3" s="902">
        <v>1</v>
      </c>
      <c r="H3" s="759" t="s">
        <v>15</v>
      </c>
      <c r="I3" s="1123"/>
      <c r="J3" s="760" t="s">
        <v>268</v>
      </c>
      <c r="K3" s="760" t="s">
        <v>6007</v>
      </c>
      <c r="L3" s="848" t="s">
        <v>6008</v>
      </c>
      <c r="M3" s="849"/>
      <c r="N3" s="849"/>
      <c r="O3" s="760"/>
      <c r="P3" s="269"/>
      <c r="Q3" s="269"/>
      <c r="R3" s="849"/>
      <c r="S3" s="269"/>
      <c r="T3" s="269"/>
      <c r="U3" s="269"/>
      <c r="V3" s="269"/>
      <c r="W3" s="269"/>
    </row>
    <row r="4" spans="1:23" ht="14.4" thickBot="1">
      <c r="A4" s="665">
        <f>A3+1</f>
        <v>2</v>
      </c>
      <c r="B4" s="659" t="s">
        <v>97</v>
      </c>
      <c r="C4" s="666">
        <f>SUMIF($I$4:$I$300,$B4,$L$4:$L$300)</f>
        <v>0</v>
      </c>
      <c r="D4" s="666">
        <f>SUMIF($I$4:$I$31,$B4,$K$4:$K$31)</f>
        <v>22</v>
      </c>
      <c r="E4" s="668">
        <f t="shared" si="0"/>
        <v>0</v>
      </c>
      <c r="F4" s="365">
        <f t="shared" ref="F4:F35" si="1">IF(B4=H4,0,1)</f>
        <v>1</v>
      </c>
      <c r="G4" s="365">
        <v>2</v>
      </c>
      <c r="H4" s="761" t="s">
        <v>6010</v>
      </c>
      <c r="I4" s="1045" t="s">
        <v>1099</v>
      </c>
      <c r="J4" s="760" t="s">
        <v>1065</v>
      </c>
      <c r="K4" s="760">
        <v>22</v>
      </c>
      <c r="L4" s="850"/>
      <c r="M4" s="1074">
        <v>1</v>
      </c>
      <c r="N4" s="676"/>
      <c r="O4" s="760" t="s">
        <v>1065</v>
      </c>
      <c r="P4" s="269">
        <f>SUMIF([1]Sheet4!$G:$G,$O4,[1]Sheet4!$H:$H)</f>
        <v>0.5</v>
      </c>
      <c r="Q4" s="269">
        <f>SUMIF([1]Sheet4!$G:$G,$O4,[1]Sheet4!$I:$I)</f>
        <v>2</v>
      </c>
      <c r="R4" s="1074">
        <v>1</v>
      </c>
      <c r="S4" s="269">
        <f>IF((P4-R4)&lt;0,0,(P4-R4))</f>
        <v>0</v>
      </c>
      <c r="T4" s="269">
        <f>IF(P4&lt;R4,(Q4+1+P4-R4),(Q4+1))</f>
        <v>2.5</v>
      </c>
      <c r="U4" s="269"/>
      <c r="V4" s="269"/>
      <c r="W4" s="269"/>
    </row>
    <row r="5" spans="1:23" ht="14.4" thickBot="1">
      <c r="A5" s="1069">
        <f t="shared" ref="A5:A35" si="2">A4+1</f>
        <v>3</v>
      </c>
      <c r="B5" s="1070" t="s">
        <v>115</v>
      </c>
      <c r="C5" s="666">
        <f t="shared" ref="C5:C35" si="3">SUMIF($I$4:$I$300,$B5,$L$4:$L$300)</f>
        <v>225000</v>
      </c>
      <c r="D5" s="666">
        <f>SUMIF($I$4:$I$31,$B5,$K$4:$K$31)</f>
        <v>10</v>
      </c>
      <c r="E5" s="668">
        <f t="shared" si="0"/>
        <v>12</v>
      </c>
      <c r="F5" s="855">
        <f t="shared" si="1"/>
        <v>1</v>
      </c>
      <c r="G5" s="855">
        <v>3</v>
      </c>
      <c r="H5" s="761" t="s">
        <v>6010</v>
      </c>
      <c r="I5" s="1050" t="s">
        <v>1071</v>
      </c>
      <c r="J5" s="760" t="s">
        <v>1252</v>
      </c>
      <c r="K5" s="760">
        <v>22</v>
      </c>
      <c r="L5" s="850">
        <v>200000</v>
      </c>
      <c r="M5" s="1074">
        <v>1</v>
      </c>
      <c r="N5" s="676"/>
      <c r="O5" s="760" t="s">
        <v>1252</v>
      </c>
      <c r="P5" s="269">
        <f>SUMIF([1]Sheet4!$G:$G,$O5,[1]Sheet4!$H:$H)</f>
        <v>0</v>
      </c>
      <c r="Q5" s="269">
        <f>SUMIF([1]Sheet4!$G:$G,$O5,[1]Sheet4!$I:$I)</f>
        <v>1</v>
      </c>
      <c r="R5" s="1074">
        <v>1</v>
      </c>
      <c r="S5" s="269">
        <f t="shared" ref="S5:S32" si="4">IF((P5-R5)&lt;0,0,(P5-R5))</f>
        <v>0</v>
      </c>
      <c r="T5" s="269">
        <f t="shared" ref="T5:T32" si="5">IF(P5&lt;R5,(Q5+1+P5-R5),(Q5+1))</f>
        <v>1</v>
      </c>
      <c r="U5" s="269"/>
      <c r="V5" s="269"/>
      <c r="W5" s="269"/>
    </row>
    <row r="6" spans="1:23" ht="14.4" thickBot="1">
      <c r="A6" s="665">
        <f t="shared" si="2"/>
        <v>4</v>
      </c>
      <c r="B6" s="659" t="s">
        <v>297</v>
      </c>
      <c r="C6" s="666">
        <f t="shared" si="3"/>
        <v>0</v>
      </c>
      <c r="D6" s="1029">
        <v>22</v>
      </c>
      <c r="E6" s="668">
        <f t="shared" si="0"/>
        <v>0</v>
      </c>
      <c r="F6" s="649">
        <f t="shared" si="1"/>
        <v>1</v>
      </c>
      <c r="G6" s="649">
        <v>5</v>
      </c>
      <c r="H6" s="761" t="s">
        <v>6010</v>
      </c>
      <c r="I6" s="1045" t="s">
        <v>1223</v>
      </c>
      <c r="J6" s="760" t="s">
        <v>1305</v>
      </c>
      <c r="K6" s="760">
        <v>22</v>
      </c>
      <c r="L6" s="848"/>
      <c r="M6" s="1075">
        <v>2</v>
      </c>
      <c r="N6" s="1076" t="s">
        <v>6027</v>
      </c>
      <c r="O6" s="760" t="s">
        <v>1305</v>
      </c>
      <c r="P6" s="269">
        <f>SUMIF([1]Sheet4!$G:$G,$O6,[1]Sheet4!$H:$H)</f>
        <v>0</v>
      </c>
      <c r="Q6" s="269">
        <f>SUMIF([1]Sheet4!$G:$G,$O6,[1]Sheet4!$I:$I)</f>
        <v>1</v>
      </c>
      <c r="R6" s="1127">
        <v>2</v>
      </c>
      <c r="S6" s="269">
        <f t="shared" si="4"/>
        <v>0</v>
      </c>
      <c r="T6" s="269">
        <f t="shared" si="5"/>
        <v>0</v>
      </c>
      <c r="U6" s="269"/>
      <c r="V6" s="269"/>
      <c r="W6" s="269"/>
    </row>
    <row r="7" spans="1:23" thickBot="1">
      <c r="A7" s="665">
        <f t="shared" si="2"/>
        <v>5</v>
      </c>
      <c r="B7" s="670" t="s">
        <v>207</v>
      </c>
      <c r="C7" s="666">
        <f t="shared" si="3"/>
        <v>0</v>
      </c>
      <c r="D7" s="1029">
        <v>22</v>
      </c>
      <c r="E7" s="668">
        <f t="shared" si="0"/>
        <v>0</v>
      </c>
      <c r="F7" s="365">
        <f t="shared" si="1"/>
        <v>1</v>
      </c>
      <c r="G7" s="365">
        <v>6</v>
      </c>
      <c r="H7" s="761" t="s">
        <v>6010</v>
      </c>
      <c r="I7" s="1045" t="s">
        <v>5939</v>
      </c>
      <c r="J7" s="760" t="s">
        <v>1337</v>
      </c>
      <c r="K7" s="1134">
        <v>22</v>
      </c>
      <c r="L7" s="1135">
        <v>125000</v>
      </c>
      <c r="M7" s="1074">
        <v>1</v>
      </c>
      <c r="N7" s="1122" t="s">
        <v>6036</v>
      </c>
      <c r="O7" s="760" t="s">
        <v>1337</v>
      </c>
      <c r="P7" s="269">
        <f>SUMIF([1]Sheet4!$G:$G,$O7,[1]Sheet4!$H:$H)</f>
        <v>3.5</v>
      </c>
      <c r="Q7" s="269">
        <f>SUMIF([1]Sheet4!$G:$G,$O7,[1]Sheet4!$I:$I)</f>
        <v>2</v>
      </c>
      <c r="R7" s="1074">
        <v>1</v>
      </c>
      <c r="S7" s="269">
        <f t="shared" si="4"/>
        <v>2.5</v>
      </c>
      <c r="T7" s="269">
        <f t="shared" si="5"/>
        <v>3</v>
      </c>
      <c r="U7" s="269"/>
      <c r="V7" s="269"/>
      <c r="W7" s="269"/>
    </row>
    <row r="8" spans="1:23" ht="14.4" thickBot="1">
      <c r="A8" s="665">
        <f t="shared" si="2"/>
        <v>6</v>
      </c>
      <c r="B8" s="671" t="s">
        <v>216</v>
      </c>
      <c r="C8" s="666">
        <f t="shared" si="3"/>
        <v>450000</v>
      </c>
      <c r="D8" s="666">
        <f t="shared" ref="D8:D10" si="6">SUMIF($I$4:$I$31,$B8,$K$4:$K$31)</f>
        <v>22</v>
      </c>
      <c r="E8" s="668">
        <f t="shared" si="0"/>
        <v>0</v>
      </c>
      <c r="F8" s="741">
        <f t="shared" si="1"/>
        <v>1</v>
      </c>
      <c r="G8" s="903">
        <v>7</v>
      </c>
      <c r="H8" s="761" t="s">
        <v>6010</v>
      </c>
      <c r="I8" s="1051" t="s">
        <v>1073</v>
      </c>
      <c r="J8" s="760" t="s">
        <v>1342</v>
      </c>
      <c r="K8" s="760">
        <v>22</v>
      </c>
      <c r="L8" s="851"/>
      <c r="M8" s="1074">
        <v>1</v>
      </c>
      <c r="N8" s="676"/>
      <c r="O8" s="760" t="s">
        <v>1342</v>
      </c>
      <c r="P8" s="269">
        <f>SUMIF([1]Sheet4!$G:$G,$O8,[1]Sheet4!$H:$H)</f>
        <v>0</v>
      </c>
      <c r="Q8" s="269">
        <f>SUMIF([1]Sheet4!$G:$G,$O8,[1]Sheet4!$I:$I)</f>
        <v>0</v>
      </c>
      <c r="R8" s="1074">
        <v>1</v>
      </c>
      <c r="S8" s="269">
        <f t="shared" si="4"/>
        <v>0</v>
      </c>
      <c r="T8" s="269">
        <f t="shared" si="5"/>
        <v>0</v>
      </c>
      <c r="U8" s="269"/>
      <c r="V8" s="269"/>
      <c r="W8" s="269"/>
    </row>
    <row r="9" spans="1:23" ht="14.4" thickBot="1">
      <c r="A9" s="1069">
        <f t="shared" si="2"/>
        <v>7</v>
      </c>
      <c r="B9" s="1072" t="s">
        <v>139</v>
      </c>
      <c r="C9" s="666">
        <f t="shared" si="3"/>
        <v>50000</v>
      </c>
      <c r="D9" s="1029">
        <v>22</v>
      </c>
      <c r="E9" s="668">
        <f t="shared" si="0"/>
        <v>0</v>
      </c>
      <c r="F9" s="741">
        <f t="shared" si="1"/>
        <v>1</v>
      </c>
      <c r="G9" s="904">
        <v>8</v>
      </c>
      <c r="H9" s="761" t="s">
        <v>6010</v>
      </c>
      <c r="I9" s="1052" t="s">
        <v>5972</v>
      </c>
      <c r="J9" s="760" t="s">
        <v>5983</v>
      </c>
      <c r="K9" s="760">
        <v>0</v>
      </c>
      <c r="L9" s="851"/>
      <c r="M9" s="1077"/>
      <c r="N9" s="676"/>
      <c r="O9" s="760" t="s">
        <v>5983</v>
      </c>
      <c r="P9" s="269">
        <f>SUMIF([1]Sheet4!$G:$G,$O9,[1]Sheet4!$H:$H)</f>
        <v>0</v>
      </c>
      <c r="Q9" s="269">
        <f>SUMIF([1]Sheet4!$G:$G,$O9,[1]Sheet4!$I:$I)</f>
        <v>0</v>
      </c>
      <c r="R9" s="1077"/>
      <c r="S9" s="269">
        <f t="shared" si="4"/>
        <v>0</v>
      </c>
      <c r="T9" s="269">
        <f t="shared" si="5"/>
        <v>1</v>
      </c>
      <c r="U9" s="269"/>
      <c r="V9" s="269"/>
      <c r="W9" s="269"/>
    </row>
    <row r="10" spans="1:23" ht="14.4" thickBot="1">
      <c r="A10" s="665">
        <f t="shared" si="2"/>
        <v>8</v>
      </c>
      <c r="B10" s="672" t="s">
        <v>142</v>
      </c>
      <c r="C10" s="666">
        <f t="shared" si="3"/>
        <v>0</v>
      </c>
      <c r="D10" s="666">
        <f t="shared" si="6"/>
        <v>22</v>
      </c>
      <c r="E10" s="668">
        <f t="shared" si="0"/>
        <v>0</v>
      </c>
      <c r="F10" s="365">
        <f t="shared" si="1"/>
        <v>1</v>
      </c>
      <c r="G10" s="741">
        <v>9</v>
      </c>
      <c r="H10" s="761" t="s">
        <v>6010</v>
      </c>
      <c r="I10" s="1045" t="s">
        <v>1102</v>
      </c>
      <c r="J10" s="760" t="s">
        <v>1085</v>
      </c>
      <c r="K10" s="760">
        <v>22</v>
      </c>
      <c r="L10" s="763">
        <v>50000</v>
      </c>
      <c r="M10" s="1074">
        <v>2</v>
      </c>
      <c r="N10" s="676"/>
      <c r="O10" s="1125" t="s">
        <v>1085</v>
      </c>
      <c r="P10" s="673">
        <f>SUMIF([1]Sheet4!$G:$G,$O10,[1]Sheet4!$H:$H)</f>
        <v>0</v>
      </c>
      <c r="Q10" s="673">
        <f>SUMIF([1]Sheet4!$G:$G,$O10,[1]Sheet4!$I:$I)</f>
        <v>-1</v>
      </c>
      <c r="R10" s="1126">
        <v>2</v>
      </c>
      <c r="S10" s="673">
        <f t="shared" si="4"/>
        <v>0</v>
      </c>
      <c r="T10" s="673">
        <f t="shared" si="5"/>
        <v>-2</v>
      </c>
      <c r="U10" s="269"/>
      <c r="V10" s="269"/>
      <c r="W10" s="269"/>
    </row>
    <row r="11" spans="1:23" ht="14.4" thickBot="1">
      <c r="A11" s="665">
        <f t="shared" si="2"/>
        <v>9</v>
      </c>
      <c r="B11" s="669" t="s">
        <v>229</v>
      </c>
      <c r="C11" s="666">
        <f t="shared" si="3"/>
        <v>0</v>
      </c>
      <c r="D11" s="1029">
        <v>22</v>
      </c>
      <c r="E11" s="668">
        <f t="shared" si="0"/>
        <v>0</v>
      </c>
      <c r="F11" s="741">
        <f t="shared" si="1"/>
        <v>1</v>
      </c>
      <c r="G11" s="906">
        <v>11</v>
      </c>
      <c r="H11" s="761" t="s">
        <v>6010</v>
      </c>
      <c r="I11" s="1045" t="s">
        <v>5940</v>
      </c>
      <c r="J11" s="760" t="s">
        <v>1088</v>
      </c>
      <c r="K11" s="760">
        <v>22</v>
      </c>
      <c r="L11" s="848"/>
      <c r="M11" s="1074">
        <v>1</v>
      </c>
      <c r="N11" s="676"/>
      <c r="O11" s="760" t="s">
        <v>1088</v>
      </c>
      <c r="P11" s="269">
        <f>SUMIF([1]Sheet4!$G:$G,$O11,[1]Sheet4!$H:$H)</f>
        <v>0</v>
      </c>
      <c r="Q11" s="269">
        <f>SUMIF([1]Sheet4!$G:$G,$O11,[1]Sheet4!$I:$I)</f>
        <v>1</v>
      </c>
      <c r="R11" s="1074">
        <v>1</v>
      </c>
      <c r="S11" s="269">
        <f t="shared" si="4"/>
        <v>0</v>
      </c>
      <c r="T11" s="269">
        <f t="shared" si="5"/>
        <v>1</v>
      </c>
      <c r="U11" s="269"/>
      <c r="V11" s="269"/>
      <c r="W11" s="269"/>
    </row>
    <row r="12" spans="1:23" ht="14.4" thickBot="1">
      <c r="A12" s="665">
        <f t="shared" si="2"/>
        <v>10</v>
      </c>
      <c r="B12" s="669" t="s">
        <v>233</v>
      </c>
      <c r="C12" s="666">
        <f t="shared" si="3"/>
        <v>0</v>
      </c>
      <c r="D12" s="666">
        <f t="shared" ref="D12:D13" si="7">SUMIF($I$4:$I$31,$B12,$K$4:$K$31)</f>
        <v>22</v>
      </c>
      <c r="E12" s="668">
        <f t="shared" si="0"/>
        <v>0</v>
      </c>
      <c r="F12" s="741">
        <f t="shared" si="1"/>
        <v>1</v>
      </c>
      <c r="G12" s="741">
        <v>12</v>
      </c>
      <c r="H12" s="761" t="str">
        <f t="shared" ref="H12:H28" si="8">VLOOKUP(J12,B:B,1,0)</f>
        <v>Bùi Xuân Lực</v>
      </c>
      <c r="I12" s="760" t="s">
        <v>1089</v>
      </c>
      <c r="J12" s="760" t="s">
        <v>1089</v>
      </c>
      <c r="K12" s="760">
        <v>22</v>
      </c>
      <c r="L12" s="850"/>
      <c r="M12" s="1074">
        <v>1</v>
      </c>
      <c r="N12" s="676"/>
      <c r="O12" s="1125" t="s">
        <v>1089</v>
      </c>
      <c r="P12" s="673">
        <f>SUMIF([1]Sheet4!$G:$G,$O12,[1]Sheet4!$H:$H)</f>
        <v>0</v>
      </c>
      <c r="Q12" s="673">
        <f>SUMIF([1]Sheet4!$G:$G,$O12,[1]Sheet4!$I:$I)</f>
        <v>-0.5</v>
      </c>
      <c r="R12" s="1126">
        <v>1</v>
      </c>
      <c r="S12" s="673">
        <f t="shared" si="4"/>
        <v>0</v>
      </c>
      <c r="T12" s="673">
        <f t="shared" si="5"/>
        <v>-0.5</v>
      </c>
      <c r="U12" s="269"/>
      <c r="V12" s="269"/>
      <c r="W12" s="269"/>
    </row>
    <row r="13" spans="1:23" s="832" customFormat="1" ht="14.4" thickBot="1">
      <c r="A13" s="665">
        <f t="shared" si="2"/>
        <v>11</v>
      </c>
      <c r="B13" s="624" t="s">
        <v>970</v>
      </c>
      <c r="C13" s="666">
        <f t="shared" si="3"/>
        <v>0</v>
      </c>
      <c r="D13" s="666">
        <f t="shared" si="7"/>
        <v>22</v>
      </c>
      <c r="E13" s="668">
        <f t="shared" si="0"/>
        <v>0</v>
      </c>
      <c r="F13" s="741">
        <f t="shared" si="1"/>
        <v>1</v>
      </c>
      <c r="G13" s="904">
        <v>14</v>
      </c>
      <c r="H13" s="1128" t="s">
        <v>6010</v>
      </c>
      <c r="I13" s="1030" t="s">
        <v>5941</v>
      </c>
      <c r="J13" s="1055" t="s">
        <v>1198</v>
      </c>
      <c r="K13" s="1055">
        <v>22</v>
      </c>
      <c r="L13" s="1129"/>
      <c r="M13" s="1130"/>
      <c r="N13" s="1131"/>
      <c r="O13" s="1055" t="s">
        <v>1198</v>
      </c>
      <c r="P13" s="1058">
        <f>SUMIF([1]Sheet4!$G:$G,$O13,[1]Sheet4!$H:$H)</f>
        <v>0</v>
      </c>
      <c r="Q13" s="1058">
        <f>SUMIF([1]Sheet4!$G:$G,$O13,[1]Sheet4!$I:$I)</f>
        <v>0</v>
      </c>
      <c r="R13" s="1130"/>
      <c r="S13" s="1058">
        <f t="shared" si="4"/>
        <v>0</v>
      </c>
      <c r="T13" s="1058">
        <f t="shared" si="5"/>
        <v>1</v>
      </c>
      <c r="U13" s="1058"/>
      <c r="V13" s="1058"/>
      <c r="W13" s="1058"/>
    </row>
    <row r="14" spans="1:23" ht="14.4" thickBot="1">
      <c r="A14" s="665">
        <f t="shared" si="2"/>
        <v>12</v>
      </c>
      <c r="B14" s="624" t="s">
        <v>157</v>
      </c>
      <c r="C14" s="666">
        <f t="shared" si="3"/>
        <v>0</v>
      </c>
      <c r="D14" s="1029">
        <v>22</v>
      </c>
      <c r="E14" s="718">
        <f t="shared" si="0"/>
        <v>0</v>
      </c>
      <c r="F14" s="1059" t="s">
        <v>6013</v>
      </c>
      <c r="G14" s="741">
        <v>15</v>
      </c>
      <c r="H14" s="761" t="str">
        <f t="shared" si="8"/>
        <v>Bùi Văn Điệp</v>
      </c>
      <c r="I14" s="760" t="s">
        <v>90</v>
      </c>
      <c r="J14" s="760" t="s">
        <v>90</v>
      </c>
      <c r="K14" s="760"/>
      <c r="L14" s="850"/>
      <c r="M14" s="1077"/>
      <c r="N14" s="676"/>
      <c r="O14" s="760" t="s">
        <v>90</v>
      </c>
      <c r="P14" s="269">
        <f>SUMIF([1]Sheet4!$G:$G,$O14,[1]Sheet4!$H:$H)</f>
        <v>0</v>
      </c>
      <c r="Q14" s="269">
        <f>SUMIF([1]Sheet4!$G:$G,$O14,[1]Sheet4!$I:$I)</f>
        <v>0</v>
      </c>
      <c r="R14" s="1077"/>
      <c r="S14" s="269">
        <f t="shared" si="4"/>
        <v>0</v>
      </c>
      <c r="T14" s="269">
        <f t="shared" si="5"/>
        <v>1</v>
      </c>
      <c r="U14" s="269"/>
      <c r="V14" s="269"/>
      <c r="W14" s="269"/>
    </row>
    <row r="15" spans="1:23" ht="14.4" thickBot="1">
      <c r="A15" s="665">
        <f t="shared" si="2"/>
        <v>13</v>
      </c>
      <c r="B15" s="624" t="s">
        <v>1007</v>
      </c>
      <c r="C15" s="666">
        <f t="shared" si="3"/>
        <v>0</v>
      </c>
      <c r="D15" s="1029">
        <v>22</v>
      </c>
      <c r="E15" s="668">
        <f t="shared" si="0"/>
        <v>0</v>
      </c>
      <c r="F15" s="741">
        <f t="shared" si="1"/>
        <v>1</v>
      </c>
      <c r="G15" s="741">
        <v>16</v>
      </c>
      <c r="H15" s="761" t="str">
        <f t="shared" si="8"/>
        <v>Nguyễn Ngọc Anh</v>
      </c>
      <c r="I15" s="760" t="s">
        <v>97</v>
      </c>
      <c r="J15" s="760" t="s">
        <v>97</v>
      </c>
      <c r="K15" s="760">
        <v>22</v>
      </c>
      <c r="L15" s="850"/>
      <c r="M15" s="1077"/>
      <c r="N15" s="676"/>
      <c r="O15" s="760" t="s">
        <v>97</v>
      </c>
      <c r="P15" s="269">
        <f>SUMIF([1]Sheet4!$G:$G,$O15,[1]Sheet4!$H:$H)</f>
        <v>0</v>
      </c>
      <c r="Q15" s="269">
        <f>SUMIF([1]Sheet4!$G:$G,$O15,[1]Sheet4!$I:$I)</f>
        <v>2</v>
      </c>
      <c r="R15" s="1077"/>
      <c r="S15" s="269">
        <f t="shared" si="4"/>
        <v>0</v>
      </c>
      <c r="T15" s="269">
        <f t="shared" si="5"/>
        <v>3</v>
      </c>
      <c r="U15" s="269"/>
      <c r="V15" s="269"/>
      <c r="W15" s="269"/>
    </row>
    <row r="16" spans="1:23" thickBot="1">
      <c r="A16" s="665">
        <f t="shared" si="2"/>
        <v>14</v>
      </c>
      <c r="B16" s="624" t="s">
        <v>994</v>
      </c>
      <c r="C16" s="666">
        <f t="shared" si="3"/>
        <v>450000</v>
      </c>
      <c r="D16" s="666">
        <f t="shared" ref="D16:D27" si="9">SUMIF($I$4:$I$31,$B16,$K$4:$K$31)</f>
        <v>21</v>
      </c>
      <c r="E16" s="668">
        <f t="shared" si="0"/>
        <v>1</v>
      </c>
      <c r="F16" s="649">
        <f t="shared" si="1"/>
        <v>1</v>
      </c>
      <c r="G16" s="649">
        <v>17</v>
      </c>
      <c r="H16" s="761" t="str">
        <f t="shared" si="8"/>
        <v>Lê Hải Linh</v>
      </c>
      <c r="I16" s="760" t="s">
        <v>115</v>
      </c>
      <c r="J16" s="760" t="s">
        <v>115</v>
      </c>
      <c r="K16" s="1134">
        <v>10</v>
      </c>
      <c r="L16" s="1135">
        <v>225000</v>
      </c>
      <c r="M16" s="1077"/>
      <c r="N16" s="1122" t="s">
        <v>6030</v>
      </c>
      <c r="O16" s="1125" t="s">
        <v>115</v>
      </c>
      <c r="P16" s="673">
        <f>SUMIF([1]Sheet4!$G:$G,$O16,[1]Sheet4!$H:$H)</f>
        <v>0</v>
      </c>
      <c r="Q16" s="673">
        <f>SUMIF([1]Sheet4!$G:$G,$O16,[1]Sheet4!$I:$I)</f>
        <v>-1.5</v>
      </c>
      <c r="R16" s="1132"/>
      <c r="S16" s="673">
        <f t="shared" si="4"/>
        <v>0</v>
      </c>
      <c r="T16" s="673">
        <f t="shared" si="5"/>
        <v>-0.5</v>
      </c>
      <c r="U16" s="269"/>
      <c r="V16" s="269"/>
      <c r="W16" s="269"/>
    </row>
    <row r="17" spans="1:23" ht="14.4" thickBot="1">
      <c r="A17" s="665">
        <f t="shared" si="2"/>
        <v>15</v>
      </c>
      <c r="B17" s="712" t="s">
        <v>1030</v>
      </c>
      <c r="C17" s="666">
        <f t="shared" si="3"/>
        <v>0</v>
      </c>
      <c r="D17" s="666">
        <f t="shared" si="9"/>
        <v>22</v>
      </c>
      <c r="E17" s="668">
        <f t="shared" si="0"/>
        <v>0</v>
      </c>
      <c r="F17" s="741">
        <f t="shared" si="1"/>
        <v>1</v>
      </c>
      <c r="G17" s="741">
        <v>20</v>
      </c>
      <c r="H17" s="761" t="str">
        <f t="shared" si="8"/>
        <v>Thái Thanh Nhật Quang</v>
      </c>
      <c r="I17" s="760" t="s">
        <v>297</v>
      </c>
      <c r="J17" s="760" t="s">
        <v>297</v>
      </c>
      <c r="K17" s="760"/>
      <c r="L17" s="763"/>
      <c r="M17" s="1077"/>
      <c r="N17" s="676"/>
      <c r="O17" s="760" t="s">
        <v>297</v>
      </c>
      <c r="P17" s="269">
        <f>SUMIF([1]Sheet4!$G:$G,$O17,[1]Sheet4!$H:$H)</f>
        <v>0</v>
      </c>
      <c r="Q17" s="269">
        <f>SUMIF([1]Sheet4!$G:$G,$O17,[1]Sheet4!$I:$I)</f>
        <v>0</v>
      </c>
      <c r="R17" s="1077"/>
      <c r="S17" s="269">
        <f t="shared" si="4"/>
        <v>0</v>
      </c>
      <c r="T17" s="269">
        <f t="shared" si="5"/>
        <v>1</v>
      </c>
      <c r="U17" s="269"/>
      <c r="V17" s="269"/>
      <c r="W17" s="269"/>
    </row>
    <row r="18" spans="1:23" ht="14.4" thickBot="1">
      <c r="A18" s="665">
        <f t="shared" si="2"/>
        <v>16</v>
      </c>
      <c r="B18" s="729" t="s">
        <v>1036</v>
      </c>
      <c r="C18" s="666">
        <f t="shared" si="3"/>
        <v>0</v>
      </c>
      <c r="D18" s="666">
        <f t="shared" si="9"/>
        <v>22</v>
      </c>
      <c r="E18" s="668">
        <f t="shared" si="0"/>
        <v>0</v>
      </c>
      <c r="F18" s="741">
        <f t="shared" si="1"/>
        <v>1</v>
      </c>
      <c r="G18" s="741">
        <v>21</v>
      </c>
      <c r="H18" s="761" t="str">
        <f t="shared" si="8"/>
        <v>Trần Minh Tuyết</v>
      </c>
      <c r="I18" s="760" t="s">
        <v>207</v>
      </c>
      <c r="J18" s="760" t="s">
        <v>207</v>
      </c>
      <c r="K18" s="760">
        <v>9</v>
      </c>
      <c r="L18" s="763"/>
      <c r="M18" s="1077"/>
      <c r="N18" s="676"/>
      <c r="O18" s="760" t="s">
        <v>207</v>
      </c>
      <c r="P18" s="269">
        <f>SUMIF([1]Sheet4!$G:$G,$O18,[1]Sheet4!$H:$H)</f>
        <v>4.5</v>
      </c>
      <c r="Q18" s="269">
        <f>SUMIF([1]Sheet4!$G:$G,$O18,[1]Sheet4!$I:$I)</f>
        <v>2</v>
      </c>
      <c r="R18" s="1077"/>
      <c r="S18" s="269">
        <f t="shared" si="4"/>
        <v>4.5</v>
      </c>
      <c r="T18" s="269">
        <f t="shared" si="5"/>
        <v>3</v>
      </c>
      <c r="U18" s="269"/>
      <c r="V18" s="269"/>
      <c r="W18" s="269"/>
    </row>
    <row r="19" spans="1:23" ht="14.4" thickBot="1">
      <c r="A19" s="665">
        <f t="shared" si="2"/>
        <v>17</v>
      </c>
      <c r="B19" s="1030" t="s">
        <v>1099</v>
      </c>
      <c r="C19" s="666">
        <f t="shared" si="3"/>
        <v>0</v>
      </c>
      <c r="D19" s="666">
        <f t="shared" si="9"/>
        <v>22</v>
      </c>
      <c r="E19" s="668">
        <f t="shared" si="0"/>
        <v>0</v>
      </c>
      <c r="F19" s="741">
        <f t="shared" si="1"/>
        <v>1</v>
      </c>
      <c r="G19" s="741">
        <v>22</v>
      </c>
      <c r="H19" s="761" t="s">
        <v>6010</v>
      </c>
      <c r="I19" s="1049" t="s">
        <v>216</v>
      </c>
      <c r="J19" s="760" t="s">
        <v>998</v>
      </c>
      <c r="K19" s="760">
        <v>22</v>
      </c>
      <c r="L19" s="763">
        <v>450000</v>
      </c>
      <c r="M19" s="1074">
        <v>1</v>
      </c>
      <c r="N19" s="676"/>
      <c r="O19" s="760" t="s">
        <v>998</v>
      </c>
      <c r="P19" s="269">
        <f>SUMIF([1]Sheet4!$G:$G,$O19,[1]Sheet4!$H:$H)</f>
        <v>0</v>
      </c>
      <c r="Q19" s="269">
        <f>SUMIF([1]Sheet4!$G:$G,$O19,[1]Sheet4!$I:$I)</f>
        <v>0</v>
      </c>
      <c r="R19" s="1074">
        <v>1</v>
      </c>
      <c r="S19" s="269">
        <f t="shared" si="4"/>
        <v>0</v>
      </c>
      <c r="T19" s="269">
        <f t="shared" si="5"/>
        <v>0</v>
      </c>
      <c r="U19" s="269"/>
      <c r="V19" s="269"/>
      <c r="W19" s="269"/>
    </row>
    <row r="20" spans="1:23" s="728" customFormat="1" ht="14.4" thickBot="1">
      <c r="A20" s="665">
        <f t="shared" si="2"/>
        <v>18</v>
      </c>
      <c r="B20" s="1030" t="s">
        <v>1101</v>
      </c>
      <c r="C20" s="666">
        <f t="shared" si="3"/>
        <v>0</v>
      </c>
      <c r="D20" s="666">
        <f t="shared" si="9"/>
        <v>22</v>
      </c>
      <c r="E20" s="668">
        <f t="shared" si="0"/>
        <v>0</v>
      </c>
      <c r="F20" s="741">
        <f t="shared" si="1"/>
        <v>1</v>
      </c>
      <c r="G20" s="741">
        <v>23</v>
      </c>
      <c r="H20" s="761" t="str">
        <f t="shared" si="8"/>
        <v>Nguyễn Tử Trường Lâm</v>
      </c>
      <c r="I20" s="760" t="s">
        <v>142</v>
      </c>
      <c r="J20" s="760" t="s">
        <v>142</v>
      </c>
      <c r="K20" s="760">
        <v>22</v>
      </c>
      <c r="L20" s="763"/>
      <c r="M20" s="1074" t="s">
        <v>6026</v>
      </c>
      <c r="N20" s="676"/>
      <c r="O20" s="760" t="s">
        <v>142</v>
      </c>
      <c r="P20" s="269">
        <f>SUMIF([1]Sheet4!$G:$G,$O20,[1]Sheet4!$H:$H)</f>
        <v>8</v>
      </c>
      <c r="Q20" s="269">
        <f>SUMIF([1]Sheet4!$G:$G,$O20,[1]Sheet4!$I:$I)</f>
        <v>2</v>
      </c>
      <c r="R20" s="1074">
        <v>3.5</v>
      </c>
      <c r="S20" s="269">
        <f t="shared" si="4"/>
        <v>4.5</v>
      </c>
      <c r="T20" s="269">
        <f t="shared" si="5"/>
        <v>3</v>
      </c>
      <c r="U20" s="269"/>
      <c r="V20" s="269"/>
      <c r="W20" s="269"/>
    </row>
    <row r="21" spans="1:23" s="816" customFormat="1" ht="14.4" thickBot="1">
      <c r="A21" s="665">
        <f t="shared" si="2"/>
        <v>19</v>
      </c>
      <c r="B21" s="1030" t="s">
        <v>1102</v>
      </c>
      <c r="C21" s="666">
        <f t="shared" si="3"/>
        <v>50000</v>
      </c>
      <c r="D21" s="666">
        <f t="shared" si="9"/>
        <v>22</v>
      </c>
      <c r="E21" s="668">
        <f t="shared" si="0"/>
        <v>0</v>
      </c>
      <c r="F21" s="741">
        <f t="shared" si="1"/>
        <v>1</v>
      </c>
      <c r="G21" s="741">
        <v>24</v>
      </c>
      <c r="H21" s="761" t="s">
        <v>6010</v>
      </c>
      <c r="I21" s="1046" t="s">
        <v>229</v>
      </c>
      <c r="J21" s="760" t="s">
        <v>999</v>
      </c>
      <c r="K21" s="760"/>
      <c r="L21" s="850"/>
      <c r="M21" s="1077"/>
      <c r="N21" s="676"/>
      <c r="O21" s="760" t="s">
        <v>999</v>
      </c>
      <c r="P21" s="269">
        <f>SUMIF([1]Sheet4!$G:$G,$O21,[1]Sheet4!$H:$H)</f>
        <v>0</v>
      </c>
      <c r="Q21" s="269">
        <f>SUMIF([1]Sheet4!$G:$G,$O21,[1]Sheet4!$I:$I)</f>
        <v>0</v>
      </c>
      <c r="R21" s="1077"/>
      <c r="S21" s="269">
        <f t="shared" si="4"/>
        <v>0</v>
      </c>
      <c r="T21" s="269">
        <f t="shared" si="5"/>
        <v>1</v>
      </c>
      <c r="U21" s="815"/>
      <c r="V21" s="815"/>
      <c r="W21" s="815"/>
    </row>
    <row r="22" spans="1:23" ht="14.4" thickBot="1">
      <c r="A22" s="1069">
        <f t="shared" si="2"/>
        <v>20</v>
      </c>
      <c r="B22" s="1071" t="s">
        <v>1104</v>
      </c>
      <c r="C22" s="666">
        <f t="shared" si="3"/>
        <v>50000</v>
      </c>
      <c r="D22" s="666">
        <f t="shared" si="9"/>
        <v>22</v>
      </c>
      <c r="E22" s="668">
        <f t="shared" si="0"/>
        <v>0</v>
      </c>
      <c r="F22" s="741">
        <f t="shared" si="1"/>
        <v>1</v>
      </c>
      <c r="G22" s="741">
        <v>25</v>
      </c>
      <c r="H22" s="761" t="str">
        <f t="shared" si="8"/>
        <v>Nguyễn Thị Kim Phượng</v>
      </c>
      <c r="I22" s="760" t="s">
        <v>970</v>
      </c>
      <c r="J22" s="760" t="s">
        <v>970</v>
      </c>
      <c r="K22" s="760">
        <v>22</v>
      </c>
      <c r="L22" s="850"/>
      <c r="M22" s="1074">
        <v>3.5</v>
      </c>
      <c r="N22" s="676"/>
      <c r="O22" s="760" t="s">
        <v>970</v>
      </c>
      <c r="P22" s="269">
        <f>SUMIF([1]Sheet4!$G:$G,$O22,[1]Sheet4!$H:$H)</f>
        <v>3</v>
      </c>
      <c r="Q22" s="269">
        <f>SUMIF([1]Sheet4!$G:$G,$O22,[1]Sheet4!$I:$I)</f>
        <v>2</v>
      </c>
      <c r="R22" s="1074">
        <v>3.5</v>
      </c>
      <c r="S22" s="269">
        <f t="shared" si="4"/>
        <v>0</v>
      </c>
      <c r="T22" s="269">
        <f t="shared" si="5"/>
        <v>2.5</v>
      </c>
      <c r="U22" s="269"/>
      <c r="V22" s="269"/>
      <c r="W22" s="269"/>
    </row>
    <row r="23" spans="1:23" ht="14.4" thickBot="1">
      <c r="A23" s="665">
        <f t="shared" si="2"/>
        <v>21</v>
      </c>
      <c r="B23" s="1030" t="s">
        <v>1089</v>
      </c>
      <c r="C23" s="666">
        <f t="shared" si="3"/>
        <v>0</v>
      </c>
      <c r="D23" s="666">
        <f t="shared" si="9"/>
        <v>22</v>
      </c>
      <c r="E23" s="668">
        <f t="shared" si="0"/>
        <v>0</v>
      </c>
      <c r="F23" s="741">
        <f t="shared" si="1"/>
        <v>1</v>
      </c>
      <c r="G23" s="741">
        <v>26</v>
      </c>
      <c r="H23" s="761" t="str">
        <f t="shared" si="8"/>
        <v>Phạm Thu Thủy</v>
      </c>
      <c r="I23" s="760" t="s">
        <v>1007</v>
      </c>
      <c r="J23" s="760" t="s">
        <v>1007</v>
      </c>
      <c r="K23" s="760"/>
      <c r="L23" s="852"/>
      <c r="M23" s="1077"/>
      <c r="N23" s="676"/>
      <c r="O23" s="760" t="s">
        <v>1007</v>
      </c>
      <c r="P23" s="269">
        <f>SUMIF([1]Sheet4!$G:$G,$O23,[1]Sheet4!$H:$H)</f>
        <v>0</v>
      </c>
      <c r="Q23" s="269">
        <f>SUMIF([1]Sheet4!$G:$G,$O23,[1]Sheet4!$I:$I)</f>
        <v>0</v>
      </c>
      <c r="R23" s="1077"/>
      <c r="S23" s="269">
        <f t="shared" si="4"/>
        <v>0</v>
      </c>
      <c r="T23" s="269">
        <f t="shared" si="5"/>
        <v>1</v>
      </c>
      <c r="U23" s="269"/>
      <c r="V23" s="269"/>
      <c r="W23" s="269"/>
    </row>
    <row r="24" spans="1:23" ht="14.4" thickBot="1">
      <c r="A24" s="1069">
        <f t="shared" si="2"/>
        <v>22</v>
      </c>
      <c r="B24" s="1071" t="s">
        <v>5939</v>
      </c>
      <c r="C24" s="666">
        <f t="shared" si="3"/>
        <v>125000</v>
      </c>
      <c r="D24" s="666">
        <f t="shared" si="9"/>
        <v>22</v>
      </c>
      <c r="E24" s="668">
        <f t="shared" si="0"/>
        <v>0</v>
      </c>
      <c r="F24" s="649">
        <f t="shared" si="1"/>
        <v>1</v>
      </c>
      <c r="G24" s="649">
        <v>27</v>
      </c>
      <c r="H24" s="761" t="str">
        <f t="shared" si="8"/>
        <v>Ngô Xuân Bách</v>
      </c>
      <c r="I24" s="760" t="s">
        <v>994</v>
      </c>
      <c r="J24" s="760" t="s">
        <v>994</v>
      </c>
      <c r="K24" s="760">
        <v>21</v>
      </c>
      <c r="L24" s="850">
        <v>450000</v>
      </c>
      <c r="M24" s="1074" t="s">
        <v>6028</v>
      </c>
      <c r="N24" s="676"/>
      <c r="O24" s="760" t="s">
        <v>994</v>
      </c>
      <c r="P24" s="269">
        <f>SUMIF([1]Sheet4!$G:$G,$O24,[1]Sheet4!$H:$H)</f>
        <v>3</v>
      </c>
      <c r="Q24" s="269">
        <f>SUMIF([1]Sheet4!$G:$G,$O24,[1]Sheet4!$I:$I)</f>
        <v>2</v>
      </c>
      <c r="R24" s="1074">
        <v>0.5</v>
      </c>
      <c r="S24" s="269">
        <f t="shared" si="4"/>
        <v>2.5</v>
      </c>
      <c r="T24" s="269">
        <f t="shared" si="5"/>
        <v>3</v>
      </c>
      <c r="U24" s="269"/>
      <c r="V24" s="269"/>
      <c r="W24" s="269"/>
    </row>
    <row r="25" spans="1:23" ht="14.4" thickBot="1">
      <c r="A25" s="665">
        <f t="shared" si="2"/>
        <v>23</v>
      </c>
      <c r="B25" s="1030" t="s">
        <v>5940</v>
      </c>
      <c r="C25" s="666">
        <f t="shared" si="3"/>
        <v>0</v>
      </c>
      <c r="D25" s="666">
        <f t="shared" si="9"/>
        <v>22</v>
      </c>
      <c r="E25" s="668">
        <f t="shared" si="0"/>
        <v>0</v>
      </c>
      <c r="F25" s="365">
        <f t="shared" si="1"/>
        <v>1</v>
      </c>
      <c r="G25" s="365">
        <v>28</v>
      </c>
      <c r="H25" s="761" t="s">
        <v>6010</v>
      </c>
      <c r="I25" s="1047" t="s">
        <v>1030</v>
      </c>
      <c r="J25" s="760" t="s">
        <v>1041</v>
      </c>
      <c r="K25" s="760">
        <v>22</v>
      </c>
      <c r="L25" s="763"/>
      <c r="M25" s="1074">
        <v>2</v>
      </c>
      <c r="N25" s="676"/>
      <c r="O25" s="760" t="s">
        <v>1041</v>
      </c>
      <c r="P25" s="269">
        <f>SUMIF([1]Sheet4!$G:$G,$O25,[1]Sheet4!$H:$H)</f>
        <v>4.5</v>
      </c>
      <c r="Q25" s="269">
        <f>SUMIF([1]Sheet4!$G:$G,$O25,[1]Sheet4!$I:$I)</f>
        <v>2</v>
      </c>
      <c r="R25" s="1074">
        <v>2</v>
      </c>
      <c r="S25" s="269">
        <f t="shared" si="4"/>
        <v>2.5</v>
      </c>
      <c r="T25" s="269">
        <f t="shared" si="5"/>
        <v>3</v>
      </c>
      <c r="U25" s="269"/>
      <c r="V25" s="269"/>
      <c r="W25" s="269"/>
    </row>
    <row r="26" spans="1:23" ht="14.4" thickBot="1">
      <c r="A26" s="665">
        <f t="shared" si="2"/>
        <v>24</v>
      </c>
      <c r="B26" s="1030" t="s">
        <v>5941</v>
      </c>
      <c r="C26" s="666">
        <f t="shared" si="3"/>
        <v>0</v>
      </c>
      <c r="D26" s="666">
        <f t="shared" si="9"/>
        <v>22</v>
      </c>
      <c r="E26" s="668">
        <f t="shared" si="0"/>
        <v>0</v>
      </c>
      <c r="F26" s="365">
        <f t="shared" si="1"/>
        <v>1</v>
      </c>
      <c r="G26" s="365">
        <v>29</v>
      </c>
      <c r="H26" s="761" t="s">
        <v>6010</v>
      </c>
      <c r="I26" s="1048" t="s">
        <v>1036</v>
      </c>
      <c r="J26" s="760" t="s">
        <v>1043</v>
      </c>
      <c r="K26" s="760">
        <v>22</v>
      </c>
      <c r="L26" s="763"/>
      <c r="M26" s="1077"/>
      <c r="N26" s="676"/>
      <c r="O26" s="760" t="s">
        <v>1043</v>
      </c>
      <c r="P26" s="269">
        <f>SUMIF([1]Sheet4!$G:$G,$O26,[1]Sheet4!$H:$H)</f>
        <v>0</v>
      </c>
      <c r="Q26" s="269">
        <f>SUMIF([1]Sheet4!$G:$G,$O26,[1]Sheet4!$I:$I)</f>
        <v>1.5</v>
      </c>
      <c r="R26" s="1077"/>
      <c r="S26" s="269">
        <f t="shared" si="4"/>
        <v>0</v>
      </c>
      <c r="T26" s="269">
        <f t="shared" si="5"/>
        <v>2.5</v>
      </c>
      <c r="U26" s="269"/>
      <c r="V26" s="269"/>
      <c r="W26" s="269"/>
    </row>
    <row r="27" spans="1:23" ht="14.4" thickBot="1">
      <c r="A27" s="665">
        <f t="shared" si="2"/>
        <v>25</v>
      </c>
      <c r="B27" s="1030" t="s">
        <v>1223</v>
      </c>
      <c r="C27" s="666">
        <f t="shared" si="3"/>
        <v>0</v>
      </c>
      <c r="D27" s="666">
        <f t="shared" si="9"/>
        <v>22</v>
      </c>
      <c r="E27" s="668">
        <f t="shared" si="0"/>
        <v>0</v>
      </c>
      <c r="F27" s="365">
        <f t="shared" si="1"/>
        <v>1</v>
      </c>
      <c r="G27" s="365">
        <v>30</v>
      </c>
      <c r="H27" s="761" t="str">
        <f t="shared" si="8"/>
        <v>Phan Thị Nguyệt Ánh</v>
      </c>
      <c r="I27" s="760" t="s">
        <v>262</v>
      </c>
      <c r="J27" s="760" t="s">
        <v>262</v>
      </c>
      <c r="K27" s="760">
        <v>22</v>
      </c>
      <c r="L27" s="848"/>
      <c r="M27" s="1074">
        <v>1</v>
      </c>
      <c r="N27" s="676"/>
      <c r="O27" s="760" t="s">
        <v>262</v>
      </c>
      <c r="P27" s="269">
        <f>SUMIF([1]Sheet4!$G:$G,$O27,[1]Sheet4!$H:$H)</f>
        <v>0</v>
      </c>
      <c r="Q27" s="269">
        <f>SUMIF([1]Sheet4!$G:$G,$O27,[1]Sheet4!$I:$I)</f>
        <v>0</v>
      </c>
      <c r="R27" s="1074">
        <v>1</v>
      </c>
      <c r="S27" s="269">
        <f t="shared" si="4"/>
        <v>0</v>
      </c>
      <c r="T27" s="269">
        <f t="shared" si="5"/>
        <v>0</v>
      </c>
      <c r="U27" s="269"/>
      <c r="V27" s="269"/>
      <c r="W27" s="269"/>
    </row>
    <row r="28" spans="1:23" ht="14.4" thickBot="1">
      <c r="A28" s="665">
        <f t="shared" si="2"/>
        <v>26</v>
      </c>
      <c r="B28" s="1030" t="s">
        <v>5942</v>
      </c>
      <c r="C28" s="666">
        <f t="shared" si="3"/>
        <v>0</v>
      </c>
      <c r="D28" s="1029">
        <v>22</v>
      </c>
      <c r="E28" s="668">
        <f t="shared" si="0"/>
        <v>0</v>
      </c>
      <c r="F28" s="365">
        <f t="shared" si="1"/>
        <v>1</v>
      </c>
      <c r="G28" s="365">
        <v>31</v>
      </c>
      <c r="H28" s="761" t="str">
        <f t="shared" si="8"/>
        <v>Nguyễn Mạnh Tuấn</v>
      </c>
      <c r="I28" s="760" t="s">
        <v>1026</v>
      </c>
      <c r="J28" s="760" t="s">
        <v>1026</v>
      </c>
      <c r="K28" s="760">
        <v>22</v>
      </c>
      <c r="L28" s="848">
        <v>50000</v>
      </c>
      <c r="M28" s="1074" t="s">
        <v>6028</v>
      </c>
      <c r="N28" s="676"/>
      <c r="O28" s="760" t="s">
        <v>1026</v>
      </c>
      <c r="P28" s="269">
        <f>SUMIF([1]Sheet4!$G:$G,$O28,[1]Sheet4!$H:$H)</f>
        <v>0</v>
      </c>
      <c r="Q28" s="269">
        <f>SUMIF([1]Sheet4!$G:$G,$O28,[1]Sheet4!$I:$I)</f>
        <v>0.5</v>
      </c>
      <c r="R28" s="1074">
        <v>0.5</v>
      </c>
      <c r="S28" s="269">
        <f t="shared" si="4"/>
        <v>0</v>
      </c>
      <c r="T28" s="269">
        <f t="shared" si="5"/>
        <v>1</v>
      </c>
      <c r="U28" s="269"/>
      <c r="V28" s="269"/>
      <c r="W28" s="269"/>
    </row>
    <row r="29" spans="1:23" ht="14.4" thickBot="1">
      <c r="A29" s="665">
        <f t="shared" si="2"/>
        <v>27</v>
      </c>
      <c r="B29" s="914" t="s">
        <v>1071</v>
      </c>
      <c r="C29" s="666">
        <f t="shared" si="3"/>
        <v>200000</v>
      </c>
      <c r="D29" s="666">
        <f t="shared" ref="D29:D33" si="10">SUMIF($I$4:$I$31,$B29,$K$4:$K$31)</f>
        <v>22</v>
      </c>
      <c r="E29" s="668">
        <f t="shared" si="0"/>
        <v>0</v>
      </c>
      <c r="F29" s="365">
        <f t="shared" si="1"/>
        <v>1</v>
      </c>
      <c r="G29" s="907">
        <v>33</v>
      </c>
      <c r="H29" s="761" t="s">
        <v>6010</v>
      </c>
      <c r="I29" s="1045" t="s">
        <v>1101</v>
      </c>
      <c r="J29" s="760" t="s">
        <v>1064</v>
      </c>
      <c r="K29" s="760">
        <v>22</v>
      </c>
      <c r="L29" s="848"/>
      <c r="M29" s="1074" t="s">
        <v>6028</v>
      </c>
      <c r="N29" s="676"/>
      <c r="O29" s="760" t="s">
        <v>1064</v>
      </c>
      <c r="P29" s="269">
        <v>2</v>
      </c>
      <c r="Q29" s="269">
        <v>2</v>
      </c>
      <c r="R29" s="1074">
        <v>0.5</v>
      </c>
      <c r="S29" s="269">
        <f t="shared" si="4"/>
        <v>1.5</v>
      </c>
      <c r="T29" s="269">
        <f t="shared" si="5"/>
        <v>3</v>
      </c>
      <c r="U29" s="269"/>
      <c r="V29" s="269"/>
      <c r="W29" s="269"/>
    </row>
    <row r="30" spans="1:23" ht="14.4" thickBot="1">
      <c r="A30" s="665">
        <f t="shared" si="2"/>
        <v>28</v>
      </c>
      <c r="B30" s="716" t="s">
        <v>1026</v>
      </c>
      <c r="C30" s="666">
        <f t="shared" si="3"/>
        <v>50000</v>
      </c>
      <c r="D30" s="666">
        <f t="shared" si="10"/>
        <v>22</v>
      </c>
      <c r="E30" s="668">
        <f t="shared" si="0"/>
        <v>0</v>
      </c>
      <c r="F30" s="365">
        <f t="shared" si="1"/>
        <v>1</v>
      </c>
      <c r="G30" s="905">
        <v>34</v>
      </c>
      <c r="H30" s="761" t="s">
        <v>6010</v>
      </c>
      <c r="I30" s="1046" t="s">
        <v>233</v>
      </c>
      <c r="J30" s="760" t="s">
        <v>990</v>
      </c>
      <c r="K30" s="760">
        <v>22</v>
      </c>
      <c r="L30" s="850"/>
      <c r="M30" s="1074">
        <v>3</v>
      </c>
      <c r="N30" s="676"/>
      <c r="O30" s="760" t="s">
        <v>990</v>
      </c>
      <c r="P30" s="269">
        <f>SUMIF([1]Sheet4!$G:$G,$O30,[1]Sheet4!$H:$H)</f>
        <v>1.5</v>
      </c>
      <c r="Q30" s="269">
        <f>SUMIF([1]Sheet4!$G:$G,$O30,[1]Sheet4!$I:$I)</f>
        <v>2</v>
      </c>
      <c r="R30" s="1074">
        <v>3</v>
      </c>
      <c r="S30" s="269">
        <f t="shared" si="4"/>
        <v>0</v>
      </c>
      <c r="T30" s="269">
        <f t="shared" si="5"/>
        <v>1.5</v>
      </c>
      <c r="U30" s="269"/>
      <c r="V30" s="269"/>
      <c r="W30" s="269"/>
    </row>
    <row r="31" spans="1:23" thickBot="1">
      <c r="A31" s="1031">
        <f t="shared" si="2"/>
        <v>29</v>
      </c>
      <c r="B31" s="1032" t="s">
        <v>262</v>
      </c>
      <c r="C31" s="666">
        <f t="shared" si="3"/>
        <v>0</v>
      </c>
      <c r="D31" s="666">
        <f t="shared" si="10"/>
        <v>22</v>
      </c>
      <c r="E31" s="668">
        <f t="shared" si="0"/>
        <v>0</v>
      </c>
      <c r="F31" s="365">
        <f t="shared" si="1"/>
        <v>1</v>
      </c>
      <c r="G31" s="905">
        <v>36</v>
      </c>
      <c r="H31" s="761" t="s">
        <v>6010</v>
      </c>
      <c r="I31" s="1045" t="s">
        <v>1104</v>
      </c>
      <c r="J31" s="760" t="s">
        <v>1092</v>
      </c>
      <c r="K31" s="1134">
        <v>22</v>
      </c>
      <c r="L31" s="1135">
        <v>50000</v>
      </c>
      <c r="M31" s="1074">
        <v>1</v>
      </c>
      <c r="N31" s="1122" t="s">
        <v>6030</v>
      </c>
      <c r="O31" s="760" t="s">
        <v>1092</v>
      </c>
      <c r="P31" s="269">
        <f>SUMIF([1]Sheet4!$G:$G,$O31,[1]Sheet4!$H:$H)</f>
        <v>0</v>
      </c>
      <c r="Q31" s="269">
        <f>SUMIF([1]Sheet4!$G:$G,$O31,[1]Sheet4!$I:$I)</f>
        <v>0</v>
      </c>
      <c r="R31" s="1074">
        <v>1</v>
      </c>
      <c r="S31" s="269">
        <f t="shared" si="4"/>
        <v>0</v>
      </c>
      <c r="T31" s="269">
        <f t="shared" si="5"/>
        <v>0</v>
      </c>
      <c r="U31" s="269"/>
      <c r="V31" s="269"/>
      <c r="W31" s="269"/>
    </row>
    <row r="32" spans="1:23" s="1019" customFormat="1" ht="13.8">
      <c r="A32" s="1034">
        <f t="shared" si="2"/>
        <v>30</v>
      </c>
      <c r="B32" s="715" t="s">
        <v>5996</v>
      </c>
      <c r="C32" s="666">
        <f t="shared" si="3"/>
        <v>0</v>
      </c>
      <c r="D32" s="1029">
        <v>22</v>
      </c>
      <c r="E32" s="718"/>
      <c r="F32" s="1060" t="s">
        <v>6014</v>
      </c>
      <c r="G32" s="1054"/>
      <c r="H32" s="761" t="s">
        <v>6010</v>
      </c>
      <c r="I32" s="1045" t="s">
        <v>139</v>
      </c>
      <c r="J32" s="1073" t="s">
        <v>2449</v>
      </c>
      <c r="K32" s="1055">
        <v>22</v>
      </c>
      <c r="L32" s="1056">
        <v>50000</v>
      </c>
      <c r="M32" s="1057" t="s">
        <v>6026</v>
      </c>
      <c r="N32" s="1058"/>
      <c r="O32" s="1073" t="s">
        <v>2449</v>
      </c>
      <c r="P32" s="1133">
        <v>1.5</v>
      </c>
      <c r="Q32" s="1133">
        <v>2</v>
      </c>
      <c r="R32" s="1057">
        <v>3.5</v>
      </c>
      <c r="S32" s="269">
        <f t="shared" si="4"/>
        <v>0</v>
      </c>
      <c r="T32" s="269">
        <f t="shared" si="5"/>
        <v>1</v>
      </c>
      <c r="U32" s="269"/>
      <c r="V32" s="269"/>
      <c r="W32" s="269"/>
    </row>
    <row r="33" spans="1:23" s="1041" customFormat="1" ht="13.8">
      <c r="A33" s="1035">
        <f t="shared" si="2"/>
        <v>31</v>
      </c>
      <c r="B33" s="1036" t="s">
        <v>1073</v>
      </c>
      <c r="C33" s="666">
        <f t="shared" si="3"/>
        <v>0</v>
      </c>
      <c r="D33" s="666">
        <f t="shared" si="10"/>
        <v>22</v>
      </c>
      <c r="E33" s="1039">
        <f t="shared" si="0"/>
        <v>0</v>
      </c>
      <c r="F33" s="365">
        <f t="shared" si="1"/>
        <v>1</v>
      </c>
      <c r="G33" s="1054"/>
      <c r="H33" s="913"/>
      <c r="I33" s="913"/>
      <c r="J33" s="1073" t="s">
        <v>1093</v>
      </c>
      <c r="K33" s="1056"/>
      <c r="L33" s="1057"/>
      <c r="M33" s="1057"/>
      <c r="N33" s="1058"/>
      <c r="O33" s="1073" t="s">
        <v>1093</v>
      </c>
      <c r="P33" s="269"/>
      <c r="Q33" s="1040"/>
      <c r="R33" s="1058"/>
      <c r="S33" s="1040"/>
      <c r="T33" s="1040"/>
      <c r="U33" s="1040"/>
      <c r="V33" s="1040"/>
      <c r="W33" s="1040"/>
    </row>
    <row r="34" spans="1:23" s="1041" customFormat="1" ht="13.8">
      <c r="A34" s="1035">
        <f t="shared" si="2"/>
        <v>32</v>
      </c>
      <c r="B34" s="1036" t="s">
        <v>1093</v>
      </c>
      <c r="C34" s="666">
        <f t="shared" si="3"/>
        <v>0</v>
      </c>
      <c r="D34" s="1042">
        <v>22</v>
      </c>
      <c r="E34" s="1039">
        <f t="shared" si="0"/>
        <v>0</v>
      </c>
      <c r="F34" s="1038" t="s">
        <v>6006</v>
      </c>
      <c r="G34" s="1054"/>
      <c r="H34" s="913"/>
      <c r="I34" s="913"/>
      <c r="J34" s="1055"/>
      <c r="K34" s="1056"/>
      <c r="L34" s="1057"/>
      <c r="M34" s="1058"/>
      <c r="N34" s="1058"/>
      <c r="O34" s="1055"/>
      <c r="P34" s="269"/>
      <c r="Q34" s="1040"/>
      <c r="R34" s="1058"/>
      <c r="S34" s="1040"/>
      <c r="T34" s="1040"/>
      <c r="U34" s="1040"/>
      <c r="V34" s="1040"/>
      <c r="W34" s="1040"/>
    </row>
    <row r="35" spans="1:23" s="1041" customFormat="1" ht="13.8">
      <c r="A35" s="1035">
        <f t="shared" si="2"/>
        <v>33</v>
      </c>
      <c r="B35" s="1037" t="s">
        <v>5983</v>
      </c>
      <c r="C35" s="666">
        <f t="shared" si="3"/>
        <v>0</v>
      </c>
      <c r="D35" s="1043">
        <v>22</v>
      </c>
      <c r="E35" s="1044">
        <f>22-D35</f>
        <v>0</v>
      </c>
      <c r="F35" s="365">
        <f t="shared" si="1"/>
        <v>1</v>
      </c>
      <c r="G35" s="1054"/>
      <c r="H35" s="913"/>
      <c r="I35" s="913"/>
      <c r="J35" s="1055"/>
      <c r="K35" s="1056"/>
      <c r="L35" s="1057"/>
      <c r="M35" s="1058"/>
      <c r="N35" s="1058"/>
      <c r="O35" s="1055"/>
      <c r="P35" s="269"/>
      <c r="Q35" s="1040"/>
      <c r="R35" s="1058"/>
      <c r="S35" s="1040"/>
      <c r="T35" s="1040"/>
      <c r="U35" s="1040"/>
      <c r="V35" s="1040"/>
      <c r="W35" s="1040"/>
    </row>
    <row r="36" spans="1:23" ht="13.8">
      <c r="A36" s="1033" t="s">
        <v>5943</v>
      </c>
      <c r="B36" s="739"/>
      <c r="C36" s="714">
        <f>SUM(C3:C34)</f>
        <v>1650000</v>
      </c>
      <c r="D36" s="717">
        <f>SUM(D3:D34)</f>
        <v>691</v>
      </c>
      <c r="E36" s="717">
        <f>SUM(E3:E34)</f>
        <v>13</v>
      </c>
      <c r="F36" s="269"/>
      <c r="G36" s="1054"/>
      <c r="H36" s="913"/>
      <c r="I36" s="913"/>
      <c r="J36" s="1055"/>
      <c r="K36" s="1056"/>
      <c r="L36" s="1057"/>
      <c r="M36" s="1058"/>
      <c r="N36" s="1058"/>
      <c r="O36" s="1055"/>
      <c r="P36" s="269"/>
      <c r="Q36" s="269"/>
      <c r="R36" s="1058"/>
      <c r="S36" s="269"/>
      <c r="T36" s="269"/>
      <c r="U36" s="269"/>
      <c r="V36" s="269"/>
      <c r="W36" s="269"/>
    </row>
    <row r="37" spans="1:23" ht="13.8">
      <c r="A37" s="269"/>
      <c r="B37" s="269"/>
      <c r="C37" s="819">
        <v>3475000</v>
      </c>
      <c r="D37" s="820">
        <v>620</v>
      </c>
      <c r="E37" s="215" t="s">
        <v>1075</v>
      </c>
      <c r="F37" s="269"/>
      <c r="G37" s="1054"/>
      <c r="H37" s="913"/>
      <c r="I37" s="913"/>
      <c r="J37" s="1055"/>
      <c r="K37" s="1056"/>
      <c r="L37" s="1057"/>
      <c r="M37" s="1058"/>
      <c r="N37" s="1058"/>
      <c r="O37" s="1055"/>
      <c r="P37" s="269"/>
      <c r="Q37" s="269"/>
      <c r="R37" s="1058"/>
      <c r="S37" s="269"/>
      <c r="T37" s="269"/>
      <c r="U37" s="269"/>
      <c r="V37" s="269"/>
      <c r="W37" s="269"/>
    </row>
    <row r="38" spans="1:23" ht="13.8">
      <c r="A38" s="269"/>
      <c r="B38" s="269"/>
      <c r="C38" s="651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</row>
    <row r="39" spans="1:23" ht="13.8">
      <c r="A39" s="269"/>
      <c r="B39" s="269"/>
      <c r="C39" s="651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</row>
    <row r="40" spans="1:23" ht="13.8">
      <c r="A40" s="269"/>
      <c r="B40" s="269"/>
      <c r="C40" s="651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</row>
    <row r="41" spans="1:23" ht="13.8">
      <c r="A41" s="269"/>
      <c r="B41" s="269"/>
      <c r="C41" s="651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</row>
    <row r="42" spans="1:23" ht="13.8">
      <c r="A42" s="269"/>
      <c r="B42" s="269"/>
      <c r="C42" s="651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</row>
    <row r="43" spans="1:23" ht="13.8">
      <c r="A43" s="269"/>
      <c r="B43" s="269"/>
      <c r="C43" s="651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</row>
    <row r="44" spans="1:23" ht="13.8">
      <c r="A44" s="269"/>
      <c r="B44" s="269"/>
      <c r="C44" s="651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</row>
    <row r="45" spans="1:23" ht="13.8">
      <c r="A45" s="269"/>
      <c r="B45" s="269"/>
      <c r="C45" s="651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</row>
    <row r="46" spans="1:23" ht="13.8">
      <c r="A46" s="269"/>
      <c r="B46" s="269"/>
      <c r="C46" s="651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</row>
    <row r="47" spans="1:23" ht="13.8">
      <c r="A47" s="269"/>
      <c r="B47" s="269"/>
      <c r="C47" s="651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</row>
    <row r="48" spans="1:23" ht="13.8">
      <c r="A48" s="269"/>
      <c r="B48" s="269"/>
      <c r="C48" s="651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</row>
    <row r="49" spans="1:23" ht="13.8">
      <c r="A49" s="269"/>
      <c r="B49" s="269"/>
      <c r="C49" s="651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</row>
    <row r="50" spans="1:23" ht="13.8">
      <c r="A50" s="269"/>
      <c r="B50" s="269"/>
      <c r="C50" s="651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</row>
    <row r="51" spans="1:23" ht="13.8">
      <c r="A51" s="269"/>
      <c r="B51" s="269"/>
      <c r="C51" s="651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</row>
    <row r="52" spans="1:23" ht="13.8">
      <c r="A52" s="269"/>
      <c r="B52" s="269"/>
      <c r="C52" s="651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</row>
    <row r="53" spans="1:23" ht="13.8">
      <c r="A53" s="269"/>
      <c r="B53" s="269"/>
      <c r="C53" s="651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</row>
    <row r="54" spans="1:23" ht="13.8">
      <c r="A54" s="269"/>
      <c r="B54" s="269"/>
      <c r="C54" s="651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</row>
    <row r="55" spans="1:23" ht="13.8">
      <c r="A55" s="269"/>
      <c r="B55" s="269"/>
      <c r="C55" s="651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</row>
    <row r="56" spans="1:23" ht="13.8">
      <c r="A56" s="269"/>
      <c r="B56" s="269"/>
      <c r="C56" s="651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</row>
    <row r="57" spans="1:23" ht="13.8">
      <c r="A57" s="269"/>
      <c r="B57" s="269"/>
      <c r="C57" s="651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</row>
    <row r="58" spans="1:23" ht="13.8">
      <c r="A58" s="269"/>
      <c r="B58" s="269"/>
      <c r="C58" s="651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</row>
    <row r="59" spans="1:23" ht="13.8">
      <c r="A59" s="269"/>
      <c r="B59" s="269"/>
      <c r="C59" s="651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</row>
    <row r="60" spans="1:23" ht="13.8">
      <c r="A60" s="269"/>
      <c r="B60" s="269"/>
      <c r="C60" s="651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</row>
    <row r="61" spans="1:23" ht="13.8">
      <c r="A61" s="269"/>
      <c r="B61" s="269"/>
      <c r="C61" s="651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</row>
    <row r="62" spans="1:23" ht="13.8">
      <c r="A62" s="269"/>
      <c r="B62" s="269"/>
      <c r="C62" s="651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</row>
    <row r="63" spans="1:23" ht="13.8">
      <c r="A63" s="269"/>
      <c r="B63" s="269"/>
      <c r="C63" s="651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</row>
    <row r="64" spans="1:23" ht="13.8">
      <c r="A64" s="269"/>
      <c r="B64" s="269"/>
      <c r="C64" s="651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</row>
    <row r="65" spans="1:23" ht="13.8">
      <c r="A65" s="269"/>
      <c r="B65" s="269"/>
      <c r="C65" s="651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</row>
    <row r="66" spans="1:23" ht="13.8">
      <c r="A66" s="269"/>
      <c r="B66" s="269"/>
      <c r="C66" s="651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</row>
    <row r="67" spans="1:23" ht="13.8">
      <c r="A67" s="269"/>
      <c r="B67" s="269"/>
      <c r="C67" s="651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</row>
    <row r="68" spans="1:23" ht="13.8">
      <c r="A68" s="269"/>
      <c r="B68" s="269"/>
      <c r="C68" s="651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</row>
    <row r="69" spans="1:23" ht="13.8">
      <c r="A69" s="269"/>
      <c r="B69" s="269"/>
      <c r="C69" s="651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</row>
    <row r="70" spans="1:23" ht="13.8">
      <c r="A70" s="269"/>
      <c r="B70" s="269"/>
      <c r="C70" s="651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</row>
    <row r="71" spans="1:23" ht="13.8">
      <c r="A71" s="269"/>
      <c r="B71" s="269"/>
      <c r="C71" s="651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</row>
    <row r="72" spans="1:23" ht="13.8">
      <c r="A72" s="269"/>
      <c r="B72" s="269"/>
      <c r="C72" s="651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</row>
    <row r="73" spans="1:23" ht="13.8">
      <c r="A73" s="269"/>
      <c r="B73" s="269"/>
      <c r="C73" s="651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</row>
    <row r="74" spans="1:23" ht="13.8">
      <c r="A74" s="269"/>
      <c r="B74" s="269"/>
      <c r="C74" s="651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</row>
    <row r="75" spans="1:23" ht="13.8">
      <c r="A75" s="269"/>
      <c r="B75" s="269"/>
      <c r="C75" s="651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</row>
    <row r="76" spans="1:23" ht="13.8">
      <c r="A76" s="269"/>
      <c r="B76" s="269"/>
      <c r="C76" s="651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</row>
    <row r="77" spans="1:23" ht="13.8">
      <c r="A77" s="269"/>
      <c r="B77" s="269"/>
      <c r="C77" s="651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</row>
    <row r="78" spans="1:23" ht="13.8">
      <c r="A78" s="269"/>
      <c r="B78" s="269"/>
      <c r="C78" s="651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</row>
    <row r="79" spans="1:23" ht="13.8">
      <c r="A79" s="269"/>
      <c r="B79" s="269"/>
      <c r="C79" s="651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</row>
    <row r="80" spans="1:23" ht="13.8">
      <c r="A80" s="269"/>
      <c r="B80" s="269"/>
      <c r="C80" s="651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</row>
    <row r="81" spans="1:23" ht="13.8">
      <c r="A81" s="269"/>
      <c r="B81" s="269"/>
      <c r="C81" s="651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</row>
    <row r="82" spans="1:23" ht="13.8">
      <c r="A82" s="269"/>
      <c r="B82" s="269"/>
      <c r="C82" s="651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</row>
    <row r="83" spans="1:23" ht="13.8">
      <c r="A83" s="269"/>
      <c r="B83" s="269"/>
      <c r="C83" s="651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</row>
    <row r="84" spans="1:23" ht="13.8">
      <c r="A84" s="269"/>
      <c r="B84" s="269"/>
      <c r="C84" s="651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</row>
    <row r="85" spans="1:23" ht="13.8">
      <c r="A85" s="269"/>
      <c r="B85" s="269"/>
      <c r="C85" s="651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</row>
    <row r="86" spans="1:23" ht="13.8">
      <c r="A86" s="269"/>
      <c r="B86" s="269"/>
      <c r="C86" s="651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</row>
    <row r="87" spans="1:23" ht="13.8">
      <c r="A87" s="269"/>
      <c r="B87" s="269"/>
      <c r="C87" s="651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</row>
    <row r="88" spans="1:23" ht="13.8">
      <c r="A88" s="269"/>
      <c r="B88" s="269"/>
      <c r="C88" s="651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</row>
    <row r="89" spans="1:23" ht="13.8">
      <c r="A89" s="269"/>
      <c r="B89" s="269"/>
      <c r="C89" s="651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</row>
    <row r="90" spans="1:23" ht="13.8">
      <c r="A90" s="269"/>
      <c r="B90" s="269"/>
      <c r="C90" s="651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</row>
    <row r="91" spans="1:23" ht="13.8">
      <c r="A91" s="269"/>
      <c r="B91" s="269"/>
      <c r="C91" s="651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</row>
    <row r="92" spans="1:23" ht="13.8">
      <c r="A92" s="269"/>
      <c r="B92" s="269"/>
      <c r="C92" s="651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</row>
    <row r="93" spans="1:23" ht="13.8">
      <c r="A93" s="269"/>
      <c r="B93" s="269"/>
      <c r="C93" s="651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</row>
    <row r="94" spans="1:23" ht="13.8">
      <c r="A94" s="269"/>
      <c r="B94" s="269"/>
      <c r="C94" s="651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</row>
    <row r="95" spans="1:23" ht="13.8">
      <c r="A95" s="269"/>
      <c r="B95" s="269"/>
      <c r="C95" s="651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</row>
    <row r="96" spans="1:23" ht="13.8">
      <c r="A96" s="269"/>
      <c r="B96" s="269"/>
      <c r="C96" s="651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</row>
    <row r="97" spans="1:23" ht="13.8">
      <c r="A97" s="269"/>
      <c r="B97" s="269"/>
      <c r="C97" s="651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</row>
    <row r="98" spans="1:23" ht="13.8">
      <c r="A98" s="269"/>
      <c r="B98" s="269"/>
      <c r="C98" s="651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</row>
    <row r="99" spans="1:23" ht="13.8">
      <c r="A99" s="269"/>
      <c r="B99" s="269"/>
      <c r="C99" s="651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</row>
    <row r="100" spans="1:23" ht="13.8">
      <c r="A100" s="269"/>
      <c r="B100" s="269"/>
      <c r="C100" s="651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</row>
    <row r="101" spans="1:23" ht="13.8">
      <c r="A101" s="269"/>
      <c r="B101" s="269"/>
      <c r="C101" s="651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</row>
    <row r="102" spans="1:23" ht="13.8">
      <c r="A102" s="269"/>
      <c r="B102" s="269"/>
      <c r="C102" s="651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</row>
    <row r="103" spans="1:23" ht="13.8">
      <c r="A103" s="269"/>
      <c r="B103" s="269"/>
      <c r="C103" s="651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</row>
    <row r="104" spans="1:23" ht="13.8">
      <c r="A104" s="269"/>
      <c r="B104" s="269"/>
      <c r="C104" s="651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</row>
    <row r="105" spans="1:23" ht="13.8">
      <c r="A105" s="269"/>
      <c r="B105" s="269"/>
      <c r="C105" s="651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</row>
    <row r="106" spans="1:23" ht="13.8">
      <c r="A106" s="269"/>
      <c r="B106" s="269"/>
      <c r="C106" s="651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</row>
    <row r="107" spans="1:23" ht="13.8">
      <c r="A107" s="269"/>
      <c r="B107" s="269"/>
      <c r="C107" s="651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</row>
    <row r="108" spans="1:23" ht="13.8">
      <c r="A108" s="269"/>
      <c r="B108" s="269"/>
      <c r="C108" s="651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</row>
    <row r="109" spans="1:23" ht="13.8">
      <c r="A109" s="269"/>
      <c r="B109" s="269"/>
      <c r="C109" s="651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</row>
    <row r="110" spans="1:23" ht="13.8">
      <c r="A110" s="269"/>
      <c r="B110" s="269"/>
      <c r="C110" s="651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</row>
    <row r="111" spans="1:23" ht="13.8">
      <c r="A111" s="269"/>
      <c r="B111" s="269"/>
      <c r="C111" s="651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</row>
    <row r="112" spans="1:23" ht="13.8">
      <c r="A112" s="269"/>
      <c r="B112" s="269"/>
      <c r="C112" s="651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</row>
    <row r="113" spans="1:23" ht="13.8">
      <c r="A113" s="269"/>
      <c r="B113" s="269"/>
      <c r="C113" s="651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</row>
    <row r="114" spans="1:23" ht="13.8">
      <c r="A114" s="269"/>
      <c r="B114" s="269"/>
      <c r="C114" s="651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</row>
    <row r="115" spans="1:23" ht="13.8">
      <c r="A115" s="269"/>
      <c r="B115" s="269"/>
      <c r="C115" s="651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</row>
    <row r="116" spans="1:23" ht="13.8">
      <c r="A116" s="269"/>
      <c r="B116" s="269"/>
      <c r="C116" s="651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</row>
    <row r="117" spans="1:23" ht="13.8">
      <c r="A117" s="269"/>
      <c r="B117" s="269"/>
      <c r="C117" s="651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</row>
    <row r="118" spans="1:23" ht="13.8">
      <c r="A118" s="269"/>
      <c r="B118" s="269"/>
      <c r="C118" s="651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</row>
    <row r="119" spans="1:23" ht="13.8">
      <c r="A119" s="269"/>
      <c r="B119" s="269"/>
      <c r="C119" s="651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</row>
    <row r="120" spans="1:23" ht="13.8">
      <c r="A120" s="269"/>
      <c r="B120" s="269"/>
      <c r="C120" s="651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</row>
    <row r="121" spans="1:23" ht="13.8">
      <c r="A121" s="269"/>
      <c r="B121" s="269"/>
      <c r="C121" s="651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</row>
    <row r="122" spans="1:23" ht="13.8">
      <c r="A122" s="269"/>
      <c r="B122" s="269"/>
      <c r="C122" s="651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</row>
    <row r="123" spans="1:23" ht="13.8">
      <c r="A123" s="269"/>
      <c r="B123" s="269"/>
      <c r="C123" s="651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</row>
    <row r="124" spans="1:23" ht="13.8">
      <c r="A124" s="269"/>
      <c r="B124" s="269"/>
      <c r="C124" s="651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</row>
    <row r="125" spans="1:23" ht="13.8">
      <c r="A125" s="269"/>
      <c r="B125" s="269"/>
      <c r="C125" s="651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</row>
    <row r="126" spans="1:23" ht="13.8">
      <c r="A126" s="269"/>
      <c r="B126" s="269"/>
      <c r="C126" s="651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</row>
    <row r="127" spans="1:23" ht="13.8">
      <c r="A127" s="269"/>
      <c r="B127" s="269"/>
      <c r="C127" s="651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</row>
    <row r="128" spans="1:23" ht="13.8">
      <c r="A128" s="269"/>
      <c r="B128" s="269"/>
      <c r="C128" s="651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</row>
    <row r="129" spans="1:23" ht="13.8">
      <c r="A129" s="269"/>
      <c r="B129" s="269"/>
      <c r="C129" s="651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</row>
    <row r="130" spans="1:23" ht="13.8">
      <c r="A130" s="269"/>
      <c r="B130" s="269"/>
      <c r="C130" s="651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</row>
    <row r="131" spans="1:23" ht="13.8">
      <c r="A131" s="269"/>
      <c r="B131" s="269"/>
      <c r="C131" s="651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</row>
    <row r="132" spans="1:23" ht="13.8">
      <c r="A132" s="269"/>
      <c r="B132" s="269"/>
      <c r="C132" s="651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</row>
    <row r="133" spans="1:23" ht="13.8">
      <c r="A133" s="269"/>
      <c r="B133" s="269"/>
      <c r="C133" s="651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</row>
    <row r="134" spans="1:23" ht="13.8">
      <c r="A134" s="269"/>
      <c r="B134" s="269"/>
      <c r="C134" s="651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</row>
    <row r="135" spans="1:23" ht="13.8">
      <c r="A135" s="269"/>
      <c r="B135" s="269"/>
      <c r="C135" s="651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</row>
    <row r="136" spans="1:23" ht="13.8">
      <c r="A136" s="269"/>
      <c r="B136" s="269"/>
      <c r="C136" s="651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</row>
    <row r="137" spans="1:23" ht="13.8">
      <c r="A137" s="269"/>
      <c r="B137" s="269"/>
      <c r="C137" s="651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</row>
    <row r="138" spans="1:23" ht="13.8">
      <c r="A138" s="269"/>
      <c r="B138" s="269"/>
      <c r="C138" s="651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</row>
    <row r="139" spans="1:23" ht="13.8">
      <c r="A139" s="269"/>
      <c r="B139" s="269"/>
      <c r="C139" s="651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</row>
    <row r="140" spans="1:23" ht="13.8">
      <c r="A140" s="269"/>
      <c r="B140" s="269"/>
      <c r="C140" s="651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</row>
    <row r="141" spans="1:23" ht="13.8">
      <c r="A141" s="269"/>
      <c r="B141" s="269"/>
      <c r="C141" s="651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</row>
    <row r="142" spans="1:23" ht="13.8">
      <c r="A142" s="269"/>
      <c r="B142" s="269"/>
      <c r="C142" s="651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</row>
    <row r="143" spans="1:23" ht="13.8">
      <c r="A143" s="269"/>
      <c r="B143" s="269"/>
      <c r="C143" s="651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</row>
    <row r="144" spans="1:23" ht="13.8">
      <c r="A144" s="269"/>
      <c r="B144" s="269"/>
      <c r="C144" s="651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</row>
    <row r="145" spans="1:23" ht="13.8">
      <c r="A145" s="269"/>
      <c r="B145" s="269"/>
      <c r="C145" s="651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</row>
    <row r="146" spans="1:23" ht="13.8">
      <c r="A146" s="269"/>
      <c r="B146" s="269"/>
      <c r="C146" s="651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</row>
    <row r="147" spans="1:23" ht="13.8">
      <c r="A147" s="269"/>
      <c r="B147" s="269"/>
      <c r="C147" s="651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</row>
    <row r="148" spans="1:23" ht="13.8">
      <c r="A148" s="269"/>
      <c r="B148" s="269"/>
      <c r="C148" s="651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</row>
    <row r="149" spans="1:23" ht="13.8">
      <c r="A149" s="269"/>
      <c r="B149" s="269"/>
      <c r="C149" s="651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</row>
    <row r="150" spans="1:23" ht="13.8">
      <c r="A150" s="269"/>
      <c r="B150" s="269"/>
      <c r="C150" s="651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</row>
    <row r="151" spans="1:23" ht="13.8">
      <c r="A151" s="269"/>
      <c r="B151" s="269"/>
      <c r="C151" s="651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</row>
    <row r="152" spans="1:23" ht="13.8">
      <c r="A152" s="269"/>
      <c r="B152" s="269"/>
      <c r="C152" s="651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</row>
    <row r="153" spans="1:23" ht="13.8">
      <c r="A153" s="269"/>
      <c r="B153" s="269"/>
      <c r="C153" s="651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</row>
    <row r="154" spans="1:23" ht="13.8">
      <c r="A154" s="269"/>
      <c r="B154" s="269"/>
      <c r="C154" s="651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</row>
    <row r="155" spans="1:23" ht="13.8">
      <c r="A155" s="269"/>
      <c r="B155" s="269"/>
      <c r="C155" s="651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</row>
    <row r="156" spans="1:23" ht="13.8">
      <c r="A156" s="269"/>
      <c r="B156" s="269"/>
      <c r="C156" s="651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</row>
    <row r="157" spans="1:23" ht="13.8">
      <c r="A157" s="269"/>
      <c r="B157" s="269"/>
      <c r="C157" s="651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</row>
    <row r="158" spans="1:23" ht="13.8">
      <c r="A158" s="269"/>
      <c r="B158" s="269"/>
      <c r="C158" s="651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</row>
    <row r="159" spans="1:23" ht="13.8">
      <c r="A159" s="269"/>
      <c r="B159" s="269"/>
      <c r="C159" s="651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</row>
    <row r="160" spans="1:23" ht="13.8">
      <c r="A160" s="269"/>
      <c r="B160" s="269"/>
      <c r="C160" s="651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</row>
    <row r="161" spans="1:23" ht="13.8">
      <c r="A161" s="269"/>
      <c r="B161" s="269"/>
      <c r="C161" s="651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</row>
    <row r="162" spans="1:23" ht="13.8">
      <c r="A162" s="269"/>
      <c r="B162" s="269"/>
      <c r="C162" s="651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</row>
    <row r="163" spans="1:23" ht="13.8">
      <c r="A163" s="269"/>
      <c r="B163" s="269"/>
      <c r="C163" s="651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</row>
    <row r="164" spans="1:23" ht="13.8">
      <c r="A164" s="269"/>
      <c r="B164" s="269"/>
      <c r="C164" s="651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</row>
    <row r="165" spans="1:23" ht="13.8">
      <c r="A165" s="269"/>
      <c r="B165" s="269"/>
      <c r="C165" s="651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</row>
    <row r="166" spans="1:23" ht="13.8">
      <c r="A166" s="269"/>
      <c r="B166" s="269"/>
      <c r="C166" s="651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</row>
    <row r="167" spans="1:23" ht="13.8">
      <c r="A167" s="269"/>
      <c r="B167" s="269"/>
      <c r="C167" s="651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</row>
    <row r="168" spans="1:23" ht="13.8">
      <c r="A168" s="269"/>
      <c r="B168" s="269"/>
      <c r="C168" s="651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</row>
    <row r="169" spans="1:23" ht="13.8">
      <c r="A169" s="269"/>
      <c r="B169" s="269"/>
      <c r="C169" s="651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</row>
    <row r="170" spans="1:23" ht="13.8">
      <c r="A170" s="269"/>
      <c r="B170" s="269"/>
      <c r="C170" s="651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</row>
    <row r="171" spans="1:23" ht="13.8">
      <c r="A171" s="269"/>
      <c r="B171" s="269"/>
      <c r="C171" s="651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</row>
    <row r="172" spans="1:23" ht="13.8">
      <c r="A172" s="269"/>
      <c r="B172" s="269"/>
      <c r="C172" s="651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</row>
    <row r="173" spans="1:23" ht="13.8">
      <c r="A173" s="269"/>
      <c r="B173" s="269"/>
      <c r="C173" s="651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</row>
    <row r="174" spans="1:23" ht="13.8">
      <c r="A174" s="269"/>
      <c r="B174" s="269"/>
      <c r="C174" s="651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</row>
    <row r="175" spans="1:23" ht="13.8">
      <c r="A175" s="269"/>
      <c r="B175" s="269"/>
      <c r="C175" s="651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</row>
    <row r="176" spans="1:23" ht="13.8">
      <c r="A176" s="269"/>
      <c r="B176" s="269"/>
      <c r="C176" s="651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</row>
    <row r="177" spans="1:23" ht="13.8">
      <c r="A177" s="269"/>
      <c r="B177" s="269"/>
      <c r="C177" s="651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</row>
    <row r="178" spans="1:23" ht="13.8">
      <c r="A178" s="269"/>
      <c r="B178" s="269"/>
      <c r="C178" s="651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</row>
    <row r="179" spans="1:23" ht="13.8">
      <c r="A179" s="269"/>
      <c r="B179" s="269"/>
      <c r="C179" s="651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</row>
    <row r="180" spans="1:23" ht="13.8">
      <c r="A180" s="269"/>
      <c r="B180" s="269"/>
      <c r="C180" s="651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</row>
    <row r="181" spans="1:23" ht="13.8">
      <c r="A181" s="269"/>
      <c r="B181" s="269"/>
      <c r="C181" s="651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</row>
    <row r="182" spans="1:23" ht="13.8">
      <c r="A182" s="269"/>
      <c r="B182" s="269"/>
      <c r="C182" s="651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</row>
    <row r="183" spans="1:23" ht="13.8">
      <c r="A183" s="269"/>
      <c r="B183" s="269"/>
      <c r="C183" s="651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</row>
    <row r="184" spans="1:23" ht="13.8">
      <c r="A184" s="269"/>
      <c r="B184" s="269"/>
      <c r="C184" s="651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</row>
    <row r="185" spans="1:23" ht="13.8">
      <c r="A185" s="269"/>
      <c r="B185" s="269"/>
      <c r="C185" s="651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</row>
    <row r="186" spans="1:23" ht="13.8">
      <c r="A186" s="269"/>
      <c r="B186" s="269"/>
      <c r="C186" s="651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</row>
    <row r="187" spans="1:23" ht="13.8">
      <c r="A187" s="269"/>
      <c r="B187" s="269"/>
      <c r="C187" s="651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</row>
    <row r="188" spans="1:23" ht="13.8">
      <c r="A188" s="269"/>
      <c r="B188" s="269"/>
      <c r="C188" s="651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</row>
    <row r="189" spans="1:23" ht="13.8">
      <c r="A189" s="269"/>
      <c r="B189" s="269"/>
      <c r="C189" s="651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</row>
    <row r="190" spans="1:23" ht="13.8">
      <c r="A190" s="269"/>
      <c r="B190" s="269"/>
      <c r="C190" s="651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</row>
    <row r="191" spans="1:23" ht="13.8">
      <c r="A191" s="269"/>
      <c r="B191" s="269"/>
      <c r="C191" s="651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</row>
    <row r="192" spans="1:23" ht="13.8">
      <c r="A192" s="269"/>
      <c r="B192" s="269"/>
      <c r="C192" s="651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</row>
    <row r="193" spans="1:23" ht="13.8">
      <c r="A193" s="269"/>
      <c r="B193" s="269"/>
      <c r="C193" s="651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</row>
    <row r="194" spans="1:23" ht="13.8">
      <c r="A194" s="269"/>
      <c r="B194" s="269"/>
      <c r="C194" s="651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</row>
    <row r="195" spans="1:23" ht="13.8">
      <c r="A195" s="269"/>
      <c r="B195" s="269"/>
      <c r="C195" s="651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</row>
    <row r="196" spans="1:23" ht="13.8">
      <c r="A196" s="269"/>
      <c r="B196" s="269"/>
      <c r="C196" s="651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</row>
    <row r="197" spans="1:23" ht="13.8">
      <c r="A197" s="269"/>
      <c r="B197" s="269"/>
      <c r="C197" s="651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</row>
    <row r="198" spans="1:23" ht="13.8">
      <c r="A198" s="269"/>
      <c r="B198" s="269"/>
      <c r="C198" s="651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</row>
    <row r="199" spans="1:23" ht="13.8">
      <c r="A199" s="269"/>
      <c r="B199" s="269"/>
      <c r="C199" s="651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</row>
    <row r="200" spans="1:23" ht="13.8">
      <c r="A200" s="269"/>
      <c r="B200" s="269"/>
      <c r="C200" s="651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</row>
    <row r="201" spans="1:23" ht="13.8">
      <c r="A201" s="269"/>
      <c r="B201" s="269"/>
      <c r="C201" s="651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</row>
    <row r="202" spans="1:23" ht="13.8">
      <c r="A202" s="269"/>
      <c r="B202" s="269"/>
      <c r="C202" s="651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</row>
    <row r="203" spans="1:23" ht="13.8">
      <c r="A203" s="269"/>
      <c r="B203" s="269"/>
      <c r="C203" s="651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</row>
    <row r="204" spans="1:23" ht="13.8">
      <c r="A204" s="269"/>
      <c r="B204" s="269"/>
      <c r="C204" s="651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</row>
    <row r="205" spans="1:23" ht="13.8">
      <c r="A205" s="269"/>
      <c r="B205" s="269"/>
      <c r="C205" s="651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</row>
    <row r="206" spans="1:23" ht="13.8">
      <c r="A206" s="269"/>
      <c r="B206" s="269"/>
      <c r="C206" s="651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</row>
    <row r="207" spans="1:23" ht="13.8">
      <c r="A207" s="269"/>
      <c r="B207" s="269"/>
      <c r="C207" s="651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</row>
    <row r="208" spans="1:23" ht="13.8">
      <c r="A208" s="269"/>
      <c r="B208" s="269"/>
      <c r="C208" s="651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</row>
    <row r="209" spans="1:23" ht="13.8">
      <c r="A209" s="269"/>
      <c r="B209" s="269"/>
      <c r="C209" s="651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</row>
    <row r="210" spans="1:23" ht="13.8">
      <c r="A210" s="269"/>
      <c r="B210" s="269"/>
      <c r="C210" s="651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</row>
    <row r="211" spans="1:23" ht="13.8">
      <c r="A211" s="269"/>
      <c r="B211" s="269"/>
      <c r="C211" s="651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</row>
    <row r="212" spans="1:23" ht="13.8">
      <c r="A212" s="269"/>
      <c r="B212" s="269"/>
      <c r="C212" s="651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</row>
    <row r="213" spans="1:23" ht="13.8">
      <c r="A213" s="269"/>
      <c r="B213" s="269"/>
      <c r="C213" s="651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</row>
    <row r="214" spans="1:23" ht="13.8">
      <c r="A214" s="269"/>
      <c r="B214" s="269"/>
      <c r="C214" s="651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</row>
    <row r="215" spans="1:23" ht="13.8">
      <c r="A215" s="269"/>
      <c r="B215" s="269"/>
      <c r="C215" s="651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</row>
    <row r="216" spans="1:23" ht="13.8">
      <c r="A216" s="269"/>
      <c r="B216" s="269"/>
      <c r="C216" s="651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</row>
    <row r="217" spans="1:23" ht="13.8">
      <c r="A217" s="269"/>
      <c r="B217" s="269"/>
      <c r="C217" s="651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</row>
    <row r="218" spans="1:23" ht="13.8">
      <c r="A218" s="269"/>
      <c r="B218" s="269"/>
      <c r="C218" s="651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</row>
    <row r="219" spans="1:23" ht="13.8">
      <c r="A219" s="269"/>
      <c r="B219" s="269"/>
      <c r="C219" s="651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</row>
    <row r="220" spans="1:23" ht="13.8">
      <c r="A220" s="269"/>
      <c r="B220" s="269"/>
      <c r="C220" s="651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</row>
    <row r="221" spans="1:23" ht="13.8">
      <c r="A221" s="269"/>
      <c r="B221" s="269"/>
      <c r="C221" s="651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</row>
    <row r="222" spans="1:23" ht="13.8">
      <c r="A222" s="269"/>
      <c r="B222" s="269"/>
      <c r="C222" s="651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</row>
    <row r="223" spans="1:23" ht="13.8">
      <c r="A223" s="269"/>
      <c r="B223" s="269"/>
      <c r="C223" s="651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</row>
    <row r="224" spans="1:23" ht="13.8">
      <c r="A224" s="269"/>
      <c r="B224" s="269"/>
      <c r="C224" s="651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</row>
    <row r="225" spans="1:23" ht="13.8">
      <c r="A225" s="269"/>
      <c r="B225" s="269"/>
      <c r="C225" s="651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</row>
    <row r="226" spans="1:23" ht="13.8">
      <c r="A226" s="269"/>
      <c r="B226" s="269"/>
      <c r="C226" s="651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</row>
    <row r="227" spans="1:23" ht="13.8">
      <c r="A227" s="269"/>
      <c r="B227" s="269"/>
      <c r="C227" s="651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</row>
    <row r="228" spans="1:23" ht="13.8">
      <c r="A228" s="269"/>
      <c r="B228" s="269"/>
      <c r="C228" s="651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</row>
    <row r="229" spans="1:23" ht="13.8">
      <c r="A229" s="269"/>
      <c r="B229" s="269"/>
      <c r="C229" s="651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</row>
    <row r="230" spans="1:23" ht="13.8">
      <c r="A230" s="269"/>
      <c r="B230" s="269"/>
      <c r="C230" s="651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</row>
    <row r="231" spans="1:23" ht="13.8">
      <c r="A231" s="269"/>
      <c r="B231" s="269"/>
      <c r="C231" s="651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</row>
    <row r="232" spans="1:23" ht="13.8">
      <c r="A232" s="269"/>
      <c r="B232" s="269"/>
      <c r="C232" s="651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</row>
    <row r="233" spans="1:23" ht="13.8">
      <c r="A233" s="269"/>
      <c r="B233" s="269"/>
      <c r="C233" s="651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</row>
    <row r="234" spans="1:23" ht="13.8">
      <c r="A234" s="269"/>
      <c r="B234" s="269"/>
      <c r="C234" s="651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</row>
    <row r="235" spans="1:23" ht="13.8">
      <c r="A235" s="269"/>
      <c r="B235" s="269"/>
      <c r="C235" s="651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</row>
    <row r="236" spans="1:23" ht="13.8">
      <c r="A236" s="269"/>
      <c r="B236" s="269"/>
      <c r="C236" s="651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</row>
    <row r="237" spans="1:23" ht="13.8">
      <c r="A237" s="269"/>
      <c r="B237" s="269"/>
      <c r="C237" s="651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</row>
    <row r="238" spans="1:23" ht="13.8">
      <c r="A238" s="269"/>
      <c r="B238" s="269"/>
      <c r="C238" s="651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</row>
    <row r="239" spans="1:23" ht="13.8">
      <c r="A239" s="269"/>
      <c r="B239" s="269"/>
      <c r="C239" s="651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</row>
    <row r="240" spans="1:23" ht="13.8">
      <c r="A240" s="269"/>
      <c r="B240" s="269"/>
      <c r="C240" s="651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</row>
    <row r="241" spans="1:23" ht="13.8">
      <c r="A241" s="269"/>
      <c r="B241" s="269"/>
      <c r="C241" s="651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</row>
    <row r="242" spans="1:23" ht="13.8">
      <c r="A242" s="269"/>
      <c r="B242" s="269"/>
      <c r="C242" s="651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</row>
    <row r="243" spans="1:23" ht="13.8">
      <c r="A243" s="269"/>
      <c r="B243" s="269"/>
      <c r="C243" s="651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</row>
    <row r="244" spans="1:23" ht="13.8">
      <c r="A244" s="269"/>
      <c r="B244" s="269"/>
      <c r="C244" s="651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</row>
    <row r="245" spans="1:23" ht="13.8">
      <c r="A245" s="269"/>
      <c r="B245" s="269"/>
      <c r="C245" s="651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</row>
    <row r="246" spans="1:23" ht="13.8">
      <c r="A246" s="269"/>
      <c r="B246" s="269"/>
      <c r="C246" s="651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</row>
    <row r="247" spans="1:23" ht="13.8">
      <c r="A247" s="269"/>
      <c r="B247" s="269"/>
      <c r="C247" s="651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</row>
    <row r="248" spans="1:23" ht="13.8">
      <c r="A248" s="269"/>
      <c r="B248" s="269"/>
      <c r="C248" s="651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</row>
    <row r="249" spans="1:23" ht="13.8">
      <c r="A249" s="269"/>
      <c r="B249" s="269"/>
      <c r="C249" s="651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</row>
    <row r="250" spans="1:23" ht="13.8">
      <c r="A250" s="269"/>
      <c r="B250" s="269"/>
      <c r="C250" s="651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</row>
    <row r="251" spans="1:23" ht="13.8">
      <c r="A251" s="269"/>
      <c r="B251" s="269"/>
      <c r="C251" s="651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</row>
    <row r="252" spans="1:23" ht="13.8">
      <c r="A252" s="269"/>
      <c r="B252" s="269"/>
      <c r="C252" s="651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</row>
    <row r="253" spans="1:23" ht="13.8">
      <c r="A253" s="269"/>
      <c r="B253" s="269"/>
      <c r="C253" s="651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</row>
    <row r="254" spans="1:23" ht="13.8">
      <c r="A254" s="269"/>
      <c r="B254" s="269"/>
      <c r="C254" s="651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</row>
    <row r="255" spans="1:23" ht="13.8">
      <c r="A255" s="269"/>
      <c r="B255" s="269"/>
      <c r="C255" s="651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</row>
    <row r="256" spans="1:23" ht="13.8">
      <c r="A256" s="269"/>
      <c r="B256" s="269"/>
      <c r="C256" s="651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</row>
    <row r="257" spans="1:23" ht="13.8">
      <c r="A257" s="269"/>
      <c r="B257" s="269"/>
      <c r="C257" s="651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</row>
    <row r="258" spans="1:23" ht="13.8">
      <c r="A258" s="269"/>
      <c r="B258" s="269"/>
      <c r="C258" s="651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</row>
    <row r="259" spans="1:23" ht="13.8">
      <c r="A259" s="269"/>
      <c r="B259" s="269"/>
      <c r="C259" s="651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</row>
    <row r="260" spans="1:23" ht="13.8">
      <c r="A260" s="269"/>
      <c r="B260" s="269"/>
      <c r="C260" s="651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</row>
    <row r="261" spans="1:23" ht="13.8">
      <c r="A261" s="269"/>
      <c r="B261" s="269"/>
      <c r="C261" s="651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</row>
    <row r="262" spans="1:23" ht="13.8">
      <c r="A262" s="269"/>
      <c r="B262" s="269"/>
      <c r="C262" s="651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</row>
    <row r="263" spans="1:23" ht="13.8">
      <c r="A263" s="269"/>
      <c r="B263" s="269"/>
      <c r="C263" s="651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</row>
    <row r="264" spans="1:23" ht="13.8">
      <c r="A264" s="269"/>
      <c r="B264" s="269"/>
      <c r="C264" s="651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</row>
    <row r="265" spans="1:23" ht="13.8">
      <c r="A265" s="269"/>
      <c r="B265" s="269"/>
      <c r="C265" s="651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</row>
    <row r="266" spans="1:23" ht="13.8">
      <c r="A266" s="269"/>
      <c r="B266" s="269"/>
      <c r="C266" s="651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</row>
    <row r="267" spans="1:23" ht="13.8">
      <c r="A267" s="269"/>
      <c r="B267" s="269"/>
      <c r="C267" s="651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</row>
    <row r="268" spans="1:23" ht="13.8">
      <c r="A268" s="269"/>
      <c r="B268" s="269"/>
      <c r="C268" s="651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</row>
    <row r="269" spans="1:23" ht="13.8">
      <c r="A269" s="269"/>
      <c r="B269" s="269"/>
      <c r="C269" s="651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</row>
    <row r="270" spans="1:23" ht="13.8">
      <c r="A270" s="269"/>
      <c r="B270" s="269"/>
      <c r="C270" s="651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</row>
    <row r="271" spans="1:23" ht="13.8">
      <c r="A271" s="269"/>
      <c r="B271" s="269"/>
      <c r="C271" s="651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</row>
    <row r="272" spans="1:23" ht="13.8">
      <c r="A272" s="269"/>
      <c r="B272" s="269"/>
      <c r="C272" s="651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</row>
    <row r="273" spans="1:23" ht="13.8">
      <c r="A273" s="269"/>
      <c r="B273" s="269"/>
      <c r="C273" s="651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</row>
    <row r="274" spans="1:23" ht="13.8">
      <c r="A274" s="269"/>
      <c r="B274" s="269"/>
      <c r="C274" s="651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</row>
    <row r="275" spans="1:23" ht="13.8">
      <c r="A275" s="269"/>
      <c r="B275" s="269"/>
      <c r="C275" s="651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</row>
    <row r="276" spans="1:23" ht="13.8">
      <c r="A276" s="269"/>
      <c r="B276" s="269"/>
      <c r="C276" s="651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</row>
    <row r="277" spans="1:23" ht="13.8">
      <c r="A277" s="269"/>
      <c r="B277" s="269"/>
      <c r="C277" s="651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</row>
    <row r="278" spans="1:23" ht="13.8">
      <c r="A278" s="269"/>
      <c r="B278" s="269"/>
      <c r="C278" s="651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</row>
    <row r="279" spans="1:23" ht="13.8">
      <c r="A279" s="269"/>
      <c r="B279" s="269"/>
      <c r="C279" s="651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</row>
    <row r="280" spans="1:23" ht="13.8">
      <c r="A280" s="269"/>
      <c r="B280" s="269"/>
      <c r="C280" s="651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</row>
    <row r="281" spans="1:23" ht="13.8">
      <c r="A281" s="269"/>
      <c r="B281" s="269"/>
      <c r="C281" s="651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</row>
    <row r="282" spans="1:23" ht="13.8">
      <c r="A282" s="269"/>
      <c r="B282" s="269"/>
      <c r="C282" s="651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</row>
    <row r="283" spans="1:23" ht="13.8">
      <c r="A283" s="269"/>
      <c r="B283" s="269"/>
      <c r="C283" s="651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</row>
    <row r="284" spans="1:23" ht="13.8">
      <c r="A284" s="269"/>
      <c r="B284" s="269"/>
      <c r="C284" s="651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</row>
    <row r="285" spans="1:23" ht="13.8">
      <c r="A285" s="269"/>
      <c r="B285" s="269"/>
      <c r="C285" s="651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</row>
    <row r="286" spans="1:23" ht="13.8">
      <c r="A286" s="269"/>
      <c r="B286" s="269"/>
      <c r="C286" s="651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</row>
    <row r="287" spans="1:23" ht="13.8">
      <c r="A287" s="269"/>
      <c r="B287" s="269"/>
      <c r="C287" s="651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</row>
    <row r="288" spans="1:23" ht="13.8">
      <c r="A288" s="269"/>
      <c r="B288" s="269"/>
      <c r="C288" s="651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</row>
    <row r="289" spans="1:23" ht="13.8">
      <c r="A289" s="269"/>
      <c r="B289" s="269"/>
      <c r="C289" s="651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</row>
    <row r="290" spans="1:23" ht="13.8">
      <c r="A290" s="269"/>
      <c r="B290" s="269"/>
      <c r="C290" s="651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</row>
    <row r="291" spans="1:23" ht="13.8">
      <c r="A291" s="269"/>
      <c r="B291" s="269"/>
      <c r="C291" s="651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</row>
    <row r="292" spans="1:23" ht="13.8">
      <c r="A292" s="269"/>
      <c r="B292" s="269"/>
      <c r="C292" s="651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</row>
    <row r="293" spans="1:23" ht="13.8">
      <c r="A293" s="269"/>
      <c r="B293" s="269"/>
      <c r="C293" s="651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</row>
    <row r="294" spans="1:23" ht="13.8">
      <c r="A294" s="269"/>
      <c r="B294" s="269"/>
      <c r="C294" s="651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</row>
    <row r="295" spans="1:23" ht="13.8">
      <c r="A295" s="269"/>
      <c r="B295" s="269"/>
      <c r="C295" s="651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</row>
    <row r="296" spans="1:23" ht="13.8">
      <c r="A296" s="269"/>
      <c r="B296" s="269"/>
      <c r="C296" s="651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</row>
    <row r="297" spans="1:23" ht="13.8">
      <c r="A297" s="269"/>
      <c r="B297" s="269"/>
      <c r="C297" s="651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</row>
    <row r="298" spans="1:23" ht="13.8">
      <c r="A298" s="269"/>
      <c r="B298" s="269"/>
      <c r="C298" s="651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</row>
    <row r="299" spans="1:23" ht="13.8">
      <c r="A299" s="269"/>
      <c r="B299" s="269"/>
      <c r="C299" s="651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</row>
    <row r="300" spans="1:23" ht="13.8">
      <c r="A300" s="269"/>
      <c r="B300" s="269"/>
      <c r="C300" s="651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</row>
    <row r="301" spans="1:23" ht="13.8">
      <c r="A301" s="269"/>
      <c r="B301" s="269"/>
      <c r="C301" s="651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</row>
    <row r="302" spans="1:23" ht="13.8">
      <c r="A302" s="269"/>
      <c r="B302" s="269"/>
      <c r="C302" s="651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</row>
    <row r="303" spans="1:23" ht="13.8">
      <c r="A303" s="269"/>
      <c r="B303" s="269"/>
      <c r="C303" s="651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</row>
    <row r="304" spans="1:23" ht="13.8">
      <c r="A304" s="269"/>
      <c r="B304" s="269"/>
      <c r="C304" s="651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</row>
    <row r="305" spans="1:23" ht="13.8">
      <c r="A305" s="269"/>
      <c r="B305" s="269"/>
      <c r="C305" s="651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</row>
    <row r="306" spans="1:23" ht="13.8">
      <c r="A306" s="269"/>
      <c r="B306" s="269"/>
      <c r="C306" s="651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</row>
    <row r="307" spans="1:23" ht="13.8">
      <c r="A307" s="269"/>
      <c r="B307" s="269"/>
      <c r="C307" s="651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</row>
    <row r="308" spans="1:23" ht="13.8">
      <c r="A308" s="269"/>
      <c r="B308" s="269"/>
      <c r="C308" s="651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</row>
    <row r="309" spans="1:23" ht="13.8">
      <c r="A309" s="269"/>
      <c r="B309" s="269"/>
      <c r="C309" s="651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</row>
    <row r="310" spans="1:23" ht="13.8">
      <c r="A310" s="269"/>
      <c r="B310" s="269"/>
      <c r="C310" s="651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</row>
    <row r="311" spans="1:23" ht="13.8">
      <c r="A311" s="269"/>
      <c r="B311" s="269"/>
      <c r="C311" s="651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</row>
    <row r="312" spans="1:23" ht="13.8">
      <c r="A312" s="269"/>
      <c r="B312" s="269"/>
      <c r="C312" s="651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</row>
    <row r="313" spans="1:23" ht="13.8">
      <c r="A313" s="269"/>
      <c r="B313" s="269"/>
      <c r="C313" s="651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</row>
    <row r="314" spans="1:23" ht="13.8">
      <c r="A314" s="269"/>
      <c r="B314" s="269"/>
      <c r="C314" s="651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</row>
    <row r="315" spans="1:23" ht="13.8">
      <c r="A315" s="269"/>
      <c r="B315" s="269"/>
      <c r="C315" s="651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</row>
    <row r="316" spans="1:23" ht="13.8">
      <c r="A316" s="269"/>
      <c r="B316" s="269"/>
      <c r="C316" s="651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</row>
    <row r="317" spans="1:23" ht="13.8">
      <c r="A317" s="269"/>
      <c r="B317" s="269"/>
      <c r="C317" s="651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</row>
    <row r="318" spans="1:23" ht="13.8">
      <c r="A318" s="269"/>
      <c r="B318" s="269"/>
      <c r="C318" s="651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</row>
    <row r="319" spans="1:23" ht="13.8">
      <c r="A319" s="269"/>
      <c r="B319" s="269"/>
      <c r="C319" s="651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</row>
    <row r="320" spans="1:23" ht="13.8">
      <c r="A320" s="269"/>
      <c r="B320" s="269"/>
      <c r="C320" s="651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</row>
    <row r="321" spans="1:23" ht="13.8">
      <c r="A321" s="269"/>
      <c r="B321" s="269"/>
      <c r="C321" s="651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</row>
    <row r="322" spans="1:23" ht="13.8">
      <c r="A322" s="269"/>
      <c r="B322" s="269"/>
      <c r="C322" s="651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</row>
    <row r="323" spans="1:23" ht="13.8">
      <c r="A323" s="269"/>
      <c r="B323" s="269"/>
      <c r="C323" s="651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</row>
    <row r="324" spans="1:23" ht="13.8">
      <c r="A324" s="269"/>
      <c r="B324" s="269"/>
      <c r="C324" s="651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</row>
    <row r="325" spans="1:23" ht="13.8">
      <c r="A325" s="269"/>
      <c r="B325" s="269"/>
      <c r="C325" s="651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</row>
    <row r="326" spans="1:23" ht="13.8">
      <c r="A326" s="269"/>
      <c r="B326" s="269"/>
      <c r="C326" s="651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</row>
    <row r="327" spans="1:23" ht="13.8">
      <c r="A327" s="269"/>
      <c r="B327" s="269"/>
      <c r="C327" s="651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</row>
    <row r="328" spans="1:23" ht="13.8">
      <c r="A328" s="269"/>
      <c r="B328" s="269"/>
      <c r="C328" s="651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</row>
    <row r="329" spans="1:23" ht="13.8">
      <c r="A329" s="269"/>
      <c r="B329" s="269"/>
      <c r="C329" s="651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</row>
    <row r="330" spans="1:23" ht="13.8">
      <c r="A330" s="269"/>
      <c r="B330" s="269"/>
      <c r="C330" s="651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</row>
    <row r="331" spans="1:23" ht="13.8">
      <c r="A331" s="269"/>
      <c r="B331" s="269"/>
      <c r="C331" s="651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</row>
    <row r="332" spans="1:23" ht="13.8">
      <c r="A332" s="269"/>
      <c r="B332" s="269"/>
      <c r="C332" s="651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</row>
    <row r="333" spans="1:23" ht="13.8">
      <c r="A333" s="269"/>
      <c r="B333" s="269"/>
      <c r="C333" s="651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</row>
    <row r="334" spans="1:23" ht="13.8">
      <c r="A334" s="269"/>
      <c r="B334" s="269"/>
      <c r="C334" s="651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</row>
    <row r="335" spans="1:23" ht="13.8">
      <c r="A335" s="269"/>
      <c r="B335" s="269"/>
      <c r="C335" s="651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</row>
    <row r="336" spans="1:23" ht="13.8">
      <c r="A336" s="269"/>
      <c r="B336" s="269"/>
      <c r="C336" s="651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</row>
    <row r="337" spans="1:23" ht="13.8">
      <c r="A337" s="269"/>
      <c r="B337" s="269"/>
      <c r="C337" s="651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</row>
    <row r="338" spans="1:23" ht="13.8">
      <c r="A338" s="269"/>
      <c r="B338" s="269"/>
      <c r="C338" s="651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</row>
    <row r="339" spans="1:23" ht="13.8">
      <c r="A339" s="269"/>
      <c r="B339" s="269"/>
      <c r="C339" s="651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</row>
    <row r="340" spans="1:23" ht="13.8">
      <c r="A340" s="269"/>
      <c r="B340" s="269"/>
      <c r="C340" s="651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</row>
    <row r="341" spans="1:23" ht="13.8">
      <c r="A341" s="269"/>
      <c r="B341" s="269"/>
      <c r="C341" s="651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</row>
    <row r="342" spans="1:23" ht="13.8">
      <c r="A342" s="269"/>
      <c r="B342" s="269"/>
      <c r="C342" s="651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</row>
    <row r="343" spans="1:23" ht="13.8">
      <c r="A343" s="269"/>
      <c r="B343" s="269"/>
      <c r="C343" s="651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</row>
    <row r="344" spans="1:23" ht="13.8">
      <c r="A344" s="269"/>
      <c r="B344" s="269"/>
      <c r="C344" s="651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</row>
    <row r="345" spans="1:23" ht="13.8">
      <c r="A345" s="269"/>
      <c r="B345" s="269"/>
      <c r="C345" s="651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</row>
    <row r="346" spans="1:23" ht="13.8">
      <c r="A346" s="269"/>
      <c r="B346" s="269"/>
      <c r="C346" s="651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</row>
    <row r="347" spans="1:23" ht="13.8">
      <c r="A347" s="269"/>
      <c r="B347" s="269"/>
      <c r="C347" s="651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</row>
    <row r="348" spans="1:23" ht="13.8">
      <c r="A348" s="269"/>
      <c r="B348" s="269"/>
      <c r="C348" s="651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</row>
    <row r="349" spans="1:23" ht="13.8">
      <c r="A349" s="269"/>
      <c r="B349" s="269"/>
      <c r="C349" s="651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</row>
    <row r="350" spans="1:23" ht="13.8">
      <c r="A350" s="269"/>
      <c r="B350" s="269"/>
      <c r="C350" s="651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</row>
    <row r="351" spans="1:23" ht="13.8">
      <c r="A351" s="269"/>
      <c r="B351" s="269"/>
      <c r="C351" s="651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</row>
    <row r="352" spans="1:23" ht="13.8">
      <c r="A352" s="269"/>
      <c r="B352" s="269"/>
      <c r="C352" s="651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</row>
    <row r="353" spans="1:23" ht="13.8">
      <c r="A353" s="269"/>
      <c r="B353" s="269"/>
      <c r="C353" s="651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</row>
    <row r="354" spans="1:23" ht="13.8">
      <c r="A354" s="269"/>
      <c r="B354" s="269"/>
      <c r="C354" s="651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</row>
    <row r="355" spans="1:23" ht="13.8">
      <c r="A355" s="269"/>
      <c r="B355" s="269"/>
      <c r="C355" s="651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</row>
    <row r="356" spans="1:23" ht="13.8">
      <c r="A356" s="269"/>
      <c r="B356" s="269"/>
      <c r="C356" s="651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</row>
    <row r="357" spans="1:23" ht="13.8">
      <c r="A357" s="269"/>
      <c r="B357" s="269"/>
      <c r="C357" s="651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</row>
    <row r="358" spans="1:23" ht="13.8">
      <c r="A358" s="269"/>
      <c r="B358" s="269"/>
      <c r="C358" s="651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</row>
    <row r="359" spans="1:23" ht="13.8">
      <c r="A359" s="269"/>
      <c r="B359" s="269"/>
      <c r="C359" s="651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</row>
    <row r="360" spans="1:23" ht="13.8">
      <c r="A360" s="269"/>
      <c r="B360" s="269"/>
      <c r="C360" s="651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</row>
    <row r="361" spans="1:23" ht="13.8">
      <c r="A361" s="269"/>
      <c r="B361" s="269"/>
      <c r="C361" s="651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</row>
    <row r="362" spans="1:23" ht="13.8">
      <c r="A362" s="269"/>
      <c r="B362" s="269"/>
      <c r="C362" s="651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</row>
    <row r="363" spans="1:23" ht="13.8">
      <c r="A363" s="269"/>
      <c r="B363" s="269"/>
      <c r="C363" s="651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</row>
    <row r="364" spans="1:23" ht="13.8">
      <c r="A364" s="269"/>
      <c r="B364" s="269"/>
      <c r="C364" s="651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</row>
    <row r="365" spans="1:23" ht="13.8">
      <c r="A365" s="269"/>
      <c r="B365" s="269"/>
      <c r="C365" s="651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</row>
    <row r="366" spans="1:23" ht="13.8">
      <c r="A366" s="269"/>
      <c r="B366" s="269"/>
      <c r="C366" s="651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</row>
    <row r="367" spans="1:23" ht="13.8">
      <c r="A367" s="269"/>
      <c r="B367" s="269"/>
      <c r="C367" s="651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</row>
    <row r="368" spans="1:23" ht="13.8">
      <c r="A368" s="269"/>
      <c r="B368" s="269"/>
      <c r="C368" s="651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</row>
    <row r="369" spans="1:23" ht="13.8">
      <c r="A369" s="269"/>
      <c r="B369" s="269"/>
      <c r="C369" s="651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</row>
    <row r="370" spans="1:23" ht="13.8">
      <c r="A370" s="269"/>
      <c r="B370" s="269"/>
      <c r="C370" s="651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</row>
    <row r="371" spans="1:23" ht="13.8">
      <c r="A371" s="269"/>
      <c r="B371" s="269"/>
      <c r="C371" s="651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</row>
    <row r="372" spans="1:23" ht="13.8">
      <c r="A372" s="269"/>
      <c r="B372" s="269"/>
      <c r="C372" s="651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</row>
    <row r="373" spans="1:23" ht="13.8">
      <c r="A373" s="269"/>
      <c r="B373" s="269"/>
      <c r="C373" s="651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</row>
    <row r="374" spans="1:23" ht="13.8">
      <c r="A374" s="269"/>
      <c r="B374" s="269"/>
      <c r="C374" s="651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</row>
    <row r="375" spans="1:23" ht="13.8">
      <c r="A375" s="269"/>
      <c r="B375" s="269"/>
      <c r="C375" s="651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</row>
    <row r="376" spans="1:23" ht="13.8">
      <c r="A376" s="269"/>
      <c r="B376" s="269"/>
      <c r="C376" s="651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</row>
    <row r="377" spans="1:23" ht="13.8">
      <c r="A377" s="269"/>
      <c r="B377" s="269"/>
      <c r="C377" s="651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</row>
    <row r="378" spans="1:23" ht="13.8">
      <c r="A378" s="269"/>
      <c r="B378" s="269"/>
      <c r="C378" s="651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</row>
    <row r="379" spans="1:23" ht="13.8">
      <c r="A379" s="269"/>
      <c r="B379" s="269"/>
      <c r="C379" s="651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</row>
    <row r="380" spans="1:23" ht="13.8">
      <c r="A380" s="269"/>
      <c r="B380" s="269"/>
      <c r="C380" s="651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</row>
    <row r="381" spans="1:23" ht="13.8">
      <c r="A381" s="269"/>
      <c r="B381" s="269"/>
      <c r="C381" s="651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</row>
    <row r="382" spans="1:23" ht="13.8">
      <c r="A382" s="269"/>
      <c r="B382" s="269"/>
      <c r="C382" s="651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</row>
    <row r="383" spans="1:23" ht="13.8">
      <c r="A383" s="269"/>
      <c r="B383" s="269"/>
      <c r="C383" s="651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</row>
    <row r="384" spans="1:23" ht="13.8">
      <c r="A384" s="269"/>
      <c r="B384" s="269"/>
      <c r="C384" s="651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</row>
    <row r="385" spans="1:23" ht="13.8">
      <c r="A385" s="269"/>
      <c r="B385" s="269"/>
      <c r="C385" s="651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</row>
    <row r="386" spans="1:23" ht="13.8">
      <c r="A386" s="269"/>
      <c r="B386" s="269"/>
      <c r="C386" s="651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</row>
    <row r="387" spans="1:23" ht="13.8">
      <c r="A387" s="269"/>
      <c r="B387" s="269"/>
      <c r="C387" s="651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</row>
    <row r="388" spans="1:23" ht="13.8">
      <c r="A388" s="269"/>
      <c r="B388" s="269"/>
      <c r="C388" s="651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</row>
    <row r="389" spans="1:23" ht="13.8">
      <c r="A389" s="269"/>
      <c r="B389" s="269"/>
      <c r="C389" s="651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</row>
    <row r="390" spans="1:23" ht="13.8">
      <c r="A390" s="269"/>
      <c r="B390" s="269"/>
      <c r="C390" s="651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</row>
    <row r="391" spans="1:23" ht="13.8">
      <c r="A391" s="269"/>
      <c r="B391" s="269"/>
      <c r="C391" s="651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</row>
    <row r="392" spans="1:23" ht="13.8">
      <c r="A392" s="269"/>
      <c r="B392" s="269"/>
      <c r="C392" s="651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</row>
    <row r="393" spans="1:23" ht="13.8">
      <c r="A393" s="269"/>
      <c r="B393" s="269"/>
      <c r="C393" s="651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</row>
    <row r="394" spans="1:23" ht="13.8">
      <c r="A394" s="269"/>
      <c r="B394" s="269"/>
      <c r="C394" s="651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</row>
    <row r="395" spans="1:23" ht="13.8">
      <c r="A395" s="269"/>
      <c r="B395" s="269"/>
      <c r="C395" s="651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</row>
    <row r="396" spans="1:23" ht="13.8">
      <c r="A396" s="269"/>
      <c r="B396" s="269"/>
      <c r="C396" s="651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</row>
    <row r="397" spans="1:23" ht="13.8">
      <c r="A397" s="269"/>
      <c r="B397" s="269"/>
      <c r="C397" s="651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</row>
    <row r="398" spans="1:23" ht="13.8">
      <c r="A398" s="269"/>
      <c r="B398" s="269"/>
      <c r="C398" s="651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</row>
    <row r="399" spans="1:23" ht="13.8">
      <c r="A399" s="269"/>
      <c r="B399" s="269"/>
      <c r="C399" s="651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</row>
    <row r="400" spans="1:23" ht="13.8">
      <c r="A400" s="269"/>
      <c r="B400" s="269"/>
      <c r="C400" s="651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</row>
    <row r="401" spans="1:23" ht="13.8">
      <c r="A401" s="269"/>
      <c r="B401" s="269"/>
      <c r="C401" s="651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</row>
    <row r="402" spans="1:23" ht="13.8">
      <c r="A402" s="269"/>
      <c r="B402" s="269"/>
      <c r="C402" s="651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</row>
    <row r="403" spans="1:23" ht="13.8">
      <c r="A403" s="269"/>
      <c r="B403" s="269"/>
      <c r="C403" s="651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</row>
    <row r="404" spans="1:23" ht="13.8">
      <c r="A404" s="269"/>
      <c r="B404" s="269"/>
      <c r="C404" s="651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</row>
    <row r="405" spans="1:23" ht="13.8">
      <c r="A405" s="269"/>
      <c r="B405" s="269"/>
      <c r="C405" s="651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</row>
    <row r="406" spans="1:23" ht="13.8">
      <c r="A406" s="269"/>
      <c r="B406" s="269"/>
      <c r="C406" s="651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</row>
    <row r="407" spans="1:23" ht="13.8">
      <c r="A407" s="269"/>
      <c r="B407" s="269"/>
      <c r="C407" s="651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</row>
    <row r="408" spans="1:23" ht="13.8">
      <c r="A408" s="269"/>
      <c r="B408" s="269"/>
      <c r="C408" s="651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</row>
    <row r="409" spans="1:23" ht="13.8">
      <c r="A409" s="269"/>
      <c r="B409" s="269"/>
      <c r="C409" s="651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</row>
    <row r="410" spans="1:23" ht="13.8">
      <c r="A410" s="269"/>
      <c r="B410" s="269"/>
      <c r="C410" s="651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</row>
    <row r="411" spans="1:23" ht="13.8">
      <c r="A411" s="269"/>
      <c r="B411" s="269"/>
      <c r="C411" s="651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</row>
    <row r="412" spans="1:23" ht="13.8">
      <c r="A412" s="269"/>
      <c r="B412" s="269"/>
      <c r="C412" s="651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</row>
    <row r="413" spans="1:23" ht="13.8">
      <c r="A413" s="269"/>
      <c r="B413" s="269"/>
      <c r="C413" s="651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</row>
    <row r="414" spans="1:23" ht="13.8">
      <c r="A414" s="269"/>
      <c r="B414" s="269"/>
      <c r="C414" s="651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</row>
    <row r="415" spans="1:23" ht="13.8">
      <c r="A415" s="269"/>
      <c r="B415" s="269"/>
      <c r="C415" s="651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</row>
    <row r="416" spans="1:23" ht="13.8">
      <c r="A416" s="269"/>
      <c r="B416" s="269"/>
      <c r="C416" s="651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</row>
    <row r="417" spans="1:23" ht="13.8">
      <c r="A417" s="269"/>
      <c r="B417" s="269"/>
      <c r="C417" s="651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</row>
    <row r="418" spans="1:23" ht="13.8">
      <c r="A418" s="269"/>
      <c r="B418" s="269"/>
      <c r="C418" s="651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</row>
    <row r="419" spans="1:23" ht="13.8">
      <c r="A419" s="269"/>
      <c r="B419" s="269"/>
      <c r="C419" s="651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</row>
    <row r="420" spans="1:23" ht="13.8">
      <c r="A420" s="269"/>
      <c r="B420" s="269"/>
      <c r="C420" s="651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</row>
    <row r="421" spans="1:23" ht="13.8">
      <c r="A421" s="269"/>
      <c r="B421" s="269"/>
      <c r="C421" s="651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</row>
    <row r="422" spans="1:23" ht="13.8">
      <c r="A422" s="269"/>
      <c r="B422" s="269"/>
      <c r="C422" s="651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</row>
    <row r="423" spans="1:23" ht="13.8">
      <c r="A423" s="269"/>
      <c r="B423" s="269"/>
      <c r="C423" s="651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</row>
    <row r="424" spans="1:23" ht="13.8">
      <c r="A424" s="269"/>
      <c r="B424" s="269"/>
      <c r="C424" s="651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</row>
    <row r="425" spans="1:23" ht="13.8">
      <c r="A425" s="269"/>
      <c r="B425" s="269"/>
      <c r="C425" s="651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</row>
    <row r="426" spans="1:23" ht="13.8">
      <c r="A426" s="269"/>
      <c r="B426" s="269"/>
      <c r="C426" s="651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</row>
    <row r="427" spans="1:23" ht="13.8">
      <c r="A427" s="269"/>
      <c r="B427" s="269"/>
      <c r="C427" s="651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</row>
    <row r="428" spans="1:23" ht="13.8">
      <c r="A428" s="269"/>
      <c r="B428" s="269"/>
      <c r="C428" s="651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</row>
    <row r="429" spans="1:23" ht="13.8">
      <c r="A429" s="269"/>
      <c r="B429" s="269"/>
      <c r="C429" s="651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</row>
    <row r="430" spans="1:23" ht="13.8">
      <c r="A430" s="269"/>
      <c r="B430" s="269"/>
      <c r="C430" s="651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</row>
    <row r="431" spans="1:23" ht="13.8">
      <c r="A431" s="269"/>
      <c r="B431" s="269"/>
      <c r="C431" s="651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</row>
    <row r="432" spans="1:23" ht="13.8">
      <c r="A432" s="269"/>
      <c r="B432" s="269"/>
      <c r="C432" s="651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</row>
    <row r="433" spans="1:23" ht="13.8">
      <c r="A433" s="269"/>
      <c r="B433" s="269"/>
      <c r="C433" s="651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</row>
    <row r="434" spans="1:23" ht="13.8">
      <c r="A434" s="269"/>
      <c r="B434" s="269"/>
      <c r="C434" s="651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</row>
    <row r="435" spans="1:23" ht="13.8">
      <c r="A435" s="269"/>
      <c r="B435" s="269"/>
      <c r="C435" s="651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</row>
    <row r="436" spans="1:23" ht="13.8">
      <c r="A436" s="269"/>
      <c r="B436" s="269"/>
      <c r="C436" s="651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</row>
    <row r="437" spans="1:23" ht="13.8">
      <c r="A437" s="269"/>
      <c r="B437" s="269"/>
      <c r="C437" s="651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</row>
    <row r="438" spans="1:23" ht="13.8">
      <c r="A438" s="269"/>
      <c r="B438" s="269"/>
      <c r="C438" s="651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</row>
    <row r="439" spans="1:23" ht="13.8">
      <c r="A439" s="269"/>
      <c r="B439" s="269"/>
      <c r="C439" s="651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</row>
    <row r="440" spans="1:23" ht="13.8">
      <c r="A440" s="269"/>
      <c r="B440" s="269"/>
      <c r="C440" s="651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</row>
    <row r="441" spans="1:23" ht="13.8">
      <c r="A441" s="269"/>
      <c r="B441" s="269"/>
      <c r="C441" s="651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</row>
    <row r="442" spans="1:23" ht="13.8">
      <c r="A442" s="269"/>
      <c r="B442" s="269"/>
      <c r="C442" s="651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</row>
    <row r="443" spans="1:23" ht="13.8">
      <c r="A443" s="269"/>
      <c r="B443" s="269"/>
      <c r="C443" s="651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</row>
    <row r="444" spans="1:23" ht="13.8">
      <c r="A444" s="269"/>
      <c r="B444" s="269"/>
      <c r="C444" s="651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</row>
    <row r="445" spans="1:23" ht="13.8">
      <c r="A445" s="269"/>
      <c r="B445" s="269"/>
      <c r="C445" s="651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</row>
    <row r="446" spans="1:23" ht="13.8">
      <c r="A446" s="269"/>
      <c r="B446" s="269"/>
      <c r="C446" s="651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</row>
    <row r="447" spans="1:23" ht="13.8">
      <c r="A447" s="269"/>
      <c r="B447" s="269"/>
      <c r="C447" s="651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</row>
    <row r="448" spans="1:23" ht="13.8">
      <c r="A448" s="269"/>
      <c r="B448" s="269"/>
      <c r="C448" s="651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</row>
    <row r="449" spans="1:23" ht="13.8">
      <c r="A449" s="269"/>
      <c r="B449" s="269"/>
      <c r="C449" s="651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</row>
    <row r="450" spans="1:23" ht="13.8">
      <c r="A450" s="269"/>
      <c r="B450" s="269"/>
      <c r="C450" s="651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</row>
    <row r="451" spans="1:23" ht="13.8">
      <c r="A451" s="269"/>
      <c r="B451" s="269"/>
      <c r="C451" s="651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</row>
    <row r="452" spans="1:23" ht="13.8">
      <c r="A452" s="269"/>
      <c r="B452" s="269"/>
      <c r="C452" s="651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</row>
    <row r="453" spans="1:23" ht="13.8">
      <c r="A453" s="269"/>
      <c r="B453" s="269"/>
      <c r="C453" s="651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</row>
    <row r="454" spans="1:23" ht="13.8">
      <c r="A454" s="269"/>
      <c r="B454" s="269"/>
      <c r="C454" s="651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</row>
    <row r="455" spans="1:23" ht="13.8">
      <c r="A455" s="269"/>
      <c r="B455" s="269"/>
      <c r="C455" s="651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</row>
    <row r="456" spans="1:23" ht="13.8">
      <c r="A456" s="269"/>
      <c r="B456" s="269"/>
      <c r="C456" s="651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</row>
    <row r="457" spans="1:23" ht="13.8">
      <c r="A457" s="269"/>
      <c r="B457" s="269"/>
      <c r="C457" s="651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</row>
    <row r="458" spans="1:23" ht="13.8">
      <c r="A458" s="269"/>
      <c r="B458" s="269"/>
      <c r="C458" s="651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</row>
    <row r="459" spans="1:23" ht="13.8">
      <c r="A459" s="269"/>
      <c r="B459" s="269"/>
      <c r="C459" s="651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</row>
    <row r="460" spans="1:23" ht="13.8">
      <c r="A460" s="269"/>
      <c r="B460" s="269"/>
      <c r="C460" s="651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</row>
    <row r="461" spans="1:23" ht="13.8">
      <c r="A461" s="269"/>
      <c r="B461" s="269"/>
      <c r="C461" s="651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</row>
    <row r="462" spans="1:23" ht="13.8">
      <c r="A462" s="269"/>
      <c r="B462" s="269"/>
      <c r="C462" s="651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</row>
    <row r="463" spans="1:23" ht="13.8">
      <c r="A463" s="269"/>
      <c r="B463" s="269"/>
      <c r="C463" s="651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</row>
    <row r="464" spans="1:23" ht="13.8">
      <c r="A464" s="269"/>
      <c r="B464" s="269"/>
      <c r="C464" s="651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</row>
    <row r="465" spans="1:23" ht="13.8">
      <c r="A465" s="269"/>
      <c r="B465" s="269"/>
      <c r="C465" s="651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</row>
    <row r="466" spans="1:23" ht="13.8">
      <c r="A466" s="269"/>
      <c r="B466" s="269"/>
      <c r="C466" s="651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</row>
    <row r="467" spans="1:23" ht="13.8">
      <c r="A467" s="269"/>
      <c r="B467" s="269"/>
      <c r="C467" s="651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</row>
    <row r="468" spans="1:23" ht="13.8">
      <c r="A468" s="269"/>
      <c r="B468" s="269"/>
      <c r="C468" s="651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</row>
    <row r="469" spans="1:23" ht="13.8">
      <c r="A469" s="269"/>
      <c r="B469" s="269"/>
      <c r="C469" s="651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</row>
    <row r="470" spans="1:23" ht="13.8">
      <c r="A470" s="269"/>
      <c r="B470" s="269"/>
      <c r="C470" s="651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</row>
    <row r="471" spans="1:23" ht="13.8">
      <c r="A471" s="269"/>
      <c r="B471" s="269"/>
      <c r="C471" s="651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</row>
    <row r="472" spans="1:23" ht="13.8">
      <c r="A472" s="269"/>
      <c r="B472" s="269"/>
      <c r="C472" s="651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</row>
    <row r="473" spans="1:23" ht="13.8">
      <c r="A473" s="269"/>
      <c r="B473" s="269"/>
      <c r="C473" s="651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</row>
    <row r="474" spans="1:23" ht="13.8">
      <c r="A474" s="269"/>
      <c r="B474" s="269"/>
      <c r="C474" s="651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</row>
    <row r="475" spans="1:23" ht="13.8">
      <c r="A475" s="269"/>
      <c r="B475" s="269"/>
      <c r="C475" s="651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</row>
    <row r="476" spans="1:23" ht="13.8">
      <c r="A476" s="269"/>
      <c r="B476" s="269"/>
      <c r="C476" s="651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</row>
    <row r="477" spans="1:23" ht="13.8">
      <c r="A477" s="269"/>
      <c r="B477" s="269"/>
      <c r="C477" s="651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</row>
    <row r="478" spans="1:23" ht="13.8">
      <c r="A478" s="269"/>
      <c r="B478" s="269"/>
      <c r="C478" s="651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</row>
    <row r="479" spans="1:23" ht="13.8">
      <c r="A479" s="269"/>
      <c r="B479" s="269"/>
      <c r="C479" s="651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</row>
    <row r="480" spans="1:23" ht="13.8">
      <c r="A480" s="269"/>
      <c r="B480" s="269"/>
      <c r="C480" s="651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</row>
    <row r="481" spans="1:23" ht="13.8">
      <c r="A481" s="269"/>
      <c r="B481" s="269"/>
      <c r="C481" s="651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</row>
    <row r="482" spans="1:23" ht="13.8">
      <c r="A482" s="269"/>
      <c r="B482" s="269"/>
      <c r="C482" s="651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</row>
    <row r="483" spans="1:23" ht="13.8">
      <c r="A483" s="269"/>
      <c r="B483" s="269"/>
      <c r="C483" s="651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</row>
    <row r="484" spans="1:23" ht="13.8">
      <c r="A484" s="269"/>
      <c r="B484" s="269"/>
      <c r="C484" s="651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</row>
    <row r="485" spans="1:23" ht="13.8">
      <c r="A485" s="269"/>
      <c r="B485" s="269"/>
      <c r="C485" s="651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</row>
    <row r="486" spans="1:23" ht="13.8">
      <c r="A486" s="269"/>
      <c r="B486" s="269"/>
      <c r="C486" s="651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</row>
    <row r="487" spans="1:23" ht="13.8">
      <c r="A487" s="269"/>
      <c r="B487" s="269"/>
      <c r="C487" s="651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</row>
    <row r="488" spans="1:23" ht="13.8">
      <c r="A488" s="269"/>
      <c r="B488" s="269"/>
      <c r="C488" s="651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</row>
    <row r="489" spans="1:23" ht="13.8">
      <c r="A489" s="269"/>
      <c r="B489" s="269"/>
      <c r="C489" s="651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</row>
    <row r="490" spans="1:23" ht="13.8">
      <c r="A490" s="269"/>
      <c r="B490" s="269"/>
      <c r="C490" s="651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</row>
    <row r="491" spans="1:23" ht="13.8">
      <c r="A491" s="269"/>
      <c r="B491" s="269"/>
      <c r="C491" s="651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</row>
    <row r="492" spans="1:23" ht="13.8">
      <c r="A492" s="269"/>
      <c r="B492" s="269"/>
      <c r="C492" s="651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</row>
    <row r="493" spans="1:23" ht="13.8">
      <c r="A493" s="269"/>
      <c r="B493" s="269"/>
      <c r="C493" s="651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</row>
    <row r="494" spans="1:23" ht="13.8">
      <c r="A494" s="269"/>
      <c r="B494" s="269"/>
      <c r="C494" s="651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</row>
    <row r="495" spans="1:23" ht="13.8">
      <c r="A495" s="269"/>
      <c r="B495" s="269"/>
      <c r="C495" s="651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</row>
    <row r="496" spans="1:23" ht="13.8">
      <c r="A496" s="269"/>
      <c r="B496" s="269"/>
      <c r="C496" s="651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</row>
    <row r="497" spans="1:23" ht="13.8">
      <c r="A497" s="269"/>
      <c r="B497" s="269"/>
      <c r="C497" s="651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</row>
    <row r="498" spans="1:23" ht="13.8">
      <c r="A498" s="269"/>
      <c r="B498" s="269"/>
      <c r="C498" s="651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</row>
    <row r="499" spans="1:23" ht="13.8">
      <c r="A499" s="269"/>
      <c r="B499" s="269"/>
      <c r="C499" s="651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</row>
    <row r="500" spans="1:23" ht="13.8">
      <c r="A500" s="269"/>
      <c r="B500" s="269"/>
      <c r="C500" s="651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</row>
    <row r="501" spans="1:23" ht="13.8">
      <c r="A501" s="269"/>
      <c r="B501" s="269"/>
      <c r="C501" s="651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</row>
    <row r="502" spans="1:23" ht="13.8">
      <c r="A502" s="269"/>
      <c r="B502" s="269"/>
      <c r="C502" s="651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</row>
    <row r="503" spans="1:23" ht="13.8">
      <c r="A503" s="269"/>
      <c r="B503" s="269"/>
      <c r="C503" s="651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</row>
    <row r="504" spans="1:23" ht="13.8">
      <c r="A504" s="269"/>
      <c r="B504" s="269"/>
      <c r="C504" s="651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</row>
    <row r="505" spans="1:23" ht="13.8">
      <c r="A505" s="269"/>
      <c r="B505" s="269"/>
      <c r="C505" s="651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</row>
    <row r="506" spans="1:23" ht="13.8">
      <c r="A506" s="269"/>
      <c r="B506" s="269"/>
      <c r="C506" s="651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</row>
    <row r="507" spans="1:23" ht="13.8">
      <c r="A507" s="269"/>
      <c r="B507" s="269"/>
      <c r="C507" s="651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</row>
    <row r="508" spans="1:23" ht="13.8">
      <c r="A508" s="269"/>
      <c r="B508" s="269"/>
      <c r="C508" s="651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</row>
    <row r="509" spans="1:23" ht="13.8">
      <c r="A509" s="269"/>
      <c r="B509" s="269"/>
      <c r="C509" s="651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</row>
    <row r="510" spans="1:23" ht="13.8">
      <c r="A510" s="269"/>
      <c r="B510" s="269"/>
      <c r="C510" s="651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</row>
    <row r="511" spans="1:23" ht="13.8">
      <c r="A511" s="269"/>
      <c r="B511" s="269"/>
      <c r="C511" s="651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</row>
    <row r="512" spans="1:23" ht="13.8">
      <c r="A512" s="269"/>
      <c r="B512" s="269"/>
      <c r="C512" s="651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</row>
    <row r="513" spans="1:23" ht="13.8">
      <c r="A513" s="269"/>
      <c r="B513" s="269"/>
      <c r="C513" s="651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</row>
    <row r="514" spans="1:23" ht="13.8">
      <c r="A514" s="269"/>
      <c r="B514" s="269"/>
      <c r="C514" s="651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</row>
    <row r="515" spans="1:23" ht="13.8">
      <c r="A515" s="269"/>
      <c r="B515" s="269"/>
      <c r="C515" s="651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</row>
    <row r="516" spans="1:23" ht="13.8">
      <c r="A516" s="269"/>
      <c r="B516" s="269"/>
      <c r="C516" s="651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</row>
    <row r="517" spans="1:23" ht="13.8">
      <c r="A517" s="269"/>
      <c r="B517" s="269"/>
      <c r="C517" s="651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</row>
    <row r="518" spans="1:23" ht="13.8">
      <c r="A518" s="269"/>
      <c r="B518" s="269"/>
      <c r="C518" s="651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</row>
    <row r="519" spans="1:23" ht="13.8">
      <c r="A519" s="269"/>
      <c r="B519" s="269"/>
      <c r="C519" s="651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</row>
    <row r="520" spans="1:23" ht="13.8">
      <c r="A520" s="269"/>
      <c r="B520" s="269"/>
      <c r="C520" s="651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</row>
    <row r="521" spans="1:23" ht="13.8">
      <c r="A521" s="269"/>
      <c r="B521" s="269"/>
      <c r="C521" s="651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</row>
    <row r="522" spans="1:23" ht="13.8">
      <c r="A522" s="269"/>
      <c r="B522" s="269"/>
      <c r="C522" s="651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</row>
    <row r="523" spans="1:23" ht="13.8">
      <c r="A523" s="269"/>
      <c r="B523" s="269"/>
      <c r="C523" s="651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</row>
    <row r="524" spans="1:23" ht="13.8">
      <c r="A524" s="269"/>
      <c r="B524" s="269"/>
      <c r="C524" s="651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</row>
    <row r="525" spans="1:23" ht="13.8">
      <c r="A525" s="269"/>
      <c r="B525" s="269"/>
      <c r="C525" s="651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</row>
    <row r="526" spans="1:23" ht="13.8">
      <c r="A526" s="269"/>
      <c r="B526" s="269"/>
      <c r="C526" s="651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</row>
    <row r="527" spans="1:23" ht="13.8">
      <c r="A527" s="269"/>
      <c r="B527" s="269"/>
      <c r="C527" s="651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</row>
    <row r="528" spans="1:23" ht="13.8">
      <c r="A528" s="269"/>
      <c r="B528" s="269"/>
      <c r="C528" s="651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</row>
    <row r="529" spans="1:23" ht="13.8">
      <c r="A529" s="269"/>
      <c r="B529" s="269"/>
      <c r="C529" s="651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</row>
    <row r="530" spans="1:23" ht="13.8">
      <c r="A530" s="269"/>
      <c r="B530" s="269"/>
      <c r="C530" s="651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</row>
    <row r="531" spans="1:23" ht="13.8">
      <c r="A531" s="269"/>
      <c r="B531" s="269"/>
      <c r="C531" s="651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</row>
    <row r="532" spans="1:23" ht="13.8">
      <c r="A532" s="269"/>
      <c r="B532" s="269"/>
      <c r="C532" s="651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</row>
    <row r="533" spans="1:23" ht="13.8">
      <c r="A533" s="269"/>
      <c r="B533" s="269"/>
      <c r="C533" s="651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</row>
    <row r="534" spans="1:23" ht="13.8">
      <c r="A534" s="269"/>
      <c r="B534" s="269"/>
      <c r="C534" s="651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</row>
    <row r="535" spans="1:23" ht="13.8">
      <c r="A535" s="269"/>
      <c r="B535" s="269"/>
      <c r="C535" s="651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</row>
    <row r="536" spans="1:23" ht="13.8">
      <c r="A536" s="269"/>
      <c r="B536" s="269"/>
      <c r="C536" s="651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</row>
    <row r="537" spans="1:23" ht="13.8">
      <c r="A537" s="269"/>
      <c r="B537" s="269"/>
      <c r="C537" s="651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</row>
    <row r="538" spans="1:23" ht="13.8">
      <c r="A538" s="269"/>
      <c r="B538" s="269"/>
      <c r="C538" s="651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</row>
    <row r="539" spans="1:23" ht="13.8">
      <c r="A539" s="269"/>
      <c r="B539" s="269"/>
      <c r="C539" s="651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</row>
    <row r="540" spans="1:23" ht="13.8">
      <c r="A540" s="269"/>
      <c r="B540" s="269"/>
      <c r="C540" s="651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</row>
    <row r="541" spans="1:23" ht="13.8">
      <c r="A541" s="269"/>
      <c r="B541" s="269"/>
      <c r="C541" s="651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</row>
    <row r="542" spans="1:23" ht="13.8">
      <c r="A542" s="269"/>
      <c r="B542" s="269"/>
      <c r="C542" s="651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</row>
    <row r="543" spans="1:23" ht="13.8">
      <c r="A543" s="269"/>
      <c r="B543" s="269"/>
      <c r="C543" s="651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</row>
    <row r="544" spans="1:23" ht="13.8">
      <c r="A544" s="269"/>
      <c r="B544" s="269"/>
      <c r="C544" s="651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</row>
    <row r="545" spans="1:23" ht="13.8">
      <c r="A545" s="269"/>
      <c r="B545" s="269"/>
      <c r="C545" s="651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</row>
    <row r="546" spans="1:23" ht="13.8">
      <c r="A546" s="269"/>
      <c r="B546" s="269"/>
      <c r="C546" s="651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</row>
    <row r="547" spans="1:23" ht="13.8">
      <c r="A547" s="269"/>
      <c r="B547" s="269"/>
      <c r="C547" s="651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</row>
    <row r="548" spans="1:23" ht="13.8">
      <c r="A548" s="269"/>
      <c r="B548" s="269"/>
      <c r="C548" s="651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</row>
    <row r="549" spans="1:23" ht="13.8">
      <c r="A549" s="269"/>
      <c r="B549" s="269"/>
      <c r="C549" s="651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</row>
    <row r="550" spans="1:23" ht="13.8">
      <c r="A550" s="269"/>
      <c r="B550" s="269"/>
      <c r="C550" s="651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</row>
    <row r="551" spans="1:23" ht="13.8">
      <c r="A551" s="269"/>
      <c r="B551" s="269"/>
      <c r="C551" s="651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</row>
    <row r="552" spans="1:23" ht="13.8">
      <c r="A552" s="269"/>
      <c r="B552" s="269"/>
      <c r="C552" s="651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</row>
    <row r="553" spans="1:23" ht="13.8">
      <c r="A553" s="269"/>
      <c r="B553" s="269"/>
      <c r="C553" s="651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</row>
    <row r="554" spans="1:23" ht="13.8">
      <c r="A554" s="269"/>
      <c r="B554" s="269"/>
      <c r="C554" s="651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</row>
    <row r="555" spans="1:23" ht="13.8">
      <c r="A555" s="269"/>
      <c r="B555" s="269"/>
      <c r="C555" s="651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</row>
    <row r="556" spans="1:23" ht="13.8">
      <c r="A556" s="269"/>
      <c r="B556" s="269"/>
      <c r="C556" s="651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</row>
    <row r="557" spans="1:23" ht="13.8">
      <c r="A557" s="269"/>
      <c r="B557" s="269"/>
      <c r="C557" s="651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</row>
    <row r="558" spans="1:23" ht="13.8">
      <c r="A558" s="269"/>
      <c r="B558" s="269"/>
      <c r="C558" s="651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</row>
    <row r="559" spans="1:23" ht="13.8">
      <c r="A559" s="269"/>
      <c r="B559" s="269"/>
      <c r="C559" s="651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</row>
    <row r="560" spans="1:23" ht="13.8">
      <c r="A560" s="269"/>
      <c r="B560" s="269"/>
      <c r="C560" s="651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</row>
    <row r="561" spans="1:23" ht="13.8">
      <c r="A561" s="269"/>
      <c r="B561" s="269"/>
      <c r="C561" s="651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</row>
    <row r="562" spans="1:23" ht="13.8">
      <c r="A562" s="269"/>
      <c r="B562" s="269"/>
      <c r="C562" s="651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</row>
    <row r="563" spans="1:23" ht="13.8">
      <c r="A563" s="269"/>
      <c r="B563" s="269"/>
      <c r="C563" s="651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</row>
    <row r="564" spans="1:23" ht="13.8">
      <c r="A564" s="269"/>
      <c r="B564" s="269"/>
      <c r="C564" s="651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</row>
    <row r="565" spans="1:23" ht="13.8">
      <c r="A565" s="269"/>
      <c r="B565" s="269"/>
      <c r="C565" s="651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</row>
    <row r="566" spans="1:23" ht="13.8">
      <c r="A566" s="269"/>
      <c r="B566" s="269"/>
      <c r="C566" s="651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</row>
    <row r="567" spans="1:23" ht="13.8">
      <c r="A567" s="269"/>
      <c r="B567" s="269"/>
      <c r="C567" s="651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</row>
    <row r="568" spans="1:23" ht="13.8">
      <c r="A568" s="269"/>
      <c r="B568" s="269"/>
      <c r="C568" s="651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</row>
    <row r="569" spans="1:23" ht="13.8">
      <c r="A569" s="269"/>
      <c r="B569" s="269"/>
      <c r="C569" s="651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</row>
    <row r="570" spans="1:23" ht="13.8">
      <c r="A570" s="269"/>
      <c r="B570" s="269"/>
      <c r="C570" s="651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</row>
    <row r="571" spans="1:23" ht="13.8">
      <c r="A571" s="269"/>
      <c r="B571" s="269"/>
      <c r="C571" s="651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</row>
    <row r="572" spans="1:23" ht="13.8">
      <c r="A572" s="269"/>
      <c r="B572" s="269"/>
      <c r="C572" s="651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</row>
    <row r="573" spans="1:23" ht="13.8">
      <c r="A573" s="269"/>
      <c r="B573" s="269"/>
      <c r="C573" s="651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</row>
    <row r="574" spans="1:23" ht="13.8">
      <c r="A574" s="269"/>
      <c r="B574" s="269"/>
      <c r="C574" s="651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</row>
    <row r="575" spans="1:23" ht="13.8">
      <c r="A575" s="269"/>
      <c r="B575" s="269"/>
      <c r="C575" s="651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</row>
    <row r="576" spans="1:23" ht="13.8">
      <c r="A576" s="269"/>
      <c r="B576" s="269"/>
      <c r="C576" s="651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</row>
    <row r="577" spans="1:23" ht="13.8">
      <c r="A577" s="269"/>
      <c r="B577" s="269"/>
      <c r="C577" s="651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</row>
    <row r="578" spans="1:23" ht="13.8">
      <c r="A578" s="269"/>
      <c r="B578" s="269"/>
      <c r="C578" s="651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</row>
    <row r="579" spans="1:23" ht="13.8">
      <c r="A579" s="269"/>
      <c r="B579" s="269"/>
      <c r="C579" s="651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</row>
    <row r="580" spans="1:23" ht="13.8">
      <c r="A580" s="269"/>
      <c r="B580" s="269"/>
      <c r="C580" s="651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</row>
    <row r="581" spans="1:23" ht="13.8">
      <c r="A581" s="269"/>
      <c r="B581" s="269"/>
      <c r="C581" s="651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</row>
    <row r="582" spans="1:23" ht="13.8">
      <c r="A582" s="269"/>
      <c r="B582" s="269"/>
      <c r="C582" s="651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</row>
    <row r="583" spans="1:23" ht="13.8">
      <c r="A583" s="269"/>
      <c r="B583" s="269"/>
      <c r="C583" s="651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</row>
    <row r="584" spans="1:23" ht="13.8">
      <c r="A584" s="269"/>
      <c r="B584" s="269"/>
      <c r="C584" s="651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</row>
    <row r="585" spans="1:23" ht="13.8">
      <c r="A585" s="269"/>
      <c r="B585" s="269"/>
      <c r="C585" s="651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</row>
    <row r="586" spans="1:23" ht="13.8">
      <c r="A586" s="269"/>
      <c r="B586" s="269"/>
      <c r="C586" s="651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</row>
    <row r="587" spans="1:23" ht="13.8">
      <c r="A587" s="269"/>
      <c r="B587" s="269"/>
      <c r="C587" s="651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</row>
    <row r="588" spans="1:23" ht="13.8">
      <c r="A588" s="269"/>
      <c r="B588" s="269"/>
      <c r="C588" s="651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</row>
    <row r="589" spans="1:23" ht="13.8">
      <c r="A589" s="269"/>
      <c r="B589" s="269"/>
      <c r="C589" s="651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</row>
    <row r="590" spans="1:23" ht="13.8">
      <c r="A590" s="269"/>
      <c r="B590" s="269"/>
      <c r="C590" s="651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</row>
    <row r="591" spans="1:23" ht="13.8">
      <c r="A591" s="269"/>
      <c r="B591" s="269"/>
      <c r="C591" s="651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</row>
    <row r="592" spans="1:23" ht="13.8">
      <c r="A592" s="269"/>
      <c r="B592" s="269"/>
      <c r="C592" s="651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</row>
    <row r="593" spans="1:23" ht="13.8">
      <c r="A593" s="269"/>
      <c r="B593" s="269"/>
      <c r="C593" s="651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</row>
    <row r="594" spans="1:23" ht="13.8">
      <c r="A594" s="269"/>
      <c r="B594" s="269"/>
      <c r="C594" s="651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</row>
    <row r="595" spans="1:23" ht="13.8">
      <c r="A595" s="269"/>
      <c r="B595" s="269"/>
      <c r="C595" s="651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</row>
    <row r="596" spans="1:23" ht="13.8">
      <c r="A596" s="269"/>
      <c r="B596" s="269"/>
      <c r="C596" s="651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</row>
    <row r="597" spans="1:23" ht="13.8">
      <c r="A597" s="269"/>
      <c r="B597" s="269"/>
      <c r="C597" s="651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</row>
    <row r="598" spans="1:23" ht="13.8">
      <c r="A598" s="269"/>
      <c r="B598" s="269"/>
      <c r="C598" s="651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</row>
    <row r="599" spans="1:23" ht="13.8">
      <c r="A599" s="269"/>
      <c r="B599" s="269"/>
      <c r="C599" s="651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</row>
    <row r="600" spans="1:23" ht="13.8">
      <c r="A600" s="269"/>
      <c r="B600" s="269"/>
      <c r="C600" s="651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</row>
    <row r="601" spans="1:23" ht="13.8">
      <c r="A601" s="269"/>
      <c r="B601" s="269"/>
      <c r="C601" s="651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</row>
    <row r="602" spans="1:23" ht="13.8">
      <c r="A602" s="269"/>
      <c r="B602" s="269"/>
      <c r="C602" s="651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</row>
    <row r="603" spans="1:23" ht="13.8">
      <c r="A603" s="269"/>
      <c r="B603" s="269"/>
      <c r="C603" s="651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</row>
    <row r="604" spans="1:23" ht="13.8">
      <c r="A604" s="269"/>
      <c r="B604" s="269"/>
      <c r="C604" s="651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</row>
    <row r="605" spans="1:23" ht="13.8">
      <c r="A605" s="269"/>
      <c r="B605" s="269"/>
      <c r="C605" s="651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</row>
    <row r="606" spans="1:23" ht="13.8">
      <c r="A606" s="269"/>
      <c r="B606" s="269"/>
      <c r="C606" s="651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</row>
    <row r="607" spans="1:23" ht="13.8">
      <c r="A607" s="269"/>
      <c r="B607" s="269"/>
      <c r="C607" s="651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</row>
    <row r="608" spans="1:23" ht="13.8">
      <c r="A608" s="269"/>
      <c r="B608" s="269"/>
      <c r="C608" s="651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</row>
    <row r="609" spans="1:23" ht="13.8">
      <c r="A609" s="269"/>
      <c r="B609" s="269"/>
      <c r="C609" s="651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</row>
    <row r="610" spans="1:23" ht="13.8">
      <c r="A610" s="269"/>
      <c r="B610" s="269"/>
      <c r="C610" s="651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</row>
    <row r="611" spans="1:23" ht="13.8">
      <c r="A611" s="269"/>
      <c r="B611" s="269"/>
      <c r="C611" s="651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</row>
    <row r="612" spans="1:23" ht="13.8">
      <c r="A612" s="269"/>
      <c r="B612" s="269"/>
      <c r="C612" s="651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</row>
    <row r="613" spans="1:23" ht="13.8">
      <c r="A613" s="269"/>
      <c r="B613" s="269"/>
      <c r="C613" s="651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</row>
    <row r="614" spans="1:23" ht="13.8">
      <c r="A614" s="269"/>
      <c r="B614" s="269"/>
      <c r="C614" s="651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</row>
    <row r="615" spans="1:23" ht="13.8">
      <c r="A615" s="269"/>
      <c r="B615" s="269"/>
      <c r="C615" s="651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</row>
    <row r="616" spans="1:23" ht="13.8">
      <c r="A616" s="269"/>
      <c r="B616" s="269"/>
      <c r="C616" s="651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</row>
    <row r="617" spans="1:23" ht="13.8">
      <c r="A617" s="269"/>
      <c r="B617" s="269"/>
      <c r="C617" s="651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</row>
    <row r="618" spans="1:23" ht="13.8">
      <c r="A618" s="269"/>
      <c r="B618" s="269"/>
      <c r="C618" s="651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</row>
    <row r="619" spans="1:23" ht="13.8">
      <c r="A619" s="269"/>
      <c r="B619" s="269"/>
      <c r="C619" s="651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</row>
    <row r="620" spans="1:23" ht="13.8">
      <c r="A620" s="269"/>
      <c r="B620" s="269"/>
      <c r="C620" s="651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</row>
    <row r="621" spans="1:23" ht="13.8">
      <c r="A621" s="269"/>
      <c r="B621" s="269"/>
      <c r="C621" s="651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</row>
    <row r="622" spans="1:23" ht="13.8">
      <c r="A622" s="269"/>
      <c r="B622" s="269"/>
      <c r="C622" s="651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</row>
    <row r="623" spans="1:23" ht="13.8">
      <c r="A623" s="269"/>
      <c r="B623" s="269"/>
      <c r="C623" s="651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</row>
    <row r="624" spans="1:23" ht="13.8">
      <c r="A624" s="269"/>
      <c r="B624" s="269"/>
      <c r="C624" s="651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</row>
    <row r="625" spans="1:23" ht="13.8">
      <c r="A625" s="269"/>
      <c r="B625" s="269"/>
      <c r="C625" s="651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</row>
    <row r="626" spans="1:23" ht="13.8">
      <c r="A626" s="269"/>
      <c r="B626" s="269"/>
      <c r="C626" s="651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</row>
    <row r="627" spans="1:23" ht="13.8">
      <c r="A627" s="269"/>
      <c r="B627" s="269"/>
      <c r="C627" s="651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</row>
    <row r="628" spans="1:23" ht="13.8">
      <c r="A628" s="269"/>
      <c r="B628" s="269"/>
      <c r="C628" s="651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</row>
    <row r="629" spans="1:23" ht="13.8">
      <c r="A629" s="269"/>
      <c r="B629" s="269"/>
      <c r="C629" s="651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</row>
    <row r="630" spans="1:23" ht="13.8">
      <c r="A630" s="269"/>
      <c r="B630" s="269"/>
      <c r="C630" s="651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</row>
    <row r="631" spans="1:23" ht="13.8">
      <c r="A631" s="269"/>
      <c r="B631" s="269"/>
      <c r="C631" s="651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</row>
    <row r="632" spans="1:23" ht="13.8">
      <c r="A632" s="269"/>
      <c r="B632" s="269"/>
      <c r="C632" s="651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</row>
    <row r="633" spans="1:23" ht="13.8">
      <c r="A633" s="269"/>
      <c r="B633" s="269"/>
      <c r="C633" s="651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</row>
    <row r="634" spans="1:23" ht="13.8">
      <c r="A634" s="269"/>
      <c r="B634" s="269"/>
      <c r="C634" s="651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</row>
    <row r="635" spans="1:23" ht="13.8">
      <c r="A635" s="269"/>
      <c r="B635" s="269"/>
      <c r="C635" s="651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</row>
    <row r="636" spans="1:23" ht="13.8">
      <c r="A636" s="269"/>
      <c r="B636" s="269"/>
      <c r="C636" s="651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</row>
    <row r="637" spans="1:23" ht="13.8">
      <c r="A637" s="269"/>
      <c r="B637" s="269"/>
      <c r="C637" s="651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</row>
    <row r="638" spans="1:23" ht="13.8">
      <c r="A638" s="269"/>
      <c r="B638" s="269"/>
      <c r="C638" s="651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</row>
    <row r="639" spans="1:23" ht="13.8">
      <c r="A639" s="269"/>
      <c r="B639" s="269"/>
      <c r="C639" s="651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</row>
    <row r="640" spans="1:23" ht="13.8">
      <c r="A640" s="269"/>
      <c r="B640" s="269"/>
      <c r="C640" s="651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</row>
    <row r="641" spans="1:23" ht="13.8">
      <c r="A641" s="269"/>
      <c r="B641" s="269"/>
      <c r="C641" s="651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</row>
    <row r="642" spans="1:23" ht="13.8">
      <c r="A642" s="269"/>
      <c r="B642" s="269"/>
      <c r="C642" s="651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</row>
    <row r="643" spans="1:23" ht="13.8">
      <c r="A643" s="269"/>
      <c r="B643" s="269"/>
      <c r="C643" s="651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</row>
    <row r="644" spans="1:23" ht="13.8">
      <c r="A644" s="269"/>
      <c r="B644" s="269"/>
      <c r="C644" s="651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</row>
    <row r="645" spans="1:23" ht="13.8">
      <c r="A645" s="269"/>
      <c r="B645" s="269"/>
      <c r="C645" s="651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</row>
    <row r="646" spans="1:23" ht="13.8">
      <c r="A646" s="269"/>
      <c r="B646" s="269"/>
      <c r="C646" s="651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</row>
    <row r="647" spans="1:23" ht="13.8">
      <c r="A647" s="269"/>
      <c r="B647" s="269"/>
      <c r="C647" s="651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</row>
    <row r="648" spans="1:23" ht="13.8">
      <c r="A648" s="269"/>
      <c r="B648" s="269"/>
      <c r="C648" s="651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</row>
    <row r="649" spans="1:23" ht="13.8">
      <c r="A649" s="269"/>
      <c r="B649" s="269"/>
      <c r="C649" s="651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</row>
    <row r="650" spans="1:23" ht="13.8">
      <c r="A650" s="269"/>
      <c r="B650" s="269"/>
      <c r="C650" s="651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</row>
    <row r="651" spans="1:23" ht="13.8">
      <c r="A651" s="269"/>
      <c r="B651" s="269"/>
      <c r="C651" s="651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</row>
    <row r="652" spans="1:23" ht="13.8">
      <c r="A652" s="269"/>
      <c r="B652" s="269"/>
      <c r="C652" s="651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</row>
    <row r="653" spans="1:23" ht="13.8">
      <c r="A653" s="269"/>
      <c r="B653" s="269"/>
      <c r="C653" s="651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</row>
    <row r="654" spans="1:23" ht="13.8">
      <c r="A654" s="269"/>
      <c r="B654" s="269"/>
      <c r="C654" s="651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</row>
    <row r="655" spans="1:23" ht="13.8">
      <c r="A655" s="269"/>
      <c r="B655" s="269"/>
      <c r="C655" s="651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</row>
    <row r="656" spans="1:23" ht="13.8">
      <c r="A656" s="269"/>
      <c r="B656" s="269"/>
      <c r="C656" s="651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</row>
    <row r="657" spans="1:23" ht="13.8">
      <c r="A657" s="269"/>
      <c r="B657" s="269"/>
      <c r="C657" s="651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</row>
    <row r="658" spans="1:23" ht="13.8">
      <c r="A658" s="269"/>
      <c r="B658" s="269"/>
      <c r="C658" s="651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</row>
    <row r="659" spans="1:23" ht="13.8">
      <c r="A659" s="269"/>
      <c r="B659" s="269"/>
      <c r="C659" s="651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</row>
    <row r="660" spans="1:23" ht="13.8">
      <c r="A660" s="269"/>
      <c r="B660" s="269"/>
      <c r="C660" s="651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</row>
    <row r="661" spans="1:23" ht="13.8">
      <c r="A661" s="269"/>
      <c r="B661" s="269"/>
      <c r="C661" s="651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</row>
    <row r="662" spans="1:23" ht="13.8">
      <c r="A662" s="269"/>
      <c r="B662" s="269"/>
      <c r="C662" s="651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</row>
    <row r="663" spans="1:23" ht="13.8">
      <c r="A663" s="269"/>
      <c r="B663" s="269"/>
      <c r="C663" s="651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</row>
    <row r="664" spans="1:23" ht="13.8">
      <c r="A664" s="269"/>
      <c r="B664" s="269"/>
      <c r="C664" s="651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</row>
    <row r="665" spans="1:23" ht="13.8">
      <c r="A665" s="269"/>
      <c r="B665" s="269"/>
      <c r="C665" s="651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</row>
    <row r="666" spans="1:23" ht="13.8">
      <c r="A666" s="269"/>
      <c r="B666" s="269"/>
      <c r="C666" s="651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</row>
    <row r="667" spans="1:23" ht="13.8">
      <c r="A667" s="269"/>
      <c r="B667" s="269"/>
      <c r="C667" s="651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</row>
    <row r="668" spans="1:23" ht="13.8">
      <c r="A668" s="269"/>
      <c r="B668" s="269"/>
      <c r="C668" s="651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</row>
    <row r="669" spans="1:23" ht="13.8">
      <c r="A669" s="269"/>
      <c r="B669" s="269"/>
      <c r="C669" s="651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</row>
    <row r="670" spans="1:23" ht="13.8">
      <c r="A670" s="269"/>
      <c r="B670" s="269"/>
      <c r="C670" s="651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</row>
    <row r="671" spans="1:23" ht="13.8">
      <c r="A671" s="269"/>
      <c r="B671" s="269"/>
      <c r="C671" s="651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</row>
    <row r="672" spans="1:23" ht="13.8">
      <c r="A672" s="269"/>
      <c r="B672" s="269"/>
      <c r="C672" s="651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</row>
    <row r="673" spans="1:23" ht="13.8">
      <c r="A673" s="269"/>
      <c r="B673" s="269"/>
      <c r="C673" s="651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</row>
    <row r="674" spans="1:23" ht="13.8">
      <c r="A674" s="269"/>
      <c r="B674" s="269"/>
      <c r="C674" s="651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</row>
    <row r="675" spans="1:23" ht="13.8">
      <c r="A675" s="269"/>
      <c r="B675" s="269"/>
      <c r="C675" s="651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</row>
    <row r="676" spans="1:23" ht="13.8">
      <c r="A676" s="269"/>
      <c r="B676" s="269"/>
      <c r="C676" s="651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</row>
    <row r="677" spans="1:23" ht="13.8">
      <c r="A677" s="269"/>
      <c r="B677" s="269"/>
      <c r="C677" s="651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</row>
    <row r="678" spans="1:23" ht="13.8">
      <c r="A678" s="269"/>
      <c r="B678" s="269"/>
      <c r="C678" s="651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</row>
    <row r="679" spans="1:23" ht="13.8">
      <c r="A679" s="269"/>
      <c r="B679" s="269"/>
      <c r="C679" s="651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</row>
    <row r="680" spans="1:23" ht="13.8">
      <c r="A680" s="269"/>
      <c r="B680" s="269"/>
      <c r="C680" s="651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</row>
    <row r="681" spans="1:23" ht="13.8">
      <c r="A681" s="269"/>
      <c r="B681" s="269"/>
      <c r="C681" s="651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</row>
    <row r="682" spans="1:23" ht="13.8">
      <c r="A682" s="269"/>
      <c r="B682" s="269"/>
      <c r="C682" s="651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</row>
    <row r="683" spans="1:23" ht="13.8">
      <c r="A683" s="269"/>
      <c r="B683" s="269"/>
      <c r="C683" s="651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</row>
    <row r="684" spans="1:23" ht="13.8">
      <c r="A684" s="269"/>
      <c r="B684" s="269"/>
      <c r="C684" s="651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</row>
    <row r="685" spans="1:23" ht="13.8">
      <c r="A685" s="269"/>
      <c r="B685" s="269"/>
      <c r="C685" s="651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</row>
    <row r="686" spans="1:23" ht="13.8">
      <c r="A686" s="269"/>
      <c r="B686" s="269"/>
      <c r="C686" s="651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</row>
    <row r="687" spans="1:23" ht="13.8">
      <c r="A687" s="269"/>
      <c r="B687" s="269"/>
      <c r="C687" s="651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</row>
    <row r="688" spans="1:23" ht="13.8">
      <c r="A688" s="269"/>
      <c r="B688" s="269"/>
      <c r="C688" s="651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</row>
    <row r="689" spans="1:23" ht="13.8">
      <c r="A689" s="269"/>
      <c r="B689" s="269"/>
      <c r="C689" s="651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</row>
    <row r="690" spans="1:23" ht="13.8">
      <c r="A690" s="269"/>
      <c r="B690" s="269"/>
      <c r="C690" s="651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</row>
    <row r="691" spans="1:23" ht="13.8">
      <c r="A691" s="269"/>
      <c r="B691" s="269"/>
      <c r="C691" s="651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</row>
    <row r="692" spans="1:23" ht="13.8">
      <c r="A692" s="269"/>
      <c r="B692" s="269"/>
      <c r="C692" s="651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</row>
    <row r="693" spans="1:23" ht="13.8">
      <c r="A693" s="269"/>
      <c r="B693" s="269"/>
      <c r="C693" s="651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</row>
    <row r="694" spans="1:23" ht="13.8">
      <c r="A694" s="269"/>
      <c r="B694" s="269"/>
      <c r="C694" s="651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</row>
    <row r="695" spans="1:23" ht="13.8">
      <c r="A695" s="269"/>
      <c r="B695" s="269"/>
      <c r="C695" s="651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</row>
    <row r="696" spans="1:23" ht="13.8">
      <c r="A696" s="269"/>
      <c r="B696" s="269"/>
      <c r="C696" s="651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</row>
    <row r="697" spans="1:23" ht="13.8">
      <c r="A697" s="269"/>
      <c r="B697" s="269"/>
      <c r="C697" s="651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</row>
    <row r="698" spans="1:23" ht="13.8">
      <c r="A698" s="269"/>
      <c r="B698" s="269"/>
      <c r="C698" s="651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</row>
    <row r="699" spans="1:23" ht="13.8">
      <c r="A699" s="269"/>
      <c r="B699" s="269"/>
      <c r="C699" s="651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</row>
    <row r="700" spans="1:23" ht="13.8">
      <c r="A700" s="269"/>
      <c r="B700" s="269"/>
      <c r="C700" s="651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</row>
    <row r="701" spans="1:23" ht="13.8">
      <c r="A701" s="269"/>
      <c r="B701" s="269"/>
      <c r="C701" s="651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</row>
    <row r="702" spans="1:23" ht="13.8">
      <c r="A702" s="269"/>
      <c r="B702" s="269"/>
      <c r="C702" s="651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</row>
    <row r="703" spans="1:23" ht="13.8">
      <c r="A703" s="269"/>
      <c r="B703" s="269"/>
      <c r="C703" s="651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</row>
    <row r="704" spans="1:23" ht="13.8">
      <c r="A704" s="269"/>
      <c r="B704" s="269"/>
      <c r="C704" s="651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</row>
    <row r="705" spans="1:23" ht="13.8">
      <c r="A705" s="269"/>
      <c r="B705" s="269"/>
      <c r="C705" s="651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</row>
    <row r="706" spans="1:23" ht="13.8">
      <c r="A706" s="269"/>
      <c r="B706" s="269"/>
      <c r="C706" s="651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</row>
    <row r="707" spans="1:23" ht="13.8">
      <c r="A707" s="269"/>
      <c r="B707" s="269"/>
      <c r="C707" s="651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</row>
    <row r="708" spans="1:23" ht="13.8">
      <c r="A708" s="269"/>
      <c r="B708" s="269"/>
      <c r="C708" s="651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</row>
    <row r="709" spans="1:23" ht="13.8">
      <c r="A709" s="269"/>
      <c r="B709" s="269"/>
      <c r="C709" s="651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</row>
    <row r="710" spans="1:23" ht="13.8">
      <c r="A710" s="269"/>
      <c r="B710" s="269"/>
      <c r="C710" s="651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</row>
    <row r="711" spans="1:23" ht="13.8">
      <c r="A711" s="269"/>
      <c r="B711" s="269"/>
      <c r="C711" s="651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</row>
    <row r="712" spans="1:23" ht="13.8">
      <c r="A712" s="269"/>
      <c r="B712" s="269"/>
      <c r="C712" s="651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</row>
    <row r="713" spans="1:23" ht="13.8">
      <c r="A713" s="269"/>
      <c r="B713" s="269"/>
      <c r="C713" s="651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</row>
    <row r="714" spans="1:23" ht="13.8">
      <c r="A714" s="269"/>
      <c r="B714" s="269"/>
      <c r="C714" s="651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</row>
    <row r="715" spans="1:23" ht="13.8">
      <c r="A715" s="269"/>
      <c r="B715" s="269"/>
      <c r="C715" s="651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</row>
    <row r="716" spans="1:23" ht="13.8">
      <c r="A716" s="269"/>
      <c r="B716" s="269"/>
      <c r="C716" s="651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</row>
    <row r="717" spans="1:23" ht="13.8">
      <c r="A717" s="269"/>
      <c r="B717" s="269"/>
      <c r="C717" s="651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</row>
    <row r="718" spans="1:23" ht="13.8">
      <c r="A718" s="269"/>
      <c r="B718" s="269"/>
      <c r="C718" s="651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</row>
    <row r="719" spans="1:23" ht="13.8">
      <c r="A719" s="269"/>
      <c r="B719" s="269"/>
      <c r="C719" s="651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</row>
    <row r="720" spans="1:23" ht="13.8">
      <c r="A720" s="269"/>
      <c r="B720" s="269"/>
      <c r="C720" s="651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</row>
    <row r="721" spans="1:23" ht="13.8">
      <c r="A721" s="269"/>
      <c r="B721" s="269"/>
      <c r="C721" s="651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</row>
    <row r="722" spans="1:23" ht="13.8">
      <c r="A722" s="269"/>
      <c r="B722" s="269"/>
      <c r="C722" s="651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</row>
    <row r="723" spans="1:23" ht="13.8">
      <c r="A723" s="269"/>
      <c r="B723" s="269"/>
      <c r="C723" s="651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</row>
    <row r="724" spans="1:23" ht="13.8">
      <c r="A724" s="269"/>
      <c r="B724" s="269"/>
      <c r="C724" s="651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</row>
    <row r="725" spans="1:23" ht="13.8">
      <c r="A725" s="269"/>
      <c r="B725" s="269"/>
      <c r="C725" s="651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</row>
    <row r="726" spans="1:23" ht="13.8">
      <c r="A726" s="269"/>
      <c r="B726" s="269"/>
      <c r="C726" s="651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</row>
    <row r="727" spans="1:23" ht="13.8">
      <c r="A727" s="269"/>
      <c r="B727" s="269"/>
      <c r="C727" s="651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</row>
    <row r="728" spans="1:23" ht="13.8">
      <c r="A728" s="269"/>
      <c r="B728" s="269"/>
      <c r="C728" s="651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</row>
    <row r="729" spans="1:23" ht="13.8">
      <c r="A729" s="269"/>
      <c r="B729" s="269"/>
      <c r="C729" s="651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</row>
    <row r="730" spans="1:23" ht="13.8">
      <c r="A730" s="269"/>
      <c r="B730" s="269"/>
      <c r="C730" s="651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</row>
    <row r="731" spans="1:23" ht="13.8">
      <c r="A731" s="269"/>
      <c r="B731" s="269"/>
      <c r="C731" s="651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</row>
    <row r="732" spans="1:23" ht="13.8">
      <c r="A732" s="269"/>
      <c r="B732" s="269"/>
      <c r="C732" s="651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</row>
    <row r="733" spans="1:23" ht="13.8">
      <c r="A733" s="269"/>
      <c r="B733" s="269"/>
      <c r="C733" s="651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</row>
    <row r="734" spans="1:23" ht="13.8">
      <c r="A734" s="269"/>
      <c r="B734" s="269"/>
      <c r="C734" s="651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</row>
    <row r="735" spans="1:23" ht="13.8">
      <c r="A735" s="269"/>
      <c r="B735" s="269"/>
      <c r="C735" s="651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</row>
    <row r="736" spans="1:23" ht="13.8">
      <c r="A736" s="269"/>
      <c r="B736" s="269"/>
      <c r="C736" s="651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</row>
    <row r="737" spans="1:23" ht="13.8">
      <c r="A737" s="269"/>
      <c r="B737" s="269"/>
      <c r="C737" s="651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</row>
    <row r="738" spans="1:23" ht="13.8">
      <c r="A738" s="269"/>
      <c r="B738" s="269"/>
      <c r="C738" s="651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</row>
    <row r="739" spans="1:23" ht="13.8">
      <c r="A739" s="269"/>
      <c r="B739" s="269"/>
      <c r="C739" s="651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</row>
    <row r="740" spans="1:23" ht="13.8">
      <c r="A740" s="269"/>
      <c r="B740" s="269"/>
      <c r="C740" s="651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</row>
    <row r="741" spans="1:23" ht="13.8">
      <c r="A741" s="269"/>
      <c r="B741" s="269"/>
      <c r="C741" s="651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</row>
    <row r="742" spans="1:23" ht="13.8">
      <c r="A742" s="269"/>
      <c r="B742" s="269"/>
      <c r="C742" s="651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</row>
    <row r="743" spans="1:23" ht="13.8">
      <c r="A743" s="269"/>
      <c r="B743" s="269"/>
      <c r="C743" s="651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</row>
    <row r="744" spans="1:23" ht="13.8">
      <c r="A744" s="269"/>
      <c r="B744" s="269"/>
      <c r="C744" s="651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</row>
    <row r="745" spans="1:23" ht="13.8">
      <c r="A745" s="269"/>
      <c r="B745" s="269"/>
      <c r="C745" s="651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</row>
    <row r="746" spans="1:23" ht="13.8">
      <c r="A746" s="269"/>
      <c r="B746" s="269"/>
      <c r="C746" s="651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</row>
    <row r="747" spans="1:23" ht="13.8">
      <c r="A747" s="269"/>
      <c r="B747" s="269"/>
      <c r="C747" s="651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</row>
    <row r="748" spans="1:23" ht="13.8">
      <c r="A748" s="269"/>
      <c r="B748" s="269"/>
      <c r="C748" s="651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</row>
    <row r="749" spans="1:23" ht="13.8">
      <c r="A749" s="269"/>
      <c r="B749" s="269"/>
      <c r="C749" s="651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</row>
    <row r="750" spans="1:23" ht="13.8">
      <c r="A750" s="269"/>
      <c r="B750" s="269"/>
      <c r="C750" s="651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</row>
    <row r="751" spans="1:23" ht="13.8">
      <c r="A751" s="269"/>
      <c r="B751" s="269"/>
      <c r="C751" s="651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</row>
    <row r="752" spans="1:23" ht="13.8">
      <c r="A752" s="269"/>
      <c r="B752" s="269"/>
      <c r="C752" s="651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</row>
    <row r="753" spans="1:23" ht="13.8">
      <c r="A753" s="269"/>
      <c r="B753" s="269"/>
      <c r="C753" s="651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</row>
    <row r="754" spans="1:23" ht="13.8">
      <c r="A754" s="269"/>
      <c r="B754" s="269"/>
      <c r="C754" s="651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</row>
    <row r="755" spans="1:23" ht="13.8">
      <c r="A755" s="269"/>
      <c r="B755" s="269"/>
      <c r="C755" s="651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</row>
    <row r="756" spans="1:23" ht="13.8">
      <c r="A756" s="269"/>
      <c r="B756" s="269"/>
      <c r="C756" s="651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</row>
    <row r="757" spans="1:23" ht="13.8">
      <c r="A757" s="269"/>
      <c r="B757" s="269"/>
      <c r="C757" s="651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</row>
    <row r="758" spans="1:23" ht="13.8">
      <c r="A758" s="269"/>
      <c r="B758" s="269"/>
      <c r="C758" s="651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</row>
    <row r="759" spans="1:23" ht="13.8">
      <c r="A759" s="269"/>
      <c r="B759" s="269"/>
      <c r="C759" s="651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</row>
    <row r="760" spans="1:23" ht="13.8">
      <c r="A760" s="269"/>
      <c r="B760" s="269"/>
      <c r="C760" s="651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</row>
    <row r="761" spans="1:23" ht="13.8">
      <c r="A761" s="269"/>
      <c r="B761" s="269"/>
      <c r="C761" s="651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</row>
    <row r="762" spans="1:23" ht="13.8">
      <c r="A762" s="269"/>
      <c r="B762" s="269"/>
      <c r="C762" s="651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</row>
    <row r="763" spans="1:23" ht="13.8">
      <c r="A763" s="269"/>
      <c r="B763" s="269"/>
      <c r="C763" s="651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</row>
    <row r="764" spans="1:23" ht="13.8">
      <c r="A764" s="269"/>
      <c r="B764" s="269"/>
      <c r="C764" s="651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</row>
    <row r="765" spans="1:23" ht="13.8">
      <c r="A765" s="269"/>
      <c r="B765" s="269"/>
      <c r="C765" s="651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</row>
    <row r="766" spans="1:23" ht="13.8">
      <c r="A766" s="269"/>
      <c r="B766" s="269"/>
      <c r="C766" s="651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</row>
    <row r="767" spans="1:23" ht="13.8">
      <c r="A767" s="269"/>
      <c r="B767" s="269"/>
      <c r="C767" s="651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</row>
    <row r="768" spans="1:23" ht="13.8">
      <c r="A768" s="269"/>
      <c r="B768" s="269"/>
      <c r="C768" s="651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</row>
    <row r="769" spans="1:23" ht="13.8">
      <c r="A769" s="269"/>
      <c r="B769" s="269"/>
      <c r="C769" s="651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</row>
    <row r="770" spans="1:23" ht="13.8">
      <c r="A770" s="269"/>
      <c r="B770" s="269"/>
      <c r="C770" s="651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</row>
    <row r="771" spans="1:23" ht="13.8">
      <c r="A771" s="269"/>
      <c r="B771" s="269"/>
      <c r="C771" s="651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</row>
    <row r="772" spans="1:23" ht="13.8">
      <c r="A772" s="269"/>
      <c r="B772" s="269"/>
      <c r="C772" s="651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</row>
    <row r="773" spans="1:23" ht="13.8">
      <c r="A773" s="269"/>
      <c r="B773" s="269"/>
      <c r="C773" s="651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</row>
    <row r="774" spans="1:23" ht="13.8">
      <c r="A774" s="269"/>
      <c r="B774" s="269"/>
      <c r="C774" s="651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</row>
    <row r="775" spans="1:23" ht="13.8">
      <c r="A775" s="269"/>
      <c r="B775" s="269"/>
      <c r="C775" s="651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</row>
    <row r="776" spans="1:23" ht="13.8">
      <c r="A776" s="269"/>
      <c r="B776" s="269"/>
      <c r="C776" s="651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</row>
    <row r="777" spans="1:23" ht="13.8">
      <c r="A777" s="269"/>
      <c r="B777" s="269"/>
      <c r="C777" s="651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</row>
    <row r="778" spans="1:23" ht="13.8">
      <c r="A778" s="269"/>
      <c r="B778" s="269"/>
      <c r="C778" s="651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</row>
    <row r="779" spans="1:23" ht="13.8">
      <c r="A779" s="269"/>
      <c r="B779" s="269"/>
      <c r="C779" s="651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</row>
    <row r="780" spans="1:23" ht="13.8">
      <c r="A780" s="269"/>
      <c r="B780" s="269"/>
      <c r="C780" s="651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</row>
    <row r="781" spans="1:23" ht="13.8">
      <c r="A781" s="269"/>
      <c r="B781" s="269"/>
      <c r="C781" s="651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</row>
    <row r="782" spans="1:23" ht="13.8">
      <c r="A782" s="269"/>
      <c r="B782" s="269"/>
      <c r="C782" s="651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</row>
    <row r="783" spans="1:23" ht="13.8">
      <c r="A783" s="269"/>
      <c r="B783" s="269"/>
      <c r="C783" s="651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</row>
    <row r="784" spans="1:23" ht="13.8">
      <c r="A784" s="269"/>
      <c r="B784" s="269"/>
      <c r="C784" s="651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</row>
    <row r="785" spans="1:23" ht="13.8">
      <c r="A785" s="269"/>
      <c r="B785" s="269"/>
      <c r="C785" s="651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</row>
    <row r="786" spans="1:23" ht="13.8">
      <c r="A786" s="269"/>
      <c r="B786" s="269"/>
      <c r="C786" s="651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</row>
    <row r="787" spans="1:23" ht="13.8">
      <c r="A787" s="269"/>
      <c r="B787" s="269"/>
      <c r="C787" s="651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</row>
    <row r="788" spans="1:23" ht="13.8">
      <c r="A788" s="269"/>
      <c r="B788" s="269"/>
      <c r="C788" s="651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</row>
    <row r="789" spans="1:23" ht="13.8">
      <c r="A789" s="269"/>
      <c r="B789" s="269"/>
      <c r="C789" s="651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</row>
    <row r="790" spans="1:23" ht="13.8">
      <c r="A790" s="269"/>
      <c r="B790" s="269"/>
      <c r="C790" s="651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</row>
    <row r="791" spans="1:23" ht="13.8">
      <c r="A791" s="269"/>
      <c r="B791" s="269"/>
      <c r="C791" s="651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</row>
    <row r="792" spans="1:23" ht="13.8">
      <c r="A792" s="269"/>
      <c r="B792" s="269"/>
      <c r="C792" s="651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</row>
    <row r="793" spans="1:23" ht="13.8">
      <c r="A793" s="269"/>
      <c r="B793" s="269"/>
      <c r="C793" s="651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</row>
    <row r="794" spans="1:23" ht="13.8">
      <c r="A794" s="269"/>
      <c r="B794" s="269"/>
      <c r="C794" s="651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</row>
    <row r="795" spans="1:23" ht="13.8">
      <c r="A795" s="269"/>
      <c r="B795" s="269"/>
      <c r="C795" s="651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</row>
    <row r="796" spans="1:23" ht="13.8">
      <c r="A796" s="269"/>
      <c r="B796" s="269"/>
      <c r="C796" s="651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</row>
    <row r="797" spans="1:23" ht="13.8">
      <c r="A797" s="269"/>
      <c r="B797" s="269"/>
      <c r="C797" s="651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</row>
    <row r="798" spans="1:23" ht="13.8">
      <c r="A798" s="269"/>
      <c r="B798" s="269"/>
      <c r="C798" s="651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</row>
    <row r="799" spans="1:23" ht="13.8">
      <c r="A799" s="269"/>
      <c r="B799" s="269"/>
      <c r="C799" s="651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</row>
    <row r="800" spans="1:23" ht="13.8">
      <c r="A800" s="269"/>
      <c r="B800" s="269"/>
      <c r="C800" s="651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</row>
    <row r="801" spans="1:23" ht="13.8">
      <c r="A801" s="269"/>
      <c r="B801" s="269"/>
      <c r="C801" s="651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</row>
    <row r="802" spans="1:23" ht="13.8">
      <c r="A802" s="269"/>
      <c r="B802" s="269"/>
      <c r="C802" s="651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</row>
    <row r="803" spans="1:23" ht="13.8">
      <c r="A803" s="269"/>
      <c r="B803" s="269"/>
      <c r="C803" s="651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</row>
    <row r="804" spans="1:23" ht="13.8">
      <c r="A804" s="269"/>
      <c r="B804" s="269"/>
      <c r="C804" s="651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</row>
    <row r="805" spans="1:23" ht="13.8">
      <c r="A805" s="269"/>
      <c r="B805" s="269"/>
      <c r="C805" s="651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</row>
    <row r="806" spans="1:23" ht="13.8">
      <c r="A806" s="269"/>
      <c r="B806" s="269"/>
      <c r="C806" s="651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</row>
    <row r="807" spans="1:23" ht="13.8">
      <c r="A807" s="269"/>
      <c r="B807" s="269"/>
      <c r="C807" s="651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</row>
    <row r="808" spans="1:23" ht="13.8">
      <c r="A808" s="269"/>
      <c r="B808" s="269"/>
      <c r="C808" s="651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</row>
    <row r="809" spans="1:23" ht="13.8">
      <c r="A809" s="269"/>
      <c r="B809" s="269"/>
      <c r="C809" s="651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</row>
    <row r="810" spans="1:23" ht="13.8">
      <c r="A810" s="269"/>
      <c r="B810" s="269"/>
      <c r="C810" s="651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</row>
    <row r="811" spans="1:23" ht="13.8">
      <c r="A811" s="269"/>
      <c r="B811" s="269"/>
      <c r="C811" s="651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</row>
    <row r="812" spans="1:23" ht="13.8">
      <c r="A812" s="269"/>
      <c r="B812" s="269"/>
      <c r="C812" s="651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</row>
    <row r="813" spans="1:23" ht="13.8">
      <c r="A813" s="269"/>
      <c r="B813" s="269"/>
      <c r="C813" s="651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</row>
    <row r="814" spans="1:23" ht="13.8">
      <c r="A814" s="269"/>
      <c r="B814" s="269"/>
      <c r="C814" s="651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</row>
    <row r="815" spans="1:23" ht="13.8">
      <c r="A815" s="269"/>
      <c r="B815" s="269"/>
      <c r="C815" s="651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</row>
    <row r="816" spans="1:23" ht="13.8">
      <c r="A816" s="269"/>
      <c r="B816" s="269"/>
      <c r="C816" s="651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</row>
    <row r="817" spans="1:23" ht="13.8">
      <c r="A817" s="269"/>
      <c r="B817" s="269"/>
      <c r="C817" s="651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</row>
    <row r="818" spans="1:23" ht="13.8">
      <c r="A818" s="269"/>
      <c r="B818" s="269"/>
      <c r="C818" s="651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</row>
    <row r="819" spans="1:23" ht="13.8">
      <c r="A819" s="269"/>
      <c r="B819" s="269"/>
      <c r="C819" s="651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</row>
    <row r="820" spans="1:23" ht="13.8">
      <c r="A820" s="269"/>
      <c r="B820" s="269"/>
      <c r="C820" s="651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</row>
    <row r="821" spans="1:23" ht="13.8">
      <c r="A821" s="269"/>
      <c r="B821" s="269"/>
      <c r="C821" s="651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</row>
    <row r="822" spans="1:23" ht="13.8">
      <c r="A822" s="269"/>
      <c r="B822" s="269"/>
      <c r="C822" s="651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</row>
    <row r="823" spans="1:23" ht="13.8">
      <c r="A823" s="269"/>
      <c r="B823" s="269"/>
      <c r="C823" s="651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</row>
    <row r="824" spans="1:23" ht="13.8">
      <c r="A824" s="269"/>
      <c r="B824" s="269"/>
      <c r="C824" s="651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</row>
    <row r="825" spans="1:23" ht="13.8">
      <c r="A825" s="269"/>
      <c r="B825" s="269"/>
      <c r="C825" s="651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</row>
    <row r="826" spans="1:23" ht="13.8">
      <c r="A826" s="269"/>
      <c r="B826" s="269"/>
      <c r="C826" s="651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</row>
    <row r="827" spans="1:23" ht="13.8">
      <c r="A827" s="269"/>
      <c r="B827" s="269"/>
      <c r="C827" s="651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</row>
    <row r="828" spans="1:23" ht="13.8">
      <c r="A828" s="269"/>
      <c r="B828" s="269"/>
      <c r="C828" s="651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</row>
    <row r="829" spans="1:23" ht="13.8">
      <c r="A829" s="269"/>
      <c r="B829" s="269"/>
      <c r="C829" s="651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</row>
    <row r="830" spans="1:23" ht="13.8">
      <c r="A830" s="269"/>
      <c r="B830" s="269"/>
      <c r="C830" s="651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</row>
    <row r="831" spans="1:23" ht="13.8">
      <c r="A831" s="269"/>
      <c r="B831" s="269"/>
      <c r="C831" s="651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</row>
    <row r="832" spans="1:23" ht="13.8">
      <c r="A832" s="269"/>
      <c r="B832" s="269"/>
      <c r="C832" s="651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</row>
    <row r="833" spans="1:23" ht="13.8">
      <c r="A833" s="269"/>
      <c r="B833" s="269"/>
      <c r="C833" s="651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</row>
    <row r="834" spans="1:23" ht="13.8">
      <c r="A834" s="269"/>
      <c r="B834" s="269"/>
      <c r="C834" s="651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</row>
    <row r="835" spans="1:23" ht="13.8">
      <c r="A835" s="269"/>
      <c r="B835" s="269"/>
      <c r="C835" s="651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</row>
    <row r="836" spans="1:23" ht="13.8">
      <c r="A836" s="269"/>
      <c r="B836" s="269"/>
      <c r="C836" s="651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</row>
    <row r="837" spans="1:23" ht="13.8">
      <c r="A837" s="269"/>
      <c r="B837" s="269"/>
      <c r="C837" s="651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</row>
    <row r="838" spans="1:23" ht="13.8">
      <c r="A838" s="269"/>
      <c r="B838" s="269"/>
      <c r="C838" s="651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</row>
    <row r="839" spans="1:23" ht="13.8">
      <c r="A839" s="269"/>
      <c r="B839" s="269"/>
      <c r="C839" s="651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</row>
    <row r="840" spans="1:23" ht="13.8">
      <c r="A840" s="269"/>
      <c r="B840" s="269"/>
      <c r="C840" s="651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</row>
    <row r="841" spans="1:23" ht="13.8">
      <c r="A841" s="269"/>
      <c r="B841" s="269"/>
      <c r="C841" s="651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</row>
    <row r="842" spans="1:23" ht="13.8">
      <c r="A842" s="269"/>
      <c r="B842" s="269"/>
      <c r="C842" s="651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</row>
    <row r="843" spans="1:23" ht="13.8">
      <c r="A843" s="269"/>
      <c r="B843" s="269"/>
      <c r="C843" s="651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</row>
    <row r="844" spans="1:23" ht="13.8">
      <c r="A844" s="269"/>
      <c r="B844" s="269"/>
      <c r="C844" s="651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</row>
    <row r="845" spans="1:23" ht="13.8">
      <c r="A845" s="269"/>
      <c r="B845" s="269"/>
      <c r="C845" s="651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</row>
    <row r="846" spans="1:23" ht="13.8">
      <c r="A846" s="269"/>
      <c r="B846" s="269"/>
      <c r="C846" s="651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</row>
    <row r="847" spans="1:23" ht="13.8">
      <c r="A847" s="269"/>
      <c r="B847" s="269"/>
      <c r="C847" s="651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</row>
    <row r="848" spans="1:23" ht="13.8">
      <c r="A848" s="269"/>
      <c r="B848" s="269"/>
      <c r="C848" s="651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</row>
    <row r="849" spans="1:23" ht="13.8">
      <c r="A849" s="269"/>
      <c r="B849" s="269"/>
      <c r="C849" s="651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</row>
    <row r="850" spans="1:23" ht="13.8">
      <c r="A850" s="269"/>
      <c r="B850" s="269"/>
      <c r="C850" s="651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</row>
    <row r="851" spans="1:23" ht="13.8">
      <c r="A851" s="269"/>
      <c r="B851" s="269"/>
      <c r="C851" s="651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</row>
    <row r="852" spans="1:23" ht="13.8">
      <c r="A852" s="269"/>
      <c r="B852" s="269"/>
      <c r="C852" s="651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</row>
    <row r="853" spans="1:23" ht="13.8">
      <c r="A853" s="269"/>
      <c r="B853" s="269"/>
      <c r="C853" s="651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</row>
    <row r="854" spans="1:23" ht="13.8">
      <c r="A854" s="269"/>
      <c r="B854" s="269"/>
      <c r="C854" s="651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</row>
    <row r="855" spans="1:23" ht="13.8">
      <c r="A855" s="269"/>
      <c r="B855" s="269"/>
      <c r="C855" s="651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</row>
    <row r="856" spans="1:23" ht="13.8">
      <c r="A856" s="269"/>
      <c r="B856" s="269"/>
      <c r="C856" s="651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</row>
    <row r="857" spans="1:23" ht="13.8">
      <c r="A857" s="269"/>
      <c r="B857" s="269"/>
      <c r="C857" s="651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</row>
    <row r="858" spans="1:23" ht="13.8">
      <c r="A858" s="269"/>
      <c r="B858" s="269"/>
      <c r="C858" s="651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</row>
    <row r="859" spans="1:23" ht="13.8">
      <c r="A859" s="269"/>
      <c r="B859" s="269"/>
      <c r="C859" s="651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</row>
    <row r="860" spans="1:23" ht="13.8">
      <c r="A860" s="269"/>
      <c r="B860" s="269"/>
      <c r="C860" s="651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</row>
    <row r="861" spans="1:23" ht="13.8">
      <c r="A861" s="269"/>
      <c r="B861" s="269"/>
      <c r="C861" s="651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</row>
    <row r="862" spans="1:23" ht="13.8">
      <c r="A862" s="269"/>
      <c r="B862" s="269"/>
      <c r="C862" s="651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</row>
    <row r="863" spans="1:23" ht="13.8">
      <c r="A863" s="269"/>
      <c r="B863" s="269"/>
      <c r="C863" s="651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</row>
    <row r="864" spans="1:23" ht="13.8">
      <c r="A864" s="269"/>
      <c r="B864" s="269"/>
      <c r="C864" s="651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</row>
    <row r="865" spans="1:23" ht="13.8">
      <c r="A865" s="269"/>
      <c r="B865" s="269"/>
      <c r="C865" s="651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</row>
    <row r="866" spans="1:23" ht="13.8">
      <c r="A866" s="269"/>
      <c r="B866" s="269"/>
      <c r="C866" s="651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</row>
    <row r="867" spans="1:23" ht="13.8">
      <c r="A867" s="269"/>
      <c r="B867" s="269"/>
      <c r="C867" s="651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</row>
    <row r="868" spans="1:23" ht="13.8">
      <c r="A868" s="269"/>
      <c r="B868" s="269"/>
      <c r="C868" s="651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</row>
    <row r="869" spans="1:23" ht="13.8">
      <c r="A869" s="269"/>
      <c r="B869" s="269"/>
      <c r="C869" s="651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</row>
    <row r="870" spans="1:23" ht="13.8">
      <c r="A870" s="269"/>
      <c r="B870" s="269"/>
      <c r="C870" s="651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</row>
    <row r="871" spans="1:23" ht="13.8">
      <c r="A871" s="269"/>
      <c r="B871" s="269"/>
      <c r="C871" s="651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</row>
    <row r="872" spans="1:23" ht="13.8">
      <c r="A872" s="269"/>
      <c r="B872" s="269"/>
      <c r="C872" s="651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</row>
    <row r="873" spans="1:23" ht="13.8">
      <c r="A873" s="269"/>
      <c r="B873" s="269"/>
      <c r="C873" s="651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</row>
    <row r="874" spans="1:23" ht="13.8">
      <c r="A874" s="269"/>
      <c r="B874" s="269"/>
      <c r="C874" s="651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</row>
    <row r="875" spans="1:23" ht="13.8">
      <c r="A875" s="269"/>
      <c r="B875" s="269"/>
      <c r="C875" s="651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</row>
    <row r="876" spans="1:23" ht="13.8">
      <c r="A876" s="269"/>
      <c r="B876" s="269"/>
      <c r="C876" s="651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</row>
    <row r="877" spans="1:23" ht="13.8">
      <c r="A877" s="269"/>
      <c r="B877" s="269"/>
      <c r="C877" s="651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</row>
    <row r="878" spans="1:23" ht="13.8">
      <c r="A878" s="269"/>
      <c r="B878" s="269"/>
      <c r="C878" s="651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</row>
    <row r="879" spans="1:23" ht="13.8">
      <c r="A879" s="269"/>
      <c r="B879" s="269"/>
      <c r="C879" s="651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</row>
    <row r="880" spans="1:23" ht="13.8">
      <c r="A880" s="269"/>
      <c r="B880" s="269"/>
      <c r="C880" s="651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</row>
    <row r="881" spans="1:23" ht="13.8">
      <c r="A881" s="269"/>
      <c r="B881" s="269"/>
      <c r="C881" s="651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</row>
    <row r="882" spans="1:23" ht="13.8">
      <c r="A882" s="269"/>
      <c r="B882" s="269"/>
      <c r="C882" s="651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</row>
    <row r="883" spans="1:23" ht="13.8">
      <c r="A883" s="269"/>
      <c r="B883" s="269"/>
      <c r="C883" s="651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</row>
    <row r="884" spans="1:23" ht="13.8">
      <c r="A884" s="269"/>
      <c r="B884" s="269"/>
      <c r="C884" s="651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</row>
    <row r="885" spans="1:23" ht="13.8">
      <c r="A885" s="269"/>
      <c r="B885" s="269"/>
      <c r="C885" s="651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</row>
    <row r="886" spans="1:23" ht="13.8">
      <c r="A886" s="269"/>
      <c r="B886" s="269"/>
      <c r="C886" s="651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</row>
    <row r="887" spans="1:23" ht="13.8">
      <c r="A887" s="269"/>
      <c r="B887" s="269"/>
      <c r="C887" s="651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</row>
    <row r="888" spans="1:23" ht="13.8">
      <c r="A888" s="269"/>
      <c r="B888" s="269"/>
      <c r="C888" s="651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</row>
    <row r="889" spans="1:23" ht="13.8">
      <c r="A889" s="269"/>
      <c r="B889" s="269"/>
      <c r="C889" s="651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</row>
    <row r="890" spans="1:23" ht="13.8">
      <c r="A890" s="269"/>
      <c r="B890" s="269"/>
      <c r="C890" s="651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</row>
    <row r="891" spans="1:23" ht="13.8">
      <c r="A891" s="269"/>
      <c r="B891" s="269"/>
      <c r="C891" s="651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</row>
    <row r="892" spans="1:23" ht="13.8">
      <c r="A892" s="269"/>
      <c r="B892" s="269"/>
      <c r="C892" s="651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</row>
    <row r="893" spans="1:23" ht="13.8">
      <c r="A893" s="269"/>
      <c r="B893" s="269"/>
      <c r="C893" s="651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</row>
    <row r="894" spans="1:23" ht="13.8">
      <c r="A894" s="269"/>
      <c r="B894" s="269"/>
      <c r="C894" s="651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</row>
    <row r="895" spans="1:23" ht="13.8">
      <c r="A895" s="269"/>
      <c r="B895" s="269"/>
      <c r="C895" s="651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</row>
    <row r="896" spans="1:23" ht="13.8">
      <c r="A896" s="269"/>
      <c r="B896" s="269"/>
      <c r="C896" s="651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</row>
    <row r="897" spans="1:23" ht="13.8">
      <c r="A897" s="269"/>
      <c r="B897" s="269"/>
      <c r="C897" s="651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</row>
    <row r="898" spans="1:23" ht="13.8">
      <c r="A898" s="269"/>
      <c r="B898" s="269"/>
      <c r="C898" s="651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</row>
    <row r="899" spans="1:23" ht="13.8">
      <c r="A899" s="269"/>
      <c r="B899" s="269"/>
      <c r="C899" s="651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</row>
    <row r="900" spans="1:23" ht="13.8">
      <c r="A900" s="269"/>
      <c r="B900" s="269"/>
      <c r="C900" s="651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</row>
    <row r="901" spans="1:23" ht="13.8">
      <c r="A901" s="269"/>
      <c r="B901" s="269"/>
      <c r="C901" s="651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</row>
    <row r="902" spans="1:23" ht="13.8">
      <c r="A902" s="269"/>
      <c r="B902" s="269"/>
      <c r="C902" s="651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</row>
    <row r="903" spans="1:23" ht="13.8">
      <c r="A903" s="269"/>
      <c r="B903" s="269"/>
      <c r="C903" s="651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</row>
    <row r="904" spans="1:23" ht="13.8">
      <c r="A904" s="269"/>
      <c r="B904" s="269"/>
      <c r="C904" s="651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</row>
    <row r="905" spans="1:23" ht="13.8">
      <c r="A905" s="269"/>
      <c r="B905" s="269"/>
      <c r="C905" s="651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</row>
    <row r="906" spans="1:23" ht="13.8">
      <c r="A906" s="269"/>
      <c r="B906" s="269"/>
      <c r="C906" s="651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</row>
    <row r="907" spans="1:23" ht="13.8">
      <c r="A907" s="269"/>
      <c r="B907" s="269"/>
      <c r="C907" s="651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</row>
    <row r="908" spans="1:23" ht="13.8">
      <c r="A908" s="269"/>
      <c r="B908" s="269"/>
      <c r="C908" s="651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</row>
    <row r="909" spans="1:23" ht="13.8">
      <c r="A909" s="269"/>
      <c r="B909" s="269"/>
      <c r="C909" s="651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</row>
    <row r="910" spans="1:23" ht="13.8">
      <c r="A910" s="269"/>
      <c r="B910" s="269"/>
      <c r="C910" s="651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</row>
    <row r="911" spans="1:23" ht="13.8">
      <c r="A911" s="269"/>
      <c r="B911" s="269"/>
      <c r="C911" s="651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</row>
    <row r="912" spans="1:23" ht="13.8">
      <c r="A912" s="269"/>
      <c r="B912" s="269"/>
      <c r="C912" s="651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</row>
    <row r="913" spans="1:23" ht="13.8">
      <c r="A913" s="269"/>
      <c r="B913" s="269"/>
      <c r="C913" s="651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</row>
    <row r="914" spans="1:23" ht="13.8">
      <c r="A914" s="269"/>
      <c r="B914" s="269"/>
      <c r="C914" s="651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</row>
    <row r="915" spans="1:23" ht="13.8">
      <c r="A915" s="269"/>
      <c r="B915" s="269"/>
      <c r="C915" s="651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</row>
    <row r="916" spans="1:23" ht="13.8">
      <c r="A916" s="269"/>
      <c r="B916" s="269"/>
      <c r="C916" s="651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</row>
    <row r="917" spans="1:23" ht="13.8">
      <c r="A917" s="269"/>
      <c r="B917" s="269"/>
      <c r="C917" s="651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</row>
    <row r="918" spans="1:23" ht="13.8">
      <c r="A918" s="269"/>
      <c r="B918" s="269"/>
      <c r="C918" s="651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</row>
    <row r="919" spans="1:23" ht="13.8">
      <c r="A919" s="269"/>
      <c r="B919" s="269"/>
      <c r="C919" s="651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</row>
    <row r="920" spans="1:23" ht="13.8">
      <c r="A920" s="269"/>
      <c r="B920" s="269"/>
      <c r="C920" s="651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</row>
    <row r="921" spans="1:23" ht="13.8">
      <c r="A921" s="269"/>
      <c r="B921" s="269"/>
      <c r="C921" s="651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</row>
    <row r="922" spans="1:23" ht="13.8">
      <c r="A922" s="269"/>
      <c r="B922" s="269"/>
      <c r="C922" s="651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</row>
    <row r="923" spans="1:23" ht="13.8">
      <c r="A923" s="269"/>
      <c r="B923" s="269"/>
      <c r="C923" s="651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</row>
    <row r="924" spans="1:23" ht="13.8">
      <c r="A924" s="269"/>
      <c r="B924" s="269"/>
      <c r="C924" s="651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</row>
    <row r="925" spans="1:23" ht="13.8">
      <c r="A925" s="269"/>
      <c r="B925" s="269"/>
      <c r="C925" s="651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</row>
    <row r="926" spans="1:23" ht="13.8">
      <c r="A926" s="269"/>
      <c r="B926" s="269"/>
      <c r="C926" s="651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</row>
    <row r="927" spans="1:23" ht="13.8">
      <c r="A927" s="269"/>
      <c r="B927" s="269"/>
      <c r="C927" s="651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</row>
    <row r="928" spans="1:23" ht="13.8">
      <c r="A928" s="269"/>
      <c r="B928" s="269"/>
      <c r="C928" s="651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</row>
    <row r="929" spans="1:23" ht="13.8">
      <c r="A929" s="269"/>
      <c r="B929" s="269"/>
      <c r="C929" s="651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</row>
    <row r="930" spans="1:23" ht="13.8">
      <c r="A930" s="269"/>
      <c r="B930" s="269"/>
      <c r="C930" s="651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</row>
    <row r="931" spans="1:23" ht="13.8">
      <c r="A931" s="269"/>
      <c r="B931" s="269"/>
      <c r="C931" s="651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</row>
    <row r="932" spans="1:23" ht="13.8">
      <c r="A932" s="269"/>
      <c r="B932" s="269"/>
      <c r="C932" s="651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</row>
    <row r="933" spans="1:23" ht="13.8">
      <c r="A933" s="269"/>
      <c r="B933" s="269"/>
      <c r="C933" s="651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</row>
    <row r="934" spans="1:23" ht="13.8">
      <c r="A934" s="269"/>
      <c r="B934" s="269"/>
      <c r="C934" s="651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</row>
    <row r="935" spans="1:23" ht="13.8">
      <c r="A935" s="269"/>
      <c r="B935" s="269"/>
      <c r="C935" s="651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</row>
    <row r="936" spans="1:23" ht="13.8">
      <c r="A936" s="269"/>
      <c r="B936" s="269"/>
      <c r="C936" s="651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</row>
    <row r="937" spans="1:23" ht="13.8">
      <c r="A937" s="269"/>
      <c r="B937" s="269"/>
      <c r="C937" s="651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</row>
    <row r="938" spans="1:23" ht="13.8">
      <c r="A938" s="269"/>
      <c r="B938" s="269"/>
      <c r="C938" s="651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</row>
    <row r="939" spans="1:23" ht="13.8">
      <c r="A939" s="269"/>
      <c r="B939" s="269"/>
      <c r="C939" s="651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</row>
    <row r="940" spans="1:23" ht="13.8">
      <c r="A940" s="269"/>
      <c r="B940" s="269"/>
      <c r="C940" s="651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</row>
    <row r="941" spans="1:23" ht="13.8">
      <c r="A941" s="269"/>
      <c r="B941" s="269"/>
      <c r="C941" s="651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</row>
    <row r="942" spans="1:23" ht="13.8">
      <c r="A942" s="269"/>
      <c r="B942" s="269"/>
      <c r="C942" s="651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</row>
    <row r="943" spans="1:23" ht="13.8">
      <c r="A943" s="269"/>
      <c r="B943" s="269"/>
      <c r="C943" s="651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</row>
    <row r="944" spans="1:23" ht="13.8">
      <c r="A944" s="269"/>
      <c r="B944" s="269"/>
      <c r="C944" s="651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</row>
    <row r="945" spans="1:23" ht="13.8">
      <c r="A945" s="269"/>
      <c r="B945" s="269"/>
      <c r="C945" s="651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</row>
    <row r="946" spans="1:23" ht="13.8">
      <c r="A946" s="269"/>
      <c r="B946" s="269"/>
      <c r="C946" s="651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</row>
    <row r="947" spans="1:23" ht="13.8">
      <c r="A947" s="269"/>
      <c r="B947" s="269"/>
      <c r="C947" s="651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</row>
    <row r="948" spans="1:23" ht="13.8">
      <c r="A948" s="269"/>
      <c r="B948" s="269"/>
      <c r="C948" s="651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</row>
    <row r="949" spans="1:23" ht="13.8">
      <c r="A949" s="269"/>
      <c r="B949" s="269"/>
      <c r="C949" s="651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</row>
    <row r="950" spans="1:23" ht="13.8">
      <c r="A950" s="269"/>
      <c r="B950" s="269"/>
      <c r="C950" s="651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</row>
    <row r="951" spans="1:23" ht="13.8">
      <c r="A951" s="269"/>
      <c r="B951" s="269"/>
      <c r="C951" s="651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</row>
    <row r="952" spans="1:23" ht="13.8">
      <c r="A952" s="269"/>
      <c r="B952" s="269"/>
      <c r="C952" s="651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</row>
    <row r="953" spans="1:23" ht="13.8">
      <c r="A953" s="269"/>
      <c r="B953" s="269"/>
      <c r="C953" s="651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</row>
    <row r="954" spans="1:23" ht="13.8">
      <c r="A954" s="269"/>
      <c r="B954" s="269"/>
      <c r="C954" s="651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</row>
    <row r="955" spans="1:23" ht="13.8">
      <c r="A955" s="269"/>
      <c r="B955" s="269"/>
      <c r="C955" s="651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</row>
    <row r="956" spans="1:23" ht="13.8">
      <c r="A956" s="269"/>
      <c r="B956" s="269"/>
      <c r="C956" s="651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</row>
    <row r="957" spans="1:23" ht="13.8">
      <c r="A957" s="269"/>
      <c r="B957" s="269"/>
      <c r="C957" s="651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</row>
    <row r="958" spans="1:23" ht="13.8">
      <c r="A958" s="269"/>
      <c r="B958" s="269"/>
      <c r="C958" s="651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</row>
    <row r="959" spans="1:23" ht="13.8">
      <c r="A959" s="269"/>
      <c r="B959" s="269"/>
      <c r="C959" s="651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</row>
    <row r="960" spans="1:23" ht="13.8">
      <c r="A960" s="269"/>
      <c r="B960" s="269"/>
      <c r="C960" s="651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</row>
    <row r="961" spans="1:23" ht="13.8">
      <c r="A961" s="269"/>
      <c r="B961" s="269"/>
      <c r="C961" s="651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</row>
    <row r="962" spans="1:23" ht="13.8">
      <c r="A962" s="269"/>
      <c r="B962" s="269"/>
      <c r="C962" s="651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</row>
    <row r="963" spans="1:23" ht="13.8">
      <c r="A963" s="269"/>
      <c r="B963" s="269"/>
      <c r="C963" s="651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</row>
    <row r="964" spans="1:23" ht="13.8">
      <c r="A964" s="269"/>
      <c r="B964" s="269"/>
      <c r="C964" s="651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</row>
    <row r="965" spans="1:23" ht="13.8">
      <c r="A965" s="269"/>
      <c r="B965" s="269"/>
      <c r="C965" s="651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</row>
    <row r="966" spans="1:23" ht="13.8">
      <c r="A966" s="269"/>
      <c r="B966" s="269"/>
      <c r="C966" s="651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</row>
    <row r="967" spans="1:23" ht="13.8">
      <c r="A967" s="269"/>
      <c r="B967" s="269"/>
      <c r="C967" s="651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</row>
    <row r="968" spans="1:23" ht="13.8">
      <c r="A968" s="269"/>
      <c r="B968" s="269"/>
      <c r="C968" s="651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</row>
    <row r="969" spans="1:23" ht="13.8">
      <c r="A969" s="269"/>
      <c r="B969" s="269"/>
      <c r="C969" s="651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</row>
    <row r="970" spans="1:23" ht="13.8">
      <c r="A970" s="269"/>
      <c r="B970" s="269"/>
      <c r="C970" s="651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</row>
    <row r="971" spans="1:23" ht="13.8">
      <c r="A971" s="269"/>
      <c r="B971" s="269"/>
      <c r="C971" s="651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</row>
    <row r="972" spans="1:23" ht="13.8">
      <c r="A972" s="269"/>
      <c r="B972" s="269"/>
      <c r="C972" s="651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</row>
    <row r="973" spans="1:23" ht="13.8">
      <c r="A973" s="269"/>
      <c r="B973" s="269"/>
      <c r="C973" s="651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</row>
    <row r="974" spans="1:23" ht="13.8">
      <c r="A974" s="269"/>
      <c r="B974" s="269"/>
      <c r="C974" s="651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</row>
    <row r="975" spans="1:23" ht="13.8">
      <c r="A975" s="269"/>
      <c r="B975" s="269"/>
      <c r="C975" s="651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</row>
    <row r="976" spans="1:23" ht="13.8">
      <c r="A976" s="269"/>
      <c r="B976" s="269"/>
      <c r="C976" s="651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</row>
    <row r="977" spans="1:23" ht="13.8">
      <c r="A977" s="269"/>
      <c r="B977" s="269"/>
      <c r="C977" s="651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</row>
    <row r="978" spans="1:23" ht="13.8">
      <c r="A978" s="269"/>
      <c r="B978" s="269"/>
      <c r="C978" s="651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</row>
    <row r="979" spans="1:23" ht="13.8">
      <c r="A979" s="269"/>
      <c r="B979" s="269"/>
      <c r="C979" s="651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</row>
    <row r="980" spans="1:23" ht="13.8">
      <c r="A980" s="269"/>
      <c r="B980" s="269"/>
      <c r="C980" s="651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</row>
    <row r="981" spans="1:23" ht="13.8">
      <c r="A981" s="269"/>
      <c r="B981" s="269"/>
      <c r="C981" s="651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</row>
    <row r="982" spans="1:23" ht="13.8">
      <c r="A982" s="269"/>
      <c r="B982" s="269"/>
      <c r="C982" s="651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</row>
    <row r="983" spans="1:23" ht="13.8">
      <c r="A983" s="269"/>
      <c r="B983" s="269"/>
      <c r="C983" s="651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</row>
    <row r="984" spans="1:23" ht="13.8">
      <c r="A984" s="269"/>
      <c r="B984" s="269"/>
      <c r="C984" s="651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</row>
    <row r="985" spans="1:23" ht="13.8">
      <c r="A985" s="269"/>
      <c r="B985" s="269"/>
      <c r="C985" s="651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</row>
    <row r="986" spans="1:23" ht="13.8">
      <c r="A986" s="269"/>
      <c r="B986" s="269"/>
      <c r="C986" s="651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</row>
    <row r="987" spans="1:23" ht="13.8">
      <c r="A987" s="269"/>
      <c r="B987" s="269"/>
      <c r="C987" s="651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</row>
    <row r="988" spans="1:23" ht="13.8">
      <c r="A988" s="269"/>
      <c r="B988" s="269"/>
      <c r="C988" s="651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</row>
    <row r="989" spans="1:23" ht="15" customHeight="1">
      <c r="A989" s="269"/>
      <c r="B989" s="269"/>
      <c r="C989" s="651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</row>
    <row r="990" spans="1:23" ht="15" customHeight="1">
      <c r="A990" s="269"/>
      <c r="B990" s="269"/>
      <c r="C990" s="651"/>
      <c r="D990" s="269"/>
      <c r="E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</row>
    <row r="991" spans="1:23" ht="15" customHeight="1">
      <c r="A991" s="269"/>
      <c r="B991" s="269"/>
      <c r="C991" s="651"/>
      <c r="D991" s="269"/>
      <c r="E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</row>
    <row r="992" spans="1:23" ht="15" customHeight="1">
      <c r="A992" s="269"/>
      <c r="B992" s="269"/>
      <c r="C992" s="651"/>
      <c r="D992" s="269"/>
      <c r="E992" s="269"/>
      <c r="G992" s="269"/>
      <c r="H992" s="269"/>
      <c r="I992" s="269"/>
      <c r="J992" s="269"/>
      <c r="K992" s="269"/>
      <c r="L992" s="269"/>
      <c r="M992" s="269"/>
      <c r="N992" s="269"/>
      <c r="O992" s="269"/>
      <c r="R992" s="269"/>
    </row>
    <row r="993" spans="1:15" ht="15" customHeight="1">
      <c r="A993" s="269"/>
      <c r="B993" s="269"/>
      <c r="C993" s="651"/>
      <c r="D993" s="269"/>
      <c r="E993" s="269"/>
      <c r="G993" s="269"/>
      <c r="H993" s="269"/>
      <c r="I993" s="269"/>
      <c r="J993" s="269"/>
      <c r="K993" s="269"/>
      <c r="L993" s="269"/>
      <c r="O993" s="269"/>
    </row>
    <row r="994" spans="1:15" ht="15" customHeight="1">
      <c r="A994" s="269"/>
      <c r="B994" s="269"/>
      <c r="C994" s="651"/>
      <c r="D994" s="269"/>
      <c r="E994" s="269"/>
      <c r="G994" s="269"/>
      <c r="H994" s="269"/>
      <c r="I994" s="269"/>
      <c r="J994" s="269"/>
      <c r="K994" s="269"/>
      <c r="L994" s="269"/>
      <c r="O994" s="269"/>
    </row>
    <row r="995" spans="1:15" ht="15" customHeight="1">
      <c r="A995" s="269"/>
      <c r="B995" s="269"/>
      <c r="C995" s="651"/>
      <c r="D995" s="269"/>
      <c r="E995" s="269"/>
      <c r="G995" s="269"/>
      <c r="H995" s="269"/>
      <c r="I995" s="269"/>
      <c r="J995" s="269"/>
      <c r="K995" s="269"/>
      <c r="L995" s="269"/>
      <c r="O995" s="269"/>
    </row>
    <row r="996" spans="1:15" ht="15" customHeight="1">
      <c r="A996" s="269"/>
      <c r="B996" s="269"/>
      <c r="C996" s="651"/>
      <c r="D996" s="269"/>
      <c r="E996" s="269"/>
      <c r="G996" s="269"/>
    </row>
    <row r="997" spans="1:15" ht="15" customHeight="1">
      <c r="A997" s="269"/>
      <c r="B997" s="269"/>
      <c r="C997" s="651"/>
      <c r="D997" s="269"/>
      <c r="E997" s="269"/>
      <c r="G997" s="269"/>
    </row>
    <row r="998" spans="1:15" ht="15" customHeight="1">
      <c r="A998" s="269"/>
      <c r="B998" s="269"/>
      <c r="C998" s="651"/>
      <c r="D998" s="269"/>
      <c r="E998" s="269"/>
      <c r="G998" s="269"/>
    </row>
    <row r="999" spans="1:15" ht="15" customHeight="1">
      <c r="G999" s="269"/>
    </row>
  </sheetData>
  <autoFilter ref="A1:W1006"/>
  <dataValidations count="1">
    <dataValidation type="custom" allowBlank="1" showDropDown="1" sqref="A3:A36 G3:G37 F3:F33 F35">
      <formula1>AND(ISNUMBER(A3),(NOT(OR(NOT(ISERROR(DATEVALUE(A3))), AND(ISNUMBER(A3), LEFT(CELL("format", A3))="D")))))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50"/>
  <sheetViews>
    <sheetView workbookViewId="0">
      <pane ySplit="3" topLeftCell="A62" activePane="bottomLeft" state="frozen"/>
      <selection pane="bottomLeft" activeCell="E82" sqref="E82"/>
    </sheetView>
  </sheetViews>
  <sheetFormatPr defaultColWidth="12.6640625" defaultRowHeight="13.8"/>
  <cols>
    <col min="1" max="1" width="12.6640625" style="884"/>
    <col min="2" max="2" width="22.21875" style="884" customWidth="1"/>
    <col min="3" max="3" width="18.33203125" style="884" customWidth="1"/>
    <col min="4" max="4" width="21.109375" style="884" customWidth="1"/>
    <col min="5" max="5" width="20.77734375" style="884" customWidth="1"/>
    <col min="6" max="6" width="21.21875" style="884" customWidth="1"/>
    <col min="7" max="7" width="20.109375" style="884" customWidth="1"/>
    <col min="8" max="8" width="17.88671875" style="884" customWidth="1"/>
    <col min="9" max="9" width="16.33203125" style="884" customWidth="1"/>
    <col min="10" max="10" width="16.77734375" style="884" customWidth="1"/>
    <col min="11" max="16384" width="12.6640625" style="884"/>
  </cols>
  <sheetData>
    <row r="1" spans="1:10" ht="23.25" customHeight="1">
      <c r="A1" s="1198" t="s">
        <v>1245</v>
      </c>
      <c r="B1" s="1156"/>
      <c r="C1" s="1156"/>
      <c r="D1" s="1156"/>
      <c r="E1" s="1156"/>
      <c r="F1" s="1156"/>
    </row>
    <row r="2" spans="1:10" ht="12.75" customHeight="1">
      <c r="A2" s="853" t="s">
        <v>1059</v>
      </c>
      <c r="B2" s="853" t="s">
        <v>1060</v>
      </c>
      <c r="C2" s="853" t="s">
        <v>1079</v>
      </c>
      <c r="D2" s="853" t="s">
        <v>1061</v>
      </c>
      <c r="E2" s="854" t="s">
        <v>1246</v>
      </c>
      <c r="F2" s="853" t="s">
        <v>1247</v>
      </c>
      <c r="G2" s="854" t="s">
        <v>1248</v>
      </c>
      <c r="H2" s="854" t="s">
        <v>1038</v>
      </c>
      <c r="I2" s="854" t="s">
        <v>1062</v>
      </c>
      <c r="J2" s="853" t="s">
        <v>1038</v>
      </c>
    </row>
    <row r="3" spans="1:10" ht="17.25" customHeight="1">
      <c r="A3" s="888">
        <v>6</v>
      </c>
      <c r="B3" s="888" t="s">
        <v>1249</v>
      </c>
      <c r="C3" s="888" t="s">
        <v>1250</v>
      </c>
      <c r="D3" s="889">
        <v>46023</v>
      </c>
      <c r="E3" s="888" t="s">
        <v>310</v>
      </c>
      <c r="F3" s="888" t="s">
        <v>310</v>
      </c>
    </row>
    <row r="4" spans="1:10" ht="12.75" customHeight="1">
      <c r="A4" s="888">
        <v>6</v>
      </c>
      <c r="B4" s="888" t="s">
        <v>1249</v>
      </c>
      <c r="C4" s="888" t="s">
        <v>1250</v>
      </c>
      <c r="D4" s="889">
        <v>46024</v>
      </c>
      <c r="E4" s="888" t="s">
        <v>310</v>
      </c>
      <c r="F4" s="888" t="s">
        <v>310</v>
      </c>
    </row>
    <row r="5" spans="1:10" ht="12.75" customHeight="1">
      <c r="A5" s="888">
        <v>6</v>
      </c>
      <c r="B5" s="888" t="s">
        <v>1249</v>
      </c>
      <c r="C5" s="888" t="s">
        <v>1250</v>
      </c>
      <c r="D5" s="889">
        <v>46025</v>
      </c>
      <c r="E5" s="888" t="s">
        <v>310</v>
      </c>
      <c r="F5" s="888" t="s">
        <v>310</v>
      </c>
    </row>
    <row r="6" spans="1:10" ht="12.75" customHeight="1">
      <c r="A6" s="888">
        <v>6</v>
      </c>
      <c r="B6" s="888" t="s">
        <v>1249</v>
      </c>
      <c r="C6" s="888" t="s">
        <v>1250</v>
      </c>
      <c r="D6" s="889">
        <v>46026</v>
      </c>
      <c r="E6" s="888" t="s">
        <v>310</v>
      </c>
      <c r="F6" s="888" t="s">
        <v>310</v>
      </c>
    </row>
    <row r="7" spans="1:10" ht="12.75" customHeight="1">
      <c r="A7" s="888">
        <v>6</v>
      </c>
      <c r="B7" s="888" t="s">
        <v>1249</v>
      </c>
      <c r="C7" s="888" t="s">
        <v>1250</v>
      </c>
      <c r="D7" s="889">
        <v>46027</v>
      </c>
      <c r="E7" s="888" t="s">
        <v>310</v>
      </c>
      <c r="F7" s="888" t="s">
        <v>310</v>
      </c>
    </row>
    <row r="8" spans="1:10" ht="12.75" customHeight="1">
      <c r="A8" s="888">
        <v>6</v>
      </c>
      <c r="B8" s="888" t="s">
        <v>1249</v>
      </c>
      <c r="C8" s="888" t="s">
        <v>1250</v>
      </c>
      <c r="D8" s="889">
        <v>46028</v>
      </c>
      <c r="E8" s="888" t="s">
        <v>310</v>
      </c>
      <c r="F8" s="888" t="s">
        <v>310</v>
      </c>
    </row>
    <row r="9" spans="1:10" ht="12.75" customHeight="1">
      <c r="A9" s="888">
        <v>6</v>
      </c>
      <c r="B9" s="888" t="s">
        <v>1249</v>
      </c>
      <c r="C9" s="888" t="s">
        <v>1250</v>
      </c>
      <c r="D9" s="889">
        <v>46029</v>
      </c>
      <c r="E9" s="888" t="s">
        <v>310</v>
      </c>
      <c r="F9" s="888" t="s">
        <v>310</v>
      </c>
    </row>
    <row r="10" spans="1:10" ht="12.75" customHeight="1">
      <c r="A10" s="888">
        <v>6</v>
      </c>
      <c r="B10" s="888" t="s">
        <v>1249</v>
      </c>
      <c r="C10" s="888" t="s">
        <v>1250</v>
      </c>
      <c r="D10" s="889">
        <v>46030</v>
      </c>
      <c r="E10" s="888" t="s">
        <v>310</v>
      </c>
      <c r="F10" s="888" t="s">
        <v>310</v>
      </c>
    </row>
    <row r="11" spans="1:10" ht="12.75" customHeight="1">
      <c r="A11" s="888">
        <v>6</v>
      </c>
      <c r="B11" s="888" t="s">
        <v>1249</v>
      </c>
      <c r="C11" s="888" t="s">
        <v>1250</v>
      </c>
      <c r="D11" s="889">
        <v>46031</v>
      </c>
      <c r="E11" s="888" t="s">
        <v>310</v>
      </c>
      <c r="F11" s="888" t="s">
        <v>310</v>
      </c>
    </row>
    <row r="12" spans="1:10" ht="12.75" customHeight="1">
      <c r="A12" s="888">
        <v>6</v>
      </c>
      <c r="B12" s="888" t="s">
        <v>1249</v>
      </c>
      <c r="C12" s="888" t="s">
        <v>1250</v>
      </c>
      <c r="D12" s="889">
        <v>46032</v>
      </c>
      <c r="E12" s="888" t="s">
        <v>310</v>
      </c>
      <c r="F12" s="888" t="s">
        <v>310</v>
      </c>
    </row>
    <row r="13" spans="1:10" ht="12.75" customHeight="1">
      <c r="A13" s="888">
        <v>6</v>
      </c>
      <c r="B13" s="888" t="s">
        <v>1249</v>
      </c>
      <c r="C13" s="888" t="s">
        <v>1250</v>
      </c>
      <c r="D13" s="889">
        <v>46033</v>
      </c>
      <c r="E13" s="888" t="s">
        <v>310</v>
      </c>
      <c r="F13" s="888" t="s">
        <v>310</v>
      </c>
    </row>
    <row r="14" spans="1:10" ht="12.75" customHeight="1">
      <c r="A14" s="888">
        <v>6</v>
      </c>
      <c r="B14" s="888" t="s">
        <v>1249</v>
      </c>
      <c r="C14" s="888" t="s">
        <v>1250</v>
      </c>
      <c r="D14" s="889">
        <v>46034</v>
      </c>
      <c r="E14" s="888" t="s">
        <v>310</v>
      </c>
      <c r="F14" s="888" t="s">
        <v>310</v>
      </c>
    </row>
    <row r="15" spans="1:10" ht="12.75" customHeight="1">
      <c r="A15" s="888">
        <v>6</v>
      </c>
      <c r="B15" s="888" t="s">
        <v>1249</v>
      </c>
      <c r="C15" s="888" t="s">
        <v>1250</v>
      </c>
      <c r="D15" s="889">
        <v>46035</v>
      </c>
      <c r="E15" s="888" t="s">
        <v>310</v>
      </c>
      <c r="F15" s="888" t="s">
        <v>310</v>
      </c>
    </row>
    <row r="16" spans="1:10" ht="12.75" customHeight="1">
      <c r="A16" s="888">
        <v>6</v>
      </c>
      <c r="B16" s="888" t="s">
        <v>1249</v>
      </c>
      <c r="C16" s="888" t="s">
        <v>1250</v>
      </c>
      <c r="D16" s="889">
        <v>46036</v>
      </c>
      <c r="E16" s="888" t="s">
        <v>310</v>
      </c>
      <c r="F16" s="888" t="s">
        <v>310</v>
      </c>
    </row>
    <row r="17" spans="1:6" ht="12.75" customHeight="1">
      <c r="A17" s="888">
        <v>6</v>
      </c>
      <c r="B17" s="888" t="s">
        <v>1249</v>
      </c>
      <c r="C17" s="888" t="s">
        <v>1250</v>
      </c>
      <c r="D17" s="889">
        <v>46037</v>
      </c>
      <c r="E17" s="888" t="s">
        <v>310</v>
      </c>
      <c r="F17" s="888" t="s">
        <v>310</v>
      </c>
    </row>
    <row r="18" spans="1:6" ht="12.75" customHeight="1">
      <c r="A18" s="888">
        <v>6</v>
      </c>
      <c r="B18" s="888" t="s">
        <v>1249</v>
      </c>
      <c r="C18" s="888" t="s">
        <v>1250</v>
      </c>
      <c r="D18" s="889">
        <v>46038</v>
      </c>
      <c r="E18" s="888" t="s">
        <v>310</v>
      </c>
      <c r="F18" s="888" t="s">
        <v>310</v>
      </c>
    </row>
    <row r="19" spans="1:6" ht="12.75" customHeight="1">
      <c r="A19" s="888">
        <v>6</v>
      </c>
      <c r="B19" s="888" t="s">
        <v>1249</v>
      </c>
      <c r="C19" s="888" t="s">
        <v>1250</v>
      </c>
      <c r="D19" s="889">
        <v>46039</v>
      </c>
      <c r="E19" s="888" t="s">
        <v>310</v>
      </c>
      <c r="F19" s="888" t="s">
        <v>310</v>
      </c>
    </row>
    <row r="20" spans="1:6" ht="12.75" customHeight="1">
      <c r="A20" s="888">
        <v>6</v>
      </c>
      <c r="B20" s="888" t="s">
        <v>1249</v>
      </c>
      <c r="C20" s="888" t="s">
        <v>1250</v>
      </c>
      <c r="D20" s="889">
        <v>46040</v>
      </c>
      <c r="E20" s="888" t="s">
        <v>310</v>
      </c>
      <c r="F20" s="888" t="s">
        <v>310</v>
      </c>
    </row>
    <row r="21" spans="1:6" ht="12.75" customHeight="1">
      <c r="A21" s="888">
        <v>6</v>
      </c>
      <c r="B21" s="888" t="s">
        <v>1249</v>
      </c>
      <c r="C21" s="888" t="s">
        <v>1250</v>
      </c>
      <c r="D21" s="889">
        <v>46041</v>
      </c>
      <c r="E21" s="888" t="s">
        <v>310</v>
      </c>
      <c r="F21" s="888" t="s">
        <v>310</v>
      </c>
    </row>
    <row r="22" spans="1:6" ht="12.75" customHeight="1">
      <c r="A22" s="888">
        <v>6</v>
      </c>
      <c r="B22" s="888" t="s">
        <v>1249</v>
      </c>
      <c r="C22" s="888" t="s">
        <v>1250</v>
      </c>
      <c r="D22" s="889">
        <v>46042</v>
      </c>
      <c r="E22" s="888" t="s">
        <v>310</v>
      </c>
      <c r="F22" s="888" t="s">
        <v>310</v>
      </c>
    </row>
    <row r="23" spans="1:6" ht="12.75" customHeight="1">
      <c r="A23" s="888">
        <v>6</v>
      </c>
      <c r="B23" s="888" t="s">
        <v>1249</v>
      </c>
      <c r="C23" s="888" t="s">
        <v>1250</v>
      </c>
      <c r="D23" s="889">
        <v>46043</v>
      </c>
      <c r="E23" s="888" t="s">
        <v>310</v>
      </c>
      <c r="F23" s="888" t="s">
        <v>310</v>
      </c>
    </row>
    <row r="24" spans="1:6" ht="12.75" customHeight="1">
      <c r="A24" s="888">
        <v>6</v>
      </c>
      <c r="B24" s="888" t="s">
        <v>1249</v>
      </c>
      <c r="C24" s="888" t="s">
        <v>1250</v>
      </c>
      <c r="D24" s="889">
        <v>46044</v>
      </c>
      <c r="E24" s="888" t="s">
        <v>310</v>
      </c>
      <c r="F24" s="888" t="s">
        <v>310</v>
      </c>
    </row>
    <row r="25" spans="1:6" ht="12.75" customHeight="1">
      <c r="A25" s="888">
        <v>6</v>
      </c>
      <c r="B25" s="888" t="s">
        <v>1249</v>
      </c>
      <c r="C25" s="888" t="s">
        <v>1250</v>
      </c>
      <c r="D25" s="889">
        <v>46045</v>
      </c>
      <c r="E25" s="888" t="s">
        <v>310</v>
      </c>
      <c r="F25" s="888" t="s">
        <v>310</v>
      </c>
    </row>
    <row r="26" spans="1:6" ht="12.75" customHeight="1">
      <c r="A26" s="888">
        <v>6</v>
      </c>
      <c r="B26" s="888" t="s">
        <v>1249</v>
      </c>
      <c r="C26" s="888" t="s">
        <v>1250</v>
      </c>
      <c r="D26" s="889">
        <v>46046</v>
      </c>
      <c r="E26" s="888" t="s">
        <v>310</v>
      </c>
      <c r="F26" s="888" t="s">
        <v>310</v>
      </c>
    </row>
    <row r="27" spans="1:6" ht="12.75" customHeight="1">
      <c r="A27" s="888">
        <v>6</v>
      </c>
      <c r="B27" s="888" t="s">
        <v>1249</v>
      </c>
      <c r="C27" s="888" t="s">
        <v>1250</v>
      </c>
      <c r="D27" s="889">
        <v>46047</v>
      </c>
      <c r="E27" s="888" t="s">
        <v>310</v>
      </c>
      <c r="F27" s="888" t="s">
        <v>310</v>
      </c>
    </row>
    <row r="28" spans="1:6" ht="12.75" customHeight="1">
      <c r="A28" s="888">
        <v>6</v>
      </c>
      <c r="B28" s="888" t="s">
        <v>1249</v>
      </c>
      <c r="C28" s="888" t="s">
        <v>1250</v>
      </c>
      <c r="D28" s="889">
        <v>46048</v>
      </c>
      <c r="E28" s="888" t="s">
        <v>310</v>
      </c>
      <c r="F28" s="888" t="s">
        <v>310</v>
      </c>
    </row>
    <row r="29" spans="1:6" ht="12.75" customHeight="1">
      <c r="A29" s="888">
        <v>6</v>
      </c>
      <c r="B29" s="888" t="s">
        <v>1249</v>
      </c>
      <c r="C29" s="888" t="s">
        <v>1250</v>
      </c>
      <c r="D29" s="889">
        <v>46049</v>
      </c>
      <c r="E29" s="888" t="s">
        <v>310</v>
      </c>
      <c r="F29" s="888" t="s">
        <v>310</v>
      </c>
    </row>
    <row r="30" spans="1:6" ht="12.75" customHeight="1">
      <c r="A30" s="888">
        <v>6</v>
      </c>
      <c r="B30" s="888" t="s">
        <v>1249</v>
      </c>
      <c r="C30" s="888" t="s">
        <v>1250</v>
      </c>
      <c r="D30" s="889">
        <v>46050</v>
      </c>
      <c r="E30" s="888" t="s">
        <v>310</v>
      </c>
      <c r="F30" s="888" t="s">
        <v>310</v>
      </c>
    </row>
    <row r="31" spans="1:6" ht="12.75" customHeight="1">
      <c r="A31" s="888">
        <v>6</v>
      </c>
      <c r="B31" s="888" t="s">
        <v>1249</v>
      </c>
      <c r="C31" s="888" t="s">
        <v>1250</v>
      </c>
      <c r="D31" s="889">
        <v>46051</v>
      </c>
      <c r="E31" s="888" t="s">
        <v>310</v>
      </c>
      <c r="F31" s="888" t="s">
        <v>310</v>
      </c>
    </row>
    <row r="32" spans="1:6" ht="12.75" customHeight="1">
      <c r="A32" s="888">
        <v>6</v>
      </c>
      <c r="B32" s="888" t="s">
        <v>1249</v>
      </c>
      <c r="C32" s="888" t="s">
        <v>1250</v>
      </c>
      <c r="D32" s="889">
        <v>46052</v>
      </c>
      <c r="E32" s="888" t="s">
        <v>310</v>
      </c>
      <c r="F32" s="888" t="s">
        <v>310</v>
      </c>
    </row>
    <row r="33" spans="1:6" ht="12.75" customHeight="1">
      <c r="A33" s="888">
        <v>6</v>
      </c>
      <c r="B33" s="888" t="s">
        <v>1249</v>
      </c>
      <c r="C33" s="888" t="s">
        <v>1250</v>
      </c>
      <c r="D33" s="889">
        <v>46053</v>
      </c>
      <c r="E33" s="888" t="s">
        <v>310</v>
      </c>
      <c r="F33" s="888" t="s">
        <v>310</v>
      </c>
    </row>
    <row r="34" spans="1:6" ht="12.75" customHeight="1">
      <c r="A34" s="888">
        <v>6</v>
      </c>
      <c r="B34" s="888" t="s">
        <v>1249</v>
      </c>
      <c r="C34" s="888" t="s">
        <v>1250</v>
      </c>
      <c r="D34" s="889">
        <v>46054</v>
      </c>
      <c r="E34" s="888" t="s">
        <v>310</v>
      </c>
      <c r="F34" s="888" t="s">
        <v>310</v>
      </c>
    </row>
    <row r="35" spans="1:6" ht="12.75" customHeight="1">
      <c r="A35" s="888">
        <v>9</v>
      </c>
      <c r="B35" s="888" t="s">
        <v>1251</v>
      </c>
      <c r="C35" s="888" t="s">
        <v>1250</v>
      </c>
      <c r="D35" s="889">
        <v>46023</v>
      </c>
      <c r="E35" s="888" t="s">
        <v>310</v>
      </c>
      <c r="F35" s="888" t="s">
        <v>310</v>
      </c>
    </row>
    <row r="36" spans="1:6" ht="12.75" customHeight="1">
      <c r="A36" s="888">
        <v>9</v>
      </c>
      <c r="B36" s="888" t="s">
        <v>1251</v>
      </c>
      <c r="C36" s="888" t="s">
        <v>1250</v>
      </c>
      <c r="D36" s="889">
        <v>46024</v>
      </c>
      <c r="E36" s="888" t="s">
        <v>310</v>
      </c>
      <c r="F36" s="888" t="s">
        <v>310</v>
      </c>
    </row>
    <row r="37" spans="1:6" ht="12.75" customHeight="1">
      <c r="A37" s="888">
        <v>9</v>
      </c>
      <c r="B37" s="888" t="s">
        <v>1251</v>
      </c>
      <c r="C37" s="888" t="s">
        <v>1250</v>
      </c>
      <c r="D37" s="889">
        <v>46025</v>
      </c>
      <c r="E37" s="888" t="s">
        <v>310</v>
      </c>
      <c r="F37" s="888" t="s">
        <v>310</v>
      </c>
    </row>
    <row r="38" spans="1:6" ht="12.75" customHeight="1">
      <c r="A38" s="888">
        <v>9</v>
      </c>
      <c r="B38" s="888" t="s">
        <v>1251</v>
      </c>
      <c r="C38" s="888" t="s">
        <v>1250</v>
      </c>
      <c r="D38" s="889">
        <v>46026</v>
      </c>
      <c r="E38" s="888" t="s">
        <v>310</v>
      </c>
      <c r="F38" s="888" t="s">
        <v>310</v>
      </c>
    </row>
    <row r="39" spans="1:6" ht="12.75" customHeight="1">
      <c r="A39" s="888">
        <v>9</v>
      </c>
      <c r="B39" s="888" t="s">
        <v>1251</v>
      </c>
      <c r="C39" s="888" t="s">
        <v>1250</v>
      </c>
      <c r="D39" s="889">
        <v>46027</v>
      </c>
      <c r="E39" s="888" t="s">
        <v>310</v>
      </c>
      <c r="F39" s="888" t="s">
        <v>310</v>
      </c>
    </row>
    <row r="40" spans="1:6" ht="12.75" customHeight="1">
      <c r="A40" s="888">
        <v>9</v>
      </c>
      <c r="B40" s="888" t="s">
        <v>1251</v>
      </c>
      <c r="C40" s="888" t="s">
        <v>1250</v>
      </c>
      <c r="D40" s="889">
        <v>46028</v>
      </c>
      <c r="E40" s="888" t="s">
        <v>310</v>
      </c>
      <c r="F40" s="888" t="s">
        <v>310</v>
      </c>
    </row>
    <row r="41" spans="1:6" ht="12.75" customHeight="1">
      <c r="A41" s="888">
        <v>9</v>
      </c>
      <c r="B41" s="888" t="s">
        <v>1251</v>
      </c>
      <c r="C41" s="888" t="s">
        <v>1250</v>
      </c>
      <c r="D41" s="889">
        <v>46029</v>
      </c>
      <c r="E41" s="888" t="s">
        <v>310</v>
      </c>
      <c r="F41" s="888" t="s">
        <v>310</v>
      </c>
    </row>
    <row r="42" spans="1:6" ht="12.75" customHeight="1">
      <c r="A42" s="888">
        <v>9</v>
      </c>
      <c r="B42" s="888" t="s">
        <v>1251</v>
      </c>
      <c r="C42" s="888" t="s">
        <v>1250</v>
      </c>
      <c r="D42" s="889">
        <v>46030</v>
      </c>
      <c r="E42" s="888" t="s">
        <v>310</v>
      </c>
      <c r="F42" s="888" t="s">
        <v>310</v>
      </c>
    </row>
    <row r="43" spans="1:6" ht="12.75" customHeight="1">
      <c r="A43" s="888">
        <v>9</v>
      </c>
      <c r="B43" s="888" t="s">
        <v>1251</v>
      </c>
      <c r="C43" s="888" t="s">
        <v>1250</v>
      </c>
      <c r="D43" s="889">
        <v>46031</v>
      </c>
      <c r="E43" s="888" t="s">
        <v>310</v>
      </c>
      <c r="F43" s="888" t="s">
        <v>310</v>
      </c>
    </row>
    <row r="44" spans="1:6" ht="12.75" customHeight="1">
      <c r="A44" s="888">
        <v>9</v>
      </c>
      <c r="B44" s="888" t="s">
        <v>1251</v>
      </c>
      <c r="C44" s="888" t="s">
        <v>1250</v>
      </c>
      <c r="D44" s="889">
        <v>46032</v>
      </c>
      <c r="E44" s="888" t="s">
        <v>310</v>
      </c>
      <c r="F44" s="888" t="s">
        <v>310</v>
      </c>
    </row>
    <row r="45" spans="1:6" ht="12.75" customHeight="1">
      <c r="A45" s="888">
        <v>9</v>
      </c>
      <c r="B45" s="888" t="s">
        <v>1251</v>
      </c>
      <c r="C45" s="888" t="s">
        <v>1250</v>
      </c>
      <c r="D45" s="889">
        <v>46033</v>
      </c>
      <c r="E45" s="888" t="s">
        <v>310</v>
      </c>
      <c r="F45" s="888" t="s">
        <v>310</v>
      </c>
    </row>
    <row r="46" spans="1:6" ht="12.75" customHeight="1">
      <c r="A46" s="888">
        <v>9</v>
      </c>
      <c r="B46" s="888" t="s">
        <v>1251</v>
      </c>
      <c r="C46" s="888" t="s">
        <v>1250</v>
      </c>
      <c r="D46" s="889">
        <v>46034</v>
      </c>
      <c r="E46" s="888" t="s">
        <v>310</v>
      </c>
      <c r="F46" s="888" t="s">
        <v>310</v>
      </c>
    </row>
    <row r="47" spans="1:6" ht="12.75" customHeight="1">
      <c r="A47" s="888">
        <v>9</v>
      </c>
      <c r="B47" s="888" t="s">
        <v>1251</v>
      </c>
      <c r="C47" s="888" t="s">
        <v>1250</v>
      </c>
      <c r="D47" s="889">
        <v>46035</v>
      </c>
      <c r="E47" s="888" t="s">
        <v>310</v>
      </c>
      <c r="F47" s="888" t="s">
        <v>310</v>
      </c>
    </row>
    <row r="48" spans="1:6" ht="12.75" customHeight="1">
      <c r="A48" s="888">
        <v>9</v>
      </c>
      <c r="B48" s="888" t="s">
        <v>1251</v>
      </c>
      <c r="C48" s="888" t="s">
        <v>1250</v>
      </c>
      <c r="D48" s="889">
        <v>46036</v>
      </c>
      <c r="E48" s="888" t="s">
        <v>310</v>
      </c>
      <c r="F48" s="888" t="s">
        <v>310</v>
      </c>
    </row>
    <row r="49" spans="1:6" ht="12.75" customHeight="1">
      <c r="A49" s="888">
        <v>9</v>
      </c>
      <c r="B49" s="888" t="s">
        <v>1251</v>
      </c>
      <c r="C49" s="888" t="s">
        <v>1250</v>
      </c>
      <c r="D49" s="889">
        <v>46037</v>
      </c>
      <c r="E49" s="888" t="s">
        <v>310</v>
      </c>
      <c r="F49" s="888" t="s">
        <v>310</v>
      </c>
    </row>
    <row r="50" spans="1:6" ht="12.75" customHeight="1">
      <c r="A50" s="888">
        <v>9</v>
      </c>
      <c r="B50" s="888" t="s">
        <v>1251</v>
      </c>
      <c r="C50" s="888" t="s">
        <v>1250</v>
      </c>
      <c r="D50" s="889">
        <v>46038</v>
      </c>
      <c r="E50" s="888" t="s">
        <v>310</v>
      </c>
      <c r="F50" s="888" t="s">
        <v>310</v>
      </c>
    </row>
    <row r="51" spans="1:6" ht="12.75" customHeight="1">
      <c r="A51" s="888">
        <v>9</v>
      </c>
      <c r="B51" s="888" t="s">
        <v>1251</v>
      </c>
      <c r="C51" s="888" t="s">
        <v>1250</v>
      </c>
      <c r="D51" s="889">
        <v>46039</v>
      </c>
      <c r="E51" s="888" t="s">
        <v>310</v>
      </c>
      <c r="F51" s="888" t="s">
        <v>310</v>
      </c>
    </row>
    <row r="52" spans="1:6" ht="12.75" customHeight="1">
      <c r="A52" s="888">
        <v>9</v>
      </c>
      <c r="B52" s="888" t="s">
        <v>1251</v>
      </c>
      <c r="C52" s="888" t="s">
        <v>1250</v>
      </c>
      <c r="D52" s="889">
        <v>46040</v>
      </c>
      <c r="E52" s="888" t="s">
        <v>310</v>
      </c>
      <c r="F52" s="888" t="s">
        <v>310</v>
      </c>
    </row>
    <row r="53" spans="1:6" ht="12.75" customHeight="1">
      <c r="A53" s="888">
        <v>9</v>
      </c>
      <c r="B53" s="888" t="s">
        <v>1251</v>
      </c>
      <c r="C53" s="888" t="s">
        <v>1250</v>
      </c>
      <c r="D53" s="889">
        <v>46041</v>
      </c>
      <c r="E53" s="888" t="s">
        <v>310</v>
      </c>
      <c r="F53" s="888" t="s">
        <v>310</v>
      </c>
    </row>
    <row r="54" spans="1:6" ht="12.75" customHeight="1">
      <c r="A54" s="888">
        <v>9</v>
      </c>
      <c r="B54" s="888" t="s">
        <v>1251</v>
      </c>
      <c r="C54" s="888" t="s">
        <v>1250</v>
      </c>
      <c r="D54" s="889">
        <v>46042</v>
      </c>
      <c r="E54" s="888" t="s">
        <v>310</v>
      </c>
      <c r="F54" s="888" t="s">
        <v>310</v>
      </c>
    </row>
    <row r="55" spans="1:6" ht="12.75" customHeight="1">
      <c r="A55" s="888">
        <v>9</v>
      </c>
      <c r="B55" s="888" t="s">
        <v>1251</v>
      </c>
      <c r="C55" s="888" t="s">
        <v>1250</v>
      </c>
      <c r="D55" s="889">
        <v>46043</v>
      </c>
      <c r="E55" s="888" t="s">
        <v>310</v>
      </c>
      <c r="F55" s="888" t="s">
        <v>310</v>
      </c>
    </row>
    <row r="56" spans="1:6" ht="12.75" customHeight="1">
      <c r="A56" s="888">
        <v>9</v>
      </c>
      <c r="B56" s="888" t="s">
        <v>1251</v>
      </c>
      <c r="C56" s="888" t="s">
        <v>1250</v>
      </c>
      <c r="D56" s="889">
        <v>46044</v>
      </c>
      <c r="E56" s="888" t="s">
        <v>310</v>
      </c>
      <c r="F56" s="888" t="s">
        <v>310</v>
      </c>
    </row>
    <row r="57" spans="1:6" ht="12.75" customHeight="1">
      <c r="A57" s="888">
        <v>9</v>
      </c>
      <c r="B57" s="888" t="s">
        <v>1251</v>
      </c>
      <c r="C57" s="888" t="s">
        <v>1250</v>
      </c>
      <c r="D57" s="889">
        <v>46045</v>
      </c>
      <c r="E57" s="888" t="s">
        <v>310</v>
      </c>
      <c r="F57" s="888" t="s">
        <v>310</v>
      </c>
    </row>
    <row r="58" spans="1:6" ht="12.75" customHeight="1">
      <c r="A58" s="888">
        <v>9</v>
      </c>
      <c r="B58" s="888" t="s">
        <v>1251</v>
      </c>
      <c r="C58" s="888" t="s">
        <v>1250</v>
      </c>
      <c r="D58" s="889">
        <v>46046</v>
      </c>
      <c r="E58" s="888" t="s">
        <v>310</v>
      </c>
      <c r="F58" s="888" t="s">
        <v>310</v>
      </c>
    </row>
    <row r="59" spans="1:6" ht="12.75" customHeight="1">
      <c r="A59" s="888">
        <v>9</v>
      </c>
      <c r="B59" s="888" t="s">
        <v>1251</v>
      </c>
      <c r="C59" s="888" t="s">
        <v>1250</v>
      </c>
      <c r="D59" s="889">
        <v>46047</v>
      </c>
      <c r="E59" s="888" t="s">
        <v>310</v>
      </c>
      <c r="F59" s="888" t="s">
        <v>310</v>
      </c>
    </row>
    <row r="60" spans="1:6" ht="12.75" customHeight="1">
      <c r="A60" s="888">
        <v>9</v>
      </c>
      <c r="B60" s="888" t="s">
        <v>1251</v>
      </c>
      <c r="C60" s="888" t="s">
        <v>1250</v>
      </c>
      <c r="D60" s="889">
        <v>46048</v>
      </c>
      <c r="E60" s="888" t="s">
        <v>310</v>
      </c>
      <c r="F60" s="888" t="s">
        <v>310</v>
      </c>
    </row>
    <row r="61" spans="1:6" ht="12.75" customHeight="1">
      <c r="A61" s="888">
        <v>9</v>
      </c>
      <c r="B61" s="888" t="s">
        <v>1251</v>
      </c>
      <c r="C61" s="888" t="s">
        <v>1250</v>
      </c>
      <c r="D61" s="889">
        <v>46049</v>
      </c>
      <c r="E61" s="888" t="s">
        <v>310</v>
      </c>
      <c r="F61" s="888" t="s">
        <v>310</v>
      </c>
    </row>
    <row r="62" spans="1:6" ht="12.75" customHeight="1">
      <c r="A62" s="888">
        <v>9</v>
      </c>
      <c r="B62" s="888" t="s">
        <v>1251</v>
      </c>
      <c r="C62" s="888" t="s">
        <v>1250</v>
      </c>
      <c r="D62" s="889">
        <v>46050</v>
      </c>
      <c r="E62" s="888" t="s">
        <v>310</v>
      </c>
      <c r="F62" s="888" t="s">
        <v>310</v>
      </c>
    </row>
    <row r="63" spans="1:6" ht="12.75" customHeight="1">
      <c r="A63" s="888">
        <v>9</v>
      </c>
      <c r="B63" s="888" t="s">
        <v>1251</v>
      </c>
      <c r="C63" s="888" t="s">
        <v>1250</v>
      </c>
      <c r="D63" s="889">
        <v>46051</v>
      </c>
      <c r="E63" s="888" t="s">
        <v>310</v>
      </c>
      <c r="F63" s="888" t="s">
        <v>310</v>
      </c>
    </row>
    <row r="64" spans="1:6" ht="12.75" customHeight="1">
      <c r="A64" s="888">
        <v>9</v>
      </c>
      <c r="B64" s="888" t="s">
        <v>1251</v>
      </c>
      <c r="C64" s="888" t="s">
        <v>1250</v>
      </c>
      <c r="D64" s="889">
        <v>46052</v>
      </c>
      <c r="E64" s="888" t="s">
        <v>310</v>
      </c>
      <c r="F64" s="888" t="s">
        <v>310</v>
      </c>
    </row>
    <row r="65" spans="1:6" ht="12.75" customHeight="1">
      <c r="A65" s="888">
        <v>9</v>
      </c>
      <c r="B65" s="888" t="s">
        <v>1251</v>
      </c>
      <c r="C65" s="888" t="s">
        <v>1250</v>
      </c>
      <c r="D65" s="889">
        <v>46053</v>
      </c>
      <c r="E65" s="888" t="s">
        <v>310</v>
      </c>
      <c r="F65" s="888" t="s">
        <v>310</v>
      </c>
    </row>
    <row r="66" spans="1:6" ht="12.75" customHeight="1">
      <c r="A66" s="888">
        <v>9</v>
      </c>
      <c r="B66" s="888" t="s">
        <v>1251</v>
      </c>
      <c r="C66" s="888" t="s">
        <v>1250</v>
      </c>
      <c r="D66" s="889">
        <v>46054</v>
      </c>
      <c r="E66" s="888" t="s">
        <v>310</v>
      </c>
      <c r="F66" s="888" t="s">
        <v>310</v>
      </c>
    </row>
    <row r="67" spans="1:6" ht="12.75" customHeight="1">
      <c r="A67" s="888">
        <v>12</v>
      </c>
      <c r="B67" s="888" t="s">
        <v>1252</v>
      </c>
      <c r="C67" s="888" t="s">
        <v>1253</v>
      </c>
      <c r="D67" s="889">
        <v>46023</v>
      </c>
      <c r="E67" s="888" t="s">
        <v>310</v>
      </c>
      <c r="F67" s="888" t="s">
        <v>310</v>
      </c>
    </row>
    <row r="68" spans="1:6" ht="12.75" customHeight="1">
      <c r="A68" s="888">
        <v>12</v>
      </c>
      <c r="B68" s="888" t="s">
        <v>1252</v>
      </c>
      <c r="C68" s="888" t="s">
        <v>1253</v>
      </c>
      <c r="D68" s="889">
        <v>46024</v>
      </c>
      <c r="E68" s="888" t="s">
        <v>310</v>
      </c>
      <c r="F68" s="888" t="s">
        <v>310</v>
      </c>
    </row>
    <row r="69" spans="1:6" ht="12.75" customHeight="1">
      <c r="A69" s="888">
        <v>12</v>
      </c>
      <c r="B69" s="888" t="s">
        <v>1252</v>
      </c>
      <c r="C69" s="888" t="s">
        <v>1253</v>
      </c>
      <c r="D69" s="889">
        <v>46025</v>
      </c>
      <c r="E69" s="888" t="s">
        <v>310</v>
      </c>
      <c r="F69" s="888" t="s">
        <v>310</v>
      </c>
    </row>
    <row r="70" spans="1:6" ht="12.75" customHeight="1">
      <c r="A70" s="888">
        <v>12</v>
      </c>
      <c r="B70" s="888" t="s">
        <v>1252</v>
      </c>
      <c r="C70" s="888" t="s">
        <v>1253</v>
      </c>
      <c r="D70" s="889">
        <v>46026</v>
      </c>
      <c r="E70" s="888" t="s">
        <v>310</v>
      </c>
      <c r="F70" s="888" t="s">
        <v>310</v>
      </c>
    </row>
    <row r="71" spans="1:6" ht="12.75" customHeight="1">
      <c r="A71" s="888">
        <v>12</v>
      </c>
      <c r="B71" s="888" t="s">
        <v>1252</v>
      </c>
      <c r="C71" s="888" t="s">
        <v>1253</v>
      </c>
      <c r="D71" s="889">
        <v>46027</v>
      </c>
      <c r="E71" s="890">
        <v>0.35439814814814813</v>
      </c>
      <c r="F71" s="890">
        <v>0.80302083333333329</v>
      </c>
    </row>
    <row r="72" spans="1:6" ht="12.75" customHeight="1">
      <c r="A72" s="888" t="s">
        <v>1254</v>
      </c>
      <c r="B72" s="888" t="s">
        <v>1255</v>
      </c>
      <c r="C72" s="888" t="s">
        <v>1256</v>
      </c>
    </row>
    <row r="73" spans="1:6" ht="12.75" customHeight="1">
      <c r="A73" s="888">
        <v>12</v>
      </c>
      <c r="B73" s="888" t="s">
        <v>1252</v>
      </c>
      <c r="C73" s="888" t="s">
        <v>1253</v>
      </c>
      <c r="D73" s="889">
        <v>46028</v>
      </c>
      <c r="E73" s="890">
        <v>0.35835648148148147</v>
      </c>
      <c r="F73" s="888" t="s">
        <v>310</v>
      </c>
    </row>
    <row r="74" spans="1:6" ht="12.75" customHeight="1">
      <c r="A74" s="888" t="s">
        <v>1257</v>
      </c>
      <c r="B74" s="888" t="s">
        <v>1258</v>
      </c>
      <c r="C74" s="888" t="s">
        <v>1259</v>
      </c>
    </row>
    <row r="75" spans="1:6" ht="12.75" customHeight="1">
      <c r="A75" s="888">
        <v>12</v>
      </c>
      <c r="B75" s="888" t="s">
        <v>1252</v>
      </c>
      <c r="C75" s="888" t="s">
        <v>1253</v>
      </c>
      <c r="D75" s="889">
        <v>46029</v>
      </c>
      <c r="E75" s="890">
        <v>0.35519675925925925</v>
      </c>
      <c r="F75" s="888" t="s">
        <v>310</v>
      </c>
    </row>
    <row r="76" spans="1:6" ht="12.75" customHeight="1">
      <c r="A76" s="888" t="s">
        <v>1260</v>
      </c>
      <c r="B76" s="888" t="s">
        <v>1258</v>
      </c>
      <c r="C76" s="888" t="s">
        <v>1259</v>
      </c>
    </row>
    <row r="77" spans="1:6" ht="12.75" customHeight="1">
      <c r="A77" s="888">
        <v>12</v>
      </c>
      <c r="B77" s="888" t="s">
        <v>1252</v>
      </c>
      <c r="C77" s="888" t="s">
        <v>1253</v>
      </c>
      <c r="D77" s="889">
        <v>46030</v>
      </c>
      <c r="E77" s="890">
        <v>0.36199074074074072</v>
      </c>
      <c r="F77" s="890">
        <v>0.88561342592592596</v>
      </c>
    </row>
    <row r="78" spans="1:6" ht="12.75" customHeight="1">
      <c r="A78" s="888" t="s">
        <v>1261</v>
      </c>
      <c r="B78" s="888" t="s">
        <v>1262</v>
      </c>
      <c r="C78" s="888" t="s">
        <v>1263</v>
      </c>
    </row>
    <row r="79" spans="1:6" ht="12.75" customHeight="1">
      <c r="A79" s="888">
        <v>12</v>
      </c>
      <c r="B79" s="888" t="s">
        <v>1252</v>
      </c>
      <c r="C79" s="888" t="s">
        <v>1253</v>
      </c>
      <c r="D79" s="889">
        <v>46031</v>
      </c>
      <c r="E79" s="890">
        <v>0.36547453703703703</v>
      </c>
      <c r="F79" s="890">
        <v>0.76931712962962961</v>
      </c>
    </row>
    <row r="80" spans="1:6" ht="12.75" customHeight="1">
      <c r="A80" s="888" t="s">
        <v>1264</v>
      </c>
      <c r="B80" s="888" t="s">
        <v>1265</v>
      </c>
      <c r="C80" s="888" t="s">
        <v>1266</v>
      </c>
    </row>
    <row r="81" spans="1:6" ht="12.75" customHeight="1">
      <c r="A81" s="888">
        <v>12</v>
      </c>
      <c r="B81" s="888" t="s">
        <v>1252</v>
      </c>
      <c r="C81" s="888" t="s">
        <v>1253</v>
      </c>
      <c r="D81" s="889">
        <v>46032</v>
      </c>
      <c r="E81" s="888" t="s">
        <v>310</v>
      </c>
      <c r="F81" s="888" t="s">
        <v>310</v>
      </c>
    </row>
    <row r="82" spans="1:6" ht="12.75" customHeight="1">
      <c r="A82" s="888">
        <v>12</v>
      </c>
      <c r="B82" s="888" t="s">
        <v>1252</v>
      </c>
      <c r="C82" s="888" t="s">
        <v>1253</v>
      </c>
      <c r="D82" s="889">
        <v>46033</v>
      </c>
      <c r="E82" s="888" t="s">
        <v>310</v>
      </c>
      <c r="F82" s="888" t="s">
        <v>310</v>
      </c>
    </row>
    <row r="83" spans="1:6" ht="12.75" customHeight="1">
      <c r="A83" s="888">
        <v>12</v>
      </c>
      <c r="B83" s="888" t="s">
        <v>1252</v>
      </c>
      <c r="C83" s="888" t="s">
        <v>1253</v>
      </c>
      <c r="D83" s="889">
        <v>46034</v>
      </c>
      <c r="E83" s="890">
        <v>0.359375</v>
      </c>
      <c r="F83" s="888" t="s">
        <v>310</v>
      </c>
    </row>
    <row r="84" spans="1:6" ht="12.75" customHeight="1">
      <c r="A84" s="888" t="s">
        <v>1267</v>
      </c>
      <c r="B84" s="888" t="s">
        <v>1258</v>
      </c>
      <c r="C84" s="888" t="s">
        <v>1259</v>
      </c>
    </row>
    <row r="85" spans="1:6" ht="12.75" customHeight="1">
      <c r="A85" s="888">
        <v>12</v>
      </c>
      <c r="B85" s="888" t="s">
        <v>1252</v>
      </c>
      <c r="C85" s="888" t="s">
        <v>1253</v>
      </c>
      <c r="D85" s="889">
        <v>46035</v>
      </c>
      <c r="E85" s="890">
        <v>0.35468749999999999</v>
      </c>
      <c r="F85" s="890">
        <v>0.79873842592592592</v>
      </c>
    </row>
    <row r="86" spans="1:6" ht="12.75" customHeight="1">
      <c r="A86" s="888" t="s">
        <v>1268</v>
      </c>
      <c r="B86" s="888" t="s">
        <v>1269</v>
      </c>
      <c r="C86" s="888" t="s">
        <v>1270</v>
      </c>
    </row>
    <row r="87" spans="1:6" ht="12.75" customHeight="1">
      <c r="A87" s="888">
        <v>12</v>
      </c>
      <c r="B87" s="888" t="s">
        <v>1252</v>
      </c>
      <c r="C87" s="888" t="s">
        <v>1253</v>
      </c>
      <c r="D87" s="889">
        <v>46036</v>
      </c>
      <c r="E87" s="890">
        <v>0.36478009259259259</v>
      </c>
      <c r="F87" s="890">
        <v>0.80167824074074079</v>
      </c>
    </row>
    <row r="88" spans="1:6" ht="12.75" customHeight="1">
      <c r="A88" s="888" t="s">
        <v>1271</v>
      </c>
      <c r="B88" s="888" t="s">
        <v>1272</v>
      </c>
      <c r="C88" s="888" t="s">
        <v>1273</v>
      </c>
    </row>
    <row r="89" spans="1:6" ht="12.75" customHeight="1">
      <c r="A89" s="888">
        <v>12</v>
      </c>
      <c r="B89" s="888" t="s">
        <v>1252</v>
      </c>
      <c r="C89" s="888" t="s">
        <v>1253</v>
      </c>
      <c r="D89" s="889">
        <v>46037</v>
      </c>
      <c r="E89" s="890">
        <v>0.36390046296296297</v>
      </c>
      <c r="F89" s="890">
        <v>0.92092592592592593</v>
      </c>
    </row>
    <row r="90" spans="1:6" ht="12.75" customHeight="1">
      <c r="A90" s="888" t="s">
        <v>1274</v>
      </c>
      <c r="B90" s="888" t="s">
        <v>1275</v>
      </c>
      <c r="C90" s="888" t="s">
        <v>1276</v>
      </c>
    </row>
    <row r="91" spans="1:6" ht="12.75" customHeight="1">
      <c r="A91" s="888">
        <v>12</v>
      </c>
      <c r="B91" s="888" t="s">
        <v>1252</v>
      </c>
      <c r="C91" s="888" t="s">
        <v>1253</v>
      </c>
      <c r="D91" s="889">
        <v>46038</v>
      </c>
      <c r="E91" s="890">
        <v>0.36203703703703705</v>
      </c>
      <c r="F91" s="890">
        <v>0.81549768518518517</v>
      </c>
    </row>
    <row r="92" spans="1:6" ht="12.75" customHeight="1">
      <c r="A92" s="888" t="s">
        <v>1277</v>
      </c>
      <c r="B92" s="888" t="s">
        <v>1278</v>
      </c>
      <c r="C92" s="888" t="s">
        <v>1279</v>
      </c>
    </row>
    <row r="93" spans="1:6" ht="12.75" customHeight="1">
      <c r="A93" s="888">
        <v>12</v>
      </c>
      <c r="B93" s="888" t="s">
        <v>1252</v>
      </c>
      <c r="C93" s="888" t="s">
        <v>1253</v>
      </c>
      <c r="D93" s="889">
        <v>46039</v>
      </c>
      <c r="E93" s="888" t="s">
        <v>310</v>
      </c>
      <c r="F93" s="888" t="s">
        <v>310</v>
      </c>
    </row>
    <row r="94" spans="1:6" ht="12.75" customHeight="1">
      <c r="A94" s="888">
        <v>12</v>
      </c>
      <c r="B94" s="888" t="s">
        <v>1252</v>
      </c>
      <c r="C94" s="888" t="s">
        <v>1253</v>
      </c>
      <c r="D94" s="889">
        <v>46040</v>
      </c>
      <c r="E94" s="888" t="s">
        <v>310</v>
      </c>
      <c r="F94" s="888" t="s">
        <v>310</v>
      </c>
    </row>
    <row r="95" spans="1:6" ht="12.75" customHeight="1">
      <c r="A95" s="888">
        <v>12</v>
      </c>
      <c r="B95" s="888" t="s">
        <v>1252</v>
      </c>
      <c r="C95" s="888" t="s">
        <v>1253</v>
      </c>
      <c r="D95" s="889">
        <v>46041</v>
      </c>
      <c r="E95" s="890">
        <v>0.36458333333333331</v>
      </c>
      <c r="F95" s="890">
        <v>0.79418981481481477</v>
      </c>
    </row>
    <row r="96" spans="1:6" ht="12.75" customHeight="1">
      <c r="A96" s="888" t="s">
        <v>1280</v>
      </c>
      <c r="B96" s="888" t="s">
        <v>1281</v>
      </c>
      <c r="C96" s="888" t="s">
        <v>1282</v>
      </c>
    </row>
    <row r="97" spans="1:6" ht="12.75" customHeight="1">
      <c r="A97" s="888">
        <v>12</v>
      </c>
      <c r="B97" s="888" t="s">
        <v>1252</v>
      </c>
      <c r="C97" s="888" t="s">
        <v>1253</v>
      </c>
      <c r="D97" s="889">
        <v>46042</v>
      </c>
      <c r="E97" s="890">
        <v>0.36350694444444442</v>
      </c>
      <c r="F97" s="890">
        <v>0.75815972222222228</v>
      </c>
    </row>
    <row r="98" spans="1:6" ht="12.75" customHeight="1">
      <c r="A98" s="888" t="s">
        <v>1283</v>
      </c>
      <c r="B98" s="888" t="s">
        <v>1284</v>
      </c>
      <c r="C98" s="888" t="s">
        <v>1285</v>
      </c>
    </row>
    <row r="99" spans="1:6" ht="12.75" customHeight="1">
      <c r="A99" s="888">
        <v>12</v>
      </c>
      <c r="B99" s="888" t="s">
        <v>1252</v>
      </c>
      <c r="C99" s="888" t="s">
        <v>1253</v>
      </c>
      <c r="D99" s="889">
        <v>46043</v>
      </c>
      <c r="E99" s="888" t="s">
        <v>310</v>
      </c>
      <c r="F99" s="888" t="s">
        <v>310</v>
      </c>
    </row>
    <row r="100" spans="1:6" ht="12.75" customHeight="1">
      <c r="A100" s="888">
        <v>12</v>
      </c>
      <c r="B100" s="888" t="s">
        <v>1252</v>
      </c>
      <c r="C100" s="888" t="s">
        <v>1253</v>
      </c>
      <c r="D100" s="889">
        <v>46044</v>
      </c>
      <c r="E100" s="890">
        <v>0.36553240740740739</v>
      </c>
      <c r="F100" s="890">
        <v>0.76453703703703701</v>
      </c>
    </row>
    <row r="101" spans="1:6" ht="12.75" customHeight="1">
      <c r="A101" s="888" t="s">
        <v>1286</v>
      </c>
      <c r="B101" s="888" t="s">
        <v>1287</v>
      </c>
      <c r="C101" s="888" t="s">
        <v>1288</v>
      </c>
    </row>
    <row r="102" spans="1:6" ht="12.75" customHeight="1">
      <c r="A102" s="888">
        <v>12</v>
      </c>
      <c r="B102" s="888" t="s">
        <v>1252</v>
      </c>
      <c r="C102" s="888" t="s">
        <v>1253</v>
      </c>
      <c r="D102" s="889">
        <v>46045</v>
      </c>
      <c r="E102" s="890">
        <v>0.36723379629629632</v>
      </c>
      <c r="F102" s="890">
        <v>0.76121527777777775</v>
      </c>
    </row>
    <row r="103" spans="1:6" ht="12.75" customHeight="1">
      <c r="A103" s="888" t="s">
        <v>1289</v>
      </c>
      <c r="B103" s="888" t="s">
        <v>1290</v>
      </c>
      <c r="C103" s="888" t="s">
        <v>1291</v>
      </c>
    </row>
    <row r="104" spans="1:6" ht="12.75" customHeight="1">
      <c r="A104" s="888">
        <v>12</v>
      </c>
      <c r="B104" s="888" t="s">
        <v>1252</v>
      </c>
      <c r="C104" s="888" t="s">
        <v>1253</v>
      </c>
      <c r="D104" s="889">
        <v>46046</v>
      </c>
      <c r="E104" s="888" t="s">
        <v>310</v>
      </c>
      <c r="F104" s="888" t="s">
        <v>310</v>
      </c>
    </row>
    <row r="105" spans="1:6" ht="12.75" customHeight="1">
      <c r="A105" s="888">
        <v>12</v>
      </c>
      <c r="B105" s="888" t="s">
        <v>1252</v>
      </c>
      <c r="C105" s="888" t="s">
        <v>1253</v>
      </c>
      <c r="D105" s="889">
        <v>46047</v>
      </c>
      <c r="E105" s="888" t="s">
        <v>310</v>
      </c>
      <c r="F105" s="888" t="s">
        <v>310</v>
      </c>
    </row>
    <row r="106" spans="1:6" ht="12.75" customHeight="1">
      <c r="A106" s="888">
        <v>12</v>
      </c>
      <c r="B106" s="888" t="s">
        <v>1252</v>
      </c>
      <c r="C106" s="888" t="s">
        <v>1253</v>
      </c>
      <c r="D106" s="889">
        <v>46048</v>
      </c>
      <c r="E106" s="890">
        <v>0.3679398148148148</v>
      </c>
      <c r="F106" s="890">
        <v>0.86365740740740737</v>
      </c>
    </row>
    <row r="107" spans="1:6" ht="12.75" customHeight="1">
      <c r="A107" s="888" t="s">
        <v>1292</v>
      </c>
      <c r="B107" s="888" t="s">
        <v>1293</v>
      </c>
      <c r="C107" s="888" t="s">
        <v>1294</v>
      </c>
    </row>
    <row r="108" spans="1:6" ht="12.75" customHeight="1">
      <c r="A108" s="888">
        <v>12</v>
      </c>
      <c r="B108" s="888" t="s">
        <v>1252</v>
      </c>
      <c r="C108" s="888" t="s">
        <v>1253</v>
      </c>
      <c r="D108" s="889">
        <v>46049</v>
      </c>
      <c r="E108" s="890">
        <v>0.36749999999999999</v>
      </c>
      <c r="F108" s="890">
        <v>0.836400462962963</v>
      </c>
    </row>
    <row r="109" spans="1:6" ht="12.75" customHeight="1">
      <c r="A109" s="888" t="s">
        <v>1295</v>
      </c>
      <c r="B109" s="888" t="s">
        <v>1296</v>
      </c>
      <c r="C109" s="888" t="s">
        <v>1297</v>
      </c>
    </row>
    <row r="110" spans="1:6" ht="12.75" customHeight="1">
      <c r="A110" s="888">
        <v>12</v>
      </c>
      <c r="B110" s="888" t="s">
        <v>1252</v>
      </c>
      <c r="C110" s="888" t="s">
        <v>1253</v>
      </c>
      <c r="D110" s="889">
        <v>46050</v>
      </c>
      <c r="E110" s="890">
        <v>0.36787037037037035</v>
      </c>
      <c r="F110" s="890">
        <v>0.81439814814814815</v>
      </c>
    </row>
    <row r="111" spans="1:6" ht="12.75" customHeight="1">
      <c r="A111" s="888" t="s">
        <v>1298</v>
      </c>
      <c r="B111" s="888" t="s">
        <v>1299</v>
      </c>
      <c r="C111" s="888" t="s">
        <v>1300</v>
      </c>
    </row>
    <row r="112" spans="1:6" ht="12.75" customHeight="1">
      <c r="A112" s="888">
        <v>12</v>
      </c>
      <c r="B112" s="888" t="s">
        <v>1252</v>
      </c>
      <c r="C112" s="888" t="s">
        <v>1253</v>
      </c>
      <c r="D112" s="889">
        <v>46051</v>
      </c>
      <c r="E112" s="888" t="s">
        <v>310</v>
      </c>
      <c r="F112" s="888" t="s">
        <v>310</v>
      </c>
    </row>
    <row r="113" spans="1:6" ht="12.75" customHeight="1">
      <c r="A113" s="888">
        <v>12</v>
      </c>
      <c r="B113" s="888" t="s">
        <v>1252</v>
      </c>
      <c r="C113" s="888" t="s">
        <v>1253</v>
      </c>
      <c r="D113" s="889">
        <v>46052</v>
      </c>
      <c r="E113" s="890">
        <v>0.35199074074074072</v>
      </c>
      <c r="F113" s="890">
        <v>0.76858796296296295</v>
      </c>
    </row>
    <row r="114" spans="1:6" ht="12.75" customHeight="1">
      <c r="A114" s="888" t="s">
        <v>1301</v>
      </c>
      <c r="B114" s="888" t="s">
        <v>1302</v>
      </c>
      <c r="C114" s="888" t="s">
        <v>1303</v>
      </c>
    </row>
    <row r="115" spans="1:6" ht="12.75" customHeight="1">
      <c r="A115" s="888">
        <v>12</v>
      </c>
      <c r="B115" s="888" t="s">
        <v>1252</v>
      </c>
      <c r="C115" s="888" t="s">
        <v>1253</v>
      </c>
      <c r="D115" s="889">
        <v>46053</v>
      </c>
      <c r="E115" s="888" t="s">
        <v>310</v>
      </c>
      <c r="F115" s="888" t="s">
        <v>310</v>
      </c>
    </row>
    <row r="116" spans="1:6" ht="12.75" customHeight="1">
      <c r="A116" s="888">
        <v>12</v>
      </c>
      <c r="B116" s="888" t="s">
        <v>1252</v>
      </c>
      <c r="C116" s="888" t="s">
        <v>1253</v>
      </c>
      <c r="D116" s="889">
        <v>46054</v>
      </c>
      <c r="E116" s="888" t="s">
        <v>310</v>
      </c>
      <c r="F116" s="888" t="s">
        <v>310</v>
      </c>
    </row>
    <row r="117" spans="1:6" ht="12.75" customHeight="1">
      <c r="A117" s="888">
        <v>16</v>
      </c>
      <c r="B117" s="888" t="s">
        <v>1304</v>
      </c>
      <c r="C117" s="888" t="s">
        <v>1250</v>
      </c>
      <c r="D117" s="889">
        <v>46023</v>
      </c>
      <c r="E117" s="888" t="s">
        <v>310</v>
      </c>
      <c r="F117" s="888" t="s">
        <v>310</v>
      </c>
    </row>
    <row r="118" spans="1:6" ht="12.75" customHeight="1">
      <c r="A118" s="888">
        <v>16</v>
      </c>
      <c r="B118" s="888" t="s">
        <v>1304</v>
      </c>
      <c r="C118" s="888" t="s">
        <v>1250</v>
      </c>
      <c r="D118" s="889">
        <v>46024</v>
      </c>
      <c r="E118" s="888" t="s">
        <v>310</v>
      </c>
      <c r="F118" s="888" t="s">
        <v>310</v>
      </c>
    </row>
    <row r="119" spans="1:6" ht="12.75" customHeight="1">
      <c r="A119" s="888">
        <v>16</v>
      </c>
      <c r="B119" s="888" t="s">
        <v>1304</v>
      </c>
      <c r="C119" s="888" t="s">
        <v>1250</v>
      </c>
      <c r="D119" s="889">
        <v>46025</v>
      </c>
      <c r="E119" s="888" t="s">
        <v>310</v>
      </c>
      <c r="F119" s="888" t="s">
        <v>310</v>
      </c>
    </row>
    <row r="120" spans="1:6" ht="12.75" customHeight="1">
      <c r="A120" s="888">
        <v>16</v>
      </c>
      <c r="B120" s="888" t="s">
        <v>1304</v>
      </c>
      <c r="C120" s="888" t="s">
        <v>1250</v>
      </c>
      <c r="D120" s="889">
        <v>46026</v>
      </c>
      <c r="E120" s="888" t="s">
        <v>310</v>
      </c>
      <c r="F120" s="888" t="s">
        <v>310</v>
      </c>
    </row>
    <row r="121" spans="1:6" ht="12.75" customHeight="1">
      <c r="A121" s="888">
        <v>16</v>
      </c>
      <c r="B121" s="888" t="s">
        <v>1304</v>
      </c>
      <c r="C121" s="888" t="s">
        <v>1250</v>
      </c>
      <c r="D121" s="889">
        <v>46027</v>
      </c>
      <c r="E121" s="888" t="s">
        <v>310</v>
      </c>
      <c r="F121" s="888" t="s">
        <v>310</v>
      </c>
    </row>
    <row r="122" spans="1:6" ht="12.75" customHeight="1">
      <c r="A122" s="888">
        <v>16</v>
      </c>
      <c r="B122" s="888" t="s">
        <v>1304</v>
      </c>
      <c r="C122" s="888" t="s">
        <v>1250</v>
      </c>
      <c r="D122" s="889">
        <v>46028</v>
      </c>
      <c r="E122" s="888" t="s">
        <v>310</v>
      </c>
      <c r="F122" s="888" t="s">
        <v>310</v>
      </c>
    </row>
    <row r="123" spans="1:6" ht="12.75" customHeight="1">
      <c r="A123" s="888">
        <v>16</v>
      </c>
      <c r="B123" s="888" t="s">
        <v>1304</v>
      </c>
      <c r="C123" s="888" t="s">
        <v>1250</v>
      </c>
      <c r="D123" s="889">
        <v>46029</v>
      </c>
      <c r="E123" s="888" t="s">
        <v>310</v>
      </c>
      <c r="F123" s="888" t="s">
        <v>310</v>
      </c>
    </row>
    <row r="124" spans="1:6" ht="12.75" customHeight="1">
      <c r="A124" s="888">
        <v>16</v>
      </c>
      <c r="B124" s="888" t="s">
        <v>1304</v>
      </c>
      <c r="C124" s="888" t="s">
        <v>1250</v>
      </c>
      <c r="D124" s="889">
        <v>46030</v>
      </c>
      <c r="E124" s="888" t="s">
        <v>310</v>
      </c>
      <c r="F124" s="888" t="s">
        <v>310</v>
      </c>
    </row>
    <row r="125" spans="1:6" ht="12.75" customHeight="1">
      <c r="A125" s="888">
        <v>16</v>
      </c>
      <c r="B125" s="888" t="s">
        <v>1304</v>
      </c>
      <c r="C125" s="888" t="s">
        <v>1250</v>
      </c>
      <c r="D125" s="889">
        <v>46031</v>
      </c>
      <c r="E125" s="888" t="s">
        <v>310</v>
      </c>
      <c r="F125" s="888" t="s">
        <v>310</v>
      </c>
    </row>
    <row r="126" spans="1:6" ht="12.75" customHeight="1">
      <c r="A126" s="888">
        <v>16</v>
      </c>
      <c r="B126" s="888" t="s">
        <v>1304</v>
      </c>
      <c r="C126" s="888" t="s">
        <v>1250</v>
      </c>
      <c r="D126" s="889">
        <v>46032</v>
      </c>
      <c r="E126" s="888" t="s">
        <v>310</v>
      </c>
      <c r="F126" s="888" t="s">
        <v>310</v>
      </c>
    </row>
    <row r="127" spans="1:6" ht="12.75" customHeight="1">
      <c r="A127" s="888">
        <v>16</v>
      </c>
      <c r="B127" s="888" t="s">
        <v>1304</v>
      </c>
      <c r="C127" s="888" t="s">
        <v>1250</v>
      </c>
      <c r="D127" s="889">
        <v>46033</v>
      </c>
      <c r="E127" s="888" t="s">
        <v>310</v>
      </c>
      <c r="F127" s="888" t="s">
        <v>310</v>
      </c>
    </row>
    <row r="128" spans="1:6" ht="12.75" customHeight="1">
      <c r="A128" s="888">
        <v>16</v>
      </c>
      <c r="B128" s="888" t="s">
        <v>1304</v>
      </c>
      <c r="C128" s="888" t="s">
        <v>1250</v>
      </c>
      <c r="D128" s="889">
        <v>46034</v>
      </c>
      <c r="E128" s="888" t="s">
        <v>310</v>
      </c>
      <c r="F128" s="888" t="s">
        <v>310</v>
      </c>
    </row>
    <row r="129" spans="1:6" ht="12.75" customHeight="1">
      <c r="A129" s="888">
        <v>16</v>
      </c>
      <c r="B129" s="888" t="s">
        <v>1304</v>
      </c>
      <c r="C129" s="888" t="s">
        <v>1250</v>
      </c>
      <c r="D129" s="889">
        <v>46035</v>
      </c>
      <c r="E129" s="888" t="s">
        <v>310</v>
      </c>
      <c r="F129" s="888" t="s">
        <v>310</v>
      </c>
    </row>
    <row r="130" spans="1:6" ht="12.75" customHeight="1">
      <c r="A130" s="888">
        <v>16</v>
      </c>
      <c r="B130" s="888" t="s">
        <v>1304</v>
      </c>
      <c r="C130" s="888" t="s">
        <v>1250</v>
      </c>
      <c r="D130" s="889">
        <v>46036</v>
      </c>
      <c r="E130" s="888" t="s">
        <v>310</v>
      </c>
      <c r="F130" s="888" t="s">
        <v>310</v>
      </c>
    </row>
    <row r="131" spans="1:6" ht="12.75" customHeight="1">
      <c r="A131" s="888">
        <v>16</v>
      </c>
      <c r="B131" s="888" t="s">
        <v>1304</v>
      </c>
      <c r="C131" s="888" t="s">
        <v>1250</v>
      </c>
      <c r="D131" s="889">
        <v>46037</v>
      </c>
      <c r="E131" s="888" t="s">
        <v>310</v>
      </c>
      <c r="F131" s="888" t="s">
        <v>310</v>
      </c>
    </row>
    <row r="132" spans="1:6" ht="12.75" customHeight="1">
      <c r="A132" s="888">
        <v>16</v>
      </c>
      <c r="B132" s="888" t="s">
        <v>1304</v>
      </c>
      <c r="C132" s="888" t="s">
        <v>1250</v>
      </c>
      <c r="D132" s="889">
        <v>46038</v>
      </c>
      <c r="E132" s="888" t="s">
        <v>310</v>
      </c>
      <c r="F132" s="888" t="s">
        <v>310</v>
      </c>
    </row>
    <row r="133" spans="1:6" ht="12.75" customHeight="1">
      <c r="A133" s="888">
        <v>16</v>
      </c>
      <c r="B133" s="888" t="s">
        <v>1304</v>
      </c>
      <c r="C133" s="888" t="s">
        <v>1250</v>
      </c>
      <c r="D133" s="889">
        <v>46039</v>
      </c>
      <c r="E133" s="888" t="s">
        <v>310</v>
      </c>
      <c r="F133" s="888" t="s">
        <v>310</v>
      </c>
    </row>
    <row r="134" spans="1:6" ht="12.75" customHeight="1">
      <c r="A134" s="888">
        <v>16</v>
      </c>
      <c r="B134" s="888" t="s">
        <v>1304</v>
      </c>
      <c r="C134" s="888" t="s">
        <v>1250</v>
      </c>
      <c r="D134" s="889">
        <v>46040</v>
      </c>
      <c r="E134" s="888" t="s">
        <v>310</v>
      </c>
      <c r="F134" s="888" t="s">
        <v>310</v>
      </c>
    </row>
    <row r="135" spans="1:6" ht="12.75" customHeight="1">
      <c r="A135" s="888">
        <v>16</v>
      </c>
      <c r="B135" s="888" t="s">
        <v>1304</v>
      </c>
      <c r="C135" s="888" t="s">
        <v>1250</v>
      </c>
      <c r="D135" s="889">
        <v>46041</v>
      </c>
      <c r="E135" s="888" t="s">
        <v>310</v>
      </c>
      <c r="F135" s="888" t="s">
        <v>310</v>
      </c>
    </row>
    <row r="136" spans="1:6" ht="12.75" customHeight="1">
      <c r="A136" s="888">
        <v>16</v>
      </c>
      <c r="B136" s="888" t="s">
        <v>1304</v>
      </c>
      <c r="C136" s="888" t="s">
        <v>1250</v>
      </c>
      <c r="D136" s="889">
        <v>46042</v>
      </c>
      <c r="E136" s="888" t="s">
        <v>310</v>
      </c>
      <c r="F136" s="888" t="s">
        <v>310</v>
      </c>
    </row>
    <row r="137" spans="1:6" ht="12.75" customHeight="1">
      <c r="A137" s="888">
        <v>16</v>
      </c>
      <c r="B137" s="888" t="s">
        <v>1304</v>
      </c>
      <c r="C137" s="888" t="s">
        <v>1250</v>
      </c>
      <c r="D137" s="889">
        <v>46043</v>
      </c>
      <c r="E137" s="888" t="s">
        <v>310</v>
      </c>
      <c r="F137" s="888" t="s">
        <v>310</v>
      </c>
    </row>
    <row r="138" spans="1:6" ht="12.75" customHeight="1">
      <c r="A138" s="888">
        <v>16</v>
      </c>
      <c r="B138" s="888" t="s">
        <v>1304</v>
      </c>
      <c r="C138" s="888" t="s">
        <v>1250</v>
      </c>
      <c r="D138" s="889">
        <v>46044</v>
      </c>
      <c r="E138" s="888" t="s">
        <v>310</v>
      </c>
      <c r="F138" s="888" t="s">
        <v>310</v>
      </c>
    </row>
    <row r="139" spans="1:6" ht="12.75" customHeight="1">
      <c r="A139" s="888">
        <v>16</v>
      </c>
      <c r="B139" s="888" t="s">
        <v>1304</v>
      </c>
      <c r="C139" s="888" t="s">
        <v>1250</v>
      </c>
      <c r="D139" s="889">
        <v>46045</v>
      </c>
      <c r="E139" s="888" t="s">
        <v>310</v>
      </c>
      <c r="F139" s="888" t="s">
        <v>310</v>
      </c>
    </row>
    <row r="140" spans="1:6" ht="12.75" customHeight="1">
      <c r="A140" s="888">
        <v>16</v>
      </c>
      <c r="B140" s="888" t="s">
        <v>1304</v>
      </c>
      <c r="C140" s="888" t="s">
        <v>1250</v>
      </c>
      <c r="D140" s="889">
        <v>46046</v>
      </c>
      <c r="E140" s="888" t="s">
        <v>310</v>
      </c>
      <c r="F140" s="888" t="s">
        <v>310</v>
      </c>
    </row>
    <row r="141" spans="1:6" ht="12.75" customHeight="1">
      <c r="A141" s="888">
        <v>16</v>
      </c>
      <c r="B141" s="888" t="s">
        <v>1304</v>
      </c>
      <c r="C141" s="888" t="s">
        <v>1250</v>
      </c>
      <c r="D141" s="889">
        <v>46047</v>
      </c>
      <c r="E141" s="888" t="s">
        <v>310</v>
      </c>
      <c r="F141" s="888" t="s">
        <v>310</v>
      </c>
    </row>
    <row r="142" spans="1:6" ht="12.75" customHeight="1">
      <c r="A142" s="888">
        <v>16</v>
      </c>
      <c r="B142" s="888" t="s">
        <v>1304</v>
      </c>
      <c r="C142" s="888" t="s">
        <v>1250</v>
      </c>
      <c r="D142" s="889">
        <v>46048</v>
      </c>
      <c r="E142" s="888" t="s">
        <v>310</v>
      </c>
      <c r="F142" s="888" t="s">
        <v>310</v>
      </c>
    </row>
    <row r="143" spans="1:6" ht="12.75" customHeight="1">
      <c r="A143" s="888">
        <v>16</v>
      </c>
      <c r="B143" s="888" t="s">
        <v>1304</v>
      </c>
      <c r="C143" s="888" t="s">
        <v>1250</v>
      </c>
      <c r="D143" s="889">
        <v>46049</v>
      </c>
      <c r="E143" s="888" t="s">
        <v>310</v>
      </c>
      <c r="F143" s="888" t="s">
        <v>310</v>
      </c>
    </row>
    <row r="144" spans="1:6" ht="12.75" customHeight="1">
      <c r="A144" s="888">
        <v>16</v>
      </c>
      <c r="B144" s="888" t="s">
        <v>1304</v>
      </c>
      <c r="C144" s="888" t="s">
        <v>1250</v>
      </c>
      <c r="D144" s="889">
        <v>46050</v>
      </c>
      <c r="E144" s="888" t="s">
        <v>310</v>
      </c>
      <c r="F144" s="888" t="s">
        <v>310</v>
      </c>
    </row>
    <row r="145" spans="1:6" ht="12.75" customHeight="1">
      <c r="A145" s="888">
        <v>16</v>
      </c>
      <c r="B145" s="888" t="s">
        <v>1304</v>
      </c>
      <c r="C145" s="888" t="s">
        <v>1250</v>
      </c>
      <c r="D145" s="889">
        <v>46051</v>
      </c>
      <c r="E145" s="888" t="s">
        <v>310</v>
      </c>
      <c r="F145" s="888" t="s">
        <v>310</v>
      </c>
    </row>
    <row r="146" spans="1:6" ht="12.75" customHeight="1">
      <c r="A146" s="888">
        <v>16</v>
      </c>
      <c r="B146" s="888" t="s">
        <v>1304</v>
      </c>
      <c r="C146" s="888" t="s">
        <v>1250</v>
      </c>
      <c r="D146" s="889">
        <v>46052</v>
      </c>
      <c r="E146" s="888" t="s">
        <v>310</v>
      </c>
      <c r="F146" s="888" t="s">
        <v>310</v>
      </c>
    </row>
    <row r="147" spans="1:6" ht="12.75" customHeight="1">
      <c r="A147" s="888">
        <v>16</v>
      </c>
      <c r="B147" s="888" t="s">
        <v>1304</v>
      </c>
      <c r="C147" s="888" t="s">
        <v>1250</v>
      </c>
      <c r="D147" s="889">
        <v>46053</v>
      </c>
      <c r="E147" s="888" t="s">
        <v>310</v>
      </c>
      <c r="F147" s="888" t="s">
        <v>310</v>
      </c>
    </row>
    <row r="148" spans="1:6" ht="12.75" customHeight="1">
      <c r="A148" s="888">
        <v>16</v>
      </c>
      <c r="B148" s="888" t="s">
        <v>1304</v>
      </c>
      <c r="C148" s="888" t="s">
        <v>1250</v>
      </c>
      <c r="D148" s="889">
        <v>46054</v>
      </c>
      <c r="E148" s="888" t="s">
        <v>310</v>
      </c>
      <c r="F148" s="888" t="s">
        <v>310</v>
      </c>
    </row>
    <row r="149" spans="1:6" ht="12.75" customHeight="1">
      <c r="A149" s="888">
        <v>17</v>
      </c>
      <c r="B149" s="888" t="s">
        <v>1305</v>
      </c>
      <c r="C149" s="888" t="s">
        <v>1253</v>
      </c>
      <c r="D149" s="889">
        <v>46023</v>
      </c>
      <c r="E149" s="888" t="s">
        <v>310</v>
      </c>
      <c r="F149" s="888" t="s">
        <v>310</v>
      </c>
    </row>
    <row r="150" spans="1:6" ht="12.75" customHeight="1">
      <c r="A150" s="888">
        <v>17</v>
      </c>
      <c r="B150" s="888" t="s">
        <v>1305</v>
      </c>
      <c r="C150" s="888" t="s">
        <v>1253</v>
      </c>
      <c r="D150" s="889">
        <v>46024</v>
      </c>
      <c r="E150" s="888" t="s">
        <v>310</v>
      </c>
      <c r="F150" s="888" t="s">
        <v>310</v>
      </c>
    </row>
    <row r="151" spans="1:6" ht="12.75" customHeight="1">
      <c r="A151" s="888">
        <v>17</v>
      </c>
      <c r="B151" s="888" t="s">
        <v>1305</v>
      </c>
      <c r="C151" s="888" t="s">
        <v>1253</v>
      </c>
      <c r="D151" s="889">
        <v>46025</v>
      </c>
      <c r="E151" s="888" t="s">
        <v>310</v>
      </c>
      <c r="F151" s="888" t="s">
        <v>310</v>
      </c>
    </row>
    <row r="152" spans="1:6" ht="12.75" customHeight="1">
      <c r="A152" s="888">
        <v>17</v>
      </c>
      <c r="B152" s="888" t="s">
        <v>1305</v>
      </c>
      <c r="C152" s="888" t="s">
        <v>1253</v>
      </c>
      <c r="D152" s="889">
        <v>46026</v>
      </c>
      <c r="E152" s="888" t="s">
        <v>310</v>
      </c>
      <c r="F152" s="888" t="s">
        <v>310</v>
      </c>
    </row>
    <row r="153" spans="1:6" ht="12.75" customHeight="1">
      <c r="A153" s="888">
        <v>17</v>
      </c>
      <c r="B153" s="888" t="s">
        <v>1305</v>
      </c>
      <c r="C153" s="888" t="s">
        <v>1253</v>
      </c>
      <c r="D153" s="889">
        <v>46027</v>
      </c>
      <c r="E153" s="888" t="s">
        <v>310</v>
      </c>
      <c r="F153" s="888" t="s">
        <v>310</v>
      </c>
    </row>
    <row r="154" spans="1:6" ht="12.75" customHeight="1">
      <c r="A154" s="888">
        <v>17</v>
      </c>
      <c r="B154" s="888" t="s">
        <v>1305</v>
      </c>
      <c r="C154" s="888" t="s">
        <v>1253</v>
      </c>
      <c r="D154" s="889">
        <v>46028</v>
      </c>
      <c r="E154" s="888" t="s">
        <v>310</v>
      </c>
      <c r="F154" s="888" t="s">
        <v>310</v>
      </c>
    </row>
    <row r="155" spans="1:6" ht="12.75" customHeight="1">
      <c r="A155" s="888">
        <v>17</v>
      </c>
      <c r="B155" s="888" t="s">
        <v>1305</v>
      </c>
      <c r="C155" s="888" t="s">
        <v>1253</v>
      </c>
      <c r="D155" s="889">
        <v>46029</v>
      </c>
      <c r="E155" s="888" t="s">
        <v>310</v>
      </c>
      <c r="F155" s="888" t="s">
        <v>310</v>
      </c>
    </row>
    <row r="156" spans="1:6" ht="12.75" customHeight="1">
      <c r="A156" s="888">
        <v>17</v>
      </c>
      <c r="B156" s="888" t="s">
        <v>1305</v>
      </c>
      <c r="C156" s="888" t="s">
        <v>1253</v>
      </c>
      <c r="D156" s="889">
        <v>46030</v>
      </c>
      <c r="E156" s="888" t="s">
        <v>310</v>
      </c>
      <c r="F156" s="888" t="s">
        <v>310</v>
      </c>
    </row>
    <row r="157" spans="1:6" ht="12.75" customHeight="1">
      <c r="A157" s="888">
        <v>17</v>
      </c>
      <c r="B157" s="888" t="s">
        <v>1305</v>
      </c>
      <c r="C157" s="888" t="s">
        <v>1253</v>
      </c>
      <c r="D157" s="889">
        <v>46031</v>
      </c>
      <c r="E157" s="888" t="s">
        <v>310</v>
      </c>
      <c r="F157" s="888" t="s">
        <v>310</v>
      </c>
    </row>
    <row r="158" spans="1:6" ht="12.75" customHeight="1">
      <c r="A158" s="888">
        <v>17</v>
      </c>
      <c r="B158" s="888" t="s">
        <v>1305</v>
      </c>
      <c r="C158" s="888" t="s">
        <v>1253</v>
      </c>
      <c r="D158" s="889">
        <v>46032</v>
      </c>
      <c r="E158" s="888" t="s">
        <v>310</v>
      </c>
      <c r="F158" s="888" t="s">
        <v>310</v>
      </c>
    </row>
    <row r="159" spans="1:6" ht="12.75" customHeight="1">
      <c r="A159" s="888">
        <v>17</v>
      </c>
      <c r="B159" s="888" t="s">
        <v>1305</v>
      </c>
      <c r="C159" s="888" t="s">
        <v>1253</v>
      </c>
      <c r="D159" s="889">
        <v>46033</v>
      </c>
      <c r="E159" s="888" t="s">
        <v>310</v>
      </c>
      <c r="F159" s="888" t="s">
        <v>310</v>
      </c>
    </row>
    <row r="160" spans="1:6" ht="12.75" customHeight="1">
      <c r="A160" s="888">
        <v>17</v>
      </c>
      <c r="B160" s="888" t="s">
        <v>1305</v>
      </c>
      <c r="C160" s="888" t="s">
        <v>1253</v>
      </c>
      <c r="D160" s="889">
        <v>46034</v>
      </c>
      <c r="E160" s="888" t="s">
        <v>310</v>
      </c>
      <c r="F160" s="888" t="s">
        <v>310</v>
      </c>
    </row>
    <row r="161" spans="1:6" ht="12.75" customHeight="1">
      <c r="A161" s="888">
        <v>17</v>
      </c>
      <c r="B161" s="888" t="s">
        <v>1305</v>
      </c>
      <c r="C161" s="888" t="s">
        <v>1253</v>
      </c>
      <c r="D161" s="889">
        <v>46035</v>
      </c>
      <c r="E161" s="890">
        <v>0.35370370370370369</v>
      </c>
      <c r="F161" s="890">
        <v>0.72994212962962968</v>
      </c>
    </row>
    <row r="162" spans="1:6" ht="12.75" customHeight="1">
      <c r="A162" s="888" t="s">
        <v>1306</v>
      </c>
      <c r="B162" s="888" t="s">
        <v>1307</v>
      </c>
      <c r="C162" s="888" t="s">
        <v>1308</v>
      </c>
    </row>
    <row r="163" spans="1:6" ht="12.75" customHeight="1">
      <c r="A163" s="888">
        <v>17</v>
      </c>
      <c r="B163" s="888" t="s">
        <v>1305</v>
      </c>
      <c r="C163" s="888" t="s">
        <v>1253</v>
      </c>
      <c r="D163" s="889">
        <v>46036</v>
      </c>
      <c r="E163" s="888" t="s">
        <v>310</v>
      </c>
      <c r="F163" s="888" t="s">
        <v>310</v>
      </c>
    </row>
    <row r="164" spans="1:6" ht="12.75" customHeight="1">
      <c r="A164" s="888">
        <v>17</v>
      </c>
      <c r="B164" s="888" t="s">
        <v>1305</v>
      </c>
      <c r="C164" s="888" t="s">
        <v>1253</v>
      </c>
      <c r="D164" s="889">
        <v>46037</v>
      </c>
      <c r="E164" s="890">
        <v>0.34980324074074076</v>
      </c>
      <c r="F164" s="890">
        <v>0.73003472222222221</v>
      </c>
    </row>
    <row r="165" spans="1:6" ht="12.75" customHeight="1">
      <c r="A165" s="888" t="s">
        <v>1309</v>
      </c>
      <c r="B165" s="888" t="s">
        <v>1310</v>
      </c>
      <c r="C165" s="888" t="s">
        <v>1311</v>
      </c>
    </row>
    <row r="166" spans="1:6" ht="12.75" customHeight="1">
      <c r="A166" s="888">
        <v>17</v>
      </c>
      <c r="B166" s="888" t="s">
        <v>1305</v>
      </c>
      <c r="C166" s="888" t="s">
        <v>1253</v>
      </c>
      <c r="D166" s="889">
        <v>46038</v>
      </c>
      <c r="E166" s="890">
        <v>0.34939814814814812</v>
      </c>
      <c r="F166" s="890">
        <v>0.73217592592592595</v>
      </c>
    </row>
    <row r="167" spans="1:6" ht="12.75" customHeight="1">
      <c r="A167" s="888" t="s">
        <v>1312</v>
      </c>
      <c r="B167" s="888" t="s">
        <v>1313</v>
      </c>
      <c r="C167" s="888" t="s">
        <v>1314</v>
      </c>
    </row>
    <row r="168" spans="1:6" ht="12.75" customHeight="1">
      <c r="A168" s="888">
        <v>17</v>
      </c>
      <c r="B168" s="888" t="s">
        <v>1305</v>
      </c>
      <c r="C168" s="888" t="s">
        <v>1253</v>
      </c>
      <c r="D168" s="889">
        <v>46039</v>
      </c>
      <c r="E168" s="888" t="s">
        <v>310</v>
      </c>
      <c r="F168" s="888" t="s">
        <v>310</v>
      </c>
    </row>
    <row r="169" spans="1:6" ht="12.75" customHeight="1">
      <c r="A169" s="888">
        <v>17</v>
      </c>
      <c r="B169" s="888" t="s">
        <v>1305</v>
      </c>
      <c r="C169" s="888" t="s">
        <v>1253</v>
      </c>
      <c r="D169" s="889">
        <v>46040</v>
      </c>
      <c r="E169" s="888" t="s">
        <v>310</v>
      </c>
      <c r="F169" s="888" t="s">
        <v>310</v>
      </c>
    </row>
    <row r="170" spans="1:6" ht="12.75" customHeight="1">
      <c r="A170" s="888">
        <v>17</v>
      </c>
      <c r="B170" s="888" t="s">
        <v>1305</v>
      </c>
      <c r="C170" s="888" t="s">
        <v>1253</v>
      </c>
      <c r="D170" s="889">
        <v>46041</v>
      </c>
      <c r="E170" s="890">
        <v>0.35403935185185187</v>
      </c>
      <c r="F170" s="890">
        <v>0.73160879629629627</v>
      </c>
    </row>
    <row r="171" spans="1:6" ht="12.75" customHeight="1">
      <c r="A171" s="888" t="s">
        <v>1315</v>
      </c>
      <c r="B171" s="888" t="s">
        <v>1316</v>
      </c>
      <c r="C171" s="888" t="s">
        <v>1317</v>
      </c>
    </row>
    <row r="172" spans="1:6" ht="12.75" customHeight="1">
      <c r="A172" s="888">
        <v>17</v>
      </c>
      <c r="B172" s="888" t="s">
        <v>1305</v>
      </c>
      <c r="C172" s="888" t="s">
        <v>1253</v>
      </c>
      <c r="D172" s="889">
        <v>46042</v>
      </c>
      <c r="E172" s="890">
        <v>0.36069444444444443</v>
      </c>
      <c r="F172" s="890">
        <v>0.50171296296296297</v>
      </c>
    </row>
    <row r="173" spans="1:6" ht="12.75" customHeight="1">
      <c r="A173" s="888" t="s">
        <v>1318</v>
      </c>
      <c r="B173" s="888" t="s">
        <v>1319</v>
      </c>
      <c r="C173" s="888" t="s">
        <v>1320</v>
      </c>
    </row>
    <row r="174" spans="1:6" ht="12.75" customHeight="1">
      <c r="A174" s="888">
        <v>17</v>
      </c>
      <c r="B174" s="888" t="s">
        <v>1305</v>
      </c>
      <c r="C174" s="888" t="s">
        <v>1253</v>
      </c>
      <c r="D174" s="889">
        <v>46043</v>
      </c>
      <c r="E174" s="890">
        <v>0.35101851851851851</v>
      </c>
      <c r="F174" s="890">
        <v>0.73008101851851848</v>
      </c>
    </row>
    <row r="175" spans="1:6" ht="12.75" customHeight="1">
      <c r="A175" s="888" t="s">
        <v>1321</v>
      </c>
      <c r="B175" s="888" t="s">
        <v>1322</v>
      </c>
      <c r="C175" s="888" t="s">
        <v>1323</v>
      </c>
    </row>
    <row r="176" spans="1:6" ht="12.75" customHeight="1">
      <c r="A176" s="888">
        <v>17</v>
      </c>
      <c r="B176" s="888" t="s">
        <v>1305</v>
      </c>
      <c r="C176" s="888" t="s">
        <v>1253</v>
      </c>
      <c r="D176" s="889">
        <v>46044</v>
      </c>
      <c r="E176" s="890">
        <v>0.3583796296296296</v>
      </c>
      <c r="F176" s="890">
        <v>0.73218749999999999</v>
      </c>
    </row>
    <row r="177" spans="1:6" ht="12.75" customHeight="1">
      <c r="A177" s="888" t="s">
        <v>1324</v>
      </c>
      <c r="B177" s="888" t="s">
        <v>1325</v>
      </c>
      <c r="C177" s="888" t="s">
        <v>1326</v>
      </c>
    </row>
    <row r="178" spans="1:6" ht="12.75" customHeight="1">
      <c r="A178" s="888">
        <v>17</v>
      </c>
      <c r="B178" s="888" t="s">
        <v>1305</v>
      </c>
      <c r="C178" s="888" t="s">
        <v>1253</v>
      </c>
      <c r="D178" s="889">
        <v>46045</v>
      </c>
      <c r="E178" s="888" t="s">
        <v>310</v>
      </c>
      <c r="F178" s="888" t="s">
        <v>310</v>
      </c>
    </row>
    <row r="179" spans="1:6" ht="12.75" customHeight="1">
      <c r="A179" s="888">
        <v>17</v>
      </c>
      <c r="B179" s="888" t="s">
        <v>1305</v>
      </c>
      <c r="C179" s="888" t="s">
        <v>1253</v>
      </c>
      <c r="D179" s="889">
        <v>46046</v>
      </c>
      <c r="E179" s="888" t="s">
        <v>310</v>
      </c>
      <c r="F179" s="888" t="s">
        <v>310</v>
      </c>
    </row>
    <row r="180" spans="1:6" ht="12.75" customHeight="1">
      <c r="A180" s="888">
        <v>17</v>
      </c>
      <c r="B180" s="888" t="s">
        <v>1305</v>
      </c>
      <c r="C180" s="888" t="s">
        <v>1253</v>
      </c>
      <c r="D180" s="889">
        <v>46047</v>
      </c>
      <c r="E180" s="888" t="s">
        <v>310</v>
      </c>
      <c r="F180" s="888" t="s">
        <v>310</v>
      </c>
    </row>
    <row r="181" spans="1:6" ht="12.75" customHeight="1">
      <c r="A181" s="888">
        <v>17</v>
      </c>
      <c r="B181" s="888" t="s">
        <v>1305</v>
      </c>
      <c r="C181" s="888" t="s">
        <v>1253</v>
      </c>
      <c r="D181" s="889">
        <v>46048</v>
      </c>
      <c r="E181" s="890">
        <v>0.35540509259259262</v>
      </c>
      <c r="F181" s="888" t="s">
        <v>310</v>
      </c>
    </row>
    <row r="182" spans="1:6" ht="12.75" customHeight="1">
      <c r="A182" s="888" t="s">
        <v>1327</v>
      </c>
      <c r="B182" s="888" t="s">
        <v>1258</v>
      </c>
      <c r="C182" s="888" t="s">
        <v>1259</v>
      </c>
    </row>
    <row r="183" spans="1:6" ht="12.75" customHeight="1">
      <c r="A183" s="888">
        <v>17</v>
      </c>
      <c r="B183" s="888" t="s">
        <v>1305</v>
      </c>
      <c r="C183" s="888" t="s">
        <v>1253</v>
      </c>
      <c r="D183" s="889">
        <v>46049</v>
      </c>
      <c r="E183" s="890">
        <v>0.35505787037037034</v>
      </c>
      <c r="F183" s="890">
        <v>0.73046296296296298</v>
      </c>
    </row>
    <row r="184" spans="1:6" ht="12.75" customHeight="1">
      <c r="A184" s="888" t="s">
        <v>1328</v>
      </c>
      <c r="B184" s="888" t="s">
        <v>1329</v>
      </c>
      <c r="C184" s="888" t="s">
        <v>1330</v>
      </c>
    </row>
    <row r="185" spans="1:6" ht="12.75" customHeight="1">
      <c r="A185" s="888">
        <v>17</v>
      </c>
      <c r="B185" s="888" t="s">
        <v>1305</v>
      </c>
      <c r="C185" s="888" t="s">
        <v>1253</v>
      </c>
      <c r="D185" s="889">
        <v>46050</v>
      </c>
      <c r="E185" s="890">
        <v>0.35585648148148147</v>
      </c>
      <c r="F185" s="890">
        <v>0.73030092592592588</v>
      </c>
    </row>
    <row r="186" spans="1:6" ht="12.75" customHeight="1">
      <c r="A186" s="888" t="s">
        <v>1331</v>
      </c>
      <c r="B186" s="888" t="s">
        <v>1332</v>
      </c>
      <c r="C186" s="888" t="s">
        <v>1333</v>
      </c>
    </row>
    <row r="187" spans="1:6" ht="12.75" customHeight="1">
      <c r="A187" s="888">
        <v>17</v>
      </c>
      <c r="B187" s="888" t="s">
        <v>1305</v>
      </c>
      <c r="C187" s="888" t="s">
        <v>1253</v>
      </c>
      <c r="D187" s="889">
        <v>46051</v>
      </c>
      <c r="E187" s="890">
        <v>0.35373842592592591</v>
      </c>
      <c r="F187" s="890">
        <v>0.73230324074074071</v>
      </c>
    </row>
    <row r="188" spans="1:6" ht="12.75" customHeight="1">
      <c r="A188" s="888" t="s">
        <v>1334</v>
      </c>
      <c r="B188" s="888" t="s">
        <v>1335</v>
      </c>
      <c r="C188" s="888" t="s">
        <v>1336</v>
      </c>
    </row>
    <row r="189" spans="1:6" ht="12.75" customHeight="1">
      <c r="A189" s="888">
        <v>17</v>
      </c>
      <c r="B189" s="888" t="s">
        <v>1305</v>
      </c>
      <c r="C189" s="888" t="s">
        <v>1253</v>
      </c>
      <c r="D189" s="889">
        <v>46052</v>
      </c>
      <c r="E189" s="888" t="s">
        <v>310</v>
      </c>
      <c r="F189" s="888" t="s">
        <v>310</v>
      </c>
    </row>
    <row r="190" spans="1:6" ht="12.75" customHeight="1">
      <c r="A190" s="888">
        <v>17</v>
      </c>
      <c r="B190" s="888" t="s">
        <v>1305</v>
      </c>
      <c r="C190" s="888" t="s">
        <v>1253</v>
      </c>
      <c r="D190" s="889">
        <v>46053</v>
      </c>
      <c r="E190" s="888" t="s">
        <v>310</v>
      </c>
      <c r="F190" s="888" t="s">
        <v>310</v>
      </c>
    </row>
    <row r="191" spans="1:6" ht="12.75" customHeight="1">
      <c r="A191" s="888">
        <v>17</v>
      </c>
      <c r="B191" s="888" t="s">
        <v>1305</v>
      </c>
      <c r="C191" s="888" t="s">
        <v>1253</v>
      </c>
      <c r="D191" s="889">
        <v>46054</v>
      </c>
      <c r="E191" s="888" t="s">
        <v>310</v>
      </c>
      <c r="F191" s="888" t="s">
        <v>310</v>
      </c>
    </row>
    <row r="192" spans="1:6" ht="12.75" customHeight="1">
      <c r="A192" s="888">
        <v>18</v>
      </c>
      <c r="B192" s="888" t="s">
        <v>1337</v>
      </c>
      <c r="C192" s="888" t="s">
        <v>1253</v>
      </c>
      <c r="D192" s="889">
        <v>46023</v>
      </c>
      <c r="E192" s="888" t="s">
        <v>310</v>
      </c>
      <c r="F192" s="888" t="s">
        <v>310</v>
      </c>
    </row>
    <row r="193" spans="1:6" ht="12.75" customHeight="1">
      <c r="A193" s="888">
        <v>18</v>
      </c>
      <c r="B193" s="888" t="s">
        <v>1337</v>
      </c>
      <c r="C193" s="888" t="s">
        <v>1253</v>
      </c>
      <c r="D193" s="889">
        <v>46024</v>
      </c>
      <c r="E193" s="888" t="s">
        <v>310</v>
      </c>
      <c r="F193" s="888" t="s">
        <v>310</v>
      </c>
    </row>
    <row r="194" spans="1:6" ht="12.75" customHeight="1">
      <c r="A194" s="888">
        <v>18</v>
      </c>
      <c r="B194" s="888" t="s">
        <v>1337</v>
      </c>
      <c r="C194" s="888" t="s">
        <v>1253</v>
      </c>
      <c r="D194" s="889">
        <v>46025</v>
      </c>
      <c r="E194" s="888" t="s">
        <v>310</v>
      </c>
      <c r="F194" s="888" t="s">
        <v>310</v>
      </c>
    </row>
    <row r="195" spans="1:6" ht="12.75" customHeight="1">
      <c r="A195" s="888">
        <v>18</v>
      </c>
      <c r="B195" s="888" t="s">
        <v>1337</v>
      </c>
      <c r="C195" s="888" t="s">
        <v>1253</v>
      </c>
      <c r="D195" s="889">
        <v>46026</v>
      </c>
      <c r="E195" s="888" t="s">
        <v>310</v>
      </c>
      <c r="F195" s="888" t="s">
        <v>310</v>
      </c>
    </row>
    <row r="196" spans="1:6" ht="12.75" customHeight="1">
      <c r="A196" s="888">
        <v>18</v>
      </c>
      <c r="B196" s="888" t="s">
        <v>1337</v>
      </c>
      <c r="C196" s="888" t="s">
        <v>1253</v>
      </c>
      <c r="D196" s="889">
        <v>46027</v>
      </c>
      <c r="E196" s="888" t="s">
        <v>310</v>
      </c>
      <c r="F196" s="888" t="s">
        <v>310</v>
      </c>
    </row>
    <row r="197" spans="1:6" ht="12.75" customHeight="1">
      <c r="A197" s="888">
        <v>18</v>
      </c>
      <c r="B197" s="888" t="s">
        <v>1337</v>
      </c>
      <c r="C197" s="888" t="s">
        <v>1253</v>
      </c>
      <c r="D197" s="889">
        <v>46028</v>
      </c>
      <c r="E197" s="888" t="s">
        <v>310</v>
      </c>
      <c r="F197" s="888" t="s">
        <v>310</v>
      </c>
    </row>
    <row r="198" spans="1:6" ht="12.75" customHeight="1">
      <c r="A198" s="888">
        <v>18</v>
      </c>
      <c r="B198" s="888" t="s">
        <v>1337</v>
      </c>
      <c r="C198" s="888" t="s">
        <v>1253</v>
      </c>
      <c r="D198" s="889">
        <v>46029</v>
      </c>
      <c r="E198" s="888" t="s">
        <v>310</v>
      </c>
      <c r="F198" s="888" t="s">
        <v>310</v>
      </c>
    </row>
    <row r="199" spans="1:6" ht="12.75" customHeight="1">
      <c r="A199" s="888">
        <v>18</v>
      </c>
      <c r="B199" s="888" t="s">
        <v>1337</v>
      </c>
      <c r="C199" s="888" t="s">
        <v>1253</v>
      </c>
      <c r="D199" s="889">
        <v>46030</v>
      </c>
      <c r="E199" s="888" t="s">
        <v>310</v>
      </c>
      <c r="F199" s="888" t="s">
        <v>310</v>
      </c>
    </row>
    <row r="200" spans="1:6" ht="12.75" customHeight="1">
      <c r="A200" s="888">
        <v>18</v>
      </c>
      <c r="B200" s="888" t="s">
        <v>1337</v>
      </c>
      <c r="C200" s="888" t="s">
        <v>1253</v>
      </c>
      <c r="D200" s="889">
        <v>46031</v>
      </c>
      <c r="E200" s="888" t="s">
        <v>310</v>
      </c>
      <c r="F200" s="888" t="s">
        <v>310</v>
      </c>
    </row>
    <row r="201" spans="1:6" ht="12.75" customHeight="1">
      <c r="A201" s="888">
        <v>18</v>
      </c>
      <c r="B201" s="888" t="s">
        <v>1337</v>
      </c>
      <c r="C201" s="888" t="s">
        <v>1253</v>
      </c>
      <c r="D201" s="889">
        <v>46032</v>
      </c>
      <c r="E201" s="888" t="s">
        <v>310</v>
      </c>
      <c r="F201" s="888" t="s">
        <v>310</v>
      </c>
    </row>
    <row r="202" spans="1:6" ht="12.75" customHeight="1">
      <c r="A202" s="888">
        <v>18</v>
      </c>
      <c r="B202" s="888" t="s">
        <v>1337</v>
      </c>
      <c r="C202" s="888" t="s">
        <v>1253</v>
      </c>
      <c r="D202" s="889">
        <v>46033</v>
      </c>
      <c r="E202" s="888" t="s">
        <v>310</v>
      </c>
      <c r="F202" s="888" t="s">
        <v>310</v>
      </c>
    </row>
    <row r="203" spans="1:6" ht="12.75" customHeight="1">
      <c r="A203" s="888">
        <v>18</v>
      </c>
      <c r="B203" s="888" t="s">
        <v>1337</v>
      </c>
      <c r="C203" s="888" t="s">
        <v>1253</v>
      </c>
      <c r="D203" s="889">
        <v>46034</v>
      </c>
      <c r="E203" s="888" t="s">
        <v>310</v>
      </c>
      <c r="F203" s="888" t="s">
        <v>310</v>
      </c>
    </row>
    <row r="204" spans="1:6" ht="12.75" customHeight="1">
      <c r="A204" s="888">
        <v>18</v>
      </c>
      <c r="B204" s="888" t="s">
        <v>1337</v>
      </c>
      <c r="C204" s="888" t="s">
        <v>1253</v>
      </c>
      <c r="D204" s="889">
        <v>46035</v>
      </c>
      <c r="E204" s="888" t="s">
        <v>310</v>
      </c>
      <c r="F204" s="888" t="s">
        <v>310</v>
      </c>
    </row>
    <row r="205" spans="1:6" ht="12.75" customHeight="1">
      <c r="A205" s="888">
        <v>18</v>
      </c>
      <c r="B205" s="888" t="s">
        <v>1337</v>
      </c>
      <c r="C205" s="888" t="s">
        <v>1253</v>
      </c>
      <c r="D205" s="889">
        <v>46036</v>
      </c>
      <c r="E205" s="888" t="s">
        <v>310</v>
      </c>
      <c r="F205" s="888" t="s">
        <v>310</v>
      </c>
    </row>
    <row r="206" spans="1:6" ht="12.75" customHeight="1">
      <c r="A206" s="888">
        <v>18</v>
      </c>
      <c r="B206" s="888" t="s">
        <v>1337</v>
      </c>
      <c r="C206" s="888" t="s">
        <v>1253</v>
      </c>
      <c r="D206" s="889">
        <v>46037</v>
      </c>
      <c r="E206" s="888" t="s">
        <v>310</v>
      </c>
      <c r="F206" s="888" t="s">
        <v>310</v>
      </c>
    </row>
    <row r="207" spans="1:6" ht="12.75" customHeight="1">
      <c r="A207" s="888">
        <v>18</v>
      </c>
      <c r="B207" s="888" t="s">
        <v>1337</v>
      </c>
      <c r="C207" s="888" t="s">
        <v>1253</v>
      </c>
      <c r="D207" s="889">
        <v>46038</v>
      </c>
      <c r="E207" s="888" t="s">
        <v>310</v>
      </c>
      <c r="F207" s="888" t="s">
        <v>310</v>
      </c>
    </row>
    <row r="208" spans="1:6" ht="12.75" customHeight="1">
      <c r="A208" s="888">
        <v>18</v>
      </c>
      <c r="B208" s="888" t="s">
        <v>1337</v>
      </c>
      <c r="C208" s="888" t="s">
        <v>1253</v>
      </c>
      <c r="D208" s="889">
        <v>46039</v>
      </c>
      <c r="E208" s="888" t="s">
        <v>310</v>
      </c>
      <c r="F208" s="888" t="s">
        <v>310</v>
      </c>
    </row>
    <row r="209" spans="1:6" ht="12.75" customHeight="1">
      <c r="A209" s="888">
        <v>18</v>
      </c>
      <c r="B209" s="888" t="s">
        <v>1337</v>
      </c>
      <c r="C209" s="888" t="s">
        <v>1253</v>
      </c>
      <c r="D209" s="889">
        <v>46040</v>
      </c>
      <c r="E209" s="888" t="s">
        <v>310</v>
      </c>
      <c r="F209" s="888" t="s">
        <v>310</v>
      </c>
    </row>
    <row r="210" spans="1:6" ht="12.75" customHeight="1">
      <c r="A210" s="888">
        <v>18</v>
      </c>
      <c r="B210" s="888" t="s">
        <v>1337</v>
      </c>
      <c r="C210" s="888" t="s">
        <v>1253</v>
      </c>
      <c r="D210" s="889">
        <v>46041</v>
      </c>
      <c r="E210" s="888" t="s">
        <v>310</v>
      </c>
      <c r="F210" s="888" t="s">
        <v>310</v>
      </c>
    </row>
    <row r="211" spans="1:6" ht="12.75" customHeight="1">
      <c r="A211" s="888">
        <v>18</v>
      </c>
      <c r="B211" s="888" t="s">
        <v>1337</v>
      </c>
      <c r="C211" s="888" t="s">
        <v>1253</v>
      </c>
      <c r="D211" s="889">
        <v>46042</v>
      </c>
      <c r="E211" s="890">
        <v>0.36075231481481479</v>
      </c>
      <c r="F211" s="888" t="s">
        <v>310</v>
      </c>
    </row>
    <row r="212" spans="1:6" ht="12.75" customHeight="1">
      <c r="A212" s="888" t="s">
        <v>1338</v>
      </c>
      <c r="B212" s="888" t="s">
        <v>1258</v>
      </c>
      <c r="C212" s="888" t="s">
        <v>1259</v>
      </c>
    </row>
    <row r="213" spans="1:6" ht="12.75" customHeight="1">
      <c r="A213" s="888">
        <v>18</v>
      </c>
      <c r="B213" s="888" t="s">
        <v>1337</v>
      </c>
      <c r="C213" s="888" t="s">
        <v>1253</v>
      </c>
      <c r="D213" s="889">
        <v>46043</v>
      </c>
      <c r="E213" s="890">
        <v>0.3605902777777778</v>
      </c>
      <c r="F213" s="888" t="s">
        <v>310</v>
      </c>
    </row>
    <row r="214" spans="1:6" ht="12.75" customHeight="1">
      <c r="A214" s="888" t="s">
        <v>1339</v>
      </c>
      <c r="B214" s="888" t="s">
        <v>1258</v>
      </c>
      <c r="C214" s="888" t="s">
        <v>1259</v>
      </c>
    </row>
    <row r="215" spans="1:6" ht="12.75" customHeight="1">
      <c r="A215" s="888">
        <v>18</v>
      </c>
      <c r="B215" s="888" t="s">
        <v>1337</v>
      </c>
      <c r="C215" s="888" t="s">
        <v>1253</v>
      </c>
      <c r="D215" s="889">
        <v>46044</v>
      </c>
      <c r="E215" s="890">
        <v>0.35888888888888887</v>
      </c>
      <c r="F215" s="888" t="s">
        <v>310</v>
      </c>
    </row>
    <row r="216" spans="1:6" ht="12.75" customHeight="1">
      <c r="A216" s="888" t="s">
        <v>1340</v>
      </c>
      <c r="B216" s="888" t="s">
        <v>1258</v>
      </c>
      <c r="C216" s="888" t="s">
        <v>1259</v>
      </c>
    </row>
    <row r="217" spans="1:6" ht="12.75" customHeight="1">
      <c r="A217" s="888">
        <v>18</v>
      </c>
      <c r="B217" s="888" t="s">
        <v>1337</v>
      </c>
      <c r="C217" s="888" t="s">
        <v>1253</v>
      </c>
      <c r="D217" s="889">
        <v>46045</v>
      </c>
      <c r="E217" s="888" t="s">
        <v>310</v>
      </c>
      <c r="F217" s="888" t="s">
        <v>310</v>
      </c>
    </row>
    <row r="218" spans="1:6" ht="12.75" customHeight="1">
      <c r="A218" s="888">
        <v>18</v>
      </c>
      <c r="B218" s="888" t="s">
        <v>1337</v>
      </c>
      <c r="C218" s="888" t="s">
        <v>1253</v>
      </c>
      <c r="D218" s="889">
        <v>46046</v>
      </c>
      <c r="E218" s="888" t="s">
        <v>310</v>
      </c>
      <c r="F218" s="888" t="s">
        <v>310</v>
      </c>
    </row>
    <row r="219" spans="1:6" ht="12.75" customHeight="1">
      <c r="A219" s="888">
        <v>18</v>
      </c>
      <c r="B219" s="888" t="s">
        <v>1337</v>
      </c>
      <c r="C219" s="888" t="s">
        <v>1253</v>
      </c>
      <c r="D219" s="889">
        <v>46047</v>
      </c>
      <c r="E219" s="888" t="s">
        <v>310</v>
      </c>
      <c r="F219" s="888" t="s">
        <v>310</v>
      </c>
    </row>
    <row r="220" spans="1:6" ht="12.75" customHeight="1">
      <c r="A220" s="888">
        <v>18</v>
      </c>
      <c r="B220" s="888" t="s">
        <v>1337</v>
      </c>
      <c r="C220" s="888" t="s">
        <v>1253</v>
      </c>
      <c r="D220" s="889">
        <v>46048</v>
      </c>
      <c r="E220" s="888" t="s">
        <v>310</v>
      </c>
      <c r="F220" s="888" t="s">
        <v>310</v>
      </c>
    </row>
    <row r="221" spans="1:6" ht="12.75" customHeight="1">
      <c r="A221" s="888">
        <v>18</v>
      </c>
      <c r="B221" s="888" t="s">
        <v>1337</v>
      </c>
      <c r="C221" s="888" t="s">
        <v>1253</v>
      </c>
      <c r="D221" s="889">
        <v>46049</v>
      </c>
      <c r="E221" s="888" t="s">
        <v>310</v>
      </c>
      <c r="F221" s="888" t="s">
        <v>310</v>
      </c>
    </row>
    <row r="222" spans="1:6" ht="12.75" customHeight="1">
      <c r="A222" s="888">
        <v>18</v>
      </c>
      <c r="B222" s="888" t="s">
        <v>1337</v>
      </c>
      <c r="C222" s="888" t="s">
        <v>1253</v>
      </c>
      <c r="D222" s="889">
        <v>46050</v>
      </c>
      <c r="E222" s="888" t="s">
        <v>310</v>
      </c>
      <c r="F222" s="888" t="s">
        <v>310</v>
      </c>
    </row>
    <row r="223" spans="1:6" ht="12.75" customHeight="1">
      <c r="A223" s="888">
        <v>18</v>
      </c>
      <c r="B223" s="888" t="s">
        <v>1337</v>
      </c>
      <c r="C223" s="888" t="s">
        <v>1253</v>
      </c>
      <c r="D223" s="889">
        <v>46051</v>
      </c>
      <c r="E223" s="888" t="s">
        <v>310</v>
      </c>
      <c r="F223" s="888" t="s">
        <v>310</v>
      </c>
    </row>
    <row r="224" spans="1:6" ht="12.75" customHeight="1">
      <c r="A224" s="888">
        <v>18</v>
      </c>
      <c r="B224" s="888" t="s">
        <v>1337</v>
      </c>
      <c r="C224" s="888" t="s">
        <v>1253</v>
      </c>
      <c r="D224" s="889">
        <v>46052</v>
      </c>
      <c r="E224" s="888" t="s">
        <v>310</v>
      </c>
      <c r="F224" s="888" t="s">
        <v>310</v>
      </c>
    </row>
    <row r="225" spans="1:6" ht="12.75" customHeight="1">
      <c r="A225" s="888">
        <v>18</v>
      </c>
      <c r="B225" s="888" t="s">
        <v>1337</v>
      </c>
      <c r="C225" s="888" t="s">
        <v>1253</v>
      </c>
      <c r="D225" s="889">
        <v>46053</v>
      </c>
      <c r="E225" s="888" t="s">
        <v>310</v>
      </c>
      <c r="F225" s="888" t="s">
        <v>310</v>
      </c>
    </row>
    <row r="226" spans="1:6" ht="12.75" customHeight="1">
      <c r="A226" s="888">
        <v>18</v>
      </c>
      <c r="B226" s="888" t="s">
        <v>1337</v>
      </c>
      <c r="C226" s="888" t="s">
        <v>1253</v>
      </c>
      <c r="D226" s="889">
        <v>46054</v>
      </c>
      <c r="E226" s="888" t="s">
        <v>310</v>
      </c>
      <c r="F226" s="888" t="s">
        <v>310</v>
      </c>
    </row>
    <row r="227" spans="1:6" ht="12.75" customHeight="1">
      <c r="A227" s="888">
        <v>19</v>
      </c>
      <c r="B227" s="888" t="s">
        <v>1341</v>
      </c>
      <c r="C227" s="888" t="s">
        <v>1250</v>
      </c>
      <c r="D227" s="889">
        <v>46023</v>
      </c>
      <c r="E227" s="888" t="s">
        <v>310</v>
      </c>
      <c r="F227" s="888" t="s">
        <v>310</v>
      </c>
    </row>
    <row r="228" spans="1:6" ht="12.75" customHeight="1">
      <c r="A228" s="888">
        <v>19</v>
      </c>
      <c r="B228" s="888" t="s">
        <v>1341</v>
      </c>
      <c r="C228" s="888" t="s">
        <v>1250</v>
      </c>
      <c r="D228" s="889">
        <v>46024</v>
      </c>
      <c r="E228" s="888" t="s">
        <v>310</v>
      </c>
      <c r="F228" s="888" t="s">
        <v>310</v>
      </c>
    </row>
    <row r="229" spans="1:6" ht="12.75" customHeight="1">
      <c r="A229" s="888">
        <v>19</v>
      </c>
      <c r="B229" s="888" t="s">
        <v>1341</v>
      </c>
      <c r="C229" s="888" t="s">
        <v>1250</v>
      </c>
      <c r="D229" s="889">
        <v>46025</v>
      </c>
      <c r="E229" s="888" t="s">
        <v>310</v>
      </c>
      <c r="F229" s="888" t="s">
        <v>310</v>
      </c>
    </row>
    <row r="230" spans="1:6" ht="12.75" customHeight="1">
      <c r="A230" s="888">
        <v>19</v>
      </c>
      <c r="B230" s="888" t="s">
        <v>1341</v>
      </c>
      <c r="C230" s="888" t="s">
        <v>1250</v>
      </c>
      <c r="D230" s="889">
        <v>46026</v>
      </c>
      <c r="E230" s="888" t="s">
        <v>310</v>
      </c>
      <c r="F230" s="888" t="s">
        <v>310</v>
      </c>
    </row>
    <row r="231" spans="1:6" ht="12.75" customHeight="1">
      <c r="A231" s="888">
        <v>19</v>
      </c>
      <c r="B231" s="888" t="s">
        <v>1341</v>
      </c>
      <c r="C231" s="888" t="s">
        <v>1250</v>
      </c>
      <c r="D231" s="889">
        <v>46027</v>
      </c>
      <c r="E231" s="888" t="s">
        <v>310</v>
      </c>
      <c r="F231" s="888" t="s">
        <v>310</v>
      </c>
    </row>
    <row r="232" spans="1:6" ht="12.75" customHeight="1">
      <c r="A232" s="888">
        <v>19</v>
      </c>
      <c r="B232" s="888" t="s">
        <v>1341</v>
      </c>
      <c r="C232" s="888" t="s">
        <v>1250</v>
      </c>
      <c r="D232" s="889">
        <v>46028</v>
      </c>
      <c r="E232" s="888" t="s">
        <v>310</v>
      </c>
      <c r="F232" s="888" t="s">
        <v>310</v>
      </c>
    </row>
    <row r="233" spans="1:6" ht="12.75" customHeight="1">
      <c r="A233" s="888">
        <v>19</v>
      </c>
      <c r="B233" s="888" t="s">
        <v>1341</v>
      </c>
      <c r="C233" s="888" t="s">
        <v>1250</v>
      </c>
      <c r="D233" s="889">
        <v>46029</v>
      </c>
      <c r="E233" s="888" t="s">
        <v>310</v>
      </c>
      <c r="F233" s="888" t="s">
        <v>310</v>
      </c>
    </row>
    <row r="234" spans="1:6" ht="12.75" customHeight="1">
      <c r="A234" s="888">
        <v>19</v>
      </c>
      <c r="B234" s="888" t="s">
        <v>1341</v>
      </c>
      <c r="C234" s="888" t="s">
        <v>1250</v>
      </c>
      <c r="D234" s="889">
        <v>46030</v>
      </c>
      <c r="E234" s="888" t="s">
        <v>310</v>
      </c>
      <c r="F234" s="888" t="s">
        <v>310</v>
      </c>
    </row>
    <row r="235" spans="1:6" ht="12.75" customHeight="1">
      <c r="A235" s="888">
        <v>19</v>
      </c>
      <c r="B235" s="888" t="s">
        <v>1341</v>
      </c>
      <c r="C235" s="888" t="s">
        <v>1250</v>
      </c>
      <c r="D235" s="889">
        <v>46031</v>
      </c>
      <c r="E235" s="888" t="s">
        <v>310</v>
      </c>
      <c r="F235" s="888" t="s">
        <v>310</v>
      </c>
    </row>
    <row r="236" spans="1:6" ht="12.75" customHeight="1">
      <c r="A236" s="888">
        <v>19</v>
      </c>
      <c r="B236" s="888" t="s">
        <v>1341</v>
      </c>
      <c r="C236" s="888" t="s">
        <v>1250</v>
      </c>
      <c r="D236" s="889">
        <v>46032</v>
      </c>
      <c r="E236" s="888" t="s">
        <v>310</v>
      </c>
      <c r="F236" s="888" t="s">
        <v>310</v>
      </c>
    </row>
    <row r="237" spans="1:6" ht="12.75" customHeight="1">
      <c r="A237" s="888">
        <v>19</v>
      </c>
      <c r="B237" s="888" t="s">
        <v>1341</v>
      </c>
      <c r="C237" s="888" t="s">
        <v>1250</v>
      </c>
      <c r="D237" s="889">
        <v>46033</v>
      </c>
      <c r="E237" s="888" t="s">
        <v>310</v>
      </c>
      <c r="F237" s="888" t="s">
        <v>310</v>
      </c>
    </row>
    <row r="238" spans="1:6" ht="12.75" customHeight="1">
      <c r="A238" s="888">
        <v>19</v>
      </c>
      <c r="B238" s="888" t="s">
        <v>1341</v>
      </c>
      <c r="C238" s="888" t="s">
        <v>1250</v>
      </c>
      <c r="D238" s="889">
        <v>46034</v>
      </c>
      <c r="E238" s="888" t="s">
        <v>310</v>
      </c>
      <c r="F238" s="888" t="s">
        <v>310</v>
      </c>
    </row>
    <row r="239" spans="1:6" ht="12.75" customHeight="1">
      <c r="A239" s="888">
        <v>19</v>
      </c>
      <c r="B239" s="888" t="s">
        <v>1341</v>
      </c>
      <c r="C239" s="888" t="s">
        <v>1250</v>
      </c>
      <c r="D239" s="889">
        <v>46035</v>
      </c>
      <c r="E239" s="888" t="s">
        <v>310</v>
      </c>
      <c r="F239" s="888" t="s">
        <v>310</v>
      </c>
    </row>
    <row r="240" spans="1:6" ht="12.75" customHeight="1">
      <c r="A240" s="888">
        <v>19</v>
      </c>
      <c r="B240" s="888" t="s">
        <v>1341</v>
      </c>
      <c r="C240" s="888" t="s">
        <v>1250</v>
      </c>
      <c r="D240" s="889">
        <v>46036</v>
      </c>
      <c r="E240" s="888" t="s">
        <v>310</v>
      </c>
      <c r="F240" s="888" t="s">
        <v>310</v>
      </c>
    </row>
    <row r="241" spans="1:6" ht="12.75" customHeight="1">
      <c r="A241" s="888">
        <v>19</v>
      </c>
      <c r="B241" s="888" t="s">
        <v>1341</v>
      </c>
      <c r="C241" s="888" t="s">
        <v>1250</v>
      </c>
      <c r="D241" s="889">
        <v>46037</v>
      </c>
      <c r="E241" s="888" t="s">
        <v>310</v>
      </c>
      <c r="F241" s="888" t="s">
        <v>310</v>
      </c>
    </row>
    <row r="242" spans="1:6" ht="12.75" customHeight="1">
      <c r="A242" s="888">
        <v>19</v>
      </c>
      <c r="B242" s="888" t="s">
        <v>1341</v>
      </c>
      <c r="C242" s="888" t="s">
        <v>1250</v>
      </c>
      <c r="D242" s="889">
        <v>46038</v>
      </c>
      <c r="E242" s="888" t="s">
        <v>310</v>
      </c>
      <c r="F242" s="888" t="s">
        <v>310</v>
      </c>
    </row>
    <row r="243" spans="1:6" ht="12.75" customHeight="1">
      <c r="A243" s="888">
        <v>19</v>
      </c>
      <c r="B243" s="888" t="s">
        <v>1341</v>
      </c>
      <c r="C243" s="888" t="s">
        <v>1250</v>
      </c>
      <c r="D243" s="889">
        <v>46039</v>
      </c>
      <c r="E243" s="888" t="s">
        <v>310</v>
      </c>
      <c r="F243" s="888" t="s">
        <v>310</v>
      </c>
    </row>
    <row r="244" spans="1:6" ht="12.75" customHeight="1">
      <c r="A244" s="888">
        <v>19</v>
      </c>
      <c r="B244" s="888" t="s">
        <v>1341</v>
      </c>
      <c r="C244" s="888" t="s">
        <v>1250</v>
      </c>
      <c r="D244" s="889">
        <v>46040</v>
      </c>
      <c r="E244" s="888" t="s">
        <v>310</v>
      </c>
      <c r="F244" s="888" t="s">
        <v>310</v>
      </c>
    </row>
    <row r="245" spans="1:6" ht="12.75" customHeight="1">
      <c r="A245" s="888">
        <v>19</v>
      </c>
      <c r="B245" s="888" t="s">
        <v>1341</v>
      </c>
      <c r="C245" s="888" t="s">
        <v>1250</v>
      </c>
      <c r="D245" s="889">
        <v>46041</v>
      </c>
      <c r="E245" s="888" t="s">
        <v>310</v>
      </c>
      <c r="F245" s="888" t="s">
        <v>310</v>
      </c>
    </row>
    <row r="246" spans="1:6" ht="12.75" customHeight="1">
      <c r="A246" s="888">
        <v>19</v>
      </c>
      <c r="B246" s="888" t="s">
        <v>1341</v>
      </c>
      <c r="C246" s="888" t="s">
        <v>1250</v>
      </c>
      <c r="D246" s="889">
        <v>46042</v>
      </c>
      <c r="E246" s="888" t="s">
        <v>310</v>
      </c>
      <c r="F246" s="888" t="s">
        <v>310</v>
      </c>
    </row>
    <row r="247" spans="1:6" ht="12.75" customHeight="1">
      <c r="A247" s="888">
        <v>19</v>
      </c>
      <c r="B247" s="888" t="s">
        <v>1341</v>
      </c>
      <c r="C247" s="888" t="s">
        <v>1250</v>
      </c>
      <c r="D247" s="889">
        <v>46043</v>
      </c>
      <c r="E247" s="888" t="s">
        <v>310</v>
      </c>
      <c r="F247" s="888" t="s">
        <v>310</v>
      </c>
    </row>
    <row r="248" spans="1:6" ht="12.75" customHeight="1">
      <c r="A248" s="888">
        <v>19</v>
      </c>
      <c r="B248" s="888" t="s">
        <v>1341</v>
      </c>
      <c r="C248" s="888" t="s">
        <v>1250</v>
      </c>
      <c r="D248" s="889">
        <v>46044</v>
      </c>
      <c r="E248" s="888" t="s">
        <v>310</v>
      </c>
      <c r="F248" s="888" t="s">
        <v>310</v>
      </c>
    </row>
    <row r="249" spans="1:6" ht="12.75" customHeight="1">
      <c r="A249" s="888">
        <v>19</v>
      </c>
      <c r="B249" s="888" t="s">
        <v>1341</v>
      </c>
      <c r="C249" s="888" t="s">
        <v>1250</v>
      </c>
      <c r="D249" s="889">
        <v>46045</v>
      </c>
      <c r="E249" s="888" t="s">
        <v>310</v>
      </c>
      <c r="F249" s="888" t="s">
        <v>310</v>
      </c>
    </row>
    <row r="250" spans="1:6" ht="12.75" customHeight="1">
      <c r="A250" s="888">
        <v>19</v>
      </c>
      <c r="B250" s="888" t="s">
        <v>1341</v>
      </c>
      <c r="C250" s="888" t="s">
        <v>1250</v>
      </c>
      <c r="D250" s="889">
        <v>46046</v>
      </c>
      <c r="E250" s="888" t="s">
        <v>310</v>
      </c>
      <c r="F250" s="888" t="s">
        <v>310</v>
      </c>
    </row>
    <row r="251" spans="1:6" ht="12.75" customHeight="1">
      <c r="A251" s="888">
        <v>19</v>
      </c>
      <c r="B251" s="888" t="s">
        <v>1341</v>
      </c>
      <c r="C251" s="888" t="s">
        <v>1250</v>
      </c>
      <c r="D251" s="889">
        <v>46047</v>
      </c>
      <c r="E251" s="888" t="s">
        <v>310</v>
      </c>
      <c r="F251" s="888" t="s">
        <v>310</v>
      </c>
    </row>
    <row r="252" spans="1:6" ht="12.75" customHeight="1">
      <c r="A252" s="888">
        <v>19</v>
      </c>
      <c r="B252" s="888" t="s">
        <v>1341</v>
      </c>
      <c r="C252" s="888" t="s">
        <v>1250</v>
      </c>
      <c r="D252" s="889">
        <v>46048</v>
      </c>
      <c r="E252" s="888" t="s">
        <v>310</v>
      </c>
      <c r="F252" s="888" t="s">
        <v>310</v>
      </c>
    </row>
    <row r="253" spans="1:6" ht="12.75" customHeight="1">
      <c r="A253" s="888">
        <v>19</v>
      </c>
      <c r="B253" s="888" t="s">
        <v>1341</v>
      </c>
      <c r="C253" s="888" t="s">
        <v>1250</v>
      </c>
      <c r="D253" s="889">
        <v>46049</v>
      </c>
      <c r="E253" s="888" t="s">
        <v>310</v>
      </c>
      <c r="F253" s="888" t="s">
        <v>310</v>
      </c>
    </row>
    <row r="254" spans="1:6" ht="12.75" customHeight="1">
      <c r="A254" s="888">
        <v>19</v>
      </c>
      <c r="B254" s="888" t="s">
        <v>1341</v>
      </c>
      <c r="C254" s="888" t="s">
        <v>1250</v>
      </c>
      <c r="D254" s="889">
        <v>46050</v>
      </c>
      <c r="E254" s="888" t="s">
        <v>310</v>
      </c>
      <c r="F254" s="888" t="s">
        <v>310</v>
      </c>
    </row>
    <row r="255" spans="1:6" ht="12.75" customHeight="1">
      <c r="A255" s="888">
        <v>19</v>
      </c>
      <c r="B255" s="888" t="s">
        <v>1341</v>
      </c>
      <c r="C255" s="888" t="s">
        <v>1250</v>
      </c>
      <c r="D255" s="889">
        <v>46051</v>
      </c>
      <c r="E255" s="888" t="s">
        <v>310</v>
      </c>
      <c r="F255" s="888" t="s">
        <v>310</v>
      </c>
    </row>
    <row r="256" spans="1:6" ht="12.75" customHeight="1">
      <c r="A256" s="888">
        <v>19</v>
      </c>
      <c r="B256" s="888" t="s">
        <v>1341</v>
      </c>
      <c r="C256" s="888" t="s">
        <v>1250</v>
      </c>
      <c r="D256" s="889">
        <v>46052</v>
      </c>
      <c r="E256" s="888" t="s">
        <v>310</v>
      </c>
      <c r="F256" s="888" t="s">
        <v>310</v>
      </c>
    </row>
    <row r="257" spans="1:10" ht="12.75" customHeight="1">
      <c r="A257" s="888">
        <v>19</v>
      </c>
      <c r="B257" s="888" t="s">
        <v>1341</v>
      </c>
      <c r="C257" s="888" t="s">
        <v>1250</v>
      </c>
      <c r="D257" s="889">
        <v>46053</v>
      </c>
      <c r="E257" s="888" t="s">
        <v>310</v>
      </c>
      <c r="F257" s="888" t="s">
        <v>310</v>
      </c>
    </row>
    <row r="258" spans="1:10" ht="12.75" customHeight="1">
      <c r="A258" s="888">
        <v>19</v>
      </c>
      <c r="B258" s="888" t="s">
        <v>1341</v>
      </c>
      <c r="C258" s="888" t="s">
        <v>1250</v>
      </c>
      <c r="D258" s="889">
        <v>46054</v>
      </c>
      <c r="E258" s="888" t="s">
        <v>310</v>
      </c>
      <c r="F258" s="888" t="s">
        <v>310</v>
      </c>
    </row>
    <row r="259" spans="1:10" ht="12.75" customHeight="1">
      <c r="A259" s="888">
        <v>20</v>
      </c>
      <c r="B259" s="888" t="s">
        <v>1342</v>
      </c>
      <c r="C259" s="888" t="s">
        <v>1253</v>
      </c>
      <c r="D259" s="889">
        <v>46023</v>
      </c>
      <c r="E259" s="888" t="s">
        <v>310</v>
      </c>
      <c r="F259" s="888" t="s">
        <v>310</v>
      </c>
      <c r="G259" s="891" t="s">
        <v>1039</v>
      </c>
      <c r="H259" s="891" t="s">
        <v>1343</v>
      </c>
      <c r="I259" s="891" t="s">
        <v>1039</v>
      </c>
      <c r="J259" s="891" t="s">
        <v>1343</v>
      </c>
    </row>
    <row r="260" spans="1:10" ht="12.75" customHeight="1">
      <c r="A260" s="888">
        <v>20</v>
      </c>
      <c r="B260" s="888" t="s">
        <v>1342</v>
      </c>
      <c r="C260" s="888" t="s">
        <v>1253</v>
      </c>
      <c r="D260" s="889">
        <v>46024</v>
      </c>
      <c r="E260" s="888" t="s">
        <v>310</v>
      </c>
      <c r="F260" s="888" t="s">
        <v>310</v>
      </c>
      <c r="G260" s="891" t="s">
        <v>1039</v>
      </c>
      <c r="H260" s="891" t="s">
        <v>1082</v>
      </c>
      <c r="I260" s="891" t="s">
        <v>1039</v>
      </c>
      <c r="J260" s="891" t="s">
        <v>1082</v>
      </c>
    </row>
    <row r="261" spans="1:10" ht="12.75" customHeight="1">
      <c r="A261" s="888">
        <v>20</v>
      </c>
      <c r="B261" s="888" t="s">
        <v>1342</v>
      </c>
      <c r="C261" s="888" t="s">
        <v>1253</v>
      </c>
      <c r="D261" s="889">
        <v>46025</v>
      </c>
      <c r="E261" s="888" t="s">
        <v>310</v>
      </c>
      <c r="F261" s="888" t="s">
        <v>310</v>
      </c>
      <c r="G261" s="891" t="s">
        <v>1039</v>
      </c>
      <c r="H261" s="891" t="s">
        <v>1344</v>
      </c>
      <c r="I261" s="891" t="s">
        <v>1039</v>
      </c>
      <c r="J261" s="891" t="s">
        <v>1344</v>
      </c>
    </row>
    <row r="262" spans="1:10" ht="12.75" customHeight="1">
      <c r="A262" s="888">
        <v>20</v>
      </c>
      <c r="B262" s="888" t="s">
        <v>1342</v>
      </c>
      <c r="C262" s="888" t="s">
        <v>1253</v>
      </c>
      <c r="D262" s="889">
        <v>46026</v>
      </c>
      <c r="E262" s="888" t="s">
        <v>310</v>
      </c>
      <c r="F262" s="888" t="s">
        <v>310</v>
      </c>
      <c r="G262" s="891" t="s">
        <v>1039</v>
      </c>
      <c r="H262" s="891" t="s">
        <v>1344</v>
      </c>
      <c r="I262" s="891" t="s">
        <v>1039</v>
      </c>
      <c r="J262" s="891" t="s">
        <v>1344</v>
      </c>
    </row>
    <row r="263" spans="1:10" ht="12.75" customHeight="1">
      <c r="A263" s="888">
        <v>20</v>
      </c>
      <c r="B263" s="888" t="s">
        <v>1342</v>
      </c>
      <c r="C263" s="888" t="s">
        <v>1253</v>
      </c>
      <c r="D263" s="889">
        <v>46027</v>
      </c>
      <c r="E263" s="888" t="s">
        <v>310</v>
      </c>
      <c r="F263" s="888" t="s">
        <v>310</v>
      </c>
    </row>
    <row r="264" spans="1:10" ht="12.75" customHeight="1">
      <c r="A264" s="888">
        <v>20</v>
      </c>
      <c r="B264" s="888" t="s">
        <v>1342</v>
      </c>
      <c r="C264" s="888" t="s">
        <v>1253</v>
      </c>
      <c r="D264" s="889">
        <v>46028</v>
      </c>
      <c r="E264" s="888" t="s">
        <v>310</v>
      </c>
      <c r="F264" s="888" t="s">
        <v>310</v>
      </c>
      <c r="G264" s="891" t="s">
        <v>1039</v>
      </c>
      <c r="H264" s="891" t="s">
        <v>1345</v>
      </c>
    </row>
    <row r="265" spans="1:10" ht="12.75" customHeight="1">
      <c r="A265" s="888">
        <v>20</v>
      </c>
      <c r="B265" s="888" t="s">
        <v>1342</v>
      </c>
      <c r="C265" s="888" t="s">
        <v>1253</v>
      </c>
      <c r="D265" s="889">
        <v>46029</v>
      </c>
      <c r="E265" s="888" t="s">
        <v>310</v>
      </c>
      <c r="F265" s="888" t="s">
        <v>310</v>
      </c>
      <c r="G265" s="891" t="s">
        <v>1039</v>
      </c>
      <c r="H265" s="891" t="s">
        <v>1345</v>
      </c>
      <c r="I265" s="891" t="s">
        <v>1039</v>
      </c>
      <c r="J265" s="891" t="s">
        <v>1345</v>
      </c>
    </row>
    <row r="266" spans="1:10" ht="12.75" customHeight="1">
      <c r="A266" s="888">
        <v>20</v>
      </c>
      <c r="B266" s="888" t="s">
        <v>1342</v>
      </c>
      <c r="C266" s="888" t="s">
        <v>1253</v>
      </c>
      <c r="D266" s="889">
        <v>46030</v>
      </c>
      <c r="E266" s="888" t="s">
        <v>310</v>
      </c>
      <c r="F266" s="888" t="s">
        <v>310</v>
      </c>
      <c r="G266" s="891" t="s">
        <v>1039</v>
      </c>
      <c r="H266" s="891" t="s">
        <v>1345</v>
      </c>
      <c r="I266" s="891" t="s">
        <v>1039</v>
      </c>
      <c r="J266" s="891" t="s">
        <v>1345</v>
      </c>
    </row>
    <row r="267" spans="1:10" ht="12.75" customHeight="1">
      <c r="A267" s="888">
        <v>20</v>
      </c>
      <c r="B267" s="888" t="s">
        <v>1342</v>
      </c>
      <c r="C267" s="888" t="s">
        <v>1253</v>
      </c>
      <c r="D267" s="889">
        <v>46031</v>
      </c>
      <c r="E267" s="888" t="s">
        <v>310</v>
      </c>
      <c r="F267" s="888" t="s">
        <v>310</v>
      </c>
      <c r="G267" s="891" t="s">
        <v>1039</v>
      </c>
      <c r="H267" s="891" t="s">
        <v>1345</v>
      </c>
      <c r="I267" s="891" t="s">
        <v>1039</v>
      </c>
      <c r="J267" s="891" t="s">
        <v>1345</v>
      </c>
    </row>
    <row r="268" spans="1:10" ht="12.75" customHeight="1">
      <c r="A268" s="888">
        <v>20</v>
      </c>
      <c r="B268" s="888" t="s">
        <v>1342</v>
      </c>
      <c r="C268" s="888" t="s">
        <v>1253</v>
      </c>
      <c r="D268" s="889">
        <v>46032</v>
      </c>
      <c r="E268" s="888" t="s">
        <v>310</v>
      </c>
      <c r="F268" s="888" t="s">
        <v>310</v>
      </c>
      <c r="G268" s="891" t="s">
        <v>1039</v>
      </c>
      <c r="H268" s="891" t="s">
        <v>1344</v>
      </c>
      <c r="I268" s="891" t="s">
        <v>1039</v>
      </c>
      <c r="J268" s="891" t="s">
        <v>1344</v>
      </c>
    </row>
    <row r="269" spans="1:10" ht="12.75" customHeight="1">
      <c r="A269" s="888">
        <v>20</v>
      </c>
      <c r="B269" s="888" t="s">
        <v>1342</v>
      </c>
      <c r="C269" s="888" t="s">
        <v>1253</v>
      </c>
      <c r="D269" s="889">
        <v>46033</v>
      </c>
      <c r="E269" s="888" t="s">
        <v>310</v>
      </c>
      <c r="F269" s="888" t="s">
        <v>310</v>
      </c>
      <c r="G269" s="891" t="s">
        <v>1039</v>
      </c>
      <c r="H269" s="891" t="s">
        <v>1344</v>
      </c>
      <c r="I269" s="891" t="s">
        <v>1039</v>
      </c>
      <c r="J269" s="891" t="s">
        <v>1344</v>
      </c>
    </row>
    <row r="270" spans="1:10" ht="12.75" customHeight="1">
      <c r="A270" s="888">
        <v>20</v>
      </c>
      <c r="B270" s="888" t="s">
        <v>1342</v>
      </c>
      <c r="C270" s="888" t="s">
        <v>1253</v>
      </c>
      <c r="D270" s="889">
        <v>46034</v>
      </c>
      <c r="E270" s="890">
        <v>0.73987268518518523</v>
      </c>
      <c r="F270" s="890">
        <v>0.76001157407407405</v>
      </c>
      <c r="G270" s="891" t="s">
        <v>1039</v>
      </c>
      <c r="H270" s="891" t="s">
        <v>1346</v>
      </c>
    </row>
    <row r="271" spans="1:10" ht="12.75" customHeight="1">
      <c r="A271" s="888" t="s">
        <v>1347</v>
      </c>
      <c r="B271" s="888" t="s">
        <v>1348</v>
      </c>
      <c r="C271" s="888" t="s">
        <v>1349</v>
      </c>
    </row>
    <row r="272" spans="1:10" ht="12.75" customHeight="1">
      <c r="A272" s="888">
        <v>20</v>
      </c>
      <c r="B272" s="888" t="s">
        <v>1342</v>
      </c>
      <c r="C272" s="888" t="s">
        <v>1253</v>
      </c>
      <c r="D272" s="889">
        <v>46035</v>
      </c>
      <c r="E272" s="890">
        <v>0.34755787037037039</v>
      </c>
      <c r="F272" s="890">
        <v>0.6881828703703704</v>
      </c>
      <c r="I272" s="891" t="s">
        <v>1039</v>
      </c>
    </row>
    <row r="273" spans="1:10" ht="12.75" customHeight="1">
      <c r="A273" s="888" t="s">
        <v>1350</v>
      </c>
      <c r="B273" s="888" t="s">
        <v>1351</v>
      </c>
      <c r="C273" s="888" t="s">
        <v>1352</v>
      </c>
    </row>
    <row r="274" spans="1:10" ht="12.75" customHeight="1">
      <c r="A274" s="888">
        <v>20</v>
      </c>
      <c r="B274" s="888" t="s">
        <v>1342</v>
      </c>
      <c r="C274" s="888" t="s">
        <v>1253</v>
      </c>
      <c r="D274" s="889">
        <v>46036</v>
      </c>
      <c r="E274" s="890">
        <v>0.35586805555555556</v>
      </c>
      <c r="F274" s="890">
        <v>0.76052083333333331</v>
      </c>
      <c r="G274" s="891" t="s">
        <v>1039</v>
      </c>
      <c r="H274" s="891" t="s">
        <v>1353</v>
      </c>
    </row>
    <row r="275" spans="1:10" ht="12.75" customHeight="1">
      <c r="A275" s="888" t="s">
        <v>1354</v>
      </c>
      <c r="B275" s="888" t="s">
        <v>1355</v>
      </c>
      <c r="C275" s="888" t="s">
        <v>1356</v>
      </c>
    </row>
    <row r="276" spans="1:10" ht="12.75" customHeight="1">
      <c r="A276" s="888">
        <v>20</v>
      </c>
      <c r="B276" s="888" t="s">
        <v>1342</v>
      </c>
      <c r="C276" s="888" t="s">
        <v>1253</v>
      </c>
      <c r="D276" s="889">
        <v>46037</v>
      </c>
      <c r="E276" s="888" t="s">
        <v>310</v>
      </c>
      <c r="F276" s="888" t="s">
        <v>310</v>
      </c>
      <c r="G276" s="891" t="s">
        <v>1039</v>
      </c>
      <c r="H276" s="891" t="s">
        <v>1357</v>
      </c>
      <c r="I276" s="891" t="s">
        <v>1039</v>
      </c>
      <c r="J276" s="891" t="s">
        <v>1357</v>
      </c>
    </row>
    <row r="277" spans="1:10" ht="12.75" customHeight="1">
      <c r="A277" s="888">
        <v>20</v>
      </c>
      <c r="B277" s="888" t="s">
        <v>1342</v>
      </c>
      <c r="C277" s="888" t="s">
        <v>1253</v>
      </c>
      <c r="D277" s="889">
        <v>46038</v>
      </c>
      <c r="E277" s="890">
        <v>0.35312500000000002</v>
      </c>
      <c r="F277" s="890">
        <v>0.76665509259259257</v>
      </c>
    </row>
    <row r="278" spans="1:10" ht="12.75" customHeight="1">
      <c r="A278" s="888" t="s">
        <v>1358</v>
      </c>
      <c r="B278" s="888" t="s">
        <v>1359</v>
      </c>
      <c r="C278" s="888" t="s">
        <v>1360</v>
      </c>
    </row>
    <row r="279" spans="1:10" ht="12.75" customHeight="1">
      <c r="A279" s="888">
        <v>20</v>
      </c>
      <c r="B279" s="888" t="s">
        <v>1342</v>
      </c>
      <c r="C279" s="888" t="s">
        <v>1253</v>
      </c>
      <c r="D279" s="889">
        <v>46039</v>
      </c>
      <c r="E279" s="888" t="s">
        <v>310</v>
      </c>
      <c r="F279" s="888" t="s">
        <v>310</v>
      </c>
      <c r="G279" s="891" t="s">
        <v>1039</v>
      </c>
      <c r="H279" s="891" t="s">
        <v>1344</v>
      </c>
      <c r="I279" s="891" t="s">
        <v>1039</v>
      </c>
      <c r="J279" s="891" t="s">
        <v>1344</v>
      </c>
    </row>
    <row r="280" spans="1:10" ht="12.75" customHeight="1">
      <c r="A280" s="888">
        <v>20</v>
      </c>
      <c r="B280" s="888" t="s">
        <v>1342</v>
      </c>
      <c r="C280" s="888" t="s">
        <v>1253</v>
      </c>
      <c r="D280" s="889">
        <v>46040</v>
      </c>
      <c r="E280" s="888" t="s">
        <v>310</v>
      </c>
      <c r="F280" s="888" t="s">
        <v>310</v>
      </c>
      <c r="G280" s="891" t="s">
        <v>1039</v>
      </c>
      <c r="H280" s="891" t="s">
        <v>1344</v>
      </c>
      <c r="I280" s="891" t="s">
        <v>1039</v>
      </c>
      <c r="J280" s="891" t="s">
        <v>1344</v>
      </c>
    </row>
    <row r="281" spans="1:10" ht="12.75" customHeight="1">
      <c r="A281" s="888">
        <v>20</v>
      </c>
      <c r="B281" s="888" t="s">
        <v>1342</v>
      </c>
      <c r="C281" s="888" t="s">
        <v>1253</v>
      </c>
      <c r="D281" s="889">
        <v>46041</v>
      </c>
      <c r="E281" s="890">
        <v>0.36377314814814815</v>
      </c>
      <c r="F281" s="890">
        <v>0.76701388888888888</v>
      </c>
      <c r="G281" s="891" t="s">
        <v>1039</v>
      </c>
      <c r="H281" s="891" t="s">
        <v>1005</v>
      </c>
    </row>
    <row r="282" spans="1:10" ht="12.75" customHeight="1">
      <c r="A282" s="888" t="s">
        <v>1361</v>
      </c>
      <c r="B282" s="888" t="s">
        <v>1362</v>
      </c>
      <c r="C282" s="888" t="s">
        <v>1363</v>
      </c>
    </row>
    <row r="283" spans="1:10" ht="12.75" customHeight="1">
      <c r="A283" s="888">
        <v>20</v>
      </c>
      <c r="B283" s="888" t="s">
        <v>1342</v>
      </c>
      <c r="C283" s="888" t="s">
        <v>1253</v>
      </c>
      <c r="D283" s="889">
        <v>46042</v>
      </c>
      <c r="E283" s="890">
        <v>0.36377314814814815</v>
      </c>
      <c r="F283" s="890">
        <v>0.50663194444444448</v>
      </c>
      <c r="G283" s="891" t="s">
        <v>1039</v>
      </c>
      <c r="H283" s="891" t="s">
        <v>1005</v>
      </c>
      <c r="I283" s="891" t="s">
        <v>1039</v>
      </c>
      <c r="J283" s="891" t="s">
        <v>1080</v>
      </c>
    </row>
    <row r="284" spans="1:10" ht="12.75" customHeight="1">
      <c r="A284" s="888" t="s">
        <v>1364</v>
      </c>
      <c r="B284" s="888" t="s">
        <v>1365</v>
      </c>
      <c r="C284" s="888" t="s">
        <v>1366</v>
      </c>
    </row>
    <row r="285" spans="1:10" ht="12.75" customHeight="1">
      <c r="A285" s="888">
        <v>20</v>
      </c>
      <c r="B285" s="888" t="s">
        <v>1342</v>
      </c>
      <c r="C285" s="888" t="s">
        <v>1253</v>
      </c>
      <c r="D285" s="889">
        <v>46043</v>
      </c>
      <c r="E285" s="888" t="s">
        <v>310</v>
      </c>
      <c r="F285" s="888" t="s">
        <v>310</v>
      </c>
      <c r="G285" s="891" t="s">
        <v>1039</v>
      </c>
      <c r="H285" s="891" t="s">
        <v>1080</v>
      </c>
      <c r="I285" s="891" t="s">
        <v>1039</v>
      </c>
      <c r="J285" s="891" t="s">
        <v>1080</v>
      </c>
    </row>
    <row r="286" spans="1:10" ht="12.75" customHeight="1">
      <c r="A286" s="888">
        <v>20</v>
      </c>
      <c r="B286" s="888" t="s">
        <v>1342</v>
      </c>
      <c r="C286" s="888" t="s">
        <v>1253</v>
      </c>
      <c r="D286" s="889">
        <v>46044</v>
      </c>
      <c r="E286" s="890">
        <v>0.34971064814814817</v>
      </c>
      <c r="F286" s="890">
        <v>0.7613657407407407</v>
      </c>
    </row>
    <row r="287" spans="1:10" ht="12.75" customHeight="1">
      <c r="A287" s="888" t="s">
        <v>1367</v>
      </c>
      <c r="B287" s="888" t="s">
        <v>1368</v>
      </c>
      <c r="C287" s="888" t="s">
        <v>1369</v>
      </c>
    </row>
    <row r="288" spans="1:10" ht="12.75" customHeight="1">
      <c r="A288" s="888">
        <v>20</v>
      </c>
      <c r="B288" s="888" t="s">
        <v>1342</v>
      </c>
      <c r="C288" s="888" t="s">
        <v>1253</v>
      </c>
      <c r="D288" s="889">
        <v>46045</v>
      </c>
      <c r="E288" s="890">
        <v>0.35170138888888891</v>
      </c>
      <c r="F288" s="890">
        <v>0.76061342592592596</v>
      </c>
    </row>
    <row r="289" spans="1:11" ht="12.75" customHeight="1">
      <c r="A289" s="888" t="s">
        <v>1370</v>
      </c>
      <c r="B289" s="888" t="s">
        <v>1371</v>
      </c>
      <c r="C289" s="888" t="s">
        <v>1372</v>
      </c>
    </row>
    <row r="290" spans="1:11" ht="12.75" customHeight="1">
      <c r="A290" s="888">
        <v>20</v>
      </c>
      <c r="B290" s="888" t="s">
        <v>1342</v>
      </c>
      <c r="C290" s="888" t="s">
        <v>1253</v>
      </c>
      <c r="D290" s="889">
        <v>46046</v>
      </c>
      <c r="E290" s="888" t="s">
        <v>310</v>
      </c>
      <c r="F290" s="888" t="s">
        <v>310</v>
      </c>
      <c r="G290" s="891" t="s">
        <v>1039</v>
      </c>
      <c r="H290" s="891" t="s">
        <v>1344</v>
      </c>
      <c r="I290" s="891" t="s">
        <v>1039</v>
      </c>
      <c r="J290" s="891" t="s">
        <v>1344</v>
      </c>
    </row>
    <row r="291" spans="1:11" ht="12.75" customHeight="1">
      <c r="A291" s="888">
        <v>20</v>
      </c>
      <c r="B291" s="888" t="s">
        <v>1342</v>
      </c>
      <c r="C291" s="888" t="s">
        <v>1253</v>
      </c>
      <c r="D291" s="889">
        <v>46047</v>
      </c>
      <c r="E291" s="888" t="s">
        <v>310</v>
      </c>
      <c r="F291" s="888" t="s">
        <v>310</v>
      </c>
      <c r="G291" s="891" t="s">
        <v>1039</v>
      </c>
      <c r="H291" s="891" t="s">
        <v>1344</v>
      </c>
      <c r="I291" s="891" t="s">
        <v>1039</v>
      </c>
      <c r="J291" s="891" t="s">
        <v>1344</v>
      </c>
    </row>
    <row r="292" spans="1:11" ht="12.75" customHeight="1">
      <c r="A292" s="888">
        <v>20</v>
      </c>
      <c r="B292" s="888" t="s">
        <v>1342</v>
      </c>
      <c r="C292" s="888" t="s">
        <v>1253</v>
      </c>
      <c r="D292" s="889">
        <v>46048</v>
      </c>
      <c r="E292" s="890">
        <v>0.3520949074074074</v>
      </c>
      <c r="F292" s="890">
        <v>0.75807870370370367</v>
      </c>
    </row>
    <row r="293" spans="1:11" ht="12.75" customHeight="1">
      <c r="A293" s="888" t="s">
        <v>1373</v>
      </c>
      <c r="B293" s="888" t="s">
        <v>1374</v>
      </c>
      <c r="C293" s="888" t="s">
        <v>1375</v>
      </c>
    </row>
    <row r="294" spans="1:11" ht="12.75" customHeight="1">
      <c r="A294" s="892">
        <v>20</v>
      </c>
      <c r="B294" s="892" t="s">
        <v>1342</v>
      </c>
      <c r="C294" s="892" t="s">
        <v>1253</v>
      </c>
      <c r="D294" s="893">
        <v>46049</v>
      </c>
      <c r="E294" s="894">
        <v>0.35934027777777777</v>
      </c>
      <c r="F294" s="894">
        <v>0.76020833333333337</v>
      </c>
      <c r="G294" s="895" t="s">
        <v>1039</v>
      </c>
      <c r="H294" s="895" t="s">
        <v>1005</v>
      </c>
      <c r="I294" s="895"/>
      <c r="J294" s="895"/>
      <c r="K294" s="895"/>
    </row>
    <row r="295" spans="1:11" ht="12.75" customHeight="1">
      <c r="A295" s="888" t="s">
        <v>1376</v>
      </c>
      <c r="B295" s="888" t="s">
        <v>1377</v>
      </c>
      <c r="C295" s="888" t="s">
        <v>1378</v>
      </c>
    </row>
    <row r="296" spans="1:11" ht="12.75" customHeight="1">
      <c r="A296" s="892">
        <v>20</v>
      </c>
      <c r="B296" s="892" t="s">
        <v>1342</v>
      </c>
      <c r="C296" s="892" t="s">
        <v>1253</v>
      </c>
      <c r="D296" s="893">
        <v>46050</v>
      </c>
      <c r="E296" s="894">
        <v>0.36020833333333335</v>
      </c>
      <c r="F296" s="892" t="s">
        <v>310</v>
      </c>
      <c r="G296" s="895" t="s">
        <v>1039</v>
      </c>
      <c r="H296" s="895" t="s">
        <v>1005</v>
      </c>
      <c r="I296" s="895"/>
      <c r="J296" s="895"/>
      <c r="K296" s="895"/>
    </row>
    <row r="297" spans="1:11" ht="12.75" customHeight="1">
      <c r="A297" s="888" t="s">
        <v>1379</v>
      </c>
      <c r="B297" s="888" t="s">
        <v>1258</v>
      </c>
      <c r="C297" s="888" t="s">
        <v>1259</v>
      </c>
    </row>
    <row r="298" spans="1:11" ht="12.75" customHeight="1">
      <c r="A298" s="888">
        <v>20</v>
      </c>
      <c r="B298" s="888" t="s">
        <v>1342</v>
      </c>
      <c r="C298" s="888" t="s">
        <v>1253</v>
      </c>
      <c r="D298" s="889">
        <v>46051</v>
      </c>
      <c r="E298" s="890">
        <v>0.35771990740740739</v>
      </c>
      <c r="F298" s="890">
        <v>0.75598379629629631</v>
      </c>
      <c r="G298" s="891" t="s">
        <v>1039</v>
      </c>
      <c r="H298" s="891" t="s">
        <v>1380</v>
      </c>
    </row>
    <row r="299" spans="1:11" ht="12.75" customHeight="1">
      <c r="A299" s="888" t="s">
        <v>1381</v>
      </c>
      <c r="B299" s="888" t="s">
        <v>1382</v>
      </c>
      <c r="C299" s="888" t="s">
        <v>1383</v>
      </c>
    </row>
    <row r="300" spans="1:11" ht="12.75" customHeight="1">
      <c r="A300" s="888">
        <v>20</v>
      </c>
      <c r="B300" s="888" t="s">
        <v>1342</v>
      </c>
      <c r="C300" s="888" t="s">
        <v>1253</v>
      </c>
      <c r="D300" s="889">
        <v>46052</v>
      </c>
      <c r="E300" s="890">
        <v>0.36613425925925924</v>
      </c>
      <c r="F300" s="890">
        <v>0.70964120370370365</v>
      </c>
      <c r="G300" s="891" t="s">
        <v>1039</v>
      </c>
      <c r="H300" s="891" t="s">
        <v>1005</v>
      </c>
      <c r="I300" s="891" t="s">
        <v>1039</v>
      </c>
      <c r="J300" s="891" t="s">
        <v>1063</v>
      </c>
    </row>
    <row r="301" spans="1:11" ht="12.75" customHeight="1">
      <c r="A301" s="888" t="s">
        <v>1384</v>
      </c>
      <c r="B301" s="888" t="s">
        <v>1385</v>
      </c>
      <c r="C301" s="888" t="s">
        <v>1386</v>
      </c>
    </row>
    <row r="302" spans="1:11" ht="12.75" customHeight="1">
      <c r="A302" s="888">
        <v>20</v>
      </c>
      <c r="B302" s="888" t="s">
        <v>1342</v>
      </c>
      <c r="C302" s="888" t="s">
        <v>1253</v>
      </c>
      <c r="D302" s="889">
        <v>46053</v>
      </c>
      <c r="E302" s="888" t="s">
        <v>310</v>
      </c>
      <c r="F302" s="888" t="s">
        <v>310</v>
      </c>
      <c r="G302" s="891" t="s">
        <v>1039</v>
      </c>
      <c r="H302" s="891" t="s">
        <v>1344</v>
      </c>
      <c r="I302" s="891" t="s">
        <v>1039</v>
      </c>
      <c r="J302" s="891" t="s">
        <v>1344</v>
      </c>
    </row>
    <row r="303" spans="1:11" ht="12.75" customHeight="1">
      <c r="A303" s="888">
        <v>27</v>
      </c>
      <c r="B303" s="888" t="s">
        <v>1111</v>
      </c>
      <c r="C303" s="888" t="s">
        <v>1387</v>
      </c>
      <c r="D303" s="889">
        <v>46023</v>
      </c>
      <c r="E303" s="888" t="s">
        <v>310</v>
      </c>
      <c r="F303" s="888" t="s">
        <v>310</v>
      </c>
    </row>
    <row r="304" spans="1:11" ht="12.75" customHeight="1">
      <c r="A304" s="888">
        <v>27</v>
      </c>
      <c r="B304" s="888" t="s">
        <v>1111</v>
      </c>
      <c r="C304" s="888" t="s">
        <v>1387</v>
      </c>
      <c r="D304" s="889">
        <v>46024</v>
      </c>
      <c r="E304" s="888" t="s">
        <v>310</v>
      </c>
      <c r="F304" s="888" t="s">
        <v>310</v>
      </c>
    </row>
    <row r="305" spans="1:6" ht="12.75" customHeight="1">
      <c r="A305" s="888">
        <v>27</v>
      </c>
      <c r="B305" s="888" t="s">
        <v>1111</v>
      </c>
      <c r="C305" s="888" t="s">
        <v>1387</v>
      </c>
      <c r="D305" s="889">
        <v>46025</v>
      </c>
      <c r="E305" s="888" t="s">
        <v>310</v>
      </c>
      <c r="F305" s="888" t="s">
        <v>310</v>
      </c>
    </row>
    <row r="306" spans="1:6" ht="12.75" customHeight="1">
      <c r="A306" s="888">
        <v>27</v>
      </c>
      <c r="B306" s="888" t="s">
        <v>1111</v>
      </c>
      <c r="C306" s="888" t="s">
        <v>1387</v>
      </c>
      <c r="D306" s="889">
        <v>46026</v>
      </c>
      <c r="E306" s="888" t="s">
        <v>310</v>
      </c>
      <c r="F306" s="888" t="s">
        <v>310</v>
      </c>
    </row>
    <row r="307" spans="1:6" ht="12.75" customHeight="1">
      <c r="A307" s="888">
        <v>27</v>
      </c>
      <c r="B307" s="888" t="s">
        <v>1111</v>
      </c>
      <c r="C307" s="888" t="s">
        <v>1387</v>
      </c>
      <c r="D307" s="889">
        <v>46027</v>
      </c>
      <c r="E307" s="888" t="s">
        <v>310</v>
      </c>
      <c r="F307" s="888" t="s">
        <v>310</v>
      </c>
    </row>
    <row r="308" spans="1:6" ht="12.75" customHeight="1">
      <c r="A308" s="888">
        <v>27</v>
      </c>
      <c r="B308" s="888" t="s">
        <v>1111</v>
      </c>
      <c r="C308" s="888" t="s">
        <v>1387</v>
      </c>
      <c r="D308" s="889">
        <v>46028</v>
      </c>
      <c r="E308" s="890">
        <v>0.35841435185185183</v>
      </c>
      <c r="F308" s="890">
        <v>0.7799652777777778</v>
      </c>
    </row>
    <row r="309" spans="1:6" ht="12.75" customHeight="1">
      <c r="A309" s="888" t="s">
        <v>1388</v>
      </c>
      <c r="B309" s="888" t="s">
        <v>1389</v>
      </c>
      <c r="C309" s="888" t="s">
        <v>1390</v>
      </c>
    </row>
    <row r="310" spans="1:6" ht="12.75" customHeight="1">
      <c r="A310" s="888">
        <v>27</v>
      </c>
      <c r="B310" s="888" t="s">
        <v>1111</v>
      </c>
      <c r="C310" s="888" t="s">
        <v>1387</v>
      </c>
      <c r="D310" s="889">
        <v>46029</v>
      </c>
      <c r="E310" s="890">
        <v>0.35843750000000002</v>
      </c>
      <c r="F310" s="890">
        <v>0.78289351851851852</v>
      </c>
    </row>
    <row r="311" spans="1:6" ht="12.75" customHeight="1">
      <c r="A311" s="888" t="s">
        <v>1391</v>
      </c>
      <c r="B311" s="888" t="s">
        <v>1392</v>
      </c>
      <c r="C311" s="888" t="s">
        <v>1393</v>
      </c>
    </row>
    <row r="312" spans="1:6" ht="12.75" customHeight="1">
      <c r="A312" s="888">
        <v>27</v>
      </c>
      <c r="B312" s="888" t="s">
        <v>1111</v>
      </c>
      <c r="C312" s="888" t="s">
        <v>1387</v>
      </c>
      <c r="D312" s="889">
        <v>46030</v>
      </c>
      <c r="E312" s="890">
        <v>0.35857638888888888</v>
      </c>
      <c r="F312" s="890">
        <v>0.78756944444444443</v>
      </c>
    </row>
    <row r="313" spans="1:6" ht="12.75" customHeight="1">
      <c r="A313" s="888" t="s">
        <v>1394</v>
      </c>
      <c r="B313" s="888" t="s">
        <v>1395</v>
      </c>
      <c r="C313" s="888" t="s">
        <v>1396</v>
      </c>
    </row>
    <row r="314" spans="1:6" ht="12.75" customHeight="1">
      <c r="A314" s="888">
        <v>27</v>
      </c>
      <c r="B314" s="888" t="s">
        <v>1111</v>
      </c>
      <c r="C314" s="888" t="s">
        <v>1387</v>
      </c>
      <c r="D314" s="889">
        <v>46031</v>
      </c>
      <c r="E314" s="888" t="s">
        <v>310</v>
      </c>
      <c r="F314" s="888" t="s">
        <v>310</v>
      </c>
    </row>
    <row r="315" spans="1:6" ht="12.75" customHeight="1">
      <c r="A315" s="888">
        <v>27</v>
      </c>
      <c r="B315" s="888" t="s">
        <v>1111</v>
      </c>
      <c r="C315" s="888" t="s">
        <v>1387</v>
      </c>
      <c r="D315" s="889">
        <v>46032</v>
      </c>
      <c r="E315" s="888" t="s">
        <v>310</v>
      </c>
      <c r="F315" s="888" t="s">
        <v>310</v>
      </c>
    </row>
    <row r="316" spans="1:6" ht="12.75" customHeight="1">
      <c r="A316" s="888">
        <v>27</v>
      </c>
      <c r="B316" s="888" t="s">
        <v>1111</v>
      </c>
      <c r="C316" s="888" t="s">
        <v>1387</v>
      </c>
      <c r="D316" s="889">
        <v>46033</v>
      </c>
      <c r="E316" s="888" t="s">
        <v>310</v>
      </c>
      <c r="F316" s="888" t="s">
        <v>310</v>
      </c>
    </row>
    <row r="317" spans="1:6" ht="12.75" customHeight="1">
      <c r="A317" s="888">
        <v>27</v>
      </c>
      <c r="B317" s="888" t="s">
        <v>1111</v>
      </c>
      <c r="C317" s="888" t="s">
        <v>1387</v>
      </c>
      <c r="D317" s="889">
        <v>46034</v>
      </c>
      <c r="E317" s="890">
        <v>0.35721064814814812</v>
      </c>
      <c r="F317" s="890">
        <v>0.78211805555555558</v>
      </c>
    </row>
    <row r="318" spans="1:6" ht="12.75" customHeight="1">
      <c r="A318" s="888" t="s">
        <v>1397</v>
      </c>
      <c r="B318" s="888" t="s">
        <v>1398</v>
      </c>
      <c r="C318" s="888" t="s">
        <v>1399</v>
      </c>
    </row>
    <row r="319" spans="1:6" ht="12.75" customHeight="1">
      <c r="A319" s="888">
        <v>27</v>
      </c>
      <c r="B319" s="888" t="s">
        <v>1111</v>
      </c>
      <c r="C319" s="888" t="s">
        <v>1387</v>
      </c>
      <c r="D319" s="889">
        <v>46035</v>
      </c>
      <c r="E319" s="890">
        <v>0.3583796296296296</v>
      </c>
      <c r="F319" s="890">
        <v>0.78285879629629629</v>
      </c>
    </row>
    <row r="320" spans="1:6" ht="12.75" customHeight="1">
      <c r="A320" s="888" t="s">
        <v>1400</v>
      </c>
      <c r="B320" s="888" t="s">
        <v>1401</v>
      </c>
      <c r="C320" s="888" t="s">
        <v>1393</v>
      </c>
    </row>
    <row r="321" spans="1:6" ht="12.75" customHeight="1">
      <c r="A321" s="888">
        <v>27</v>
      </c>
      <c r="B321" s="888" t="s">
        <v>1111</v>
      </c>
      <c r="C321" s="888" t="s">
        <v>1387</v>
      </c>
      <c r="D321" s="889">
        <v>46036</v>
      </c>
      <c r="E321" s="890">
        <v>0.35988425925925926</v>
      </c>
      <c r="F321" s="890">
        <v>0.75545138888888885</v>
      </c>
    </row>
    <row r="322" spans="1:6" ht="12.75" customHeight="1">
      <c r="A322" s="888" t="s">
        <v>1402</v>
      </c>
      <c r="B322" s="888" t="s">
        <v>1403</v>
      </c>
      <c r="C322" s="888" t="s">
        <v>1404</v>
      </c>
    </row>
    <row r="323" spans="1:6" ht="12.75" customHeight="1">
      <c r="A323" s="888">
        <v>27</v>
      </c>
      <c r="B323" s="888" t="s">
        <v>1111</v>
      </c>
      <c r="C323" s="888" t="s">
        <v>1387</v>
      </c>
      <c r="D323" s="889">
        <v>46037</v>
      </c>
      <c r="E323" s="890">
        <v>0.35222222222222221</v>
      </c>
      <c r="F323" s="890">
        <v>0.7659259259259259</v>
      </c>
    </row>
    <row r="324" spans="1:6" ht="12.75" customHeight="1">
      <c r="A324" s="888" t="s">
        <v>1405</v>
      </c>
      <c r="B324" s="888" t="s">
        <v>1406</v>
      </c>
      <c r="C324" s="888" t="s">
        <v>1407</v>
      </c>
    </row>
    <row r="325" spans="1:6" ht="12.75" customHeight="1">
      <c r="A325" s="888">
        <v>27</v>
      </c>
      <c r="B325" s="888" t="s">
        <v>1111</v>
      </c>
      <c r="C325" s="888" t="s">
        <v>1387</v>
      </c>
      <c r="D325" s="889">
        <v>46038</v>
      </c>
      <c r="E325" s="888" t="s">
        <v>310</v>
      </c>
      <c r="F325" s="888" t="s">
        <v>310</v>
      </c>
    </row>
    <row r="326" spans="1:6" ht="12.75" customHeight="1">
      <c r="A326" s="888">
        <v>27</v>
      </c>
      <c r="B326" s="888" t="s">
        <v>1111</v>
      </c>
      <c r="C326" s="888" t="s">
        <v>1387</v>
      </c>
      <c r="D326" s="889">
        <v>46039</v>
      </c>
      <c r="E326" s="888" t="s">
        <v>310</v>
      </c>
      <c r="F326" s="888" t="s">
        <v>310</v>
      </c>
    </row>
    <row r="327" spans="1:6" ht="12.75" customHeight="1">
      <c r="A327" s="888">
        <v>27</v>
      </c>
      <c r="B327" s="888" t="s">
        <v>1111</v>
      </c>
      <c r="C327" s="888" t="s">
        <v>1387</v>
      </c>
      <c r="D327" s="889">
        <v>46040</v>
      </c>
      <c r="E327" s="888" t="s">
        <v>310</v>
      </c>
      <c r="F327" s="888" t="s">
        <v>310</v>
      </c>
    </row>
    <row r="328" spans="1:6" ht="12.75" customHeight="1">
      <c r="A328" s="888">
        <v>27</v>
      </c>
      <c r="B328" s="888" t="s">
        <v>1111</v>
      </c>
      <c r="C328" s="888" t="s">
        <v>1387</v>
      </c>
      <c r="D328" s="889">
        <v>46041</v>
      </c>
      <c r="E328" s="890">
        <v>0.38021990740740741</v>
      </c>
      <c r="F328" s="890">
        <v>0.76796296296296296</v>
      </c>
    </row>
    <row r="329" spans="1:6" ht="12.75" customHeight="1">
      <c r="A329" s="888" t="s">
        <v>1408</v>
      </c>
      <c r="B329" s="888" t="s">
        <v>1409</v>
      </c>
      <c r="C329" s="888" t="s">
        <v>1410</v>
      </c>
    </row>
    <row r="330" spans="1:6" ht="12.75" customHeight="1">
      <c r="A330" s="888">
        <v>27</v>
      </c>
      <c r="B330" s="888" t="s">
        <v>1111</v>
      </c>
      <c r="C330" s="888" t="s">
        <v>1387</v>
      </c>
      <c r="D330" s="889">
        <v>46042</v>
      </c>
      <c r="E330" s="890">
        <v>0.35925925925925928</v>
      </c>
      <c r="F330" s="890">
        <v>0.75471064814814814</v>
      </c>
    </row>
    <row r="331" spans="1:6" ht="12.75" customHeight="1">
      <c r="A331" s="888" t="s">
        <v>1411</v>
      </c>
      <c r="B331" s="888" t="s">
        <v>1412</v>
      </c>
      <c r="C331" s="888" t="s">
        <v>1413</v>
      </c>
    </row>
    <row r="332" spans="1:6" ht="12.75" customHeight="1">
      <c r="A332" s="888">
        <v>27</v>
      </c>
      <c r="B332" s="888" t="s">
        <v>1111</v>
      </c>
      <c r="C332" s="888" t="s">
        <v>1387</v>
      </c>
      <c r="D332" s="889">
        <v>46043</v>
      </c>
      <c r="E332" s="890">
        <v>0.33877314814814813</v>
      </c>
      <c r="F332" s="890">
        <v>0.78817129629629634</v>
      </c>
    </row>
    <row r="333" spans="1:6" ht="12.75" customHeight="1">
      <c r="A333" s="888" t="s">
        <v>1414</v>
      </c>
      <c r="B333" s="888" t="s">
        <v>1415</v>
      </c>
      <c r="C333" s="888" t="s">
        <v>1416</v>
      </c>
    </row>
    <row r="334" spans="1:6" ht="12.75" customHeight="1">
      <c r="A334" s="888">
        <v>27</v>
      </c>
      <c r="B334" s="888" t="s">
        <v>1111</v>
      </c>
      <c r="C334" s="888" t="s">
        <v>1387</v>
      </c>
      <c r="D334" s="889">
        <v>46044</v>
      </c>
      <c r="E334" s="890">
        <v>0.36443287037037037</v>
      </c>
      <c r="F334" s="890">
        <v>0.78787037037037033</v>
      </c>
    </row>
    <row r="335" spans="1:6" ht="12.75" customHeight="1">
      <c r="A335" s="888" t="s">
        <v>1417</v>
      </c>
      <c r="B335" s="888" t="s">
        <v>1418</v>
      </c>
      <c r="C335" s="888" t="s">
        <v>1419</v>
      </c>
    </row>
    <row r="336" spans="1:6" ht="12.75" customHeight="1">
      <c r="A336" s="888">
        <v>27</v>
      </c>
      <c r="B336" s="888" t="s">
        <v>1111</v>
      </c>
      <c r="C336" s="888" t="s">
        <v>1387</v>
      </c>
      <c r="D336" s="889">
        <v>46045</v>
      </c>
      <c r="E336" s="888" t="s">
        <v>310</v>
      </c>
      <c r="F336" s="888" t="s">
        <v>310</v>
      </c>
    </row>
    <row r="337" spans="1:6" ht="12.75" customHeight="1">
      <c r="A337" s="888">
        <v>27</v>
      </c>
      <c r="B337" s="888" t="s">
        <v>1111</v>
      </c>
      <c r="C337" s="888" t="s">
        <v>1387</v>
      </c>
      <c r="D337" s="889">
        <v>46046</v>
      </c>
      <c r="E337" s="888" t="s">
        <v>310</v>
      </c>
      <c r="F337" s="888" t="s">
        <v>310</v>
      </c>
    </row>
    <row r="338" spans="1:6" ht="12.75" customHeight="1">
      <c r="A338" s="888">
        <v>27</v>
      </c>
      <c r="B338" s="888" t="s">
        <v>1111</v>
      </c>
      <c r="C338" s="888" t="s">
        <v>1387</v>
      </c>
      <c r="D338" s="889">
        <v>46047</v>
      </c>
      <c r="E338" s="888" t="s">
        <v>310</v>
      </c>
      <c r="F338" s="888" t="s">
        <v>310</v>
      </c>
    </row>
    <row r="339" spans="1:6" ht="12.75" customHeight="1">
      <c r="A339" s="888">
        <v>27</v>
      </c>
      <c r="B339" s="888" t="s">
        <v>1111</v>
      </c>
      <c r="C339" s="888" t="s">
        <v>1387</v>
      </c>
      <c r="D339" s="889">
        <v>46048</v>
      </c>
      <c r="E339" s="890">
        <v>0.35681712962962964</v>
      </c>
      <c r="F339" s="890">
        <v>0.77261574074074069</v>
      </c>
    </row>
    <row r="340" spans="1:6" ht="12.75" customHeight="1">
      <c r="A340" s="888" t="s">
        <v>1420</v>
      </c>
      <c r="B340" s="888" t="s">
        <v>1421</v>
      </c>
      <c r="C340" s="888" t="s">
        <v>1422</v>
      </c>
    </row>
    <row r="341" spans="1:6" ht="12.75" customHeight="1">
      <c r="A341" s="888">
        <v>27</v>
      </c>
      <c r="B341" s="888" t="s">
        <v>1111</v>
      </c>
      <c r="C341" s="888" t="s">
        <v>1387</v>
      </c>
      <c r="D341" s="889">
        <v>46049</v>
      </c>
      <c r="E341" s="890">
        <v>0.36121527777777779</v>
      </c>
      <c r="F341" s="890">
        <v>0.78847222222222224</v>
      </c>
    </row>
    <row r="342" spans="1:6" ht="12.75" customHeight="1">
      <c r="A342" s="888" t="s">
        <v>1423</v>
      </c>
      <c r="B342" s="888" t="s">
        <v>1424</v>
      </c>
      <c r="C342" s="888" t="s">
        <v>1425</v>
      </c>
    </row>
    <row r="343" spans="1:6" ht="12.75" customHeight="1">
      <c r="A343" s="888">
        <v>27</v>
      </c>
      <c r="B343" s="888" t="s">
        <v>1111</v>
      </c>
      <c r="C343" s="888" t="s">
        <v>1387</v>
      </c>
      <c r="D343" s="889">
        <v>46050</v>
      </c>
      <c r="E343" s="890">
        <v>0.36280092592592594</v>
      </c>
      <c r="F343" s="890">
        <v>0.76771990740740736</v>
      </c>
    </row>
    <row r="344" spans="1:6" ht="12.75" customHeight="1">
      <c r="A344" s="888" t="s">
        <v>1426</v>
      </c>
      <c r="B344" s="888" t="s">
        <v>1427</v>
      </c>
      <c r="C344" s="888" t="s">
        <v>1356</v>
      </c>
    </row>
    <row r="345" spans="1:6" ht="12.75" customHeight="1">
      <c r="A345" s="888">
        <v>27</v>
      </c>
      <c r="B345" s="888" t="s">
        <v>1111</v>
      </c>
      <c r="C345" s="888" t="s">
        <v>1387</v>
      </c>
      <c r="D345" s="889">
        <v>46051</v>
      </c>
      <c r="E345" s="890">
        <v>0.35896990740740742</v>
      </c>
      <c r="F345" s="890">
        <v>0.78694444444444445</v>
      </c>
    </row>
    <row r="346" spans="1:6" ht="12.75" customHeight="1">
      <c r="A346" s="888" t="s">
        <v>1428</v>
      </c>
      <c r="B346" s="888" t="s">
        <v>1429</v>
      </c>
      <c r="C346" s="888" t="s">
        <v>1430</v>
      </c>
    </row>
    <row r="347" spans="1:6" ht="12.75" customHeight="1">
      <c r="A347" s="888">
        <v>27</v>
      </c>
      <c r="B347" s="888" t="s">
        <v>1111</v>
      </c>
      <c r="C347" s="888" t="s">
        <v>1387</v>
      </c>
      <c r="D347" s="889">
        <v>46052</v>
      </c>
      <c r="E347" s="888" t="s">
        <v>310</v>
      </c>
      <c r="F347" s="888" t="s">
        <v>310</v>
      </c>
    </row>
    <row r="348" spans="1:6" ht="12.75" customHeight="1">
      <c r="A348" s="888">
        <v>27</v>
      </c>
      <c r="B348" s="888" t="s">
        <v>1111</v>
      </c>
      <c r="C348" s="888" t="s">
        <v>1387</v>
      </c>
      <c r="D348" s="889">
        <v>46053</v>
      </c>
      <c r="E348" s="888" t="s">
        <v>310</v>
      </c>
      <c r="F348" s="888" t="s">
        <v>310</v>
      </c>
    </row>
    <row r="349" spans="1:6" ht="12.75" customHeight="1">
      <c r="A349" s="888">
        <v>27</v>
      </c>
      <c r="B349" s="888" t="s">
        <v>1111</v>
      </c>
      <c r="C349" s="888" t="s">
        <v>1387</v>
      </c>
      <c r="D349" s="889">
        <v>46054</v>
      </c>
      <c r="E349" s="888" t="s">
        <v>310</v>
      </c>
      <c r="F349" s="888" t="s">
        <v>310</v>
      </c>
    </row>
    <row r="350" spans="1:6" ht="12.75" customHeight="1">
      <c r="A350" s="888">
        <v>29</v>
      </c>
      <c r="B350" s="888" t="s">
        <v>1112</v>
      </c>
      <c r="C350" s="888" t="s">
        <v>1387</v>
      </c>
      <c r="D350" s="889">
        <v>46023</v>
      </c>
      <c r="E350" s="888" t="s">
        <v>310</v>
      </c>
      <c r="F350" s="888" t="s">
        <v>310</v>
      </c>
    </row>
    <row r="351" spans="1:6" ht="12.75" customHeight="1">
      <c r="A351" s="888">
        <v>29</v>
      </c>
      <c r="B351" s="888" t="s">
        <v>1112</v>
      </c>
      <c r="C351" s="888" t="s">
        <v>1387</v>
      </c>
      <c r="D351" s="889">
        <v>46024</v>
      </c>
      <c r="E351" s="888" t="s">
        <v>310</v>
      </c>
      <c r="F351" s="888" t="s">
        <v>310</v>
      </c>
    </row>
    <row r="352" spans="1:6" ht="12.75" customHeight="1">
      <c r="A352" s="888">
        <v>29</v>
      </c>
      <c r="B352" s="888" t="s">
        <v>1112</v>
      </c>
      <c r="C352" s="888" t="s">
        <v>1387</v>
      </c>
      <c r="D352" s="889">
        <v>46025</v>
      </c>
      <c r="E352" s="888" t="s">
        <v>310</v>
      </c>
      <c r="F352" s="888" t="s">
        <v>310</v>
      </c>
    </row>
    <row r="353" spans="1:6" ht="12.75" customHeight="1">
      <c r="A353" s="888">
        <v>29</v>
      </c>
      <c r="B353" s="888" t="s">
        <v>1112</v>
      </c>
      <c r="C353" s="888" t="s">
        <v>1387</v>
      </c>
      <c r="D353" s="889">
        <v>46026</v>
      </c>
      <c r="E353" s="888" t="s">
        <v>310</v>
      </c>
      <c r="F353" s="888" t="s">
        <v>310</v>
      </c>
    </row>
    <row r="354" spans="1:6" ht="12.75" customHeight="1">
      <c r="A354" s="888">
        <v>29</v>
      </c>
      <c r="B354" s="888" t="s">
        <v>1112</v>
      </c>
      <c r="C354" s="888" t="s">
        <v>1387</v>
      </c>
      <c r="D354" s="889">
        <v>46027</v>
      </c>
      <c r="E354" s="890">
        <v>0.35626157407407405</v>
      </c>
      <c r="F354" s="890">
        <v>0.75165509259259256</v>
      </c>
    </row>
    <row r="355" spans="1:6" ht="12.75" customHeight="1">
      <c r="A355" s="888" t="s">
        <v>1431</v>
      </c>
      <c r="B355" s="888" t="s">
        <v>1432</v>
      </c>
      <c r="C355" s="888" t="s">
        <v>1413</v>
      </c>
    </row>
    <row r="356" spans="1:6" ht="12.75" customHeight="1">
      <c r="A356" s="888">
        <v>29</v>
      </c>
      <c r="B356" s="888" t="s">
        <v>1112</v>
      </c>
      <c r="C356" s="888" t="s">
        <v>1387</v>
      </c>
      <c r="D356" s="889">
        <v>46028</v>
      </c>
      <c r="E356" s="888" t="s">
        <v>310</v>
      </c>
      <c r="F356" s="888" t="s">
        <v>310</v>
      </c>
    </row>
    <row r="357" spans="1:6" ht="12.75" customHeight="1">
      <c r="A357" s="888">
        <v>29</v>
      </c>
      <c r="B357" s="888" t="s">
        <v>1112</v>
      </c>
      <c r="C357" s="888" t="s">
        <v>1387</v>
      </c>
      <c r="D357" s="889">
        <v>46029</v>
      </c>
      <c r="E357" s="890">
        <v>0.35846064814814815</v>
      </c>
      <c r="F357" s="890">
        <v>0.75284722222222222</v>
      </c>
    </row>
    <row r="358" spans="1:6" ht="12.75" customHeight="1">
      <c r="A358" s="888" t="s">
        <v>1433</v>
      </c>
      <c r="B358" s="888" t="s">
        <v>1434</v>
      </c>
      <c r="C358" s="888" t="s">
        <v>1285</v>
      </c>
    </row>
    <row r="359" spans="1:6" ht="12.75" customHeight="1">
      <c r="A359" s="888">
        <v>29</v>
      </c>
      <c r="B359" s="888" t="s">
        <v>1112</v>
      </c>
      <c r="C359" s="888" t="s">
        <v>1387</v>
      </c>
      <c r="D359" s="889">
        <v>46030</v>
      </c>
      <c r="E359" s="890">
        <v>0.3621759259259259</v>
      </c>
      <c r="F359" s="890">
        <v>0.75295138888888891</v>
      </c>
    </row>
    <row r="360" spans="1:6" ht="12.75" customHeight="1">
      <c r="A360" s="888" t="s">
        <v>1435</v>
      </c>
      <c r="B360" s="888" t="s">
        <v>1436</v>
      </c>
      <c r="C360" s="888" t="s">
        <v>1437</v>
      </c>
    </row>
    <row r="361" spans="1:6" ht="12.75" customHeight="1">
      <c r="A361" s="888">
        <v>29</v>
      </c>
      <c r="B361" s="888" t="s">
        <v>1112</v>
      </c>
      <c r="C361" s="888" t="s">
        <v>1387</v>
      </c>
      <c r="D361" s="889">
        <v>46031</v>
      </c>
      <c r="E361" s="888" t="s">
        <v>310</v>
      </c>
      <c r="F361" s="888" t="s">
        <v>310</v>
      </c>
    </row>
    <row r="362" spans="1:6" ht="12.75" customHeight="1">
      <c r="A362" s="888">
        <v>29</v>
      </c>
      <c r="B362" s="888" t="s">
        <v>1112</v>
      </c>
      <c r="C362" s="888" t="s">
        <v>1387</v>
      </c>
      <c r="D362" s="889">
        <v>46032</v>
      </c>
      <c r="E362" s="888" t="s">
        <v>310</v>
      </c>
      <c r="F362" s="888" t="s">
        <v>310</v>
      </c>
    </row>
    <row r="363" spans="1:6" ht="12.75" customHeight="1">
      <c r="A363" s="888">
        <v>29</v>
      </c>
      <c r="B363" s="888" t="s">
        <v>1112</v>
      </c>
      <c r="C363" s="888" t="s">
        <v>1387</v>
      </c>
      <c r="D363" s="889">
        <v>46033</v>
      </c>
      <c r="E363" s="888" t="s">
        <v>310</v>
      </c>
      <c r="F363" s="888" t="s">
        <v>310</v>
      </c>
    </row>
    <row r="364" spans="1:6" ht="12.75" customHeight="1">
      <c r="A364" s="888">
        <v>29</v>
      </c>
      <c r="B364" s="888" t="s">
        <v>1112</v>
      </c>
      <c r="C364" s="888" t="s">
        <v>1387</v>
      </c>
      <c r="D364" s="889">
        <v>46034</v>
      </c>
      <c r="E364" s="890">
        <v>0.35718749999999999</v>
      </c>
      <c r="F364" s="890">
        <v>0.75315972222222227</v>
      </c>
    </row>
    <row r="365" spans="1:6" ht="12.75" customHeight="1">
      <c r="A365" s="888" t="s">
        <v>1438</v>
      </c>
      <c r="B365" s="888" t="s">
        <v>1439</v>
      </c>
      <c r="C365" s="888" t="s">
        <v>1404</v>
      </c>
    </row>
    <row r="366" spans="1:6" ht="12.75" customHeight="1">
      <c r="A366" s="888">
        <v>29</v>
      </c>
      <c r="B366" s="888" t="s">
        <v>1112</v>
      </c>
      <c r="C366" s="888" t="s">
        <v>1387</v>
      </c>
      <c r="D366" s="889">
        <v>46035</v>
      </c>
      <c r="E366" s="890">
        <v>0.3565625</v>
      </c>
      <c r="F366" s="890">
        <v>0.73129629629629633</v>
      </c>
    </row>
    <row r="367" spans="1:6" ht="12.75" customHeight="1">
      <c r="A367" s="888" t="s">
        <v>1440</v>
      </c>
      <c r="B367" s="888" t="s">
        <v>1441</v>
      </c>
      <c r="C367" s="888" t="s">
        <v>1442</v>
      </c>
    </row>
    <row r="368" spans="1:6" ht="12.75" customHeight="1">
      <c r="A368" s="888">
        <v>29</v>
      </c>
      <c r="B368" s="888" t="s">
        <v>1112</v>
      </c>
      <c r="C368" s="888" t="s">
        <v>1387</v>
      </c>
      <c r="D368" s="889">
        <v>46036</v>
      </c>
      <c r="E368" s="890">
        <v>0.35853009259259261</v>
      </c>
      <c r="F368" s="890">
        <v>0.58875</v>
      </c>
    </row>
    <row r="369" spans="1:6" ht="12.75" customHeight="1">
      <c r="A369" s="888" t="s">
        <v>1443</v>
      </c>
      <c r="B369" s="888" t="s">
        <v>1444</v>
      </c>
      <c r="C369" s="888" t="s">
        <v>1445</v>
      </c>
    </row>
    <row r="370" spans="1:6" ht="12.75" customHeight="1">
      <c r="A370" s="888">
        <v>29</v>
      </c>
      <c r="B370" s="888" t="s">
        <v>1112</v>
      </c>
      <c r="C370" s="888" t="s">
        <v>1387</v>
      </c>
      <c r="D370" s="889">
        <v>46037</v>
      </c>
      <c r="E370" s="890">
        <v>0.35920138888888886</v>
      </c>
      <c r="F370" s="890">
        <v>0.75996527777777778</v>
      </c>
    </row>
    <row r="371" spans="1:6" ht="12.75" customHeight="1">
      <c r="A371" s="888" t="s">
        <v>1446</v>
      </c>
      <c r="B371" s="888" t="s">
        <v>1447</v>
      </c>
      <c r="C371" s="888" t="s">
        <v>1378</v>
      </c>
    </row>
    <row r="372" spans="1:6" ht="12.75" customHeight="1">
      <c r="A372" s="888">
        <v>29</v>
      </c>
      <c r="B372" s="888" t="s">
        <v>1112</v>
      </c>
      <c r="C372" s="888" t="s">
        <v>1387</v>
      </c>
      <c r="D372" s="889">
        <v>46038</v>
      </c>
      <c r="E372" s="888" t="s">
        <v>310</v>
      </c>
      <c r="F372" s="888" t="s">
        <v>310</v>
      </c>
    </row>
    <row r="373" spans="1:6" ht="12.75" customHeight="1">
      <c r="A373" s="888">
        <v>29</v>
      </c>
      <c r="B373" s="888" t="s">
        <v>1112</v>
      </c>
      <c r="C373" s="888" t="s">
        <v>1387</v>
      </c>
      <c r="D373" s="889">
        <v>46039</v>
      </c>
      <c r="E373" s="888" t="s">
        <v>310</v>
      </c>
      <c r="F373" s="888" t="s">
        <v>310</v>
      </c>
    </row>
    <row r="374" spans="1:6" ht="12.75" customHeight="1">
      <c r="A374" s="888">
        <v>29</v>
      </c>
      <c r="B374" s="888" t="s">
        <v>1112</v>
      </c>
      <c r="C374" s="888" t="s">
        <v>1387</v>
      </c>
      <c r="D374" s="889">
        <v>46040</v>
      </c>
      <c r="E374" s="888" t="s">
        <v>310</v>
      </c>
      <c r="F374" s="888" t="s">
        <v>310</v>
      </c>
    </row>
    <row r="375" spans="1:6" ht="12.75" customHeight="1">
      <c r="A375" s="888">
        <v>29</v>
      </c>
      <c r="B375" s="888" t="s">
        <v>1112</v>
      </c>
      <c r="C375" s="888" t="s">
        <v>1387</v>
      </c>
      <c r="D375" s="889">
        <v>46041</v>
      </c>
      <c r="E375" s="890">
        <v>0.354375</v>
      </c>
      <c r="F375" s="890">
        <v>0.75265046296296301</v>
      </c>
    </row>
    <row r="376" spans="1:6" ht="12.75" customHeight="1">
      <c r="A376" s="888" t="s">
        <v>1448</v>
      </c>
      <c r="B376" s="888" t="s">
        <v>1449</v>
      </c>
      <c r="C376" s="888" t="s">
        <v>1383</v>
      </c>
    </row>
    <row r="377" spans="1:6" ht="12.75" customHeight="1">
      <c r="A377" s="888">
        <v>29</v>
      </c>
      <c r="B377" s="888" t="s">
        <v>1112</v>
      </c>
      <c r="C377" s="888" t="s">
        <v>1387</v>
      </c>
      <c r="D377" s="889">
        <v>46042</v>
      </c>
      <c r="E377" s="890">
        <v>0.3555902777777778</v>
      </c>
      <c r="F377" s="890">
        <v>0.7518055555555555</v>
      </c>
    </row>
    <row r="378" spans="1:6" ht="12.75" customHeight="1">
      <c r="A378" s="888" t="s">
        <v>1450</v>
      </c>
      <c r="B378" s="888" t="s">
        <v>1451</v>
      </c>
      <c r="C378" s="888" t="s">
        <v>1452</v>
      </c>
    </row>
    <row r="379" spans="1:6" ht="12.75" customHeight="1">
      <c r="A379" s="888">
        <v>29</v>
      </c>
      <c r="B379" s="888" t="s">
        <v>1112</v>
      </c>
      <c r="C379" s="888" t="s">
        <v>1387</v>
      </c>
      <c r="D379" s="889">
        <v>46043</v>
      </c>
      <c r="E379" s="890">
        <v>0.35805555555555557</v>
      </c>
      <c r="F379" s="890">
        <v>0.7520486111111111</v>
      </c>
    </row>
    <row r="380" spans="1:6" ht="12.75" customHeight="1">
      <c r="A380" s="888" t="s">
        <v>1453</v>
      </c>
      <c r="B380" s="888" t="s">
        <v>1454</v>
      </c>
      <c r="C380" s="888" t="s">
        <v>1291</v>
      </c>
    </row>
    <row r="381" spans="1:6" ht="12.75" customHeight="1">
      <c r="A381" s="888">
        <v>29</v>
      </c>
      <c r="B381" s="888" t="s">
        <v>1112</v>
      </c>
      <c r="C381" s="888" t="s">
        <v>1387</v>
      </c>
      <c r="D381" s="889">
        <v>46044</v>
      </c>
      <c r="E381" s="890">
        <v>0.35438657407407409</v>
      </c>
      <c r="F381" s="890">
        <v>0.75249999999999995</v>
      </c>
    </row>
    <row r="382" spans="1:6" ht="12.75" customHeight="1">
      <c r="A382" s="888" t="s">
        <v>1455</v>
      </c>
      <c r="B382" s="888" t="s">
        <v>1456</v>
      </c>
      <c r="C382" s="888" t="s">
        <v>1457</v>
      </c>
    </row>
    <row r="383" spans="1:6" ht="12.75" customHeight="1">
      <c r="A383" s="888">
        <v>29</v>
      </c>
      <c r="B383" s="888" t="s">
        <v>1112</v>
      </c>
      <c r="C383" s="888" t="s">
        <v>1387</v>
      </c>
      <c r="D383" s="889">
        <v>46045</v>
      </c>
      <c r="E383" s="888" t="s">
        <v>310</v>
      </c>
      <c r="F383" s="888" t="s">
        <v>310</v>
      </c>
    </row>
    <row r="384" spans="1:6" ht="12.75" customHeight="1">
      <c r="A384" s="888">
        <v>29</v>
      </c>
      <c r="B384" s="888" t="s">
        <v>1112</v>
      </c>
      <c r="C384" s="888" t="s">
        <v>1387</v>
      </c>
      <c r="D384" s="889">
        <v>46046</v>
      </c>
      <c r="E384" s="888" t="s">
        <v>310</v>
      </c>
      <c r="F384" s="888" t="s">
        <v>310</v>
      </c>
    </row>
    <row r="385" spans="1:6" ht="12.75" customHeight="1">
      <c r="A385" s="888">
        <v>29</v>
      </c>
      <c r="B385" s="888" t="s">
        <v>1112</v>
      </c>
      <c r="C385" s="888" t="s">
        <v>1387</v>
      </c>
      <c r="D385" s="889">
        <v>46047</v>
      </c>
      <c r="E385" s="888" t="s">
        <v>310</v>
      </c>
      <c r="F385" s="888" t="s">
        <v>310</v>
      </c>
    </row>
    <row r="386" spans="1:6" ht="12.75" customHeight="1">
      <c r="A386" s="888">
        <v>29</v>
      </c>
      <c r="B386" s="888" t="s">
        <v>1112</v>
      </c>
      <c r="C386" s="888" t="s">
        <v>1387</v>
      </c>
      <c r="D386" s="889">
        <v>46048</v>
      </c>
      <c r="E386" s="890">
        <v>0.36048611111111112</v>
      </c>
      <c r="F386" s="890">
        <v>0.75670138888888894</v>
      </c>
    </row>
    <row r="387" spans="1:6" ht="12.75" customHeight="1">
      <c r="A387" s="888" t="s">
        <v>1458</v>
      </c>
      <c r="B387" s="888" t="s">
        <v>1459</v>
      </c>
      <c r="C387" s="888" t="s">
        <v>1452</v>
      </c>
    </row>
    <row r="388" spans="1:6" ht="12.75" customHeight="1">
      <c r="A388" s="888">
        <v>29</v>
      </c>
      <c r="B388" s="888" t="s">
        <v>1112</v>
      </c>
      <c r="C388" s="888" t="s">
        <v>1387</v>
      </c>
      <c r="D388" s="889">
        <v>46049</v>
      </c>
      <c r="E388" s="890">
        <v>0.35766203703703703</v>
      </c>
      <c r="F388" s="890">
        <v>0.75403935185185189</v>
      </c>
    </row>
    <row r="389" spans="1:6" ht="12.75" customHeight="1">
      <c r="A389" s="888" t="s">
        <v>1460</v>
      </c>
      <c r="B389" s="888" t="s">
        <v>1461</v>
      </c>
      <c r="C389" s="888" t="s">
        <v>1452</v>
      </c>
    </row>
    <row r="390" spans="1:6" ht="12.75" customHeight="1">
      <c r="A390" s="888">
        <v>29</v>
      </c>
      <c r="B390" s="888" t="s">
        <v>1112</v>
      </c>
      <c r="C390" s="888" t="s">
        <v>1387</v>
      </c>
      <c r="D390" s="889">
        <v>46050</v>
      </c>
      <c r="E390" s="890">
        <v>0.35805555555555557</v>
      </c>
      <c r="F390" s="890">
        <v>0.75356481481481485</v>
      </c>
    </row>
    <row r="391" spans="1:6" ht="12.75" customHeight="1">
      <c r="A391" s="888" t="s">
        <v>1462</v>
      </c>
      <c r="B391" s="888" t="s">
        <v>1463</v>
      </c>
      <c r="C391" s="888" t="s">
        <v>1404</v>
      </c>
    </row>
    <row r="392" spans="1:6" ht="12.75" customHeight="1">
      <c r="A392" s="888">
        <v>29</v>
      </c>
      <c r="B392" s="888" t="s">
        <v>1112</v>
      </c>
      <c r="C392" s="888" t="s">
        <v>1387</v>
      </c>
      <c r="D392" s="889">
        <v>46051</v>
      </c>
      <c r="E392" s="890">
        <v>0.35568287037037039</v>
      </c>
      <c r="F392" s="890">
        <v>0.75675925925925924</v>
      </c>
    </row>
    <row r="393" spans="1:6" ht="12.75" customHeight="1">
      <c r="A393" s="888" t="s">
        <v>1464</v>
      </c>
      <c r="B393" s="888" t="s">
        <v>1465</v>
      </c>
      <c r="C393" s="888" t="s">
        <v>1466</v>
      </c>
    </row>
    <row r="394" spans="1:6" ht="12.75" customHeight="1">
      <c r="A394" s="888">
        <v>29</v>
      </c>
      <c r="B394" s="888" t="s">
        <v>1112</v>
      </c>
      <c r="C394" s="888" t="s">
        <v>1387</v>
      </c>
      <c r="D394" s="889">
        <v>46052</v>
      </c>
      <c r="E394" s="888" t="s">
        <v>310</v>
      </c>
      <c r="F394" s="888" t="s">
        <v>310</v>
      </c>
    </row>
    <row r="395" spans="1:6" ht="12.75" customHeight="1">
      <c r="A395" s="888">
        <v>29</v>
      </c>
      <c r="B395" s="888" t="s">
        <v>1112</v>
      </c>
      <c r="C395" s="888" t="s">
        <v>1387</v>
      </c>
      <c r="D395" s="889">
        <v>46053</v>
      </c>
      <c r="E395" s="888" t="s">
        <v>310</v>
      </c>
      <c r="F395" s="888" t="s">
        <v>310</v>
      </c>
    </row>
    <row r="396" spans="1:6" ht="12.75" customHeight="1">
      <c r="A396" s="888">
        <v>29</v>
      </c>
      <c r="B396" s="888" t="s">
        <v>1112</v>
      </c>
      <c r="C396" s="888" t="s">
        <v>1387</v>
      </c>
      <c r="D396" s="889">
        <v>46054</v>
      </c>
      <c r="E396" s="888" t="s">
        <v>310</v>
      </c>
      <c r="F396" s="888" t="s">
        <v>310</v>
      </c>
    </row>
    <row r="397" spans="1:6" ht="12.75" customHeight="1">
      <c r="A397" s="888">
        <v>31</v>
      </c>
      <c r="B397" s="888" t="s">
        <v>1467</v>
      </c>
      <c r="C397" s="888" t="s">
        <v>1250</v>
      </c>
      <c r="D397" s="889">
        <v>46023</v>
      </c>
      <c r="E397" s="888" t="s">
        <v>310</v>
      </c>
      <c r="F397" s="888" t="s">
        <v>310</v>
      </c>
    </row>
    <row r="398" spans="1:6" ht="12.75" customHeight="1">
      <c r="A398" s="888">
        <v>31</v>
      </c>
      <c r="B398" s="888" t="s">
        <v>1467</v>
      </c>
      <c r="C398" s="888" t="s">
        <v>1250</v>
      </c>
      <c r="D398" s="889">
        <v>46024</v>
      </c>
      <c r="E398" s="888" t="s">
        <v>310</v>
      </c>
      <c r="F398" s="888" t="s">
        <v>310</v>
      </c>
    </row>
    <row r="399" spans="1:6" ht="12.75" customHeight="1">
      <c r="A399" s="888">
        <v>31</v>
      </c>
      <c r="B399" s="888" t="s">
        <v>1467</v>
      </c>
      <c r="C399" s="888" t="s">
        <v>1250</v>
      </c>
      <c r="D399" s="889">
        <v>46025</v>
      </c>
      <c r="E399" s="888" t="s">
        <v>310</v>
      </c>
      <c r="F399" s="888" t="s">
        <v>310</v>
      </c>
    </row>
    <row r="400" spans="1:6" ht="12.75" customHeight="1">
      <c r="A400" s="888">
        <v>31</v>
      </c>
      <c r="B400" s="888" t="s">
        <v>1467</v>
      </c>
      <c r="C400" s="888" t="s">
        <v>1250</v>
      </c>
      <c r="D400" s="889">
        <v>46026</v>
      </c>
      <c r="E400" s="888" t="s">
        <v>310</v>
      </c>
      <c r="F400" s="888" t="s">
        <v>310</v>
      </c>
    </row>
    <row r="401" spans="1:6" ht="12.75" customHeight="1">
      <c r="A401" s="888">
        <v>31</v>
      </c>
      <c r="B401" s="888" t="s">
        <v>1467</v>
      </c>
      <c r="C401" s="888" t="s">
        <v>1250</v>
      </c>
      <c r="D401" s="889">
        <v>46027</v>
      </c>
      <c r="E401" s="888" t="s">
        <v>310</v>
      </c>
      <c r="F401" s="888" t="s">
        <v>310</v>
      </c>
    </row>
    <row r="402" spans="1:6" ht="12.75" customHeight="1">
      <c r="A402" s="888">
        <v>31</v>
      </c>
      <c r="B402" s="888" t="s">
        <v>1467</v>
      </c>
      <c r="C402" s="888" t="s">
        <v>1250</v>
      </c>
      <c r="D402" s="889">
        <v>46028</v>
      </c>
      <c r="E402" s="888" t="s">
        <v>310</v>
      </c>
      <c r="F402" s="888" t="s">
        <v>310</v>
      </c>
    </row>
    <row r="403" spans="1:6" ht="12.75" customHeight="1">
      <c r="A403" s="888">
        <v>31</v>
      </c>
      <c r="B403" s="888" t="s">
        <v>1467</v>
      </c>
      <c r="C403" s="888" t="s">
        <v>1250</v>
      </c>
      <c r="D403" s="889">
        <v>46029</v>
      </c>
      <c r="E403" s="888" t="s">
        <v>310</v>
      </c>
      <c r="F403" s="888" t="s">
        <v>310</v>
      </c>
    </row>
    <row r="404" spans="1:6" ht="12.75" customHeight="1">
      <c r="A404" s="888">
        <v>31</v>
      </c>
      <c r="B404" s="888" t="s">
        <v>1467</v>
      </c>
      <c r="C404" s="888" t="s">
        <v>1250</v>
      </c>
      <c r="D404" s="889">
        <v>46030</v>
      </c>
      <c r="E404" s="888" t="s">
        <v>310</v>
      </c>
      <c r="F404" s="888" t="s">
        <v>310</v>
      </c>
    </row>
    <row r="405" spans="1:6" ht="12.75" customHeight="1">
      <c r="A405" s="888">
        <v>31</v>
      </c>
      <c r="B405" s="888" t="s">
        <v>1467</v>
      </c>
      <c r="C405" s="888" t="s">
        <v>1250</v>
      </c>
      <c r="D405" s="889">
        <v>46031</v>
      </c>
      <c r="E405" s="888" t="s">
        <v>310</v>
      </c>
      <c r="F405" s="888" t="s">
        <v>310</v>
      </c>
    </row>
    <row r="406" spans="1:6" ht="12.75" customHeight="1">
      <c r="A406" s="888">
        <v>31</v>
      </c>
      <c r="B406" s="888" t="s">
        <v>1467</v>
      </c>
      <c r="C406" s="888" t="s">
        <v>1250</v>
      </c>
      <c r="D406" s="889">
        <v>46032</v>
      </c>
      <c r="E406" s="888" t="s">
        <v>310</v>
      </c>
      <c r="F406" s="888" t="s">
        <v>310</v>
      </c>
    </row>
    <row r="407" spans="1:6" ht="12.75" customHeight="1">
      <c r="A407" s="888">
        <v>31</v>
      </c>
      <c r="B407" s="888" t="s">
        <v>1467</v>
      </c>
      <c r="C407" s="888" t="s">
        <v>1250</v>
      </c>
      <c r="D407" s="889">
        <v>46033</v>
      </c>
      <c r="E407" s="888" t="s">
        <v>310</v>
      </c>
      <c r="F407" s="888" t="s">
        <v>310</v>
      </c>
    </row>
    <row r="408" spans="1:6" ht="12.75" customHeight="1">
      <c r="A408" s="888">
        <v>31</v>
      </c>
      <c r="B408" s="888" t="s">
        <v>1467</v>
      </c>
      <c r="C408" s="888" t="s">
        <v>1250</v>
      </c>
      <c r="D408" s="889">
        <v>46034</v>
      </c>
      <c r="E408" s="888" t="s">
        <v>310</v>
      </c>
      <c r="F408" s="888" t="s">
        <v>310</v>
      </c>
    </row>
    <row r="409" spans="1:6" ht="12.75" customHeight="1">
      <c r="A409" s="888">
        <v>31</v>
      </c>
      <c r="B409" s="888" t="s">
        <v>1467</v>
      </c>
      <c r="C409" s="888" t="s">
        <v>1250</v>
      </c>
      <c r="D409" s="889">
        <v>46035</v>
      </c>
      <c r="E409" s="888" t="s">
        <v>310</v>
      </c>
      <c r="F409" s="888" t="s">
        <v>310</v>
      </c>
    </row>
    <row r="410" spans="1:6" ht="12.75" customHeight="1">
      <c r="A410" s="888">
        <v>31</v>
      </c>
      <c r="B410" s="888" t="s">
        <v>1467</v>
      </c>
      <c r="C410" s="888" t="s">
        <v>1250</v>
      </c>
      <c r="D410" s="889">
        <v>46036</v>
      </c>
      <c r="E410" s="888" t="s">
        <v>310</v>
      </c>
      <c r="F410" s="888" t="s">
        <v>310</v>
      </c>
    </row>
    <row r="411" spans="1:6" ht="12.75" customHeight="1">
      <c r="A411" s="888">
        <v>31</v>
      </c>
      <c r="B411" s="888" t="s">
        <v>1467</v>
      </c>
      <c r="C411" s="888" t="s">
        <v>1250</v>
      </c>
      <c r="D411" s="889">
        <v>46037</v>
      </c>
      <c r="E411" s="888" t="s">
        <v>310</v>
      </c>
      <c r="F411" s="888" t="s">
        <v>310</v>
      </c>
    </row>
    <row r="412" spans="1:6" ht="12.75" customHeight="1">
      <c r="A412" s="888">
        <v>31</v>
      </c>
      <c r="B412" s="888" t="s">
        <v>1467</v>
      </c>
      <c r="C412" s="888" t="s">
        <v>1250</v>
      </c>
      <c r="D412" s="889">
        <v>46038</v>
      </c>
      <c r="E412" s="888" t="s">
        <v>310</v>
      </c>
      <c r="F412" s="888" t="s">
        <v>310</v>
      </c>
    </row>
    <row r="413" spans="1:6" ht="12.75" customHeight="1">
      <c r="A413" s="888">
        <v>31</v>
      </c>
      <c r="B413" s="888" t="s">
        <v>1467</v>
      </c>
      <c r="C413" s="888" t="s">
        <v>1250</v>
      </c>
      <c r="D413" s="889">
        <v>46039</v>
      </c>
      <c r="E413" s="888" t="s">
        <v>310</v>
      </c>
      <c r="F413" s="888" t="s">
        <v>310</v>
      </c>
    </row>
    <row r="414" spans="1:6" ht="12.75" customHeight="1">
      <c r="A414" s="888">
        <v>31</v>
      </c>
      <c r="B414" s="888" t="s">
        <v>1467</v>
      </c>
      <c r="C414" s="888" t="s">
        <v>1250</v>
      </c>
      <c r="D414" s="889">
        <v>46040</v>
      </c>
      <c r="E414" s="888" t="s">
        <v>310</v>
      </c>
      <c r="F414" s="888" t="s">
        <v>310</v>
      </c>
    </row>
    <row r="415" spans="1:6" ht="12.75" customHeight="1">
      <c r="A415" s="888">
        <v>31</v>
      </c>
      <c r="B415" s="888" t="s">
        <v>1467</v>
      </c>
      <c r="C415" s="888" t="s">
        <v>1250</v>
      </c>
      <c r="D415" s="889">
        <v>46041</v>
      </c>
      <c r="E415" s="888" t="s">
        <v>310</v>
      </c>
      <c r="F415" s="888" t="s">
        <v>310</v>
      </c>
    </row>
    <row r="416" spans="1:6" ht="12.75" customHeight="1">
      <c r="A416" s="888">
        <v>31</v>
      </c>
      <c r="B416" s="888" t="s">
        <v>1467</v>
      </c>
      <c r="C416" s="888" t="s">
        <v>1250</v>
      </c>
      <c r="D416" s="889">
        <v>46042</v>
      </c>
      <c r="E416" s="888" t="s">
        <v>310</v>
      </c>
      <c r="F416" s="888" t="s">
        <v>310</v>
      </c>
    </row>
    <row r="417" spans="1:6" ht="12.75" customHeight="1">
      <c r="A417" s="888">
        <v>31</v>
      </c>
      <c r="B417" s="888" t="s">
        <v>1467</v>
      </c>
      <c r="C417" s="888" t="s">
        <v>1250</v>
      </c>
      <c r="D417" s="889">
        <v>46043</v>
      </c>
      <c r="E417" s="888" t="s">
        <v>310</v>
      </c>
      <c r="F417" s="888" t="s">
        <v>310</v>
      </c>
    </row>
    <row r="418" spans="1:6" ht="12.75" customHeight="1">
      <c r="A418" s="888">
        <v>31</v>
      </c>
      <c r="B418" s="888" t="s">
        <v>1467</v>
      </c>
      <c r="C418" s="888" t="s">
        <v>1250</v>
      </c>
      <c r="D418" s="889">
        <v>46044</v>
      </c>
      <c r="E418" s="888" t="s">
        <v>310</v>
      </c>
      <c r="F418" s="888" t="s">
        <v>310</v>
      </c>
    </row>
    <row r="419" spans="1:6" ht="12.75" customHeight="1">
      <c r="A419" s="888">
        <v>31</v>
      </c>
      <c r="B419" s="888" t="s">
        <v>1467</v>
      </c>
      <c r="C419" s="888" t="s">
        <v>1250</v>
      </c>
      <c r="D419" s="889">
        <v>46045</v>
      </c>
      <c r="E419" s="888" t="s">
        <v>310</v>
      </c>
      <c r="F419" s="888" t="s">
        <v>310</v>
      </c>
    </row>
    <row r="420" spans="1:6" ht="12.75" customHeight="1">
      <c r="A420" s="888">
        <v>31</v>
      </c>
      <c r="B420" s="888" t="s">
        <v>1467</v>
      </c>
      <c r="C420" s="888" t="s">
        <v>1250</v>
      </c>
      <c r="D420" s="889">
        <v>46046</v>
      </c>
      <c r="E420" s="888" t="s">
        <v>310</v>
      </c>
      <c r="F420" s="888" t="s">
        <v>310</v>
      </c>
    </row>
    <row r="421" spans="1:6" ht="12.75" customHeight="1">
      <c r="A421" s="888">
        <v>31</v>
      </c>
      <c r="B421" s="888" t="s">
        <v>1467</v>
      </c>
      <c r="C421" s="888" t="s">
        <v>1250</v>
      </c>
      <c r="D421" s="889">
        <v>46047</v>
      </c>
      <c r="E421" s="888" t="s">
        <v>310</v>
      </c>
      <c r="F421" s="888" t="s">
        <v>310</v>
      </c>
    </row>
    <row r="422" spans="1:6" ht="12.75" customHeight="1">
      <c r="A422" s="888">
        <v>31</v>
      </c>
      <c r="B422" s="888" t="s">
        <v>1467</v>
      </c>
      <c r="C422" s="888" t="s">
        <v>1250</v>
      </c>
      <c r="D422" s="889">
        <v>46048</v>
      </c>
      <c r="E422" s="888" t="s">
        <v>310</v>
      </c>
      <c r="F422" s="888" t="s">
        <v>310</v>
      </c>
    </row>
    <row r="423" spans="1:6" ht="12.75" customHeight="1">
      <c r="A423" s="888">
        <v>31</v>
      </c>
      <c r="B423" s="888" t="s">
        <v>1467</v>
      </c>
      <c r="C423" s="888" t="s">
        <v>1250</v>
      </c>
      <c r="D423" s="889">
        <v>46049</v>
      </c>
      <c r="E423" s="888" t="s">
        <v>310</v>
      </c>
      <c r="F423" s="888" t="s">
        <v>310</v>
      </c>
    </row>
    <row r="424" spans="1:6" ht="12.75" customHeight="1">
      <c r="A424" s="888">
        <v>31</v>
      </c>
      <c r="B424" s="888" t="s">
        <v>1467</v>
      </c>
      <c r="C424" s="888" t="s">
        <v>1250</v>
      </c>
      <c r="D424" s="889">
        <v>46050</v>
      </c>
      <c r="E424" s="888" t="s">
        <v>310</v>
      </c>
      <c r="F424" s="888" t="s">
        <v>310</v>
      </c>
    </row>
    <row r="425" spans="1:6" ht="12.75" customHeight="1">
      <c r="A425" s="888">
        <v>31</v>
      </c>
      <c r="B425" s="888" t="s">
        <v>1467</v>
      </c>
      <c r="C425" s="888" t="s">
        <v>1250</v>
      </c>
      <c r="D425" s="889">
        <v>46051</v>
      </c>
      <c r="E425" s="888" t="s">
        <v>310</v>
      </c>
      <c r="F425" s="888" t="s">
        <v>310</v>
      </c>
    </row>
    <row r="426" spans="1:6" ht="12.75" customHeight="1">
      <c r="A426" s="888">
        <v>31</v>
      </c>
      <c r="B426" s="888" t="s">
        <v>1467</v>
      </c>
      <c r="C426" s="888" t="s">
        <v>1250</v>
      </c>
      <c r="D426" s="889">
        <v>46052</v>
      </c>
      <c r="E426" s="888" t="s">
        <v>310</v>
      </c>
      <c r="F426" s="888" t="s">
        <v>310</v>
      </c>
    </row>
    <row r="427" spans="1:6" ht="12.75" customHeight="1">
      <c r="A427" s="888">
        <v>31</v>
      </c>
      <c r="B427" s="888" t="s">
        <v>1467</v>
      </c>
      <c r="C427" s="888" t="s">
        <v>1250</v>
      </c>
      <c r="D427" s="889">
        <v>46053</v>
      </c>
      <c r="E427" s="888" t="s">
        <v>310</v>
      </c>
      <c r="F427" s="888" t="s">
        <v>310</v>
      </c>
    </row>
    <row r="428" spans="1:6" ht="12.75" customHeight="1">
      <c r="A428" s="888">
        <v>31</v>
      </c>
      <c r="B428" s="888" t="s">
        <v>1467</v>
      </c>
      <c r="C428" s="888" t="s">
        <v>1250</v>
      </c>
      <c r="D428" s="889">
        <v>46054</v>
      </c>
      <c r="E428" s="888" t="s">
        <v>310</v>
      </c>
      <c r="F428" s="888" t="s">
        <v>310</v>
      </c>
    </row>
    <row r="429" spans="1:6" ht="12.75" customHeight="1">
      <c r="A429" s="888">
        <v>41</v>
      </c>
      <c r="B429" s="888" t="s">
        <v>1116</v>
      </c>
      <c r="C429" s="888" t="s">
        <v>1468</v>
      </c>
      <c r="D429" s="889">
        <v>46023</v>
      </c>
      <c r="E429" s="888" t="s">
        <v>310</v>
      </c>
      <c r="F429" s="888" t="s">
        <v>310</v>
      </c>
    </row>
    <row r="430" spans="1:6" ht="12.75" customHeight="1">
      <c r="A430" s="888">
        <v>41</v>
      </c>
      <c r="B430" s="888" t="s">
        <v>1116</v>
      </c>
      <c r="C430" s="888" t="s">
        <v>1468</v>
      </c>
      <c r="D430" s="889">
        <v>46024</v>
      </c>
      <c r="E430" s="888" t="s">
        <v>310</v>
      </c>
      <c r="F430" s="888" t="s">
        <v>310</v>
      </c>
    </row>
    <row r="431" spans="1:6" ht="12.75" customHeight="1">
      <c r="A431" s="888">
        <v>41</v>
      </c>
      <c r="B431" s="888" t="s">
        <v>1116</v>
      </c>
      <c r="C431" s="888" t="s">
        <v>1468</v>
      </c>
      <c r="D431" s="889">
        <v>46025</v>
      </c>
      <c r="E431" s="888" t="s">
        <v>310</v>
      </c>
      <c r="F431" s="888" t="s">
        <v>310</v>
      </c>
    </row>
    <row r="432" spans="1:6" ht="12.75" customHeight="1">
      <c r="A432" s="888">
        <v>41</v>
      </c>
      <c r="B432" s="888" t="s">
        <v>1116</v>
      </c>
      <c r="C432" s="888" t="s">
        <v>1468</v>
      </c>
      <c r="D432" s="889">
        <v>46026</v>
      </c>
      <c r="E432" s="888" t="s">
        <v>310</v>
      </c>
      <c r="F432" s="888" t="s">
        <v>310</v>
      </c>
    </row>
    <row r="433" spans="1:6" ht="12.75" customHeight="1">
      <c r="A433" s="888">
        <v>41</v>
      </c>
      <c r="B433" s="888" t="s">
        <v>1116</v>
      </c>
      <c r="C433" s="888" t="s">
        <v>1468</v>
      </c>
      <c r="D433" s="889">
        <v>46027</v>
      </c>
      <c r="E433" s="890">
        <v>0.59291666666666665</v>
      </c>
      <c r="F433" s="890">
        <v>0.92040509259259262</v>
      </c>
    </row>
    <row r="434" spans="1:6" ht="12.75" customHeight="1">
      <c r="A434" s="888" t="s">
        <v>1469</v>
      </c>
      <c r="B434" s="888" t="s">
        <v>1470</v>
      </c>
      <c r="C434" s="888" t="s">
        <v>1471</v>
      </c>
    </row>
    <row r="435" spans="1:6" ht="12.75" customHeight="1">
      <c r="A435" s="888">
        <v>41</v>
      </c>
      <c r="B435" s="888" t="s">
        <v>1116</v>
      </c>
      <c r="C435" s="888" t="s">
        <v>1468</v>
      </c>
      <c r="D435" s="889">
        <v>46028</v>
      </c>
      <c r="E435" s="890">
        <v>0.59783564814814816</v>
      </c>
      <c r="F435" s="890">
        <v>0.9321180555555556</v>
      </c>
    </row>
    <row r="436" spans="1:6" ht="12.75" customHeight="1">
      <c r="A436" s="888" t="s">
        <v>1472</v>
      </c>
      <c r="B436" s="888" t="s">
        <v>1473</v>
      </c>
      <c r="C436" s="888" t="s">
        <v>1474</v>
      </c>
    </row>
    <row r="437" spans="1:6" ht="12.75" customHeight="1">
      <c r="A437" s="888">
        <v>41</v>
      </c>
      <c r="B437" s="888" t="s">
        <v>1116</v>
      </c>
      <c r="C437" s="888" t="s">
        <v>1468</v>
      </c>
      <c r="D437" s="889">
        <v>46029</v>
      </c>
      <c r="E437" s="888" t="s">
        <v>310</v>
      </c>
      <c r="F437" s="888" t="s">
        <v>310</v>
      </c>
    </row>
    <row r="438" spans="1:6" ht="12.75" customHeight="1">
      <c r="A438" s="888">
        <v>41</v>
      </c>
      <c r="B438" s="888" t="s">
        <v>1116</v>
      </c>
      <c r="C438" s="888" t="s">
        <v>1468</v>
      </c>
      <c r="D438" s="889">
        <v>46030</v>
      </c>
      <c r="E438" s="890">
        <v>0.59371527777777777</v>
      </c>
      <c r="F438" s="890">
        <v>0.92277777777777781</v>
      </c>
    </row>
    <row r="439" spans="1:6" ht="12.75" customHeight="1">
      <c r="A439" s="888" t="s">
        <v>1475</v>
      </c>
      <c r="B439" s="888" t="s">
        <v>1476</v>
      </c>
      <c r="C439" s="888" t="s">
        <v>1477</v>
      </c>
    </row>
    <row r="440" spans="1:6" ht="12.75" customHeight="1">
      <c r="A440" s="888">
        <v>41</v>
      </c>
      <c r="B440" s="888" t="s">
        <v>1116</v>
      </c>
      <c r="C440" s="888" t="s">
        <v>1468</v>
      </c>
      <c r="D440" s="889">
        <v>46031</v>
      </c>
      <c r="E440" s="888" t="s">
        <v>310</v>
      </c>
      <c r="F440" s="888" t="s">
        <v>310</v>
      </c>
    </row>
    <row r="441" spans="1:6" ht="12.75" customHeight="1">
      <c r="A441" s="888">
        <v>41</v>
      </c>
      <c r="B441" s="888" t="s">
        <v>1116</v>
      </c>
      <c r="C441" s="888" t="s">
        <v>1468</v>
      </c>
      <c r="D441" s="889">
        <v>46032</v>
      </c>
      <c r="E441" s="890">
        <v>0.64809027777777772</v>
      </c>
      <c r="F441" s="888" t="s">
        <v>310</v>
      </c>
    </row>
    <row r="442" spans="1:6" ht="12.75" customHeight="1">
      <c r="A442" s="888" t="s">
        <v>1478</v>
      </c>
      <c r="B442" s="888" t="s">
        <v>1258</v>
      </c>
      <c r="C442" s="888" t="s">
        <v>1259</v>
      </c>
    </row>
    <row r="443" spans="1:6" ht="12.75" customHeight="1">
      <c r="A443" s="888">
        <v>41</v>
      </c>
      <c r="B443" s="888" t="s">
        <v>1116</v>
      </c>
      <c r="C443" s="888" t="s">
        <v>1468</v>
      </c>
      <c r="D443" s="889">
        <v>46033</v>
      </c>
      <c r="E443" s="888" t="s">
        <v>310</v>
      </c>
      <c r="F443" s="888" t="s">
        <v>310</v>
      </c>
    </row>
    <row r="444" spans="1:6" ht="12.75" customHeight="1">
      <c r="A444" s="888">
        <v>41</v>
      </c>
      <c r="B444" s="888" t="s">
        <v>1116</v>
      </c>
      <c r="C444" s="888" t="s">
        <v>1468</v>
      </c>
      <c r="D444" s="889">
        <v>46034</v>
      </c>
      <c r="E444" s="890">
        <v>0.60520833333333335</v>
      </c>
      <c r="F444" s="890">
        <v>0.9466782407407407</v>
      </c>
    </row>
    <row r="445" spans="1:6" ht="12.75" customHeight="1">
      <c r="A445" s="888" t="s">
        <v>1479</v>
      </c>
      <c r="B445" s="888" t="s">
        <v>1480</v>
      </c>
      <c r="C445" s="888" t="s">
        <v>1481</v>
      </c>
    </row>
    <row r="446" spans="1:6" ht="12.75" customHeight="1">
      <c r="A446" s="888">
        <v>41</v>
      </c>
      <c r="B446" s="888" t="s">
        <v>1116</v>
      </c>
      <c r="C446" s="888" t="s">
        <v>1468</v>
      </c>
      <c r="D446" s="889">
        <v>46035</v>
      </c>
      <c r="E446" s="890">
        <v>0.55549768518518516</v>
      </c>
      <c r="F446" s="890">
        <v>0.94392361111111112</v>
      </c>
    </row>
    <row r="447" spans="1:6" ht="12.75" customHeight="1">
      <c r="A447" s="888" t="s">
        <v>1482</v>
      </c>
      <c r="B447" s="888" t="s">
        <v>1483</v>
      </c>
      <c r="C447" s="888" t="s">
        <v>1484</v>
      </c>
    </row>
    <row r="448" spans="1:6" ht="12.75" customHeight="1">
      <c r="A448" s="888">
        <v>41</v>
      </c>
      <c r="B448" s="888" t="s">
        <v>1116</v>
      </c>
      <c r="C448" s="888" t="s">
        <v>1468</v>
      </c>
      <c r="D448" s="889">
        <v>46036</v>
      </c>
      <c r="E448" s="890">
        <v>0.55886574074074069</v>
      </c>
      <c r="F448" s="890">
        <v>0.82898148148148143</v>
      </c>
    </row>
    <row r="449" spans="1:6" ht="12.75" customHeight="1">
      <c r="A449" s="888" t="s">
        <v>1485</v>
      </c>
      <c r="B449" s="888" t="s">
        <v>1486</v>
      </c>
      <c r="C449" s="888" t="s">
        <v>1487</v>
      </c>
    </row>
    <row r="450" spans="1:6" ht="12.75" customHeight="1">
      <c r="A450" s="888">
        <v>41</v>
      </c>
      <c r="B450" s="888" t="s">
        <v>1116</v>
      </c>
      <c r="C450" s="888" t="s">
        <v>1468</v>
      </c>
      <c r="D450" s="889">
        <v>46037</v>
      </c>
      <c r="E450" s="890">
        <v>0.35053240740740743</v>
      </c>
      <c r="F450" s="890">
        <v>0.79547453703703708</v>
      </c>
    </row>
    <row r="451" spans="1:6" ht="12.75" customHeight="1">
      <c r="A451" s="888" t="s">
        <v>1488</v>
      </c>
      <c r="B451" s="888" t="s">
        <v>1489</v>
      </c>
      <c r="C451" s="888" t="s">
        <v>1490</v>
      </c>
    </row>
    <row r="452" spans="1:6" ht="12.75" customHeight="1">
      <c r="A452" s="888">
        <v>41</v>
      </c>
      <c r="B452" s="888" t="s">
        <v>1116</v>
      </c>
      <c r="C452" s="888" t="s">
        <v>1468</v>
      </c>
      <c r="D452" s="889">
        <v>46038</v>
      </c>
      <c r="E452" s="890">
        <v>0.35564814814814816</v>
      </c>
      <c r="F452" s="890">
        <v>0.51906249999999998</v>
      </c>
    </row>
    <row r="453" spans="1:6" ht="12.75" customHeight="1">
      <c r="A453" s="888" t="s">
        <v>1491</v>
      </c>
      <c r="B453" s="888" t="s">
        <v>1492</v>
      </c>
      <c r="C453" s="888" t="s">
        <v>1493</v>
      </c>
    </row>
    <row r="454" spans="1:6" ht="12.75" customHeight="1">
      <c r="A454" s="888">
        <v>41</v>
      </c>
      <c r="B454" s="888" t="s">
        <v>1116</v>
      </c>
      <c r="C454" s="888" t="s">
        <v>1468</v>
      </c>
      <c r="D454" s="889">
        <v>46039</v>
      </c>
      <c r="E454" s="888" t="s">
        <v>310</v>
      </c>
      <c r="F454" s="888" t="s">
        <v>310</v>
      </c>
    </row>
    <row r="455" spans="1:6" ht="12.75" customHeight="1">
      <c r="A455" s="888">
        <v>41</v>
      </c>
      <c r="B455" s="888" t="s">
        <v>1116</v>
      </c>
      <c r="C455" s="888" t="s">
        <v>1468</v>
      </c>
      <c r="D455" s="889">
        <v>46040</v>
      </c>
      <c r="E455" s="888" t="s">
        <v>310</v>
      </c>
      <c r="F455" s="888" t="s">
        <v>310</v>
      </c>
    </row>
    <row r="456" spans="1:6" ht="12.75" customHeight="1">
      <c r="A456" s="888">
        <v>41</v>
      </c>
      <c r="B456" s="888" t="s">
        <v>1116</v>
      </c>
      <c r="C456" s="888" t="s">
        <v>1468</v>
      </c>
      <c r="D456" s="889">
        <v>46041</v>
      </c>
      <c r="E456" s="890">
        <v>0.60976851851851854</v>
      </c>
      <c r="F456" s="890">
        <v>0.60978009259259258</v>
      </c>
    </row>
    <row r="457" spans="1:6" ht="12.75" customHeight="1">
      <c r="A457" s="888" t="s">
        <v>1494</v>
      </c>
      <c r="B457" s="888" t="s">
        <v>1495</v>
      </c>
      <c r="C457" s="888" t="s">
        <v>1259</v>
      </c>
    </row>
    <row r="458" spans="1:6" ht="12.75" customHeight="1">
      <c r="A458" s="888">
        <v>41</v>
      </c>
      <c r="B458" s="888" t="s">
        <v>1116</v>
      </c>
      <c r="C458" s="888" t="s">
        <v>1468</v>
      </c>
      <c r="D458" s="889">
        <v>46042</v>
      </c>
      <c r="E458" s="890">
        <v>0.35645833333333332</v>
      </c>
      <c r="F458" s="890">
        <v>0.86504629629629626</v>
      </c>
    </row>
    <row r="459" spans="1:6" ht="12.75" customHeight="1">
      <c r="A459" s="888" t="s">
        <v>1496</v>
      </c>
      <c r="B459" s="888" t="s">
        <v>1497</v>
      </c>
      <c r="C459" s="888" t="s">
        <v>1498</v>
      </c>
    </row>
    <row r="460" spans="1:6" ht="12.75" customHeight="1">
      <c r="A460" s="888">
        <v>41</v>
      </c>
      <c r="B460" s="888" t="s">
        <v>1116</v>
      </c>
      <c r="C460" s="888" t="s">
        <v>1468</v>
      </c>
      <c r="D460" s="889">
        <v>46043</v>
      </c>
      <c r="E460" s="890">
        <v>0.59709490740740745</v>
      </c>
      <c r="F460" s="890">
        <v>0.671875</v>
      </c>
    </row>
    <row r="461" spans="1:6" ht="12.75" customHeight="1">
      <c r="A461" s="888" t="s">
        <v>1499</v>
      </c>
      <c r="B461" s="888" t="s">
        <v>1500</v>
      </c>
      <c r="C461" s="888" t="s">
        <v>1501</v>
      </c>
    </row>
    <row r="462" spans="1:6" ht="12.75" customHeight="1">
      <c r="A462" s="888">
        <v>41</v>
      </c>
      <c r="B462" s="888" t="s">
        <v>1116</v>
      </c>
      <c r="C462" s="888" t="s">
        <v>1468</v>
      </c>
      <c r="D462" s="889">
        <v>46044</v>
      </c>
      <c r="E462" s="890">
        <v>0.5926851851851852</v>
      </c>
      <c r="F462" s="890">
        <v>0.93187500000000001</v>
      </c>
    </row>
    <row r="463" spans="1:6" ht="12.75" customHeight="1">
      <c r="A463" s="888" t="s">
        <v>1502</v>
      </c>
      <c r="B463" s="888" t="s">
        <v>1503</v>
      </c>
      <c r="C463" s="888" t="s">
        <v>1504</v>
      </c>
    </row>
    <row r="464" spans="1:6" ht="12.75" customHeight="1">
      <c r="A464" s="888">
        <v>41</v>
      </c>
      <c r="B464" s="888" t="s">
        <v>1116</v>
      </c>
      <c r="C464" s="888" t="s">
        <v>1468</v>
      </c>
      <c r="D464" s="889">
        <v>46045</v>
      </c>
      <c r="E464" s="890">
        <v>0.59342592592592591</v>
      </c>
      <c r="F464" s="888" t="s">
        <v>310</v>
      </c>
    </row>
    <row r="465" spans="1:6" ht="12.75" customHeight="1">
      <c r="A465" s="888" t="s">
        <v>1505</v>
      </c>
      <c r="B465" s="888" t="s">
        <v>1258</v>
      </c>
      <c r="C465" s="888" t="s">
        <v>1259</v>
      </c>
    </row>
    <row r="466" spans="1:6" ht="12.75" customHeight="1">
      <c r="A466" s="888">
        <v>41</v>
      </c>
      <c r="B466" s="888" t="s">
        <v>1116</v>
      </c>
      <c r="C466" s="888" t="s">
        <v>1468</v>
      </c>
      <c r="D466" s="889">
        <v>46046</v>
      </c>
      <c r="E466" s="888" t="s">
        <v>310</v>
      </c>
      <c r="F466" s="888" t="s">
        <v>310</v>
      </c>
    </row>
    <row r="467" spans="1:6" ht="12.75" customHeight="1">
      <c r="A467" s="888">
        <v>41</v>
      </c>
      <c r="B467" s="888" t="s">
        <v>1116</v>
      </c>
      <c r="C467" s="888" t="s">
        <v>1468</v>
      </c>
      <c r="D467" s="889">
        <v>46047</v>
      </c>
      <c r="E467" s="888" t="s">
        <v>310</v>
      </c>
      <c r="F467" s="888" t="s">
        <v>310</v>
      </c>
    </row>
    <row r="468" spans="1:6" ht="12.75" customHeight="1">
      <c r="A468" s="888">
        <v>41</v>
      </c>
      <c r="B468" s="888" t="s">
        <v>1116</v>
      </c>
      <c r="C468" s="888" t="s">
        <v>1468</v>
      </c>
      <c r="D468" s="889">
        <v>46048</v>
      </c>
      <c r="E468" s="890">
        <v>0.46280092592592592</v>
      </c>
      <c r="F468" s="890">
        <v>0.62332175925925926</v>
      </c>
    </row>
    <row r="469" spans="1:6" ht="12.75" customHeight="1">
      <c r="A469" s="888" t="s">
        <v>1506</v>
      </c>
      <c r="B469" s="888" t="s">
        <v>1507</v>
      </c>
      <c r="C469" s="888" t="s">
        <v>1508</v>
      </c>
    </row>
    <row r="470" spans="1:6" ht="12.75" customHeight="1">
      <c r="A470" s="888">
        <v>41</v>
      </c>
      <c r="B470" s="888" t="s">
        <v>1116</v>
      </c>
      <c r="C470" s="888" t="s">
        <v>1468</v>
      </c>
      <c r="D470" s="889">
        <v>46049</v>
      </c>
      <c r="E470" s="890">
        <v>0.60466435185185186</v>
      </c>
      <c r="F470" s="888" t="s">
        <v>310</v>
      </c>
    </row>
    <row r="471" spans="1:6" ht="12.75" customHeight="1">
      <c r="A471" s="888" t="s">
        <v>1509</v>
      </c>
      <c r="B471" s="888" t="s">
        <v>1258</v>
      </c>
      <c r="C471" s="888" t="s">
        <v>1259</v>
      </c>
    </row>
    <row r="472" spans="1:6" ht="12.75" customHeight="1">
      <c r="A472" s="888">
        <v>41</v>
      </c>
      <c r="B472" s="888" t="s">
        <v>1116</v>
      </c>
      <c r="C472" s="888" t="s">
        <v>1468</v>
      </c>
      <c r="D472" s="889">
        <v>46050</v>
      </c>
      <c r="E472" s="888" t="s">
        <v>310</v>
      </c>
      <c r="F472" s="888" t="s">
        <v>310</v>
      </c>
    </row>
    <row r="473" spans="1:6" ht="12.75" customHeight="1">
      <c r="A473" s="888">
        <v>41</v>
      </c>
      <c r="B473" s="888" t="s">
        <v>1116</v>
      </c>
      <c r="C473" s="888" t="s">
        <v>1468</v>
      </c>
      <c r="D473" s="889">
        <v>46051</v>
      </c>
      <c r="E473" s="890">
        <v>0.60138888888888886</v>
      </c>
      <c r="F473" s="890">
        <v>0.9294675925925926</v>
      </c>
    </row>
    <row r="474" spans="1:6" ht="12.75" customHeight="1">
      <c r="A474" s="888" t="s">
        <v>1510</v>
      </c>
      <c r="B474" s="888" t="s">
        <v>1511</v>
      </c>
      <c r="C474" s="888" t="s">
        <v>1471</v>
      </c>
    </row>
    <row r="475" spans="1:6" ht="12.75" customHeight="1">
      <c r="A475" s="888">
        <v>41</v>
      </c>
      <c r="B475" s="888" t="s">
        <v>1116</v>
      </c>
      <c r="C475" s="888" t="s">
        <v>1468</v>
      </c>
      <c r="D475" s="889">
        <v>46052</v>
      </c>
      <c r="E475" s="888" t="s">
        <v>310</v>
      </c>
      <c r="F475" s="888" t="s">
        <v>310</v>
      </c>
    </row>
    <row r="476" spans="1:6" ht="12.75" customHeight="1">
      <c r="A476" s="888">
        <v>41</v>
      </c>
      <c r="B476" s="888" t="s">
        <v>1116</v>
      </c>
      <c r="C476" s="888" t="s">
        <v>1468</v>
      </c>
      <c r="D476" s="889">
        <v>46053</v>
      </c>
      <c r="E476" s="888" t="s">
        <v>310</v>
      </c>
      <c r="F476" s="888" t="s">
        <v>310</v>
      </c>
    </row>
    <row r="477" spans="1:6" ht="12.75" customHeight="1">
      <c r="A477" s="888">
        <v>41</v>
      </c>
      <c r="B477" s="888" t="s">
        <v>1116</v>
      </c>
      <c r="C477" s="888" t="s">
        <v>1468</v>
      </c>
      <c r="D477" s="889">
        <v>46054</v>
      </c>
      <c r="E477" s="888" t="s">
        <v>310</v>
      </c>
      <c r="F477" s="888" t="s">
        <v>310</v>
      </c>
    </row>
    <row r="478" spans="1:6" ht="12.75" customHeight="1">
      <c r="A478" s="888">
        <v>43</v>
      </c>
      <c r="B478" s="888" t="s">
        <v>1117</v>
      </c>
      <c r="C478" s="888" t="s">
        <v>1387</v>
      </c>
      <c r="D478" s="889">
        <v>46023</v>
      </c>
      <c r="E478" s="888" t="s">
        <v>310</v>
      </c>
      <c r="F478" s="888" t="s">
        <v>310</v>
      </c>
    </row>
    <row r="479" spans="1:6" ht="12.75" customHeight="1">
      <c r="A479" s="888">
        <v>43</v>
      </c>
      <c r="B479" s="888" t="s">
        <v>1117</v>
      </c>
      <c r="C479" s="888" t="s">
        <v>1387</v>
      </c>
      <c r="D479" s="889">
        <v>46024</v>
      </c>
      <c r="E479" s="888" t="s">
        <v>310</v>
      </c>
      <c r="F479" s="888" t="s">
        <v>310</v>
      </c>
    </row>
    <row r="480" spans="1:6" ht="12.75" customHeight="1">
      <c r="A480" s="888">
        <v>43</v>
      </c>
      <c r="B480" s="888" t="s">
        <v>1117</v>
      </c>
      <c r="C480" s="888" t="s">
        <v>1387</v>
      </c>
      <c r="D480" s="889">
        <v>46025</v>
      </c>
      <c r="E480" s="888" t="s">
        <v>310</v>
      </c>
      <c r="F480" s="888" t="s">
        <v>310</v>
      </c>
    </row>
    <row r="481" spans="1:6" ht="12.75" customHeight="1">
      <c r="A481" s="888">
        <v>43</v>
      </c>
      <c r="B481" s="888" t="s">
        <v>1117</v>
      </c>
      <c r="C481" s="888" t="s">
        <v>1387</v>
      </c>
      <c r="D481" s="889">
        <v>46026</v>
      </c>
      <c r="E481" s="888" t="s">
        <v>310</v>
      </c>
      <c r="F481" s="888" t="s">
        <v>310</v>
      </c>
    </row>
    <row r="482" spans="1:6" ht="12.75" customHeight="1">
      <c r="A482" s="888">
        <v>43</v>
      </c>
      <c r="B482" s="888" t="s">
        <v>1117</v>
      </c>
      <c r="C482" s="888" t="s">
        <v>1387</v>
      </c>
      <c r="D482" s="889">
        <v>46027</v>
      </c>
      <c r="E482" s="890">
        <v>0.35366898148148146</v>
      </c>
      <c r="F482" s="890">
        <v>0.75074074074074071</v>
      </c>
    </row>
    <row r="483" spans="1:6" ht="12.75" customHeight="1">
      <c r="A483" s="888" t="s">
        <v>1512</v>
      </c>
      <c r="B483" s="888" t="s">
        <v>1513</v>
      </c>
      <c r="C483" s="888" t="s">
        <v>1514</v>
      </c>
    </row>
    <row r="484" spans="1:6" ht="12.75" customHeight="1">
      <c r="A484" s="888">
        <v>43</v>
      </c>
      <c r="B484" s="888" t="s">
        <v>1117</v>
      </c>
      <c r="C484" s="888" t="s">
        <v>1387</v>
      </c>
      <c r="D484" s="889">
        <v>46028</v>
      </c>
      <c r="E484" s="890">
        <v>0.35712962962962963</v>
      </c>
      <c r="F484" s="890">
        <v>0.51503472222222224</v>
      </c>
    </row>
    <row r="485" spans="1:6" ht="12.75" customHeight="1">
      <c r="A485" s="888" t="s">
        <v>1515</v>
      </c>
      <c r="B485" s="888" t="s">
        <v>1516</v>
      </c>
      <c r="C485" s="888" t="s">
        <v>1517</v>
      </c>
    </row>
    <row r="486" spans="1:6" ht="12.75" customHeight="1">
      <c r="A486" s="888">
        <v>43</v>
      </c>
      <c r="B486" s="888" t="s">
        <v>1117</v>
      </c>
      <c r="C486" s="888" t="s">
        <v>1387</v>
      </c>
      <c r="D486" s="889">
        <v>46029</v>
      </c>
      <c r="E486" s="890">
        <v>0.35371527777777778</v>
      </c>
      <c r="F486" s="890">
        <v>0.75148148148148153</v>
      </c>
    </row>
    <row r="487" spans="1:6" ht="12.75" customHeight="1">
      <c r="A487" s="888" t="s">
        <v>1518</v>
      </c>
      <c r="B487" s="888" t="s">
        <v>1519</v>
      </c>
      <c r="C487" s="888" t="s">
        <v>1457</v>
      </c>
    </row>
    <row r="488" spans="1:6" ht="12.75" customHeight="1">
      <c r="A488" s="888">
        <v>43</v>
      </c>
      <c r="B488" s="888" t="s">
        <v>1117</v>
      </c>
      <c r="C488" s="888" t="s">
        <v>1387</v>
      </c>
      <c r="D488" s="889">
        <v>46030</v>
      </c>
      <c r="E488" s="890">
        <v>0.35343750000000002</v>
      </c>
      <c r="F488" s="890">
        <v>0.7512268518518519</v>
      </c>
    </row>
    <row r="489" spans="1:6" ht="12.75" customHeight="1">
      <c r="A489" s="888" t="s">
        <v>1520</v>
      </c>
      <c r="B489" s="888" t="s">
        <v>1521</v>
      </c>
      <c r="C489" s="888" t="s">
        <v>1457</v>
      </c>
    </row>
    <row r="490" spans="1:6" ht="12.75" customHeight="1">
      <c r="A490" s="888">
        <v>43</v>
      </c>
      <c r="B490" s="888" t="s">
        <v>1117</v>
      </c>
      <c r="C490" s="888" t="s">
        <v>1387</v>
      </c>
      <c r="D490" s="889">
        <v>46031</v>
      </c>
      <c r="E490" s="888" t="s">
        <v>310</v>
      </c>
      <c r="F490" s="888" t="s">
        <v>310</v>
      </c>
    </row>
    <row r="491" spans="1:6" ht="12.75" customHeight="1">
      <c r="A491" s="888">
        <v>43</v>
      </c>
      <c r="B491" s="888" t="s">
        <v>1117</v>
      </c>
      <c r="C491" s="888" t="s">
        <v>1387</v>
      </c>
      <c r="D491" s="889">
        <v>46032</v>
      </c>
      <c r="E491" s="888" t="s">
        <v>310</v>
      </c>
      <c r="F491" s="888" t="s">
        <v>310</v>
      </c>
    </row>
    <row r="492" spans="1:6" ht="12.75" customHeight="1">
      <c r="A492" s="888">
        <v>43</v>
      </c>
      <c r="B492" s="888" t="s">
        <v>1117</v>
      </c>
      <c r="C492" s="888" t="s">
        <v>1387</v>
      </c>
      <c r="D492" s="889">
        <v>46033</v>
      </c>
      <c r="E492" s="888" t="s">
        <v>310</v>
      </c>
      <c r="F492" s="888" t="s">
        <v>310</v>
      </c>
    </row>
    <row r="493" spans="1:6" ht="12.75" customHeight="1">
      <c r="A493" s="888">
        <v>43</v>
      </c>
      <c r="B493" s="888" t="s">
        <v>1117</v>
      </c>
      <c r="C493" s="888" t="s">
        <v>1387</v>
      </c>
      <c r="D493" s="889">
        <v>46034</v>
      </c>
      <c r="E493" s="888" t="s">
        <v>310</v>
      </c>
      <c r="F493" s="888" t="s">
        <v>310</v>
      </c>
    </row>
    <row r="494" spans="1:6" ht="12.75" customHeight="1">
      <c r="A494" s="888">
        <v>43</v>
      </c>
      <c r="B494" s="888" t="s">
        <v>1117</v>
      </c>
      <c r="C494" s="888" t="s">
        <v>1387</v>
      </c>
      <c r="D494" s="889">
        <v>46035</v>
      </c>
      <c r="E494" s="890">
        <v>0.35418981481481482</v>
      </c>
      <c r="F494" s="890">
        <v>0.75253472222222217</v>
      </c>
    </row>
    <row r="495" spans="1:6" ht="12.75" customHeight="1">
      <c r="A495" s="888" t="s">
        <v>1522</v>
      </c>
      <c r="B495" s="888" t="s">
        <v>1523</v>
      </c>
      <c r="C495" s="888" t="s">
        <v>1383</v>
      </c>
    </row>
    <row r="496" spans="1:6" ht="12.75" customHeight="1">
      <c r="A496" s="888">
        <v>43</v>
      </c>
      <c r="B496" s="888" t="s">
        <v>1117</v>
      </c>
      <c r="C496" s="888" t="s">
        <v>1387</v>
      </c>
      <c r="D496" s="889">
        <v>46036</v>
      </c>
      <c r="E496" s="890">
        <v>0.35153935185185187</v>
      </c>
      <c r="F496" s="890">
        <v>0.7518055555555555</v>
      </c>
    </row>
    <row r="497" spans="1:6" ht="12.75" customHeight="1">
      <c r="A497" s="888" t="s">
        <v>1524</v>
      </c>
      <c r="B497" s="888" t="s">
        <v>1525</v>
      </c>
      <c r="C497" s="888" t="s">
        <v>1526</v>
      </c>
    </row>
    <row r="498" spans="1:6" ht="12.75" customHeight="1">
      <c r="A498" s="888">
        <v>43</v>
      </c>
      <c r="B498" s="888" t="s">
        <v>1117</v>
      </c>
      <c r="C498" s="888" t="s">
        <v>1387</v>
      </c>
      <c r="D498" s="889">
        <v>46037</v>
      </c>
      <c r="E498" s="890">
        <v>0.35377314814814814</v>
      </c>
      <c r="F498" s="890">
        <v>0.75157407407407406</v>
      </c>
    </row>
    <row r="499" spans="1:6" ht="12.75" customHeight="1">
      <c r="A499" s="888" t="s">
        <v>1527</v>
      </c>
      <c r="B499" s="888" t="s">
        <v>1528</v>
      </c>
      <c r="C499" s="888" t="s">
        <v>1457</v>
      </c>
    </row>
    <row r="500" spans="1:6" ht="12.75" customHeight="1">
      <c r="A500" s="888">
        <v>43</v>
      </c>
      <c r="B500" s="888" t="s">
        <v>1117</v>
      </c>
      <c r="C500" s="888" t="s">
        <v>1387</v>
      </c>
      <c r="D500" s="889">
        <v>46038</v>
      </c>
      <c r="E500" s="888" t="s">
        <v>310</v>
      </c>
      <c r="F500" s="888" t="s">
        <v>310</v>
      </c>
    </row>
    <row r="501" spans="1:6" ht="12.75" customHeight="1">
      <c r="A501" s="888">
        <v>43</v>
      </c>
      <c r="B501" s="888" t="s">
        <v>1117</v>
      </c>
      <c r="C501" s="888" t="s">
        <v>1387</v>
      </c>
      <c r="D501" s="889">
        <v>46039</v>
      </c>
      <c r="E501" s="888" t="s">
        <v>310</v>
      </c>
      <c r="F501" s="888" t="s">
        <v>310</v>
      </c>
    </row>
    <row r="502" spans="1:6" ht="12.75" customHeight="1">
      <c r="A502" s="888">
        <v>43</v>
      </c>
      <c r="B502" s="888" t="s">
        <v>1117</v>
      </c>
      <c r="C502" s="888" t="s">
        <v>1387</v>
      </c>
      <c r="D502" s="889">
        <v>46040</v>
      </c>
      <c r="E502" s="888" t="s">
        <v>310</v>
      </c>
      <c r="F502" s="888" t="s">
        <v>310</v>
      </c>
    </row>
    <row r="503" spans="1:6" ht="12.75" customHeight="1">
      <c r="A503" s="888">
        <v>43</v>
      </c>
      <c r="B503" s="888" t="s">
        <v>1117</v>
      </c>
      <c r="C503" s="888" t="s">
        <v>1387</v>
      </c>
      <c r="D503" s="889">
        <v>46041</v>
      </c>
      <c r="E503" s="890">
        <v>0.35747685185185185</v>
      </c>
      <c r="F503" s="890">
        <v>0.70854166666666663</v>
      </c>
    </row>
    <row r="504" spans="1:6" ht="12.75" customHeight="1">
      <c r="A504" s="888" t="s">
        <v>1529</v>
      </c>
      <c r="B504" s="888" t="s">
        <v>1530</v>
      </c>
      <c r="C504" s="888" t="s">
        <v>1531</v>
      </c>
    </row>
    <row r="505" spans="1:6" ht="12.75" customHeight="1">
      <c r="A505" s="888">
        <v>43</v>
      </c>
      <c r="B505" s="888" t="s">
        <v>1117</v>
      </c>
      <c r="C505" s="888" t="s">
        <v>1387</v>
      </c>
      <c r="D505" s="889">
        <v>46042</v>
      </c>
      <c r="E505" s="890">
        <v>0.35547453703703702</v>
      </c>
      <c r="F505" s="890">
        <v>0.75173611111111116</v>
      </c>
    </row>
    <row r="506" spans="1:6" ht="12.75" customHeight="1">
      <c r="A506" s="888" t="s">
        <v>1532</v>
      </c>
      <c r="B506" s="888" t="s">
        <v>1533</v>
      </c>
      <c r="C506" s="888" t="s">
        <v>1452</v>
      </c>
    </row>
    <row r="507" spans="1:6" ht="12.75" customHeight="1">
      <c r="A507" s="888">
        <v>43</v>
      </c>
      <c r="B507" s="888" t="s">
        <v>1117</v>
      </c>
      <c r="C507" s="888" t="s">
        <v>1387</v>
      </c>
      <c r="D507" s="889">
        <v>46043</v>
      </c>
      <c r="E507" s="888" t="s">
        <v>310</v>
      </c>
      <c r="F507" s="888" t="s">
        <v>310</v>
      </c>
    </row>
    <row r="508" spans="1:6" ht="12.75" customHeight="1">
      <c r="A508" s="888">
        <v>43</v>
      </c>
      <c r="B508" s="888" t="s">
        <v>1117</v>
      </c>
      <c r="C508" s="888" t="s">
        <v>1387</v>
      </c>
      <c r="D508" s="889">
        <v>46044</v>
      </c>
      <c r="E508" s="888" t="s">
        <v>310</v>
      </c>
      <c r="F508" s="888" t="s">
        <v>310</v>
      </c>
    </row>
    <row r="509" spans="1:6" ht="12.75" customHeight="1">
      <c r="A509" s="888">
        <v>43</v>
      </c>
      <c r="B509" s="888" t="s">
        <v>1117</v>
      </c>
      <c r="C509" s="888" t="s">
        <v>1387</v>
      </c>
      <c r="D509" s="889">
        <v>46045</v>
      </c>
      <c r="E509" s="888" t="s">
        <v>310</v>
      </c>
      <c r="F509" s="888" t="s">
        <v>310</v>
      </c>
    </row>
    <row r="510" spans="1:6" ht="12.75" customHeight="1">
      <c r="A510" s="888">
        <v>43</v>
      </c>
      <c r="B510" s="888" t="s">
        <v>1117</v>
      </c>
      <c r="C510" s="888" t="s">
        <v>1387</v>
      </c>
      <c r="D510" s="889">
        <v>46046</v>
      </c>
      <c r="E510" s="888" t="s">
        <v>310</v>
      </c>
      <c r="F510" s="888" t="s">
        <v>310</v>
      </c>
    </row>
    <row r="511" spans="1:6" ht="12.75" customHeight="1">
      <c r="A511" s="888">
        <v>43</v>
      </c>
      <c r="B511" s="888" t="s">
        <v>1117</v>
      </c>
      <c r="C511" s="888" t="s">
        <v>1387</v>
      </c>
      <c r="D511" s="889">
        <v>46047</v>
      </c>
      <c r="E511" s="888" t="s">
        <v>310</v>
      </c>
      <c r="F511" s="888" t="s">
        <v>310</v>
      </c>
    </row>
    <row r="512" spans="1:6" ht="12.75" customHeight="1">
      <c r="A512" s="888">
        <v>43</v>
      </c>
      <c r="B512" s="888" t="s">
        <v>1117</v>
      </c>
      <c r="C512" s="888" t="s">
        <v>1387</v>
      </c>
      <c r="D512" s="889">
        <v>46048</v>
      </c>
      <c r="E512" s="888" t="s">
        <v>310</v>
      </c>
      <c r="F512" s="888" t="s">
        <v>310</v>
      </c>
    </row>
    <row r="513" spans="1:6" ht="12.75" customHeight="1">
      <c r="A513" s="888">
        <v>43</v>
      </c>
      <c r="B513" s="888" t="s">
        <v>1117</v>
      </c>
      <c r="C513" s="888" t="s">
        <v>1387</v>
      </c>
      <c r="D513" s="889">
        <v>46049</v>
      </c>
      <c r="E513" s="888" t="s">
        <v>310</v>
      </c>
      <c r="F513" s="888" t="s">
        <v>310</v>
      </c>
    </row>
    <row r="514" spans="1:6" ht="12.75" customHeight="1">
      <c r="A514" s="888">
        <v>43</v>
      </c>
      <c r="B514" s="888" t="s">
        <v>1117</v>
      </c>
      <c r="C514" s="888" t="s">
        <v>1387</v>
      </c>
      <c r="D514" s="889">
        <v>46050</v>
      </c>
      <c r="E514" s="888" t="s">
        <v>310</v>
      </c>
      <c r="F514" s="888" t="s">
        <v>310</v>
      </c>
    </row>
    <row r="515" spans="1:6" ht="12.75" customHeight="1">
      <c r="A515" s="888">
        <v>43</v>
      </c>
      <c r="B515" s="888" t="s">
        <v>1117</v>
      </c>
      <c r="C515" s="888" t="s">
        <v>1387</v>
      </c>
      <c r="D515" s="889">
        <v>46051</v>
      </c>
      <c r="E515" s="888" t="s">
        <v>310</v>
      </c>
      <c r="F515" s="888" t="s">
        <v>310</v>
      </c>
    </row>
    <row r="516" spans="1:6" ht="12.75" customHeight="1">
      <c r="A516" s="888">
        <v>43</v>
      </c>
      <c r="B516" s="888" t="s">
        <v>1117</v>
      </c>
      <c r="C516" s="888" t="s">
        <v>1387</v>
      </c>
      <c r="D516" s="889">
        <v>46052</v>
      </c>
      <c r="E516" s="888" t="s">
        <v>310</v>
      </c>
      <c r="F516" s="888" t="s">
        <v>310</v>
      </c>
    </row>
    <row r="517" spans="1:6" ht="12.75" customHeight="1">
      <c r="A517" s="888">
        <v>43</v>
      </c>
      <c r="B517" s="888" t="s">
        <v>1117</v>
      </c>
      <c r="C517" s="888" t="s">
        <v>1387</v>
      </c>
      <c r="D517" s="889">
        <v>46053</v>
      </c>
      <c r="E517" s="888" t="s">
        <v>310</v>
      </c>
      <c r="F517" s="888" t="s">
        <v>310</v>
      </c>
    </row>
    <row r="518" spans="1:6" ht="12.75" customHeight="1">
      <c r="A518" s="888">
        <v>43</v>
      </c>
      <c r="B518" s="888" t="s">
        <v>1117</v>
      </c>
      <c r="C518" s="888" t="s">
        <v>1387</v>
      </c>
      <c r="D518" s="889">
        <v>46054</v>
      </c>
      <c r="E518" s="888" t="s">
        <v>310</v>
      </c>
      <c r="F518" s="888" t="s">
        <v>310</v>
      </c>
    </row>
    <row r="519" spans="1:6" ht="12.75" customHeight="1">
      <c r="A519" s="888">
        <v>44</v>
      </c>
      <c r="B519" s="888" t="s">
        <v>1118</v>
      </c>
      <c r="C519" s="888" t="s">
        <v>1387</v>
      </c>
      <c r="D519" s="889">
        <v>46023</v>
      </c>
      <c r="E519" s="888" t="s">
        <v>310</v>
      </c>
      <c r="F519" s="888" t="s">
        <v>310</v>
      </c>
    </row>
    <row r="520" spans="1:6" ht="12.75" customHeight="1">
      <c r="A520" s="888">
        <v>44</v>
      </c>
      <c r="B520" s="888" t="s">
        <v>1118</v>
      </c>
      <c r="C520" s="888" t="s">
        <v>1387</v>
      </c>
      <c r="D520" s="889">
        <v>46024</v>
      </c>
      <c r="E520" s="888" t="s">
        <v>310</v>
      </c>
      <c r="F520" s="888" t="s">
        <v>310</v>
      </c>
    </row>
    <row r="521" spans="1:6" ht="12.75" customHeight="1">
      <c r="A521" s="888">
        <v>44</v>
      </c>
      <c r="B521" s="888" t="s">
        <v>1118</v>
      </c>
      <c r="C521" s="888" t="s">
        <v>1387</v>
      </c>
      <c r="D521" s="889">
        <v>46025</v>
      </c>
      <c r="E521" s="888" t="s">
        <v>310</v>
      </c>
      <c r="F521" s="888" t="s">
        <v>310</v>
      </c>
    </row>
    <row r="522" spans="1:6" ht="12.75" customHeight="1">
      <c r="A522" s="888">
        <v>44</v>
      </c>
      <c r="B522" s="888" t="s">
        <v>1118</v>
      </c>
      <c r="C522" s="888" t="s">
        <v>1387</v>
      </c>
      <c r="D522" s="889">
        <v>46026</v>
      </c>
      <c r="E522" s="888" t="s">
        <v>310</v>
      </c>
      <c r="F522" s="888" t="s">
        <v>310</v>
      </c>
    </row>
    <row r="523" spans="1:6" ht="12.75" customHeight="1">
      <c r="A523" s="888">
        <v>44</v>
      </c>
      <c r="B523" s="888" t="s">
        <v>1118</v>
      </c>
      <c r="C523" s="888" t="s">
        <v>1387</v>
      </c>
      <c r="D523" s="889">
        <v>46027</v>
      </c>
      <c r="E523" s="888" t="s">
        <v>310</v>
      </c>
      <c r="F523" s="888" t="s">
        <v>310</v>
      </c>
    </row>
    <row r="524" spans="1:6" ht="12.75" customHeight="1">
      <c r="A524" s="888">
        <v>44</v>
      </c>
      <c r="B524" s="888" t="s">
        <v>1118</v>
      </c>
      <c r="C524" s="888" t="s">
        <v>1387</v>
      </c>
      <c r="D524" s="889">
        <v>46028</v>
      </c>
      <c r="E524" s="890">
        <v>0.35047453703703701</v>
      </c>
      <c r="F524" s="890">
        <v>0.75075231481481486</v>
      </c>
    </row>
    <row r="525" spans="1:6" ht="12.75" customHeight="1">
      <c r="A525" s="888" t="s">
        <v>1534</v>
      </c>
      <c r="B525" s="888" t="s">
        <v>1535</v>
      </c>
      <c r="C525" s="888" t="s">
        <v>1526</v>
      </c>
    </row>
    <row r="526" spans="1:6" ht="12.75" customHeight="1">
      <c r="A526" s="888">
        <v>44</v>
      </c>
      <c r="B526" s="888" t="s">
        <v>1118</v>
      </c>
      <c r="C526" s="888" t="s">
        <v>1387</v>
      </c>
      <c r="D526" s="889">
        <v>46029</v>
      </c>
      <c r="E526" s="890">
        <v>0.34870370370370368</v>
      </c>
      <c r="F526" s="890">
        <v>0.75043981481481481</v>
      </c>
    </row>
    <row r="527" spans="1:6" ht="12.75" customHeight="1">
      <c r="A527" s="888" t="s">
        <v>1536</v>
      </c>
      <c r="B527" s="888" t="s">
        <v>1537</v>
      </c>
      <c r="C527" s="888" t="s">
        <v>1538</v>
      </c>
    </row>
    <row r="528" spans="1:6" ht="12.75" customHeight="1">
      <c r="A528" s="888">
        <v>44</v>
      </c>
      <c r="B528" s="888" t="s">
        <v>1118</v>
      </c>
      <c r="C528" s="888" t="s">
        <v>1387</v>
      </c>
      <c r="D528" s="889">
        <v>46030</v>
      </c>
      <c r="E528" s="890">
        <v>0.35135416666666669</v>
      </c>
      <c r="F528" s="890">
        <v>0.75050925925925926</v>
      </c>
    </row>
    <row r="529" spans="1:6" ht="12.75" customHeight="1">
      <c r="A529" s="888" t="s">
        <v>1539</v>
      </c>
      <c r="B529" s="888" t="s">
        <v>1540</v>
      </c>
      <c r="C529" s="888" t="s">
        <v>1288</v>
      </c>
    </row>
    <row r="530" spans="1:6" ht="12.75" customHeight="1">
      <c r="A530" s="888">
        <v>44</v>
      </c>
      <c r="B530" s="888" t="s">
        <v>1118</v>
      </c>
      <c r="C530" s="888" t="s">
        <v>1387</v>
      </c>
      <c r="D530" s="889">
        <v>46031</v>
      </c>
      <c r="E530" s="888" t="s">
        <v>310</v>
      </c>
      <c r="F530" s="888" t="s">
        <v>310</v>
      </c>
    </row>
    <row r="531" spans="1:6" ht="12.75" customHeight="1">
      <c r="A531" s="888">
        <v>44</v>
      </c>
      <c r="B531" s="888" t="s">
        <v>1118</v>
      </c>
      <c r="C531" s="888" t="s">
        <v>1387</v>
      </c>
      <c r="D531" s="889">
        <v>46032</v>
      </c>
      <c r="E531" s="888" t="s">
        <v>310</v>
      </c>
      <c r="F531" s="888" t="s">
        <v>310</v>
      </c>
    </row>
    <row r="532" spans="1:6" ht="12.75" customHeight="1">
      <c r="A532" s="888">
        <v>44</v>
      </c>
      <c r="B532" s="888" t="s">
        <v>1118</v>
      </c>
      <c r="C532" s="888" t="s">
        <v>1387</v>
      </c>
      <c r="D532" s="889">
        <v>46033</v>
      </c>
      <c r="E532" s="888" t="s">
        <v>310</v>
      </c>
      <c r="F532" s="888" t="s">
        <v>310</v>
      </c>
    </row>
    <row r="533" spans="1:6" ht="12.75" customHeight="1">
      <c r="A533" s="888">
        <v>44</v>
      </c>
      <c r="B533" s="888" t="s">
        <v>1118</v>
      </c>
      <c r="C533" s="888" t="s">
        <v>1387</v>
      </c>
      <c r="D533" s="889">
        <v>46034</v>
      </c>
      <c r="E533" s="890">
        <v>0.35151620370370368</v>
      </c>
      <c r="F533" s="890">
        <v>0.75085648148148143</v>
      </c>
    </row>
    <row r="534" spans="1:6" ht="12.75" customHeight="1">
      <c r="A534" s="888" t="s">
        <v>1541</v>
      </c>
      <c r="B534" s="888" t="s">
        <v>1542</v>
      </c>
      <c r="C534" s="888" t="s">
        <v>1288</v>
      </c>
    </row>
    <row r="535" spans="1:6" ht="12.75" customHeight="1">
      <c r="A535" s="888">
        <v>44</v>
      </c>
      <c r="B535" s="888" t="s">
        <v>1118</v>
      </c>
      <c r="C535" s="888" t="s">
        <v>1387</v>
      </c>
      <c r="D535" s="889">
        <v>46035</v>
      </c>
      <c r="E535" s="890">
        <v>0.35087962962962965</v>
      </c>
      <c r="F535" s="890">
        <v>0.75041666666666662</v>
      </c>
    </row>
    <row r="536" spans="1:6" ht="12.75" customHeight="1">
      <c r="A536" s="888" t="s">
        <v>1543</v>
      </c>
      <c r="B536" s="888" t="s">
        <v>1544</v>
      </c>
      <c r="C536" s="888" t="s">
        <v>1288</v>
      </c>
    </row>
    <row r="537" spans="1:6" ht="12.75" customHeight="1">
      <c r="A537" s="888">
        <v>44</v>
      </c>
      <c r="B537" s="888" t="s">
        <v>1118</v>
      </c>
      <c r="C537" s="888" t="s">
        <v>1387</v>
      </c>
      <c r="D537" s="889">
        <v>46036</v>
      </c>
      <c r="E537" s="890">
        <v>0.35050925925925924</v>
      </c>
      <c r="F537" s="890">
        <v>0.7507638888888889</v>
      </c>
    </row>
    <row r="538" spans="1:6" ht="12.75" customHeight="1">
      <c r="A538" s="888" t="s">
        <v>1545</v>
      </c>
      <c r="B538" s="888" t="s">
        <v>1546</v>
      </c>
      <c r="C538" s="888" t="s">
        <v>1526</v>
      </c>
    </row>
    <row r="539" spans="1:6" ht="12.75" customHeight="1">
      <c r="A539" s="888">
        <v>44</v>
      </c>
      <c r="B539" s="888" t="s">
        <v>1118</v>
      </c>
      <c r="C539" s="888" t="s">
        <v>1387</v>
      </c>
      <c r="D539" s="889">
        <v>46037</v>
      </c>
      <c r="E539" s="890">
        <v>0.35157407407407409</v>
      </c>
      <c r="F539" s="890">
        <v>0.75087962962962962</v>
      </c>
    </row>
    <row r="540" spans="1:6" ht="12.75" customHeight="1">
      <c r="A540" s="888" t="s">
        <v>1547</v>
      </c>
      <c r="B540" s="888" t="s">
        <v>1548</v>
      </c>
      <c r="C540" s="888" t="s">
        <v>1288</v>
      </c>
    </row>
    <row r="541" spans="1:6" ht="12.75" customHeight="1">
      <c r="A541" s="888">
        <v>44</v>
      </c>
      <c r="B541" s="888" t="s">
        <v>1118</v>
      </c>
      <c r="C541" s="888" t="s">
        <v>1387</v>
      </c>
      <c r="D541" s="889">
        <v>46038</v>
      </c>
      <c r="E541" s="888" t="s">
        <v>310</v>
      </c>
      <c r="F541" s="888" t="s">
        <v>310</v>
      </c>
    </row>
    <row r="542" spans="1:6" ht="12.75" customHeight="1">
      <c r="A542" s="888">
        <v>44</v>
      </c>
      <c r="B542" s="888" t="s">
        <v>1118</v>
      </c>
      <c r="C542" s="888" t="s">
        <v>1387</v>
      </c>
      <c r="D542" s="889">
        <v>46039</v>
      </c>
      <c r="E542" s="888" t="s">
        <v>310</v>
      </c>
      <c r="F542" s="888" t="s">
        <v>310</v>
      </c>
    </row>
    <row r="543" spans="1:6" ht="12.75" customHeight="1">
      <c r="A543" s="888">
        <v>44</v>
      </c>
      <c r="B543" s="888" t="s">
        <v>1118</v>
      </c>
      <c r="C543" s="888" t="s">
        <v>1387</v>
      </c>
      <c r="D543" s="889">
        <v>46040</v>
      </c>
      <c r="E543" s="888" t="s">
        <v>310</v>
      </c>
      <c r="F543" s="888" t="s">
        <v>310</v>
      </c>
    </row>
    <row r="544" spans="1:6" ht="12.75" customHeight="1">
      <c r="A544" s="888">
        <v>44</v>
      </c>
      <c r="B544" s="888" t="s">
        <v>1118</v>
      </c>
      <c r="C544" s="888" t="s">
        <v>1387</v>
      </c>
      <c r="D544" s="889">
        <v>46041</v>
      </c>
      <c r="E544" s="890">
        <v>0.35108796296296296</v>
      </c>
      <c r="F544" s="890">
        <v>0.75065972222222221</v>
      </c>
    </row>
    <row r="545" spans="1:6" ht="12.75" customHeight="1">
      <c r="A545" s="888" t="s">
        <v>1549</v>
      </c>
      <c r="B545" s="888" t="s">
        <v>1550</v>
      </c>
      <c r="C545" s="888" t="s">
        <v>1288</v>
      </c>
    </row>
    <row r="546" spans="1:6" ht="12.75" customHeight="1">
      <c r="A546" s="888">
        <v>44</v>
      </c>
      <c r="B546" s="888" t="s">
        <v>1118</v>
      </c>
      <c r="C546" s="888" t="s">
        <v>1387</v>
      </c>
      <c r="D546" s="889">
        <v>46042</v>
      </c>
      <c r="E546" s="890">
        <v>0.35322916666666665</v>
      </c>
      <c r="F546" s="890">
        <v>0.7510648148148148</v>
      </c>
    </row>
    <row r="547" spans="1:6" ht="12.75" customHeight="1">
      <c r="A547" s="888" t="s">
        <v>1551</v>
      </c>
      <c r="B547" s="888" t="s">
        <v>1552</v>
      </c>
      <c r="C547" s="888" t="s">
        <v>1457</v>
      </c>
    </row>
    <row r="548" spans="1:6" ht="12.75" customHeight="1">
      <c r="A548" s="888">
        <v>44</v>
      </c>
      <c r="B548" s="888" t="s">
        <v>1118</v>
      </c>
      <c r="C548" s="888" t="s">
        <v>1387</v>
      </c>
      <c r="D548" s="889">
        <v>46043</v>
      </c>
      <c r="E548" s="890">
        <v>0.35018518518518521</v>
      </c>
      <c r="F548" s="890">
        <v>0.75072916666666667</v>
      </c>
    </row>
    <row r="549" spans="1:6" ht="12.75" customHeight="1">
      <c r="A549" s="888" t="s">
        <v>1553</v>
      </c>
      <c r="B549" s="888" t="s">
        <v>1554</v>
      </c>
      <c r="C549" s="888" t="s">
        <v>1378</v>
      </c>
    </row>
    <row r="550" spans="1:6" ht="12.75" customHeight="1">
      <c r="A550" s="888">
        <v>44</v>
      </c>
      <c r="B550" s="888" t="s">
        <v>1118</v>
      </c>
      <c r="C550" s="888" t="s">
        <v>1387</v>
      </c>
      <c r="D550" s="889">
        <v>46044</v>
      </c>
      <c r="E550" s="890">
        <v>0.35239583333333335</v>
      </c>
      <c r="F550" s="890">
        <v>0.75064814814814818</v>
      </c>
    </row>
    <row r="551" spans="1:6" ht="12.75" customHeight="1">
      <c r="A551" s="888" t="s">
        <v>1555</v>
      </c>
      <c r="B551" s="888" t="s">
        <v>1556</v>
      </c>
      <c r="C551" s="888" t="s">
        <v>1457</v>
      </c>
    </row>
    <row r="552" spans="1:6" ht="12.75" customHeight="1">
      <c r="A552" s="888">
        <v>44</v>
      </c>
      <c r="B552" s="888" t="s">
        <v>1118</v>
      </c>
      <c r="C552" s="888" t="s">
        <v>1387</v>
      </c>
      <c r="D552" s="889">
        <v>46045</v>
      </c>
      <c r="E552" s="888" t="s">
        <v>310</v>
      </c>
      <c r="F552" s="888" t="s">
        <v>310</v>
      </c>
    </row>
    <row r="553" spans="1:6" ht="12.75" customHeight="1">
      <c r="A553" s="888">
        <v>44</v>
      </c>
      <c r="B553" s="888" t="s">
        <v>1118</v>
      </c>
      <c r="C553" s="888" t="s">
        <v>1387</v>
      </c>
      <c r="D553" s="889">
        <v>46046</v>
      </c>
      <c r="E553" s="888" t="s">
        <v>310</v>
      </c>
      <c r="F553" s="888" t="s">
        <v>310</v>
      </c>
    </row>
    <row r="554" spans="1:6" ht="12.75" customHeight="1">
      <c r="A554" s="888">
        <v>44</v>
      </c>
      <c r="B554" s="888" t="s">
        <v>1118</v>
      </c>
      <c r="C554" s="888" t="s">
        <v>1387</v>
      </c>
      <c r="D554" s="889">
        <v>46047</v>
      </c>
      <c r="E554" s="888" t="s">
        <v>310</v>
      </c>
      <c r="F554" s="888" t="s">
        <v>310</v>
      </c>
    </row>
    <row r="555" spans="1:6" ht="12.75" customHeight="1">
      <c r="A555" s="888">
        <v>44</v>
      </c>
      <c r="B555" s="888" t="s">
        <v>1118</v>
      </c>
      <c r="C555" s="888" t="s">
        <v>1387</v>
      </c>
      <c r="D555" s="889">
        <v>46048</v>
      </c>
      <c r="E555" s="890">
        <v>0.34988425925925926</v>
      </c>
      <c r="F555" s="890">
        <v>0.75064814814814818</v>
      </c>
    </row>
    <row r="556" spans="1:6" ht="12.75" customHeight="1">
      <c r="A556" s="888" t="s">
        <v>1557</v>
      </c>
      <c r="B556" s="888" t="s">
        <v>1558</v>
      </c>
      <c r="C556" s="888" t="s">
        <v>1378</v>
      </c>
    </row>
    <row r="557" spans="1:6" ht="12.75" customHeight="1">
      <c r="A557" s="888">
        <v>44</v>
      </c>
      <c r="B557" s="888" t="s">
        <v>1118</v>
      </c>
      <c r="C557" s="888" t="s">
        <v>1387</v>
      </c>
      <c r="D557" s="889">
        <v>46049</v>
      </c>
      <c r="E557" s="890">
        <v>0.34962962962962962</v>
      </c>
      <c r="F557" s="890">
        <v>0.75077546296296294</v>
      </c>
    </row>
    <row r="558" spans="1:6" ht="12.75" customHeight="1">
      <c r="A558" s="888" t="s">
        <v>1559</v>
      </c>
      <c r="B558" s="888" t="s">
        <v>1560</v>
      </c>
      <c r="C558" s="888" t="s">
        <v>1466</v>
      </c>
    </row>
    <row r="559" spans="1:6" ht="12.75" customHeight="1">
      <c r="A559" s="888">
        <v>44</v>
      </c>
      <c r="B559" s="888" t="s">
        <v>1118</v>
      </c>
      <c r="C559" s="888" t="s">
        <v>1387</v>
      </c>
      <c r="D559" s="889">
        <v>46050</v>
      </c>
      <c r="E559" s="890">
        <v>0.34984953703703703</v>
      </c>
      <c r="F559" s="890">
        <v>0.75061342592592595</v>
      </c>
    </row>
    <row r="560" spans="1:6" ht="12.75" customHeight="1">
      <c r="A560" s="888" t="s">
        <v>1561</v>
      </c>
      <c r="B560" s="888" t="s">
        <v>1562</v>
      </c>
      <c r="C560" s="888" t="s">
        <v>1378</v>
      </c>
    </row>
    <row r="561" spans="1:6" ht="12.75" customHeight="1">
      <c r="A561" s="888">
        <v>44</v>
      </c>
      <c r="B561" s="888" t="s">
        <v>1118</v>
      </c>
      <c r="C561" s="888" t="s">
        <v>1387</v>
      </c>
      <c r="D561" s="889">
        <v>46051</v>
      </c>
      <c r="E561" s="890">
        <v>0.35120370370370368</v>
      </c>
      <c r="F561" s="890">
        <v>0.75064814814814818</v>
      </c>
    </row>
    <row r="562" spans="1:6" ht="12.75" customHeight="1">
      <c r="A562" s="888" t="s">
        <v>1563</v>
      </c>
      <c r="B562" s="888" t="s">
        <v>1564</v>
      </c>
      <c r="C562" s="888" t="s">
        <v>1288</v>
      </c>
    </row>
    <row r="563" spans="1:6" ht="12.75" customHeight="1">
      <c r="A563" s="888">
        <v>44</v>
      </c>
      <c r="B563" s="888" t="s">
        <v>1118</v>
      </c>
      <c r="C563" s="888" t="s">
        <v>1387</v>
      </c>
      <c r="D563" s="889">
        <v>46052</v>
      </c>
      <c r="E563" s="888" t="s">
        <v>310</v>
      </c>
      <c r="F563" s="888" t="s">
        <v>310</v>
      </c>
    </row>
    <row r="564" spans="1:6" ht="12.75" customHeight="1">
      <c r="A564" s="888">
        <v>44</v>
      </c>
      <c r="B564" s="888" t="s">
        <v>1118</v>
      </c>
      <c r="C564" s="888" t="s">
        <v>1387</v>
      </c>
      <c r="D564" s="889">
        <v>46053</v>
      </c>
      <c r="E564" s="888" t="s">
        <v>310</v>
      </c>
      <c r="F564" s="888" t="s">
        <v>310</v>
      </c>
    </row>
    <row r="565" spans="1:6" ht="12.75" customHeight="1">
      <c r="A565" s="888">
        <v>44</v>
      </c>
      <c r="B565" s="888" t="s">
        <v>1118</v>
      </c>
      <c r="C565" s="888" t="s">
        <v>1387</v>
      </c>
      <c r="D565" s="889">
        <v>46054</v>
      </c>
      <c r="E565" s="888" t="s">
        <v>310</v>
      </c>
      <c r="F565" s="888" t="s">
        <v>310</v>
      </c>
    </row>
    <row r="566" spans="1:6" ht="12.75" customHeight="1">
      <c r="A566" s="888">
        <v>45</v>
      </c>
      <c r="B566" s="888" t="s">
        <v>1119</v>
      </c>
      <c r="C566" s="888" t="s">
        <v>1565</v>
      </c>
      <c r="D566" s="889">
        <v>46023</v>
      </c>
      <c r="E566" s="888" t="s">
        <v>310</v>
      </c>
      <c r="F566" s="888" t="s">
        <v>310</v>
      </c>
    </row>
    <row r="567" spans="1:6" ht="12.75" customHeight="1">
      <c r="A567" s="888">
        <v>45</v>
      </c>
      <c r="B567" s="888" t="s">
        <v>1119</v>
      </c>
      <c r="C567" s="888" t="s">
        <v>1565</v>
      </c>
      <c r="D567" s="889">
        <v>46024</v>
      </c>
      <c r="E567" s="888" t="s">
        <v>310</v>
      </c>
      <c r="F567" s="888" t="s">
        <v>310</v>
      </c>
    </row>
    <row r="568" spans="1:6" ht="12.75" customHeight="1">
      <c r="A568" s="888">
        <v>45</v>
      </c>
      <c r="B568" s="888" t="s">
        <v>1119</v>
      </c>
      <c r="C568" s="888" t="s">
        <v>1565</v>
      </c>
      <c r="D568" s="889">
        <v>46025</v>
      </c>
      <c r="E568" s="888" t="s">
        <v>310</v>
      </c>
      <c r="F568" s="888" t="s">
        <v>310</v>
      </c>
    </row>
    <row r="569" spans="1:6" ht="12.75" customHeight="1">
      <c r="A569" s="888">
        <v>45</v>
      </c>
      <c r="B569" s="888" t="s">
        <v>1119</v>
      </c>
      <c r="C569" s="888" t="s">
        <v>1565</v>
      </c>
      <c r="D569" s="889">
        <v>46026</v>
      </c>
      <c r="E569" s="888" t="s">
        <v>310</v>
      </c>
      <c r="F569" s="888" t="s">
        <v>310</v>
      </c>
    </row>
    <row r="570" spans="1:6" ht="12.75" customHeight="1">
      <c r="A570" s="888">
        <v>45</v>
      </c>
      <c r="B570" s="888" t="s">
        <v>1119</v>
      </c>
      <c r="C570" s="888" t="s">
        <v>1565</v>
      </c>
      <c r="D570" s="889">
        <v>46027</v>
      </c>
      <c r="E570" s="888" t="s">
        <v>310</v>
      </c>
      <c r="F570" s="888" t="s">
        <v>310</v>
      </c>
    </row>
    <row r="571" spans="1:6" ht="12.75" customHeight="1">
      <c r="A571" s="888">
        <v>45</v>
      </c>
      <c r="B571" s="888" t="s">
        <v>1119</v>
      </c>
      <c r="C571" s="888" t="s">
        <v>1565</v>
      </c>
      <c r="D571" s="889">
        <v>46028</v>
      </c>
      <c r="E571" s="888" t="s">
        <v>310</v>
      </c>
      <c r="F571" s="888" t="s">
        <v>310</v>
      </c>
    </row>
    <row r="572" spans="1:6" ht="12.75" customHeight="1">
      <c r="A572" s="888">
        <v>45</v>
      </c>
      <c r="B572" s="888" t="s">
        <v>1119</v>
      </c>
      <c r="C572" s="888" t="s">
        <v>1565</v>
      </c>
      <c r="D572" s="889">
        <v>46029</v>
      </c>
      <c r="E572" s="890">
        <v>0.36107638888888888</v>
      </c>
      <c r="F572" s="890">
        <v>0.36120370370370369</v>
      </c>
    </row>
    <row r="573" spans="1:6" ht="12.75" customHeight="1">
      <c r="A573" s="888" t="s">
        <v>1566</v>
      </c>
      <c r="B573" s="888" t="s">
        <v>1567</v>
      </c>
      <c r="C573" s="888" t="s">
        <v>1259</v>
      </c>
    </row>
    <row r="574" spans="1:6" ht="12.75" customHeight="1">
      <c r="A574" s="888">
        <v>45</v>
      </c>
      <c r="B574" s="888" t="s">
        <v>1119</v>
      </c>
      <c r="C574" s="888" t="s">
        <v>1565</v>
      </c>
      <c r="D574" s="889">
        <v>46030</v>
      </c>
      <c r="E574" s="888" t="s">
        <v>310</v>
      </c>
      <c r="F574" s="888" t="s">
        <v>310</v>
      </c>
    </row>
    <row r="575" spans="1:6" ht="12.75" customHeight="1">
      <c r="A575" s="888">
        <v>45</v>
      </c>
      <c r="B575" s="888" t="s">
        <v>1119</v>
      </c>
      <c r="C575" s="888" t="s">
        <v>1565</v>
      </c>
      <c r="D575" s="889">
        <v>46031</v>
      </c>
      <c r="E575" s="888" t="s">
        <v>310</v>
      </c>
      <c r="F575" s="888" t="s">
        <v>310</v>
      </c>
    </row>
    <row r="576" spans="1:6" ht="12.75" customHeight="1">
      <c r="A576" s="888">
        <v>45</v>
      </c>
      <c r="B576" s="888" t="s">
        <v>1119</v>
      </c>
      <c r="C576" s="888" t="s">
        <v>1565</v>
      </c>
      <c r="D576" s="889">
        <v>46032</v>
      </c>
      <c r="E576" s="888" t="s">
        <v>310</v>
      </c>
      <c r="F576" s="888" t="s">
        <v>310</v>
      </c>
    </row>
    <row r="577" spans="1:6" ht="12.75" customHeight="1">
      <c r="A577" s="888">
        <v>45</v>
      </c>
      <c r="B577" s="888" t="s">
        <v>1119</v>
      </c>
      <c r="C577" s="888" t="s">
        <v>1565</v>
      </c>
      <c r="D577" s="889">
        <v>46033</v>
      </c>
      <c r="E577" s="888" t="s">
        <v>310</v>
      </c>
      <c r="F577" s="888" t="s">
        <v>310</v>
      </c>
    </row>
    <row r="578" spans="1:6" ht="12.75" customHeight="1">
      <c r="A578" s="888">
        <v>45</v>
      </c>
      <c r="B578" s="888" t="s">
        <v>1119</v>
      </c>
      <c r="C578" s="888" t="s">
        <v>1565</v>
      </c>
      <c r="D578" s="889">
        <v>46034</v>
      </c>
      <c r="E578" s="888" t="s">
        <v>310</v>
      </c>
      <c r="F578" s="888" t="s">
        <v>310</v>
      </c>
    </row>
    <row r="579" spans="1:6" ht="12.75" customHeight="1">
      <c r="A579" s="888">
        <v>45</v>
      </c>
      <c r="B579" s="888" t="s">
        <v>1119</v>
      </c>
      <c r="C579" s="888" t="s">
        <v>1565</v>
      </c>
      <c r="D579" s="889">
        <v>46035</v>
      </c>
      <c r="E579" s="888" t="s">
        <v>310</v>
      </c>
      <c r="F579" s="888" t="s">
        <v>310</v>
      </c>
    </row>
    <row r="580" spans="1:6" ht="12.75" customHeight="1">
      <c r="A580" s="888">
        <v>45</v>
      </c>
      <c r="B580" s="888" t="s">
        <v>1119</v>
      </c>
      <c r="C580" s="888" t="s">
        <v>1565</v>
      </c>
      <c r="D580" s="889">
        <v>46036</v>
      </c>
      <c r="E580" s="890">
        <v>0.36701388888888886</v>
      </c>
      <c r="F580" s="890">
        <v>0.36758101851851854</v>
      </c>
    </row>
    <row r="581" spans="1:6" ht="12.75" customHeight="1">
      <c r="A581" s="888" t="s">
        <v>1568</v>
      </c>
      <c r="B581" s="888" t="s">
        <v>1569</v>
      </c>
      <c r="C581" s="888" t="s">
        <v>1570</v>
      </c>
    </row>
    <row r="582" spans="1:6" ht="12.75" customHeight="1">
      <c r="A582" s="888">
        <v>45</v>
      </c>
      <c r="B582" s="888" t="s">
        <v>1119</v>
      </c>
      <c r="C582" s="888" t="s">
        <v>1565</v>
      </c>
      <c r="D582" s="889">
        <v>46037</v>
      </c>
      <c r="E582" s="890">
        <v>0.36259259259259258</v>
      </c>
      <c r="F582" s="890">
        <v>0.3626388888888889</v>
      </c>
    </row>
    <row r="583" spans="1:6" ht="12.75" customHeight="1">
      <c r="A583" s="888" t="s">
        <v>1571</v>
      </c>
      <c r="B583" s="888" t="s">
        <v>1572</v>
      </c>
      <c r="C583" s="888" t="s">
        <v>1259</v>
      </c>
    </row>
    <row r="584" spans="1:6" ht="12.75" customHeight="1">
      <c r="A584" s="888">
        <v>45</v>
      </c>
      <c r="B584" s="888" t="s">
        <v>1119</v>
      </c>
      <c r="C584" s="888" t="s">
        <v>1565</v>
      </c>
      <c r="D584" s="889">
        <v>46038</v>
      </c>
      <c r="E584" s="888" t="s">
        <v>310</v>
      </c>
      <c r="F584" s="888" t="s">
        <v>310</v>
      </c>
    </row>
    <row r="585" spans="1:6" ht="12.75" customHeight="1">
      <c r="A585" s="888">
        <v>45</v>
      </c>
      <c r="B585" s="888" t="s">
        <v>1119</v>
      </c>
      <c r="C585" s="888" t="s">
        <v>1565</v>
      </c>
      <c r="D585" s="889">
        <v>46039</v>
      </c>
      <c r="E585" s="888" t="s">
        <v>310</v>
      </c>
      <c r="F585" s="888" t="s">
        <v>310</v>
      </c>
    </row>
    <row r="586" spans="1:6" ht="12.75" customHeight="1">
      <c r="A586" s="888">
        <v>45</v>
      </c>
      <c r="B586" s="888" t="s">
        <v>1119</v>
      </c>
      <c r="C586" s="888" t="s">
        <v>1565</v>
      </c>
      <c r="D586" s="889">
        <v>46040</v>
      </c>
      <c r="E586" s="888" t="s">
        <v>310</v>
      </c>
      <c r="F586" s="888" t="s">
        <v>310</v>
      </c>
    </row>
    <row r="587" spans="1:6" ht="12.75" customHeight="1">
      <c r="A587" s="888">
        <v>45</v>
      </c>
      <c r="B587" s="888" t="s">
        <v>1119</v>
      </c>
      <c r="C587" s="888" t="s">
        <v>1565</v>
      </c>
      <c r="D587" s="889">
        <v>46041</v>
      </c>
      <c r="E587" s="888" t="s">
        <v>310</v>
      </c>
      <c r="F587" s="888" t="s">
        <v>310</v>
      </c>
    </row>
    <row r="588" spans="1:6" ht="12.75" customHeight="1">
      <c r="A588" s="888">
        <v>45</v>
      </c>
      <c r="B588" s="888" t="s">
        <v>1119</v>
      </c>
      <c r="C588" s="888" t="s">
        <v>1565</v>
      </c>
      <c r="D588" s="889">
        <v>46042</v>
      </c>
      <c r="E588" s="890">
        <v>0.35648148148148145</v>
      </c>
      <c r="F588" s="888" t="s">
        <v>310</v>
      </c>
    </row>
    <row r="589" spans="1:6" ht="12.75" customHeight="1">
      <c r="A589" s="888" t="s">
        <v>1573</v>
      </c>
      <c r="B589" s="888" t="s">
        <v>1258</v>
      </c>
      <c r="C589" s="888" t="s">
        <v>1259</v>
      </c>
    </row>
    <row r="590" spans="1:6" ht="12.75" customHeight="1">
      <c r="A590" s="888">
        <v>45</v>
      </c>
      <c r="B590" s="888" t="s">
        <v>1119</v>
      </c>
      <c r="C590" s="888" t="s">
        <v>1565</v>
      </c>
      <c r="D590" s="889">
        <v>46043</v>
      </c>
      <c r="E590" s="888" t="s">
        <v>310</v>
      </c>
      <c r="F590" s="888" t="s">
        <v>310</v>
      </c>
    </row>
    <row r="591" spans="1:6" ht="12.75" customHeight="1">
      <c r="A591" s="888">
        <v>45</v>
      </c>
      <c r="B591" s="888" t="s">
        <v>1119</v>
      </c>
      <c r="C591" s="888" t="s">
        <v>1565</v>
      </c>
      <c r="D591" s="889">
        <v>46044</v>
      </c>
      <c r="E591" s="888" t="s">
        <v>310</v>
      </c>
      <c r="F591" s="888" t="s">
        <v>310</v>
      </c>
    </row>
    <row r="592" spans="1:6" ht="12.75" customHeight="1">
      <c r="A592" s="888">
        <v>45</v>
      </c>
      <c r="B592" s="888" t="s">
        <v>1119</v>
      </c>
      <c r="C592" s="888" t="s">
        <v>1565</v>
      </c>
      <c r="D592" s="889">
        <v>46045</v>
      </c>
      <c r="E592" s="888" t="s">
        <v>310</v>
      </c>
      <c r="F592" s="888" t="s">
        <v>310</v>
      </c>
    </row>
    <row r="593" spans="1:6" ht="12.75" customHeight="1">
      <c r="A593" s="888">
        <v>45</v>
      </c>
      <c r="B593" s="888" t="s">
        <v>1119</v>
      </c>
      <c r="C593" s="888" t="s">
        <v>1565</v>
      </c>
      <c r="D593" s="889">
        <v>46046</v>
      </c>
      <c r="E593" s="888" t="s">
        <v>310</v>
      </c>
      <c r="F593" s="888" t="s">
        <v>310</v>
      </c>
    </row>
    <row r="594" spans="1:6" ht="12.75" customHeight="1">
      <c r="A594" s="888">
        <v>45</v>
      </c>
      <c r="B594" s="888" t="s">
        <v>1119</v>
      </c>
      <c r="C594" s="888" t="s">
        <v>1565</v>
      </c>
      <c r="D594" s="889">
        <v>46047</v>
      </c>
      <c r="E594" s="888" t="s">
        <v>310</v>
      </c>
      <c r="F594" s="888" t="s">
        <v>310</v>
      </c>
    </row>
    <row r="595" spans="1:6" ht="12.75" customHeight="1">
      <c r="A595" s="888">
        <v>45</v>
      </c>
      <c r="B595" s="888" t="s">
        <v>1119</v>
      </c>
      <c r="C595" s="888" t="s">
        <v>1565</v>
      </c>
      <c r="D595" s="889">
        <v>46048</v>
      </c>
      <c r="E595" s="888" t="s">
        <v>310</v>
      </c>
      <c r="F595" s="888" t="s">
        <v>310</v>
      </c>
    </row>
    <row r="596" spans="1:6" ht="12.75" customHeight="1">
      <c r="A596" s="888">
        <v>45</v>
      </c>
      <c r="B596" s="888" t="s">
        <v>1119</v>
      </c>
      <c r="C596" s="888" t="s">
        <v>1565</v>
      </c>
      <c r="D596" s="889">
        <v>46049</v>
      </c>
      <c r="E596" s="888" t="s">
        <v>310</v>
      </c>
      <c r="F596" s="888" t="s">
        <v>310</v>
      </c>
    </row>
    <row r="597" spans="1:6" ht="12.75" customHeight="1">
      <c r="A597" s="888">
        <v>45</v>
      </c>
      <c r="B597" s="888" t="s">
        <v>1119</v>
      </c>
      <c r="C597" s="888" t="s">
        <v>1565</v>
      </c>
      <c r="D597" s="889">
        <v>46050</v>
      </c>
      <c r="E597" s="888" t="s">
        <v>310</v>
      </c>
      <c r="F597" s="888" t="s">
        <v>310</v>
      </c>
    </row>
    <row r="598" spans="1:6" ht="12.75" customHeight="1">
      <c r="A598" s="888">
        <v>45</v>
      </c>
      <c r="B598" s="888" t="s">
        <v>1119</v>
      </c>
      <c r="C598" s="888" t="s">
        <v>1565</v>
      </c>
      <c r="D598" s="889">
        <v>46051</v>
      </c>
      <c r="E598" s="888" t="s">
        <v>310</v>
      </c>
      <c r="F598" s="888" t="s">
        <v>310</v>
      </c>
    </row>
    <row r="599" spans="1:6" ht="12.75" customHeight="1">
      <c r="A599" s="888">
        <v>45</v>
      </c>
      <c r="B599" s="888" t="s">
        <v>1119</v>
      </c>
      <c r="C599" s="888" t="s">
        <v>1565</v>
      </c>
      <c r="D599" s="889">
        <v>46052</v>
      </c>
      <c r="E599" s="888" t="s">
        <v>310</v>
      </c>
      <c r="F599" s="888" t="s">
        <v>310</v>
      </c>
    </row>
    <row r="600" spans="1:6" ht="12.75" customHeight="1">
      <c r="A600" s="888">
        <v>45</v>
      </c>
      <c r="B600" s="888" t="s">
        <v>1119</v>
      </c>
      <c r="C600" s="888" t="s">
        <v>1565</v>
      </c>
      <c r="D600" s="889">
        <v>46053</v>
      </c>
      <c r="E600" s="888" t="s">
        <v>310</v>
      </c>
      <c r="F600" s="888" t="s">
        <v>310</v>
      </c>
    </row>
    <row r="601" spans="1:6" ht="12.75" customHeight="1">
      <c r="A601" s="888">
        <v>45</v>
      </c>
      <c r="B601" s="888" t="s">
        <v>1119</v>
      </c>
      <c r="C601" s="888" t="s">
        <v>1565</v>
      </c>
      <c r="D601" s="889">
        <v>46054</v>
      </c>
      <c r="E601" s="888" t="s">
        <v>310</v>
      </c>
      <c r="F601" s="888" t="s">
        <v>310</v>
      </c>
    </row>
    <row r="602" spans="1:6" ht="12.75" customHeight="1">
      <c r="A602" s="888">
        <v>46</v>
      </c>
      <c r="B602" s="888" t="s">
        <v>1120</v>
      </c>
      <c r="C602" s="888" t="s">
        <v>1387</v>
      </c>
      <c r="D602" s="889">
        <v>46023</v>
      </c>
      <c r="E602" s="888" t="s">
        <v>310</v>
      </c>
      <c r="F602" s="888" t="s">
        <v>310</v>
      </c>
    </row>
    <row r="603" spans="1:6" ht="12.75" customHeight="1">
      <c r="A603" s="888">
        <v>46</v>
      </c>
      <c r="B603" s="888" t="s">
        <v>1120</v>
      </c>
      <c r="C603" s="888" t="s">
        <v>1387</v>
      </c>
      <c r="D603" s="889">
        <v>46024</v>
      </c>
      <c r="E603" s="888" t="s">
        <v>310</v>
      </c>
      <c r="F603" s="888" t="s">
        <v>310</v>
      </c>
    </row>
    <row r="604" spans="1:6" ht="12.75" customHeight="1">
      <c r="A604" s="888">
        <v>46</v>
      </c>
      <c r="B604" s="888" t="s">
        <v>1120</v>
      </c>
      <c r="C604" s="888" t="s">
        <v>1387</v>
      </c>
      <c r="D604" s="889">
        <v>46025</v>
      </c>
      <c r="E604" s="888" t="s">
        <v>310</v>
      </c>
      <c r="F604" s="888" t="s">
        <v>310</v>
      </c>
    </row>
    <row r="605" spans="1:6" ht="12.75" customHeight="1">
      <c r="A605" s="888">
        <v>46</v>
      </c>
      <c r="B605" s="888" t="s">
        <v>1120</v>
      </c>
      <c r="C605" s="888" t="s">
        <v>1387</v>
      </c>
      <c r="D605" s="889">
        <v>46026</v>
      </c>
      <c r="E605" s="888" t="s">
        <v>310</v>
      </c>
      <c r="F605" s="888" t="s">
        <v>310</v>
      </c>
    </row>
    <row r="606" spans="1:6" ht="12.75" customHeight="1">
      <c r="A606" s="888">
        <v>46</v>
      </c>
      <c r="B606" s="888" t="s">
        <v>1120</v>
      </c>
      <c r="C606" s="888" t="s">
        <v>1387</v>
      </c>
      <c r="D606" s="889">
        <v>46027</v>
      </c>
      <c r="E606" s="890">
        <v>0.37216435185185187</v>
      </c>
      <c r="F606" s="890">
        <v>0.75532407407407409</v>
      </c>
    </row>
    <row r="607" spans="1:6" ht="12.75" customHeight="1">
      <c r="A607" s="888" t="s">
        <v>1574</v>
      </c>
      <c r="B607" s="888" t="s">
        <v>1575</v>
      </c>
      <c r="C607" s="888" t="s">
        <v>1576</v>
      </c>
    </row>
    <row r="608" spans="1:6" ht="12.75" customHeight="1">
      <c r="A608" s="888">
        <v>46</v>
      </c>
      <c r="B608" s="888" t="s">
        <v>1120</v>
      </c>
      <c r="C608" s="888" t="s">
        <v>1387</v>
      </c>
      <c r="D608" s="889">
        <v>46028</v>
      </c>
      <c r="E608" s="890">
        <v>0.75298611111111113</v>
      </c>
      <c r="F608" s="888" t="s">
        <v>310</v>
      </c>
    </row>
    <row r="609" spans="1:6" ht="12.75" customHeight="1">
      <c r="A609" s="888" t="s">
        <v>1577</v>
      </c>
      <c r="B609" s="888" t="s">
        <v>1258</v>
      </c>
      <c r="C609" s="888" t="s">
        <v>1259</v>
      </c>
    </row>
    <row r="610" spans="1:6" ht="12.75" customHeight="1">
      <c r="A610" s="888">
        <v>46</v>
      </c>
      <c r="B610" s="888" t="s">
        <v>1120</v>
      </c>
      <c r="C610" s="888" t="s">
        <v>1387</v>
      </c>
      <c r="D610" s="889">
        <v>46029</v>
      </c>
      <c r="E610" s="890">
        <v>0.37384259259259262</v>
      </c>
      <c r="F610" s="890">
        <v>0.7557638888888889</v>
      </c>
    </row>
    <row r="611" spans="1:6" ht="12.75" customHeight="1">
      <c r="A611" s="888" t="s">
        <v>1578</v>
      </c>
      <c r="B611" s="888" t="s">
        <v>1579</v>
      </c>
      <c r="C611" s="888" t="s">
        <v>1580</v>
      </c>
    </row>
    <row r="612" spans="1:6" ht="12.75" customHeight="1">
      <c r="A612" s="888">
        <v>46</v>
      </c>
      <c r="B612" s="888" t="s">
        <v>1120</v>
      </c>
      <c r="C612" s="888" t="s">
        <v>1387</v>
      </c>
      <c r="D612" s="889">
        <v>46030</v>
      </c>
      <c r="E612" s="888" t="s">
        <v>310</v>
      </c>
      <c r="F612" s="888" t="s">
        <v>310</v>
      </c>
    </row>
    <row r="613" spans="1:6" ht="12.75" customHeight="1">
      <c r="A613" s="888">
        <v>46</v>
      </c>
      <c r="B613" s="888" t="s">
        <v>1120</v>
      </c>
      <c r="C613" s="888" t="s">
        <v>1387</v>
      </c>
      <c r="D613" s="889">
        <v>46031</v>
      </c>
      <c r="E613" s="888" t="s">
        <v>310</v>
      </c>
      <c r="F613" s="888" t="s">
        <v>310</v>
      </c>
    </row>
    <row r="614" spans="1:6" ht="12.75" customHeight="1">
      <c r="A614" s="888">
        <v>46</v>
      </c>
      <c r="B614" s="888" t="s">
        <v>1120</v>
      </c>
      <c r="C614" s="888" t="s">
        <v>1387</v>
      </c>
      <c r="D614" s="889">
        <v>46032</v>
      </c>
      <c r="E614" s="888" t="s">
        <v>310</v>
      </c>
      <c r="F614" s="888" t="s">
        <v>310</v>
      </c>
    </row>
    <row r="615" spans="1:6" ht="12.75" customHeight="1">
      <c r="A615" s="888">
        <v>46</v>
      </c>
      <c r="B615" s="888" t="s">
        <v>1120</v>
      </c>
      <c r="C615" s="888" t="s">
        <v>1387</v>
      </c>
      <c r="D615" s="889">
        <v>46033</v>
      </c>
      <c r="E615" s="888" t="s">
        <v>310</v>
      </c>
      <c r="F615" s="888" t="s">
        <v>310</v>
      </c>
    </row>
    <row r="616" spans="1:6" ht="12.75" customHeight="1">
      <c r="A616" s="888">
        <v>46</v>
      </c>
      <c r="B616" s="888" t="s">
        <v>1120</v>
      </c>
      <c r="C616" s="888" t="s">
        <v>1387</v>
      </c>
      <c r="D616" s="889">
        <v>46034</v>
      </c>
      <c r="E616" s="890">
        <v>0.3682523148148148</v>
      </c>
      <c r="F616" s="890">
        <v>0.75604166666666661</v>
      </c>
    </row>
    <row r="617" spans="1:6" ht="12.75" customHeight="1">
      <c r="A617" s="888" t="s">
        <v>1581</v>
      </c>
      <c r="B617" s="888" t="s">
        <v>1582</v>
      </c>
      <c r="C617" s="888" t="s">
        <v>1410</v>
      </c>
    </row>
    <row r="618" spans="1:6" ht="12.75" customHeight="1">
      <c r="A618" s="888">
        <v>46</v>
      </c>
      <c r="B618" s="888" t="s">
        <v>1120</v>
      </c>
      <c r="C618" s="888" t="s">
        <v>1387</v>
      </c>
      <c r="D618" s="889">
        <v>46035</v>
      </c>
      <c r="E618" s="890">
        <v>0.37640046296296298</v>
      </c>
      <c r="F618" s="890">
        <v>0.7565277777777778</v>
      </c>
    </row>
    <row r="619" spans="1:6" ht="12.75" customHeight="1">
      <c r="A619" s="888" t="s">
        <v>1583</v>
      </c>
      <c r="B619" s="888" t="s">
        <v>1584</v>
      </c>
      <c r="C619" s="888" t="s">
        <v>1585</v>
      </c>
    </row>
    <row r="620" spans="1:6" ht="12.75" customHeight="1">
      <c r="A620" s="888">
        <v>46</v>
      </c>
      <c r="B620" s="888" t="s">
        <v>1120</v>
      </c>
      <c r="C620" s="888" t="s">
        <v>1387</v>
      </c>
      <c r="D620" s="889">
        <v>46036</v>
      </c>
      <c r="E620" s="890">
        <v>0.37936342592592592</v>
      </c>
      <c r="F620" s="890">
        <v>0.75548611111111108</v>
      </c>
    </row>
    <row r="621" spans="1:6" ht="12.75" customHeight="1">
      <c r="A621" s="888" t="s">
        <v>1586</v>
      </c>
      <c r="B621" s="888" t="s">
        <v>1587</v>
      </c>
      <c r="C621" s="888" t="s">
        <v>1308</v>
      </c>
    </row>
    <row r="622" spans="1:6" ht="12.75" customHeight="1">
      <c r="A622" s="888">
        <v>46</v>
      </c>
      <c r="B622" s="888" t="s">
        <v>1120</v>
      </c>
      <c r="C622" s="888" t="s">
        <v>1387</v>
      </c>
      <c r="D622" s="889">
        <v>46037</v>
      </c>
      <c r="E622" s="890">
        <v>0.38697916666666665</v>
      </c>
      <c r="F622" s="890">
        <v>0.75783564814814819</v>
      </c>
    </row>
    <row r="623" spans="1:6" ht="12.75" customHeight="1">
      <c r="A623" s="888" t="s">
        <v>1588</v>
      </c>
      <c r="B623" s="888" t="s">
        <v>1589</v>
      </c>
      <c r="C623" s="888" t="s">
        <v>1590</v>
      </c>
    </row>
    <row r="624" spans="1:6" ht="12.75" customHeight="1">
      <c r="A624" s="888">
        <v>46</v>
      </c>
      <c r="B624" s="888" t="s">
        <v>1120</v>
      </c>
      <c r="C624" s="888" t="s">
        <v>1387</v>
      </c>
      <c r="D624" s="889">
        <v>46038</v>
      </c>
      <c r="E624" s="888" t="s">
        <v>310</v>
      </c>
      <c r="F624" s="888" t="s">
        <v>310</v>
      </c>
    </row>
    <row r="625" spans="1:6" ht="12.75" customHeight="1">
      <c r="A625" s="888">
        <v>46</v>
      </c>
      <c r="B625" s="888" t="s">
        <v>1120</v>
      </c>
      <c r="C625" s="888" t="s">
        <v>1387</v>
      </c>
      <c r="D625" s="889">
        <v>46039</v>
      </c>
      <c r="E625" s="888" t="s">
        <v>310</v>
      </c>
      <c r="F625" s="888" t="s">
        <v>310</v>
      </c>
    </row>
    <row r="626" spans="1:6" ht="12.75" customHeight="1">
      <c r="A626" s="888">
        <v>46</v>
      </c>
      <c r="B626" s="888" t="s">
        <v>1120</v>
      </c>
      <c r="C626" s="888" t="s">
        <v>1387</v>
      </c>
      <c r="D626" s="889">
        <v>46040</v>
      </c>
      <c r="E626" s="888" t="s">
        <v>310</v>
      </c>
      <c r="F626" s="888" t="s">
        <v>310</v>
      </c>
    </row>
    <row r="627" spans="1:6" ht="12.75" customHeight="1">
      <c r="A627" s="888">
        <v>46</v>
      </c>
      <c r="B627" s="888" t="s">
        <v>1120</v>
      </c>
      <c r="C627" s="888" t="s">
        <v>1387</v>
      </c>
      <c r="D627" s="889">
        <v>46041</v>
      </c>
      <c r="E627" s="890">
        <v>0.37496527777777777</v>
      </c>
      <c r="F627" s="890">
        <v>0.75467592592592592</v>
      </c>
    </row>
    <row r="628" spans="1:6" ht="12.75" customHeight="1">
      <c r="A628" s="888" t="s">
        <v>1591</v>
      </c>
      <c r="B628" s="888" t="s">
        <v>1592</v>
      </c>
      <c r="C628" s="888" t="s">
        <v>1585</v>
      </c>
    </row>
    <row r="629" spans="1:6" ht="12.75" customHeight="1">
      <c r="A629" s="888">
        <v>46</v>
      </c>
      <c r="B629" s="888" t="s">
        <v>1120</v>
      </c>
      <c r="C629" s="888" t="s">
        <v>1387</v>
      </c>
      <c r="D629" s="889">
        <v>46042</v>
      </c>
      <c r="E629" s="890">
        <v>0.36815972222222221</v>
      </c>
      <c r="F629" s="890">
        <v>0.75368055555555558</v>
      </c>
    </row>
    <row r="630" spans="1:6" ht="12.75" customHeight="1">
      <c r="A630" s="888" t="s">
        <v>1593</v>
      </c>
      <c r="B630" s="888" t="s">
        <v>1594</v>
      </c>
      <c r="C630" s="888" t="s">
        <v>1595</v>
      </c>
    </row>
    <row r="631" spans="1:6" ht="12.75" customHeight="1">
      <c r="A631" s="888">
        <v>46</v>
      </c>
      <c r="B631" s="888" t="s">
        <v>1120</v>
      </c>
      <c r="C631" s="888" t="s">
        <v>1387</v>
      </c>
      <c r="D631" s="889">
        <v>46043</v>
      </c>
      <c r="E631" s="890">
        <v>0.36760416666666668</v>
      </c>
      <c r="F631" s="890">
        <v>0.75370370370370365</v>
      </c>
    </row>
    <row r="632" spans="1:6" ht="12.75" customHeight="1">
      <c r="A632" s="888" t="s">
        <v>1596</v>
      </c>
      <c r="B632" s="888" t="s">
        <v>1597</v>
      </c>
      <c r="C632" s="888" t="s">
        <v>1598</v>
      </c>
    </row>
    <row r="633" spans="1:6" ht="12.75" customHeight="1">
      <c r="A633" s="888">
        <v>46</v>
      </c>
      <c r="B633" s="888" t="s">
        <v>1120</v>
      </c>
      <c r="C633" s="888" t="s">
        <v>1387</v>
      </c>
      <c r="D633" s="889">
        <v>46044</v>
      </c>
      <c r="E633" s="890">
        <v>0.36965277777777777</v>
      </c>
      <c r="F633" s="890">
        <v>0.76521990740740742</v>
      </c>
    </row>
    <row r="634" spans="1:6" ht="12.75" customHeight="1">
      <c r="A634" s="888" t="s">
        <v>1599</v>
      </c>
      <c r="B634" s="888" t="s">
        <v>1600</v>
      </c>
      <c r="C634" s="888" t="s">
        <v>1404</v>
      </c>
    </row>
    <row r="635" spans="1:6" ht="12.75" customHeight="1">
      <c r="A635" s="888">
        <v>46</v>
      </c>
      <c r="B635" s="888" t="s">
        <v>1120</v>
      </c>
      <c r="C635" s="888" t="s">
        <v>1387</v>
      </c>
      <c r="D635" s="889">
        <v>46045</v>
      </c>
      <c r="E635" s="888" t="s">
        <v>310</v>
      </c>
      <c r="F635" s="888" t="s">
        <v>310</v>
      </c>
    </row>
    <row r="636" spans="1:6" ht="12.75" customHeight="1">
      <c r="A636" s="888">
        <v>46</v>
      </c>
      <c r="B636" s="888" t="s">
        <v>1120</v>
      </c>
      <c r="C636" s="888" t="s">
        <v>1387</v>
      </c>
      <c r="D636" s="889">
        <v>46046</v>
      </c>
      <c r="E636" s="888" t="s">
        <v>310</v>
      </c>
      <c r="F636" s="888" t="s">
        <v>310</v>
      </c>
    </row>
    <row r="637" spans="1:6" ht="12.75" customHeight="1">
      <c r="A637" s="888">
        <v>46</v>
      </c>
      <c r="B637" s="888" t="s">
        <v>1120</v>
      </c>
      <c r="C637" s="888" t="s">
        <v>1387</v>
      </c>
      <c r="D637" s="889">
        <v>46047</v>
      </c>
      <c r="E637" s="888" t="s">
        <v>310</v>
      </c>
      <c r="F637" s="888" t="s">
        <v>310</v>
      </c>
    </row>
    <row r="638" spans="1:6" ht="12.75" customHeight="1">
      <c r="A638" s="888">
        <v>46</v>
      </c>
      <c r="B638" s="888" t="s">
        <v>1120</v>
      </c>
      <c r="C638" s="888" t="s">
        <v>1387</v>
      </c>
      <c r="D638" s="889">
        <v>46048</v>
      </c>
      <c r="E638" s="890">
        <v>0.38032407407407409</v>
      </c>
      <c r="F638" s="890">
        <v>0.75394675925925925</v>
      </c>
    </row>
    <row r="639" spans="1:6" ht="12.75" customHeight="1">
      <c r="A639" s="888" t="s">
        <v>1601</v>
      </c>
      <c r="B639" s="888" t="s">
        <v>1602</v>
      </c>
      <c r="C639" s="888" t="s">
        <v>1326</v>
      </c>
    </row>
    <row r="640" spans="1:6" ht="12.75" customHeight="1">
      <c r="A640" s="888">
        <v>46</v>
      </c>
      <c r="B640" s="888" t="s">
        <v>1120</v>
      </c>
      <c r="C640" s="888" t="s">
        <v>1387</v>
      </c>
      <c r="D640" s="889">
        <v>46049</v>
      </c>
      <c r="E640" s="890">
        <v>0.37011574074074072</v>
      </c>
      <c r="F640" s="890">
        <v>0.77505787037037033</v>
      </c>
    </row>
    <row r="641" spans="1:6" ht="12.75" customHeight="1">
      <c r="A641" s="888" t="s">
        <v>1603</v>
      </c>
      <c r="B641" s="888" t="s">
        <v>1604</v>
      </c>
      <c r="C641" s="888" t="s">
        <v>1356</v>
      </c>
    </row>
    <row r="642" spans="1:6" ht="12.75" customHeight="1">
      <c r="A642" s="888">
        <v>46</v>
      </c>
      <c r="B642" s="888" t="s">
        <v>1120</v>
      </c>
      <c r="C642" s="888" t="s">
        <v>1387</v>
      </c>
      <c r="D642" s="889">
        <v>46050</v>
      </c>
      <c r="E642" s="890">
        <v>0.3772800925925926</v>
      </c>
      <c r="F642" s="890">
        <v>0.7584953703703704</v>
      </c>
    </row>
    <row r="643" spans="1:6" ht="12.75" customHeight="1">
      <c r="A643" s="888" t="s">
        <v>1605</v>
      </c>
      <c r="B643" s="888" t="s">
        <v>1606</v>
      </c>
      <c r="C643" s="888" t="s">
        <v>1607</v>
      </c>
    </row>
    <row r="644" spans="1:6" ht="12.75" customHeight="1">
      <c r="A644" s="888">
        <v>46</v>
      </c>
      <c r="B644" s="888" t="s">
        <v>1120</v>
      </c>
      <c r="C644" s="888" t="s">
        <v>1387</v>
      </c>
      <c r="D644" s="889">
        <v>46051</v>
      </c>
      <c r="E644" s="890">
        <v>0.38399305555555557</v>
      </c>
      <c r="F644" s="890">
        <v>0.76094907407407408</v>
      </c>
    </row>
    <row r="645" spans="1:6" ht="12.75" customHeight="1">
      <c r="A645" s="888" t="s">
        <v>1608</v>
      </c>
      <c r="B645" s="888" t="s">
        <v>1609</v>
      </c>
      <c r="C645" s="888" t="s">
        <v>1610</v>
      </c>
    </row>
    <row r="646" spans="1:6" ht="12.75" customHeight="1">
      <c r="A646" s="888">
        <v>46</v>
      </c>
      <c r="B646" s="888" t="s">
        <v>1120</v>
      </c>
      <c r="C646" s="888" t="s">
        <v>1387</v>
      </c>
      <c r="D646" s="889">
        <v>46052</v>
      </c>
      <c r="E646" s="888" t="s">
        <v>310</v>
      </c>
      <c r="F646" s="888" t="s">
        <v>310</v>
      </c>
    </row>
    <row r="647" spans="1:6" ht="12.75" customHeight="1">
      <c r="A647" s="888">
        <v>46</v>
      </c>
      <c r="B647" s="888" t="s">
        <v>1120</v>
      </c>
      <c r="C647" s="888" t="s">
        <v>1387</v>
      </c>
      <c r="D647" s="889">
        <v>46053</v>
      </c>
      <c r="E647" s="888" t="s">
        <v>310</v>
      </c>
      <c r="F647" s="888" t="s">
        <v>310</v>
      </c>
    </row>
    <row r="648" spans="1:6" ht="12.75" customHeight="1">
      <c r="A648" s="888">
        <v>46</v>
      </c>
      <c r="B648" s="888" t="s">
        <v>1120</v>
      </c>
      <c r="C648" s="888" t="s">
        <v>1387</v>
      </c>
      <c r="D648" s="889">
        <v>46054</v>
      </c>
      <c r="E648" s="888" t="s">
        <v>310</v>
      </c>
      <c r="F648" s="888" t="s">
        <v>310</v>
      </c>
    </row>
    <row r="649" spans="1:6" ht="12.75" customHeight="1">
      <c r="A649" s="888">
        <v>50</v>
      </c>
      <c r="B649" s="888" t="s">
        <v>1121</v>
      </c>
      <c r="C649" s="888" t="s">
        <v>1387</v>
      </c>
      <c r="D649" s="889">
        <v>46023</v>
      </c>
      <c r="E649" s="888" t="s">
        <v>310</v>
      </c>
      <c r="F649" s="888" t="s">
        <v>310</v>
      </c>
    </row>
    <row r="650" spans="1:6" ht="12.75" customHeight="1">
      <c r="A650" s="888">
        <v>50</v>
      </c>
      <c r="B650" s="888" t="s">
        <v>1121</v>
      </c>
      <c r="C650" s="888" t="s">
        <v>1387</v>
      </c>
      <c r="D650" s="889">
        <v>46024</v>
      </c>
      <c r="E650" s="888" t="s">
        <v>310</v>
      </c>
      <c r="F650" s="888" t="s">
        <v>310</v>
      </c>
    </row>
    <row r="651" spans="1:6" ht="12.75" customHeight="1">
      <c r="A651" s="888">
        <v>50</v>
      </c>
      <c r="B651" s="888" t="s">
        <v>1121</v>
      </c>
      <c r="C651" s="888" t="s">
        <v>1387</v>
      </c>
      <c r="D651" s="889">
        <v>46025</v>
      </c>
      <c r="E651" s="888" t="s">
        <v>310</v>
      </c>
      <c r="F651" s="888" t="s">
        <v>310</v>
      </c>
    </row>
    <row r="652" spans="1:6" ht="12.75" customHeight="1">
      <c r="A652" s="888">
        <v>50</v>
      </c>
      <c r="B652" s="888" t="s">
        <v>1121</v>
      </c>
      <c r="C652" s="888" t="s">
        <v>1387</v>
      </c>
      <c r="D652" s="889">
        <v>46026</v>
      </c>
      <c r="E652" s="888" t="s">
        <v>310</v>
      </c>
      <c r="F652" s="888" t="s">
        <v>310</v>
      </c>
    </row>
    <row r="653" spans="1:6" ht="12.75" customHeight="1">
      <c r="A653" s="888">
        <v>50</v>
      </c>
      <c r="B653" s="888" t="s">
        <v>1121</v>
      </c>
      <c r="C653" s="888" t="s">
        <v>1387</v>
      </c>
      <c r="D653" s="889">
        <v>46027</v>
      </c>
      <c r="E653" s="890">
        <v>0.35481481481481481</v>
      </c>
      <c r="F653" s="890">
        <v>0.76619212962962968</v>
      </c>
    </row>
    <row r="654" spans="1:6" ht="12.75" customHeight="1">
      <c r="A654" s="888" t="s">
        <v>1611</v>
      </c>
      <c r="B654" s="888" t="s">
        <v>1612</v>
      </c>
      <c r="C654" s="888" t="s">
        <v>1613</v>
      </c>
    </row>
    <row r="655" spans="1:6" ht="12.75" customHeight="1">
      <c r="A655" s="888">
        <v>50</v>
      </c>
      <c r="B655" s="888" t="s">
        <v>1121</v>
      </c>
      <c r="C655" s="888" t="s">
        <v>1387</v>
      </c>
      <c r="D655" s="889">
        <v>46028</v>
      </c>
      <c r="E655" s="890">
        <v>0.35473379629629631</v>
      </c>
      <c r="F655" s="890">
        <v>0.75809027777777782</v>
      </c>
    </row>
    <row r="656" spans="1:6" ht="12.75" customHeight="1">
      <c r="A656" s="888" t="s">
        <v>1614</v>
      </c>
      <c r="B656" s="888" t="s">
        <v>1615</v>
      </c>
      <c r="C656" s="888" t="s">
        <v>1363</v>
      </c>
    </row>
    <row r="657" spans="1:6" ht="12.75" customHeight="1">
      <c r="A657" s="888">
        <v>50</v>
      </c>
      <c r="B657" s="888" t="s">
        <v>1121</v>
      </c>
      <c r="C657" s="888" t="s">
        <v>1387</v>
      </c>
      <c r="D657" s="889">
        <v>46029</v>
      </c>
      <c r="E657" s="890">
        <v>0.35340277777777779</v>
      </c>
      <c r="F657" s="890">
        <v>0.75326388888888884</v>
      </c>
    </row>
    <row r="658" spans="1:6" ht="12.75" customHeight="1">
      <c r="A658" s="888" t="s">
        <v>1616</v>
      </c>
      <c r="B658" s="888" t="s">
        <v>1617</v>
      </c>
      <c r="C658" s="888" t="s">
        <v>1526</v>
      </c>
    </row>
    <row r="659" spans="1:6" ht="12.75" customHeight="1">
      <c r="A659" s="888">
        <v>50</v>
      </c>
      <c r="B659" s="888" t="s">
        <v>1121</v>
      </c>
      <c r="C659" s="888" t="s">
        <v>1387</v>
      </c>
      <c r="D659" s="889">
        <v>46030</v>
      </c>
      <c r="E659" s="890">
        <v>0.35493055555555558</v>
      </c>
      <c r="F659" s="890">
        <v>0.75283564814814818</v>
      </c>
    </row>
    <row r="660" spans="1:6" ht="12.75" customHeight="1">
      <c r="A660" s="888" t="s">
        <v>1618</v>
      </c>
      <c r="B660" s="888" t="s">
        <v>1619</v>
      </c>
      <c r="C660" s="888" t="s">
        <v>1457</v>
      </c>
    </row>
    <row r="661" spans="1:6" ht="12.75" customHeight="1">
      <c r="A661" s="888">
        <v>50</v>
      </c>
      <c r="B661" s="888" t="s">
        <v>1121</v>
      </c>
      <c r="C661" s="888" t="s">
        <v>1387</v>
      </c>
      <c r="D661" s="889">
        <v>46031</v>
      </c>
      <c r="E661" s="888" t="s">
        <v>310</v>
      </c>
      <c r="F661" s="888" t="s">
        <v>310</v>
      </c>
    </row>
    <row r="662" spans="1:6" ht="12.75" customHeight="1">
      <c r="A662" s="888">
        <v>50</v>
      </c>
      <c r="B662" s="888" t="s">
        <v>1121</v>
      </c>
      <c r="C662" s="888" t="s">
        <v>1387</v>
      </c>
      <c r="D662" s="889">
        <v>46032</v>
      </c>
      <c r="E662" s="888" t="s">
        <v>310</v>
      </c>
      <c r="F662" s="888" t="s">
        <v>310</v>
      </c>
    </row>
    <row r="663" spans="1:6" ht="12.75" customHeight="1">
      <c r="A663" s="888">
        <v>50</v>
      </c>
      <c r="B663" s="888" t="s">
        <v>1121</v>
      </c>
      <c r="C663" s="888" t="s">
        <v>1387</v>
      </c>
      <c r="D663" s="889">
        <v>46033</v>
      </c>
      <c r="E663" s="888" t="s">
        <v>310</v>
      </c>
      <c r="F663" s="888" t="s">
        <v>310</v>
      </c>
    </row>
    <row r="664" spans="1:6" ht="12.75" customHeight="1">
      <c r="A664" s="888">
        <v>50</v>
      </c>
      <c r="B664" s="888" t="s">
        <v>1121</v>
      </c>
      <c r="C664" s="888" t="s">
        <v>1387</v>
      </c>
      <c r="D664" s="889">
        <v>46034</v>
      </c>
      <c r="E664" s="890">
        <v>0.35379629629629628</v>
      </c>
      <c r="F664" s="890">
        <v>0.75146990740740738</v>
      </c>
    </row>
    <row r="665" spans="1:6" ht="12.75" customHeight="1">
      <c r="A665" s="888" t="s">
        <v>1620</v>
      </c>
      <c r="B665" s="888" t="s">
        <v>1621</v>
      </c>
      <c r="C665" s="888" t="s">
        <v>1457</v>
      </c>
    </row>
    <row r="666" spans="1:6" ht="12.75" customHeight="1">
      <c r="A666" s="888">
        <v>50</v>
      </c>
      <c r="B666" s="888" t="s">
        <v>1121</v>
      </c>
      <c r="C666" s="888" t="s">
        <v>1387</v>
      </c>
      <c r="D666" s="889">
        <v>46035</v>
      </c>
      <c r="E666" s="890">
        <v>0.35243055555555558</v>
      </c>
      <c r="F666" s="890">
        <v>0.75488425925925928</v>
      </c>
    </row>
    <row r="667" spans="1:6" ht="12.75" customHeight="1">
      <c r="A667" s="888" t="s">
        <v>1622</v>
      </c>
      <c r="B667" s="888" t="s">
        <v>1623</v>
      </c>
      <c r="C667" s="888" t="s">
        <v>1624</v>
      </c>
    </row>
    <row r="668" spans="1:6" ht="12.75" customHeight="1">
      <c r="A668" s="888">
        <v>50</v>
      </c>
      <c r="B668" s="888" t="s">
        <v>1121</v>
      </c>
      <c r="C668" s="888" t="s">
        <v>1387</v>
      </c>
      <c r="D668" s="889">
        <v>46036</v>
      </c>
      <c r="E668" s="890">
        <v>0.35442129629629632</v>
      </c>
      <c r="F668" s="890">
        <v>0.75199074074074079</v>
      </c>
    </row>
    <row r="669" spans="1:6" ht="12.75" customHeight="1">
      <c r="A669" s="888" t="s">
        <v>1625</v>
      </c>
      <c r="B669" s="888" t="s">
        <v>1626</v>
      </c>
      <c r="C669" s="888" t="s">
        <v>1457</v>
      </c>
    </row>
    <row r="670" spans="1:6" ht="12.75" customHeight="1">
      <c r="A670" s="888">
        <v>50</v>
      </c>
      <c r="B670" s="888" t="s">
        <v>1121</v>
      </c>
      <c r="C670" s="888" t="s">
        <v>1387</v>
      </c>
      <c r="D670" s="889">
        <v>46037</v>
      </c>
      <c r="E670" s="890">
        <v>0.35346064814814815</v>
      </c>
      <c r="F670" s="890">
        <v>0.75320601851851854</v>
      </c>
    </row>
    <row r="671" spans="1:6" ht="12.75" customHeight="1">
      <c r="A671" s="888" t="s">
        <v>1627</v>
      </c>
      <c r="B671" s="888" t="s">
        <v>1628</v>
      </c>
      <c r="C671" s="888" t="s">
        <v>1526</v>
      </c>
    </row>
    <row r="672" spans="1:6" ht="12.75" customHeight="1">
      <c r="A672" s="888">
        <v>50</v>
      </c>
      <c r="B672" s="888" t="s">
        <v>1121</v>
      </c>
      <c r="C672" s="888" t="s">
        <v>1387</v>
      </c>
      <c r="D672" s="889">
        <v>46038</v>
      </c>
      <c r="E672" s="888" t="s">
        <v>310</v>
      </c>
      <c r="F672" s="888" t="s">
        <v>310</v>
      </c>
    </row>
    <row r="673" spans="1:6" ht="12.75" customHeight="1">
      <c r="A673" s="888">
        <v>50</v>
      </c>
      <c r="B673" s="888" t="s">
        <v>1121</v>
      </c>
      <c r="C673" s="888" t="s">
        <v>1387</v>
      </c>
      <c r="D673" s="889">
        <v>46039</v>
      </c>
      <c r="E673" s="888" t="s">
        <v>310</v>
      </c>
      <c r="F673" s="888" t="s">
        <v>310</v>
      </c>
    </row>
    <row r="674" spans="1:6" ht="12.75" customHeight="1">
      <c r="A674" s="888">
        <v>50</v>
      </c>
      <c r="B674" s="888" t="s">
        <v>1121</v>
      </c>
      <c r="C674" s="888" t="s">
        <v>1387</v>
      </c>
      <c r="D674" s="889">
        <v>46040</v>
      </c>
      <c r="E674" s="888" t="s">
        <v>310</v>
      </c>
      <c r="F674" s="888" t="s">
        <v>310</v>
      </c>
    </row>
    <row r="675" spans="1:6" ht="12.75" customHeight="1">
      <c r="A675" s="888">
        <v>50</v>
      </c>
      <c r="B675" s="888" t="s">
        <v>1121</v>
      </c>
      <c r="C675" s="888" t="s">
        <v>1387</v>
      </c>
      <c r="D675" s="889">
        <v>46041</v>
      </c>
      <c r="E675" s="890">
        <v>0.35412037037037036</v>
      </c>
      <c r="F675" s="890">
        <v>0.75453703703703701</v>
      </c>
    </row>
    <row r="676" spans="1:6" ht="12.75" customHeight="1">
      <c r="A676" s="888" t="s">
        <v>1629</v>
      </c>
      <c r="B676" s="888" t="s">
        <v>1630</v>
      </c>
      <c r="C676" s="888" t="s">
        <v>1378</v>
      </c>
    </row>
    <row r="677" spans="1:6" ht="12.75" customHeight="1">
      <c r="A677" s="888">
        <v>50</v>
      </c>
      <c r="B677" s="888" t="s">
        <v>1121</v>
      </c>
      <c r="C677" s="888" t="s">
        <v>1387</v>
      </c>
      <c r="D677" s="889">
        <v>46042</v>
      </c>
      <c r="E677" s="890">
        <v>0.35730324074074077</v>
      </c>
      <c r="F677" s="890">
        <v>0.75568287037037041</v>
      </c>
    </row>
    <row r="678" spans="1:6" ht="12.75" customHeight="1">
      <c r="A678" s="888" t="s">
        <v>1631</v>
      </c>
      <c r="B678" s="888" t="s">
        <v>1632</v>
      </c>
      <c r="C678" s="888" t="s">
        <v>1383</v>
      </c>
    </row>
    <row r="679" spans="1:6" ht="12.75" customHeight="1">
      <c r="A679" s="888">
        <v>50</v>
      </c>
      <c r="B679" s="888" t="s">
        <v>1121</v>
      </c>
      <c r="C679" s="888" t="s">
        <v>1387</v>
      </c>
      <c r="D679" s="889">
        <v>46043</v>
      </c>
      <c r="E679" s="890">
        <v>0.35041666666666665</v>
      </c>
      <c r="F679" s="890">
        <v>0.75260416666666663</v>
      </c>
    </row>
    <row r="680" spans="1:6" ht="12.75" customHeight="1">
      <c r="A680" s="888" t="s">
        <v>1633</v>
      </c>
      <c r="B680" s="888" t="s">
        <v>1634</v>
      </c>
      <c r="C680" s="888" t="s">
        <v>1538</v>
      </c>
    </row>
    <row r="681" spans="1:6" ht="12.75" customHeight="1">
      <c r="A681" s="888">
        <v>50</v>
      </c>
      <c r="B681" s="888" t="s">
        <v>1121</v>
      </c>
      <c r="C681" s="888" t="s">
        <v>1387</v>
      </c>
      <c r="D681" s="889">
        <v>46044</v>
      </c>
      <c r="E681" s="890">
        <v>0.35458333333333331</v>
      </c>
      <c r="F681" s="890">
        <v>0.75364583333333335</v>
      </c>
    </row>
    <row r="682" spans="1:6" ht="12.75" customHeight="1">
      <c r="A682" s="888" t="s">
        <v>1635</v>
      </c>
      <c r="B682" s="888" t="s">
        <v>1636</v>
      </c>
      <c r="C682" s="888" t="s">
        <v>1288</v>
      </c>
    </row>
    <row r="683" spans="1:6" ht="12.75" customHeight="1">
      <c r="A683" s="888">
        <v>50</v>
      </c>
      <c r="B683" s="888" t="s">
        <v>1121</v>
      </c>
      <c r="C683" s="888" t="s">
        <v>1387</v>
      </c>
      <c r="D683" s="889">
        <v>46045</v>
      </c>
      <c r="E683" s="888" t="s">
        <v>310</v>
      </c>
      <c r="F683" s="888" t="s">
        <v>310</v>
      </c>
    </row>
    <row r="684" spans="1:6" ht="12.75" customHeight="1">
      <c r="A684" s="888">
        <v>50</v>
      </c>
      <c r="B684" s="888" t="s">
        <v>1121</v>
      </c>
      <c r="C684" s="888" t="s">
        <v>1387</v>
      </c>
      <c r="D684" s="889">
        <v>46046</v>
      </c>
      <c r="E684" s="888" t="s">
        <v>310</v>
      </c>
      <c r="F684" s="888" t="s">
        <v>310</v>
      </c>
    </row>
    <row r="685" spans="1:6" ht="12.75" customHeight="1">
      <c r="A685" s="888">
        <v>50</v>
      </c>
      <c r="B685" s="888" t="s">
        <v>1121</v>
      </c>
      <c r="C685" s="888" t="s">
        <v>1387</v>
      </c>
      <c r="D685" s="889">
        <v>46047</v>
      </c>
      <c r="E685" s="888" t="s">
        <v>310</v>
      </c>
      <c r="F685" s="888" t="s">
        <v>310</v>
      </c>
    </row>
    <row r="686" spans="1:6" ht="12.75" customHeight="1">
      <c r="A686" s="888">
        <v>50</v>
      </c>
      <c r="B686" s="888" t="s">
        <v>1121</v>
      </c>
      <c r="C686" s="888" t="s">
        <v>1387</v>
      </c>
      <c r="D686" s="889">
        <v>46048</v>
      </c>
      <c r="E686" s="890">
        <v>0.35142361111111109</v>
      </c>
      <c r="F686" s="890">
        <v>0.75077546296296294</v>
      </c>
    </row>
    <row r="687" spans="1:6" ht="12.75" customHeight="1">
      <c r="A687" s="888" t="s">
        <v>1637</v>
      </c>
      <c r="B687" s="888" t="s">
        <v>1638</v>
      </c>
      <c r="C687" s="888" t="s">
        <v>1288</v>
      </c>
    </row>
    <row r="688" spans="1:6" ht="12.75" customHeight="1">
      <c r="A688" s="888">
        <v>50</v>
      </c>
      <c r="B688" s="888" t="s">
        <v>1121</v>
      </c>
      <c r="C688" s="888" t="s">
        <v>1387</v>
      </c>
      <c r="D688" s="889">
        <v>46049</v>
      </c>
      <c r="E688" s="890">
        <v>0.35339120370370369</v>
      </c>
      <c r="F688" s="890">
        <v>0.75590277777777781</v>
      </c>
    </row>
    <row r="689" spans="1:6" ht="12.75" customHeight="1">
      <c r="A689" s="888" t="s">
        <v>1639</v>
      </c>
      <c r="B689" s="888" t="s">
        <v>1640</v>
      </c>
      <c r="C689" s="888" t="s">
        <v>1624</v>
      </c>
    </row>
    <row r="690" spans="1:6" ht="12.75" customHeight="1">
      <c r="A690" s="888">
        <v>50</v>
      </c>
      <c r="B690" s="888" t="s">
        <v>1121</v>
      </c>
      <c r="C690" s="888" t="s">
        <v>1387</v>
      </c>
      <c r="D690" s="889">
        <v>46050</v>
      </c>
      <c r="E690" s="890">
        <v>0.35381944444444446</v>
      </c>
      <c r="F690" s="890">
        <v>0.75717592592592597</v>
      </c>
    </row>
    <row r="691" spans="1:6" ht="12.75" customHeight="1">
      <c r="A691" s="888" t="s">
        <v>1641</v>
      </c>
      <c r="B691" s="888" t="s">
        <v>1642</v>
      </c>
      <c r="C691" s="888" t="s">
        <v>1363</v>
      </c>
    </row>
    <row r="692" spans="1:6" ht="12.75" customHeight="1">
      <c r="A692" s="888">
        <v>50</v>
      </c>
      <c r="B692" s="888" t="s">
        <v>1121</v>
      </c>
      <c r="C692" s="888" t="s">
        <v>1387</v>
      </c>
      <c r="D692" s="889">
        <v>46051</v>
      </c>
      <c r="E692" s="890">
        <v>0.35369212962962965</v>
      </c>
      <c r="F692" s="890">
        <v>0.76106481481481481</v>
      </c>
    </row>
    <row r="693" spans="1:6" ht="12.75" customHeight="1">
      <c r="A693" s="888" t="s">
        <v>1643</v>
      </c>
      <c r="B693" s="888" t="s">
        <v>1644</v>
      </c>
      <c r="C693" s="888" t="s">
        <v>1645</v>
      </c>
    </row>
    <row r="694" spans="1:6" ht="12.75" customHeight="1">
      <c r="A694" s="888">
        <v>50</v>
      </c>
      <c r="B694" s="888" t="s">
        <v>1121</v>
      </c>
      <c r="C694" s="888" t="s">
        <v>1387</v>
      </c>
      <c r="D694" s="889">
        <v>46052</v>
      </c>
      <c r="E694" s="888" t="s">
        <v>310</v>
      </c>
      <c r="F694" s="888" t="s">
        <v>310</v>
      </c>
    </row>
    <row r="695" spans="1:6" ht="12.75" customHeight="1">
      <c r="A695" s="888">
        <v>50</v>
      </c>
      <c r="B695" s="888" t="s">
        <v>1121</v>
      </c>
      <c r="C695" s="888" t="s">
        <v>1387</v>
      </c>
      <c r="D695" s="889">
        <v>46053</v>
      </c>
      <c r="E695" s="888" t="s">
        <v>310</v>
      </c>
      <c r="F695" s="888" t="s">
        <v>310</v>
      </c>
    </row>
    <row r="696" spans="1:6" ht="12.75" customHeight="1">
      <c r="A696" s="888">
        <v>50</v>
      </c>
      <c r="B696" s="888" t="s">
        <v>1121</v>
      </c>
      <c r="C696" s="888" t="s">
        <v>1387</v>
      </c>
      <c r="D696" s="889">
        <v>46054</v>
      </c>
      <c r="E696" s="888" t="s">
        <v>310</v>
      </c>
      <c r="F696" s="888" t="s">
        <v>310</v>
      </c>
    </row>
    <row r="697" spans="1:6" ht="12.75" customHeight="1">
      <c r="A697" s="888">
        <v>51</v>
      </c>
      <c r="B697" s="888" t="s">
        <v>1044</v>
      </c>
      <c r="C697" s="888" t="s">
        <v>1250</v>
      </c>
      <c r="D697" s="889">
        <v>46023</v>
      </c>
      <c r="E697" s="888" t="s">
        <v>310</v>
      </c>
      <c r="F697" s="888" t="s">
        <v>310</v>
      </c>
    </row>
    <row r="698" spans="1:6" ht="12.75" customHeight="1">
      <c r="A698" s="888">
        <v>51</v>
      </c>
      <c r="B698" s="888" t="s">
        <v>1044</v>
      </c>
      <c r="C698" s="888" t="s">
        <v>1250</v>
      </c>
      <c r="D698" s="889">
        <v>46024</v>
      </c>
      <c r="E698" s="888" t="s">
        <v>310</v>
      </c>
      <c r="F698" s="888" t="s">
        <v>310</v>
      </c>
    </row>
    <row r="699" spans="1:6" ht="12.75" customHeight="1">
      <c r="A699" s="888">
        <v>51</v>
      </c>
      <c r="B699" s="888" t="s">
        <v>1044</v>
      </c>
      <c r="C699" s="888" t="s">
        <v>1250</v>
      </c>
      <c r="D699" s="889">
        <v>46025</v>
      </c>
      <c r="E699" s="888" t="s">
        <v>310</v>
      </c>
      <c r="F699" s="888" t="s">
        <v>310</v>
      </c>
    </row>
    <row r="700" spans="1:6" ht="12.75" customHeight="1">
      <c r="A700" s="888">
        <v>51</v>
      </c>
      <c r="B700" s="888" t="s">
        <v>1044</v>
      </c>
      <c r="C700" s="888" t="s">
        <v>1250</v>
      </c>
      <c r="D700" s="889">
        <v>46026</v>
      </c>
      <c r="E700" s="888" t="s">
        <v>310</v>
      </c>
      <c r="F700" s="888" t="s">
        <v>310</v>
      </c>
    </row>
    <row r="701" spans="1:6" ht="12.75" customHeight="1">
      <c r="A701" s="888">
        <v>51</v>
      </c>
      <c r="B701" s="888" t="s">
        <v>1044</v>
      </c>
      <c r="C701" s="888" t="s">
        <v>1250</v>
      </c>
      <c r="D701" s="889">
        <v>46027</v>
      </c>
      <c r="E701" s="888" t="s">
        <v>310</v>
      </c>
      <c r="F701" s="888" t="s">
        <v>310</v>
      </c>
    </row>
    <row r="702" spans="1:6" ht="12.75" customHeight="1">
      <c r="A702" s="888">
        <v>51</v>
      </c>
      <c r="B702" s="888" t="s">
        <v>1044</v>
      </c>
      <c r="C702" s="888" t="s">
        <v>1250</v>
      </c>
      <c r="D702" s="889">
        <v>46028</v>
      </c>
      <c r="E702" s="888" t="s">
        <v>310</v>
      </c>
      <c r="F702" s="888" t="s">
        <v>310</v>
      </c>
    </row>
    <row r="703" spans="1:6" ht="12.75" customHeight="1">
      <c r="A703" s="888">
        <v>51</v>
      </c>
      <c r="B703" s="888" t="s">
        <v>1044</v>
      </c>
      <c r="C703" s="888" t="s">
        <v>1250</v>
      </c>
      <c r="D703" s="889">
        <v>46029</v>
      </c>
      <c r="E703" s="888" t="s">
        <v>310</v>
      </c>
      <c r="F703" s="888" t="s">
        <v>310</v>
      </c>
    </row>
    <row r="704" spans="1:6" ht="12.75" customHeight="1">
      <c r="A704" s="888">
        <v>51</v>
      </c>
      <c r="B704" s="888" t="s">
        <v>1044</v>
      </c>
      <c r="C704" s="888" t="s">
        <v>1250</v>
      </c>
      <c r="D704" s="889">
        <v>46030</v>
      </c>
      <c r="E704" s="888" t="s">
        <v>310</v>
      </c>
      <c r="F704" s="888" t="s">
        <v>310</v>
      </c>
    </row>
    <row r="705" spans="1:6" ht="12.75" customHeight="1">
      <c r="A705" s="888">
        <v>51</v>
      </c>
      <c r="B705" s="888" t="s">
        <v>1044</v>
      </c>
      <c r="C705" s="888" t="s">
        <v>1250</v>
      </c>
      <c r="D705" s="889">
        <v>46031</v>
      </c>
      <c r="E705" s="888" t="s">
        <v>310</v>
      </c>
      <c r="F705" s="888" t="s">
        <v>310</v>
      </c>
    </row>
    <row r="706" spans="1:6" ht="12.75" customHeight="1">
      <c r="A706" s="888">
        <v>51</v>
      </c>
      <c r="B706" s="888" t="s">
        <v>1044</v>
      </c>
      <c r="C706" s="888" t="s">
        <v>1250</v>
      </c>
      <c r="D706" s="889">
        <v>46032</v>
      </c>
      <c r="E706" s="888" t="s">
        <v>310</v>
      </c>
      <c r="F706" s="888" t="s">
        <v>310</v>
      </c>
    </row>
    <row r="707" spans="1:6" ht="12.75" customHeight="1">
      <c r="A707" s="888">
        <v>51</v>
      </c>
      <c r="B707" s="888" t="s">
        <v>1044</v>
      </c>
      <c r="C707" s="888" t="s">
        <v>1250</v>
      </c>
      <c r="D707" s="889">
        <v>46033</v>
      </c>
      <c r="E707" s="888" t="s">
        <v>310</v>
      </c>
      <c r="F707" s="888" t="s">
        <v>310</v>
      </c>
    </row>
    <row r="708" spans="1:6" ht="12.75" customHeight="1">
      <c r="A708" s="888">
        <v>51</v>
      </c>
      <c r="B708" s="888" t="s">
        <v>1044</v>
      </c>
      <c r="C708" s="888" t="s">
        <v>1250</v>
      </c>
      <c r="D708" s="889">
        <v>46034</v>
      </c>
      <c r="E708" s="888" t="s">
        <v>310</v>
      </c>
      <c r="F708" s="888" t="s">
        <v>310</v>
      </c>
    </row>
    <row r="709" spans="1:6" ht="12.75" customHeight="1">
      <c r="A709" s="888">
        <v>51</v>
      </c>
      <c r="B709" s="888" t="s">
        <v>1044</v>
      </c>
      <c r="C709" s="888" t="s">
        <v>1250</v>
      </c>
      <c r="D709" s="889">
        <v>46035</v>
      </c>
      <c r="E709" s="888" t="s">
        <v>310</v>
      </c>
      <c r="F709" s="888" t="s">
        <v>310</v>
      </c>
    </row>
    <row r="710" spans="1:6" ht="12.75" customHeight="1">
      <c r="A710" s="888">
        <v>51</v>
      </c>
      <c r="B710" s="888" t="s">
        <v>1044</v>
      </c>
      <c r="C710" s="888" t="s">
        <v>1250</v>
      </c>
      <c r="D710" s="889">
        <v>46036</v>
      </c>
      <c r="E710" s="888" t="s">
        <v>310</v>
      </c>
      <c r="F710" s="888" t="s">
        <v>310</v>
      </c>
    </row>
    <row r="711" spans="1:6" ht="12.75" customHeight="1">
      <c r="A711" s="888">
        <v>51</v>
      </c>
      <c r="B711" s="888" t="s">
        <v>1044</v>
      </c>
      <c r="C711" s="888" t="s">
        <v>1250</v>
      </c>
      <c r="D711" s="889">
        <v>46037</v>
      </c>
      <c r="E711" s="888" t="s">
        <v>310</v>
      </c>
      <c r="F711" s="888" t="s">
        <v>310</v>
      </c>
    </row>
    <row r="712" spans="1:6" ht="12.75" customHeight="1">
      <c r="A712" s="888">
        <v>51</v>
      </c>
      <c r="B712" s="888" t="s">
        <v>1044</v>
      </c>
      <c r="C712" s="888" t="s">
        <v>1250</v>
      </c>
      <c r="D712" s="889">
        <v>46038</v>
      </c>
      <c r="E712" s="888" t="s">
        <v>310</v>
      </c>
      <c r="F712" s="888" t="s">
        <v>310</v>
      </c>
    </row>
    <row r="713" spans="1:6" ht="12.75" customHeight="1">
      <c r="A713" s="888">
        <v>51</v>
      </c>
      <c r="B713" s="888" t="s">
        <v>1044</v>
      </c>
      <c r="C713" s="888" t="s">
        <v>1250</v>
      </c>
      <c r="D713" s="889">
        <v>46039</v>
      </c>
      <c r="E713" s="888" t="s">
        <v>310</v>
      </c>
      <c r="F713" s="888" t="s">
        <v>310</v>
      </c>
    </row>
    <row r="714" spans="1:6" ht="12.75" customHeight="1">
      <c r="A714" s="888">
        <v>51</v>
      </c>
      <c r="B714" s="888" t="s">
        <v>1044</v>
      </c>
      <c r="C714" s="888" t="s">
        <v>1250</v>
      </c>
      <c r="D714" s="889">
        <v>46040</v>
      </c>
      <c r="E714" s="888" t="s">
        <v>310</v>
      </c>
      <c r="F714" s="888" t="s">
        <v>310</v>
      </c>
    </row>
    <row r="715" spans="1:6" ht="12.75" customHeight="1">
      <c r="A715" s="888">
        <v>51</v>
      </c>
      <c r="B715" s="888" t="s">
        <v>1044</v>
      </c>
      <c r="C715" s="888" t="s">
        <v>1250</v>
      </c>
      <c r="D715" s="889">
        <v>46041</v>
      </c>
      <c r="E715" s="888" t="s">
        <v>310</v>
      </c>
      <c r="F715" s="888" t="s">
        <v>310</v>
      </c>
    </row>
    <row r="716" spans="1:6" ht="12.75" customHeight="1">
      <c r="A716" s="888">
        <v>51</v>
      </c>
      <c r="B716" s="888" t="s">
        <v>1044</v>
      </c>
      <c r="C716" s="888" t="s">
        <v>1250</v>
      </c>
      <c r="D716" s="889">
        <v>46042</v>
      </c>
      <c r="E716" s="888" t="s">
        <v>310</v>
      </c>
      <c r="F716" s="888" t="s">
        <v>310</v>
      </c>
    </row>
    <row r="717" spans="1:6" ht="12.75" customHeight="1">
      <c r="A717" s="888">
        <v>51</v>
      </c>
      <c r="B717" s="888" t="s">
        <v>1044</v>
      </c>
      <c r="C717" s="888" t="s">
        <v>1250</v>
      </c>
      <c r="D717" s="889">
        <v>46043</v>
      </c>
      <c r="E717" s="888" t="s">
        <v>310</v>
      </c>
      <c r="F717" s="888" t="s">
        <v>310</v>
      </c>
    </row>
    <row r="718" spans="1:6" ht="12.75" customHeight="1">
      <c r="A718" s="888">
        <v>51</v>
      </c>
      <c r="B718" s="888" t="s">
        <v>1044</v>
      </c>
      <c r="C718" s="888" t="s">
        <v>1250</v>
      </c>
      <c r="D718" s="889">
        <v>46044</v>
      </c>
      <c r="E718" s="888" t="s">
        <v>310</v>
      </c>
      <c r="F718" s="888" t="s">
        <v>310</v>
      </c>
    </row>
    <row r="719" spans="1:6" ht="12.75" customHeight="1">
      <c r="A719" s="888">
        <v>51</v>
      </c>
      <c r="B719" s="888" t="s">
        <v>1044</v>
      </c>
      <c r="C719" s="888" t="s">
        <v>1250</v>
      </c>
      <c r="D719" s="889">
        <v>46045</v>
      </c>
      <c r="E719" s="888" t="s">
        <v>310</v>
      </c>
      <c r="F719" s="888" t="s">
        <v>310</v>
      </c>
    </row>
    <row r="720" spans="1:6" ht="12.75" customHeight="1">
      <c r="A720" s="888">
        <v>51</v>
      </c>
      <c r="B720" s="888" t="s">
        <v>1044</v>
      </c>
      <c r="C720" s="888" t="s">
        <v>1250</v>
      </c>
      <c r="D720" s="889">
        <v>46046</v>
      </c>
      <c r="E720" s="888" t="s">
        <v>310</v>
      </c>
      <c r="F720" s="888" t="s">
        <v>310</v>
      </c>
    </row>
    <row r="721" spans="1:6" ht="12.75" customHeight="1">
      <c r="A721" s="888">
        <v>51</v>
      </c>
      <c r="B721" s="888" t="s">
        <v>1044</v>
      </c>
      <c r="C721" s="888" t="s">
        <v>1250</v>
      </c>
      <c r="D721" s="889">
        <v>46047</v>
      </c>
      <c r="E721" s="888" t="s">
        <v>310</v>
      </c>
      <c r="F721" s="888" t="s">
        <v>310</v>
      </c>
    </row>
    <row r="722" spans="1:6" ht="12.75" customHeight="1">
      <c r="A722" s="888">
        <v>51</v>
      </c>
      <c r="B722" s="888" t="s">
        <v>1044</v>
      </c>
      <c r="C722" s="888" t="s">
        <v>1250</v>
      </c>
      <c r="D722" s="889">
        <v>46048</v>
      </c>
      <c r="E722" s="888" t="s">
        <v>310</v>
      </c>
      <c r="F722" s="888" t="s">
        <v>310</v>
      </c>
    </row>
    <row r="723" spans="1:6" ht="12.75" customHeight="1">
      <c r="A723" s="888">
        <v>51</v>
      </c>
      <c r="B723" s="888" t="s">
        <v>1044</v>
      </c>
      <c r="C723" s="888" t="s">
        <v>1250</v>
      </c>
      <c r="D723" s="889">
        <v>46049</v>
      </c>
      <c r="E723" s="888" t="s">
        <v>310</v>
      </c>
      <c r="F723" s="888" t="s">
        <v>310</v>
      </c>
    </row>
    <row r="724" spans="1:6" ht="12.75" customHeight="1">
      <c r="A724" s="888">
        <v>51</v>
      </c>
      <c r="B724" s="888" t="s">
        <v>1044</v>
      </c>
      <c r="C724" s="888" t="s">
        <v>1250</v>
      </c>
      <c r="D724" s="889">
        <v>46050</v>
      </c>
      <c r="E724" s="888" t="s">
        <v>310</v>
      </c>
      <c r="F724" s="888" t="s">
        <v>310</v>
      </c>
    </row>
    <row r="725" spans="1:6" ht="12.75" customHeight="1">
      <c r="A725" s="888">
        <v>51</v>
      </c>
      <c r="B725" s="888" t="s">
        <v>1044</v>
      </c>
      <c r="C725" s="888" t="s">
        <v>1250</v>
      </c>
      <c r="D725" s="889">
        <v>46051</v>
      </c>
      <c r="E725" s="888" t="s">
        <v>310</v>
      </c>
      <c r="F725" s="888" t="s">
        <v>310</v>
      </c>
    </row>
    <row r="726" spans="1:6" ht="12.75" customHeight="1">
      <c r="A726" s="888">
        <v>51</v>
      </c>
      <c r="B726" s="888" t="s">
        <v>1044</v>
      </c>
      <c r="C726" s="888" t="s">
        <v>1250</v>
      </c>
      <c r="D726" s="889">
        <v>46052</v>
      </c>
      <c r="E726" s="888" t="s">
        <v>310</v>
      </c>
      <c r="F726" s="888" t="s">
        <v>310</v>
      </c>
    </row>
    <row r="727" spans="1:6" ht="12.75" customHeight="1">
      <c r="A727" s="888">
        <v>51</v>
      </c>
      <c r="B727" s="888" t="s">
        <v>1044</v>
      </c>
      <c r="C727" s="888" t="s">
        <v>1250</v>
      </c>
      <c r="D727" s="889">
        <v>46053</v>
      </c>
      <c r="E727" s="888" t="s">
        <v>310</v>
      </c>
      <c r="F727" s="888" t="s">
        <v>310</v>
      </c>
    </row>
    <row r="728" spans="1:6" ht="12.75" customHeight="1">
      <c r="A728" s="888">
        <v>51</v>
      </c>
      <c r="B728" s="888" t="s">
        <v>1044</v>
      </c>
      <c r="C728" s="888" t="s">
        <v>1250</v>
      </c>
      <c r="D728" s="889">
        <v>46054</v>
      </c>
      <c r="E728" s="888" t="s">
        <v>310</v>
      </c>
      <c r="F728" s="888" t="s">
        <v>310</v>
      </c>
    </row>
    <row r="729" spans="1:6" ht="12.75" customHeight="1">
      <c r="A729" s="888">
        <v>56</v>
      </c>
      <c r="B729" s="888" t="s">
        <v>1122</v>
      </c>
      <c r="C729" s="888" t="s">
        <v>1250</v>
      </c>
      <c r="D729" s="889">
        <v>46023</v>
      </c>
      <c r="E729" s="888" t="s">
        <v>310</v>
      </c>
      <c r="F729" s="888" t="s">
        <v>310</v>
      </c>
    </row>
    <row r="730" spans="1:6" ht="12.75" customHeight="1">
      <c r="A730" s="888">
        <v>56</v>
      </c>
      <c r="B730" s="888" t="s">
        <v>1122</v>
      </c>
      <c r="C730" s="888" t="s">
        <v>1250</v>
      </c>
      <c r="D730" s="889">
        <v>46024</v>
      </c>
      <c r="E730" s="888" t="s">
        <v>310</v>
      </c>
      <c r="F730" s="888" t="s">
        <v>310</v>
      </c>
    </row>
    <row r="731" spans="1:6" ht="12.75" customHeight="1">
      <c r="A731" s="888">
        <v>56</v>
      </c>
      <c r="B731" s="888" t="s">
        <v>1122</v>
      </c>
      <c r="C731" s="888" t="s">
        <v>1250</v>
      </c>
      <c r="D731" s="889">
        <v>46025</v>
      </c>
      <c r="E731" s="888" t="s">
        <v>310</v>
      </c>
      <c r="F731" s="888" t="s">
        <v>310</v>
      </c>
    </row>
    <row r="732" spans="1:6" ht="12.75" customHeight="1">
      <c r="A732" s="888">
        <v>56</v>
      </c>
      <c r="B732" s="888" t="s">
        <v>1122</v>
      </c>
      <c r="C732" s="888" t="s">
        <v>1250</v>
      </c>
      <c r="D732" s="889">
        <v>46026</v>
      </c>
      <c r="E732" s="888" t="s">
        <v>310</v>
      </c>
      <c r="F732" s="888" t="s">
        <v>310</v>
      </c>
    </row>
    <row r="733" spans="1:6" ht="12.75" customHeight="1">
      <c r="A733" s="888">
        <v>56</v>
      </c>
      <c r="B733" s="888" t="s">
        <v>1122</v>
      </c>
      <c r="C733" s="888" t="s">
        <v>1250</v>
      </c>
      <c r="D733" s="889">
        <v>46027</v>
      </c>
      <c r="E733" s="888" t="s">
        <v>310</v>
      </c>
      <c r="F733" s="888" t="s">
        <v>310</v>
      </c>
    </row>
    <row r="734" spans="1:6" ht="12.75" customHeight="1">
      <c r="A734" s="888">
        <v>56</v>
      </c>
      <c r="B734" s="888" t="s">
        <v>1122</v>
      </c>
      <c r="C734" s="888" t="s">
        <v>1250</v>
      </c>
      <c r="D734" s="889">
        <v>46028</v>
      </c>
      <c r="E734" s="888" t="s">
        <v>310</v>
      </c>
      <c r="F734" s="888" t="s">
        <v>310</v>
      </c>
    </row>
    <row r="735" spans="1:6" ht="12.75" customHeight="1">
      <c r="A735" s="888">
        <v>56</v>
      </c>
      <c r="B735" s="888" t="s">
        <v>1122</v>
      </c>
      <c r="C735" s="888" t="s">
        <v>1250</v>
      </c>
      <c r="D735" s="889">
        <v>46029</v>
      </c>
      <c r="E735" s="888" t="s">
        <v>310</v>
      </c>
      <c r="F735" s="888" t="s">
        <v>310</v>
      </c>
    </row>
    <row r="736" spans="1:6" ht="12.75" customHeight="1">
      <c r="A736" s="888">
        <v>56</v>
      </c>
      <c r="B736" s="888" t="s">
        <v>1122</v>
      </c>
      <c r="C736" s="888" t="s">
        <v>1250</v>
      </c>
      <c r="D736" s="889">
        <v>46030</v>
      </c>
      <c r="E736" s="888" t="s">
        <v>310</v>
      </c>
      <c r="F736" s="888" t="s">
        <v>310</v>
      </c>
    </row>
    <row r="737" spans="1:6" ht="12.75" customHeight="1">
      <c r="A737" s="888">
        <v>56</v>
      </c>
      <c r="B737" s="888" t="s">
        <v>1122</v>
      </c>
      <c r="C737" s="888" t="s">
        <v>1250</v>
      </c>
      <c r="D737" s="889">
        <v>46031</v>
      </c>
      <c r="E737" s="888" t="s">
        <v>310</v>
      </c>
      <c r="F737" s="888" t="s">
        <v>310</v>
      </c>
    </row>
    <row r="738" spans="1:6" ht="12.75" customHeight="1">
      <c r="A738" s="888">
        <v>56</v>
      </c>
      <c r="B738" s="888" t="s">
        <v>1122</v>
      </c>
      <c r="C738" s="888" t="s">
        <v>1250</v>
      </c>
      <c r="D738" s="889">
        <v>46032</v>
      </c>
      <c r="E738" s="888" t="s">
        <v>310</v>
      </c>
      <c r="F738" s="888" t="s">
        <v>310</v>
      </c>
    </row>
    <row r="739" spans="1:6" ht="12.75" customHeight="1">
      <c r="A739" s="888">
        <v>56</v>
      </c>
      <c r="B739" s="888" t="s">
        <v>1122</v>
      </c>
      <c r="C739" s="888" t="s">
        <v>1250</v>
      </c>
      <c r="D739" s="889">
        <v>46033</v>
      </c>
      <c r="E739" s="888" t="s">
        <v>310</v>
      </c>
      <c r="F739" s="888" t="s">
        <v>310</v>
      </c>
    </row>
    <row r="740" spans="1:6" ht="12.75" customHeight="1">
      <c r="A740" s="888">
        <v>56</v>
      </c>
      <c r="B740" s="888" t="s">
        <v>1122</v>
      </c>
      <c r="C740" s="888" t="s">
        <v>1250</v>
      </c>
      <c r="D740" s="889">
        <v>46034</v>
      </c>
      <c r="E740" s="888" t="s">
        <v>310</v>
      </c>
      <c r="F740" s="888" t="s">
        <v>310</v>
      </c>
    </row>
    <row r="741" spans="1:6" ht="12.75" customHeight="1">
      <c r="A741" s="888">
        <v>56</v>
      </c>
      <c r="B741" s="888" t="s">
        <v>1122</v>
      </c>
      <c r="C741" s="888" t="s">
        <v>1250</v>
      </c>
      <c r="D741" s="889">
        <v>46035</v>
      </c>
      <c r="E741" s="890">
        <v>0.47356481481481483</v>
      </c>
      <c r="F741" s="890">
        <v>0.68170138888888887</v>
      </c>
    </row>
    <row r="742" spans="1:6" ht="12.75" customHeight="1">
      <c r="A742" s="888" t="s">
        <v>1646</v>
      </c>
      <c r="B742" s="888" t="s">
        <v>1647</v>
      </c>
      <c r="C742" s="888" t="s">
        <v>1648</v>
      </c>
    </row>
    <row r="743" spans="1:6" ht="12.75" customHeight="1">
      <c r="A743" s="888">
        <v>56</v>
      </c>
      <c r="B743" s="888" t="s">
        <v>1122</v>
      </c>
      <c r="C743" s="888" t="s">
        <v>1250</v>
      </c>
      <c r="D743" s="889">
        <v>46036</v>
      </c>
      <c r="E743" s="888" t="s">
        <v>310</v>
      </c>
      <c r="F743" s="888" t="s">
        <v>310</v>
      </c>
    </row>
    <row r="744" spans="1:6" ht="12.75" customHeight="1">
      <c r="A744" s="888">
        <v>56</v>
      </c>
      <c r="B744" s="888" t="s">
        <v>1122</v>
      </c>
      <c r="C744" s="888" t="s">
        <v>1250</v>
      </c>
      <c r="D744" s="889">
        <v>46037</v>
      </c>
      <c r="E744" s="890">
        <v>0.79554398148148153</v>
      </c>
      <c r="F744" s="890">
        <v>0.79560185185185184</v>
      </c>
    </row>
    <row r="745" spans="1:6" ht="12.75" customHeight="1">
      <c r="A745" s="888" t="s">
        <v>1649</v>
      </c>
      <c r="B745" s="888" t="s">
        <v>1650</v>
      </c>
      <c r="C745" s="888" t="s">
        <v>1259</v>
      </c>
    </row>
    <row r="746" spans="1:6" ht="12.75" customHeight="1">
      <c r="A746" s="888">
        <v>56</v>
      </c>
      <c r="B746" s="888" t="s">
        <v>1122</v>
      </c>
      <c r="C746" s="888" t="s">
        <v>1250</v>
      </c>
      <c r="D746" s="889">
        <v>46038</v>
      </c>
      <c r="E746" s="888" t="s">
        <v>310</v>
      </c>
      <c r="F746" s="888" t="s">
        <v>310</v>
      </c>
    </row>
    <row r="747" spans="1:6" ht="12.75" customHeight="1">
      <c r="A747" s="888">
        <v>56</v>
      </c>
      <c r="B747" s="888" t="s">
        <v>1122</v>
      </c>
      <c r="C747" s="888" t="s">
        <v>1250</v>
      </c>
      <c r="D747" s="889">
        <v>46039</v>
      </c>
      <c r="E747" s="888" t="s">
        <v>310</v>
      </c>
      <c r="F747" s="888" t="s">
        <v>310</v>
      </c>
    </row>
    <row r="748" spans="1:6" ht="12.75" customHeight="1">
      <c r="A748" s="888">
        <v>56</v>
      </c>
      <c r="B748" s="888" t="s">
        <v>1122</v>
      </c>
      <c r="C748" s="888" t="s">
        <v>1250</v>
      </c>
      <c r="D748" s="889">
        <v>46040</v>
      </c>
      <c r="E748" s="888" t="s">
        <v>310</v>
      </c>
      <c r="F748" s="888" t="s">
        <v>310</v>
      </c>
    </row>
    <row r="749" spans="1:6" ht="12.75" customHeight="1">
      <c r="A749" s="888">
        <v>56</v>
      </c>
      <c r="B749" s="888" t="s">
        <v>1122</v>
      </c>
      <c r="C749" s="888" t="s">
        <v>1250</v>
      </c>
      <c r="D749" s="889">
        <v>46041</v>
      </c>
      <c r="E749" s="888" t="s">
        <v>310</v>
      </c>
      <c r="F749" s="888" t="s">
        <v>310</v>
      </c>
    </row>
    <row r="750" spans="1:6" ht="12.75" customHeight="1">
      <c r="A750" s="888">
        <v>56</v>
      </c>
      <c r="B750" s="888" t="s">
        <v>1122</v>
      </c>
      <c r="C750" s="888" t="s">
        <v>1250</v>
      </c>
      <c r="D750" s="889">
        <v>46042</v>
      </c>
      <c r="E750" s="888" t="s">
        <v>310</v>
      </c>
      <c r="F750" s="888" t="s">
        <v>310</v>
      </c>
    </row>
    <row r="751" spans="1:6" ht="12.75" customHeight="1">
      <c r="A751" s="888">
        <v>56</v>
      </c>
      <c r="B751" s="888" t="s">
        <v>1122</v>
      </c>
      <c r="C751" s="888" t="s">
        <v>1250</v>
      </c>
      <c r="D751" s="889">
        <v>46043</v>
      </c>
      <c r="E751" s="888" t="s">
        <v>310</v>
      </c>
      <c r="F751" s="888" t="s">
        <v>310</v>
      </c>
    </row>
    <row r="752" spans="1:6" ht="12.75" customHeight="1">
      <c r="A752" s="888">
        <v>56</v>
      </c>
      <c r="B752" s="888" t="s">
        <v>1122</v>
      </c>
      <c r="C752" s="888" t="s">
        <v>1250</v>
      </c>
      <c r="D752" s="889">
        <v>46044</v>
      </c>
      <c r="E752" s="888" t="s">
        <v>310</v>
      </c>
      <c r="F752" s="888" t="s">
        <v>310</v>
      </c>
    </row>
    <row r="753" spans="1:6" ht="12.75" customHeight="1">
      <c r="A753" s="888">
        <v>56</v>
      </c>
      <c r="B753" s="888" t="s">
        <v>1122</v>
      </c>
      <c r="C753" s="888" t="s">
        <v>1250</v>
      </c>
      <c r="D753" s="889">
        <v>46045</v>
      </c>
      <c r="E753" s="888" t="s">
        <v>310</v>
      </c>
      <c r="F753" s="888" t="s">
        <v>310</v>
      </c>
    </row>
    <row r="754" spans="1:6" ht="12.75" customHeight="1">
      <c r="A754" s="888">
        <v>56</v>
      </c>
      <c r="B754" s="888" t="s">
        <v>1122</v>
      </c>
      <c r="C754" s="888" t="s">
        <v>1250</v>
      </c>
      <c r="D754" s="889">
        <v>46046</v>
      </c>
      <c r="E754" s="888" t="s">
        <v>310</v>
      </c>
      <c r="F754" s="888" t="s">
        <v>310</v>
      </c>
    </row>
    <row r="755" spans="1:6" ht="12.75" customHeight="1">
      <c r="A755" s="888">
        <v>56</v>
      </c>
      <c r="B755" s="888" t="s">
        <v>1122</v>
      </c>
      <c r="C755" s="888" t="s">
        <v>1250</v>
      </c>
      <c r="D755" s="889">
        <v>46047</v>
      </c>
      <c r="E755" s="888" t="s">
        <v>310</v>
      </c>
      <c r="F755" s="888" t="s">
        <v>310</v>
      </c>
    </row>
    <row r="756" spans="1:6" ht="12.75" customHeight="1">
      <c r="A756" s="888">
        <v>56</v>
      </c>
      <c r="B756" s="888" t="s">
        <v>1122</v>
      </c>
      <c r="C756" s="888" t="s">
        <v>1250</v>
      </c>
      <c r="D756" s="889">
        <v>46048</v>
      </c>
      <c r="E756" s="888" t="s">
        <v>310</v>
      </c>
      <c r="F756" s="888" t="s">
        <v>310</v>
      </c>
    </row>
    <row r="757" spans="1:6" ht="12.75" customHeight="1">
      <c r="A757" s="888">
        <v>56</v>
      </c>
      <c r="B757" s="888" t="s">
        <v>1122</v>
      </c>
      <c r="C757" s="888" t="s">
        <v>1250</v>
      </c>
      <c r="D757" s="889">
        <v>46049</v>
      </c>
      <c r="E757" s="888" t="s">
        <v>310</v>
      </c>
      <c r="F757" s="888" t="s">
        <v>310</v>
      </c>
    </row>
    <row r="758" spans="1:6" ht="12.75" customHeight="1">
      <c r="A758" s="888">
        <v>56</v>
      </c>
      <c r="B758" s="888" t="s">
        <v>1122</v>
      </c>
      <c r="C758" s="888" t="s">
        <v>1250</v>
      </c>
      <c r="D758" s="889">
        <v>46050</v>
      </c>
      <c r="E758" s="888" t="s">
        <v>310</v>
      </c>
      <c r="F758" s="888" t="s">
        <v>310</v>
      </c>
    </row>
    <row r="759" spans="1:6" ht="12.75" customHeight="1">
      <c r="A759" s="888">
        <v>56</v>
      </c>
      <c r="B759" s="888" t="s">
        <v>1122</v>
      </c>
      <c r="C759" s="888" t="s">
        <v>1250</v>
      </c>
      <c r="D759" s="889">
        <v>46051</v>
      </c>
      <c r="E759" s="888" t="s">
        <v>310</v>
      </c>
      <c r="F759" s="888" t="s">
        <v>310</v>
      </c>
    </row>
    <row r="760" spans="1:6" ht="12.75" customHeight="1">
      <c r="A760" s="888">
        <v>56</v>
      </c>
      <c r="B760" s="888" t="s">
        <v>1122</v>
      </c>
      <c r="C760" s="888" t="s">
        <v>1250</v>
      </c>
      <c r="D760" s="889">
        <v>46052</v>
      </c>
      <c r="E760" s="888" t="s">
        <v>310</v>
      </c>
      <c r="F760" s="888" t="s">
        <v>310</v>
      </c>
    </row>
    <row r="761" spans="1:6" ht="12.75" customHeight="1">
      <c r="A761" s="888">
        <v>56</v>
      </c>
      <c r="B761" s="888" t="s">
        <v>1122</v>
      </c>
      <c r="C761" s="888" t="s">
        <v>1250</v>
      </c>
      <c r="D761" s="889">
        <v>46053</v>
      </c>
      <c r="E761" s="888" t="s">
        <v>310</v>
      </c>
      <c r="F761" s="888" t="s">
        <v>310</v>
      </c>
    </row>
    <row r="762" spans="1:6" ht="12.75" customHeight="1">
      <c r="A762" s="888">
        <v>56</v>
      </c>
      <c r="B762" s="888" t="s">
        <v>1122</v>
      </c>
      <c r="C762" s="888" t="s">
        <v>1250</v>
      </c>
      <c r="D762" s="889">
        <v>46054</v>
      </c>
      <c r="E762" s="888" t="s">
        <v>310</v>
      </c>
      <c r="F762" s="888" t="s">
        <v>310</v>
      </c>
    </row>
    <row r="763" spans="1:6" ht="12.75" customHeight="1">
      <c r="A763" s="888">
        <v>57</v>
      </c>
      <c r="B763" s="888" t="s">
        <v>1651</v>
      </c>
      <c r="C763" s="888" t="s">
        <v>1250</v>
      </c>
      <c r="D763" s="889">
        <v>46023</v>
      </c>
      <c r="E763" s="888" t="s">
        <v>310</v>
      </c>
      <c r="F763" s="888" t="s">
        <v>310</v>
      </c>
    </row>
    <row r="764" spans="1:6" ht="12.75" customHeight="1">
      <c r="A764" s="888">
        <v>57</v>
      </c>
      <c r="B764" s="888" t="s">
        <v>1651</v>
      </c>
      <c r="C764" s="888" t="s">
        <v>1250</v>
      </c>
      <c r="D764" s="889">
        <v>46024</v>
      </c>
      <c r="E764" s="888" t="s">
        <v>310</v>
      </c>
      <c r="F764" s="888" t="s">
        <v>310</v>
      </c>
    </row>
    <row r="765" spans="1:6" ht="12.75" customHeight="1">
      <c r="A765" s="888">
        <v>57</v>
      </c>
      <c r="B765" s="888" t="s">
        <v>1651</v>
      </c>
      <c r="C765" s="888" t="s">
        <v>1250</v>
      </c>
      <c r="D765" s="889">
        <v>46025</v>
      </c>
      <c r="E765" s="888" t="s">
        <v>310</v>
      </c>
      <c r="F765" s="888" t="s">
        <v>310</v>
      </c>
    </row>
    <row r="766" spans="1:6" ht="12.75" customHeight="1">
      <c r="A766" s="888">
        <v>57</v>
      </c>
      <c r="B766" s="888" t="s">
        <v>1651</v>
      </c>
      <c r="C766" s="888" t="s">
        <v>1250</v>
      </c>
      <c r="D766" s="889">
        <v>46026</v>
      </c>
      <c r="E766" s="888" t="s">
        <v>310</v>
      </c>
      <c r="F766" s="888" t="s">
        <v>310</v>
      </c>
    </row>
    <row r="767" spans="1:6" ht="12.75" customHeight="1">
      <c r="A767" s="888">
        <v>57</v>
      </c>
      <c r="B767" s="888" t="s">
        <v>1651</v>
      </c>
      <c r="C767" s="888" t="s">
        <v>1250</v>
      </c>
      <c r="D767" s="889">
        <v>46027</v>
      </c>
      <c r="E767" s="888" t="s">
        <v>310</v>
      </c>
      <c r="F767" s="888" t="s">
        <v>310</v>
      </c>
    </row>
    <row r="768" spans="1:6" ht="12.75" customHeight="1">
      <c r="A768" s="888">
        <v>57</v>
      </c>
      <c r="B768" s="888" t="s">
        <v>1651</v>
      </c>
      <c r="C768" s="888" t="s">
        <v>1250</v>
      </c>
      <c r="D768" s="889">
        <v>46028</v>
      </c>
      <c r="E768" s="888" t="s">
        <v>310</v>
      </c>
      <c r="F768" s="888" t="s">
        <v>310</v>
      </c>
    </row>
    <row r="769" spans="1:6" ht="12.75" customHeight="1">
      <c r="A769" s="888">
        <v>57</v>
      </c>
      <c r="B769" s="888" t="s">
        <v>1651</v>
      </c>
      <c r="C769" s="888" t="s">
        <v>1250</v>
      </c>
      <c r="D769" s="889">
        <v>46029</v>
      </c>
      <c r="E769" s="888" t="s">
        <v>310</v>
      </c>
      <c r="F769" s="888" t="s">
        <v>310</v>
      </c>
    </row>
    <row r="770" spans="1:6" ht="12.75" customHeight="1">
      <c r="A770" s="888">
        <v>57</v>
      </c>
      <c r="B770" s="888" t="s">
        <v>1651</v>
      </c>
      <c r="C770" s="888" t="s">
        <v>1250</v>
      </c>
      <c r="D770" s="889">
        <v>46030</v>
      </c>
      <c r="E770" s="888" t="s">
        <v>310</v>
      </c>
      <c r="F770" s="888" t="s">
        <v>310</v>
      </c>
    </row>
    <row r="771" spans="1:6" ht="12.75" customHeight="1">
      <c r="A771" s="888">
        <v>57</v>
      </c>
      <c r="B771" s="888" t="s">
        <v>1651</v>
      </c>
      <c r="C771" s="888" t="s">
        <v>1250</v>
      </c>
      <c r="D771" s="889">
        <v>46031</v>
      </c>
      <c r="E771" s="888" t="s">
        <v>310</v>
      </c>
      <c r="F771" s="888" t="s">
        <v>310</v>
      </c>
    </row>
    <row r="772" spans="1:6" ht="12.75" customHeight="1">
      <c r="A772" s="888">
        <v>57</v>
      </c>
      <c r="B772" s="888" t="s">
        <v>1651</v>
      </c>
      <c r="C772" s="888" t="s">
        <v>1250</v>
      </c>
      <c r="D772" s="889">
        <v>46032</v>
      </c>
      <c r="E772" s="888" t="s">
        <v>310</v>
      </c>
      <c r="F772" s="888" t="s">
        <v>310</v>
      </c>
    </row>
    <row r="773" spans="1:6" ht="12.75" customHeight="1">
      <c r="A773" s="888">
        <v>57</v>
      </c>
      <c r="B773" s="888" t="s">
        <v>1651</v>
      </c>
      <c r="C773" s="888" t="s">
        <v>1250</v>
      </c>
      <c r="D773" s="889">
        <v>46033</v>
      </c>
      <c r="E773" s="888" t="s">
        <v>310</v>
      </c>
      <c r="F773" s="888" t="s">
        <v>310</v>
      </c>
    </row>
    <row r="774" spans="1:6" ht="12.75" customHeight="1">
      <c r="A774" s="888">
        <v>57</v>
      </c>
      <c r="B774" s="888" t="s">
        <v>1651</v>
      </c>
      <c r="C774" s="888" t="s">
        <v>1250</v>
      </c>
      <c r="D774" s="889">
        <v>46034</v>
      </c>
      <c r="E774" s="888" t="s">
        <v>310</v>
      </c>
      <c r="F774" s="888" t="s">
        <v>310</v>
      </c>
    </row>
    <row r="775" spans="1:6" ht="12.75" customHeight="1">
      <c r="A775" s="888">
        <v>57</v>
      </c>
      <c r="B775" s="888" t="s">
        <v>1651</v>
      </c>
      <c r="C775" s="888" t="s">
        <v>1250</v>
      </c>
      <c r="D775" s="889">
        <v>46035</v>
      </c>
      <c r="E775" s="888" t="s">
        <v>310</v>
      </c>
      <c r="F775" s="888" t="s">
        <v>310</v>
      </c>
    </row>
    <row r="776" spans="1:6" ht="12.75" customHeight="1">
      <c r="A776" s="888">
        <v>57</v>
      </c>
      <c r="B776" s="888" t="s">
        <v>1651</v>
      </c>
      <c r="C776" s="888" t="s">
        <v>1250</v>
      </c>
      <c r="D776" s="889">
        <v>46036</v>
      </c>
      <c r="E776" s="888" t="s">
        <v>310</v>
      </c>
      <c r="F776" s="888" t="s">
        <v>310</v>
      </c>
    </row>
    <row r="777" spans="1:6" ht="12.75" customHeight="1">
      <c r="A777" s="888">
        <v>57</v>
      </c>
      <c r="B777" s="888" t="s">
        <v>1651</v>
      </c>
      <c r="C777" s="888" t="s">
        <v>1250</v>
      </c>
      <c r="D777" s="889">
        <v>46037</v>
      </c>
      <c r="E777" s="888" t="s">
        <v>310</v>
      </c>
      <c r="F777" s="888" t="s">
        <v>310</v>
      </c>
    </row>
    <row r="778" spans="1:6" ht="12.75" customHeight="1">
      <c r="A778" s="888">
        <v>57</v>
      </c>
      <c r="B778" s="888" t="s">
        <v>1651</v>
      </c>
      <c r="C778" s="888" t="s">
        <v>1250</v>
      </c>
      <c r="D778" s="889">
        <v>46038</v>
      </c>
      <c r="E778" s="888" t="s">
        <v>310</v>
      </c>
      <c r="F778" s="888" t="s">
        <v>310</v>
      </c>
    </row>
    <row r="779" spans="1:6" ht="12.75" customHeight="1">
      <c r="A779" s="888">
        <v>57</v>
      </c>
      <c r="B779" s="888" t="s">
        <v>1651</v>
      </c>
      <c r="C779" s="888" t="s">
        <v>1250</v>
      </c>
      <c r="D779" s="889">
        <v>46039</v>
      </c>
      <c r="E779" s="888" t="s">
        <v>310</v>
      </c>
      <c r="F779" s="888" t="s">
        <v>310</v>
      </c>
    </row>
    <row r="780" spans="1:6" ht="12.75" customHeight="1">
      <c r="A780" s="888">
        <v>57</v>
      </c>
      <c r="B780" s="888" t="s">
        <v>1651</v>
      </c>
      <c r="C780" s="888" t="s">
        <v>1250</v>
      </c>
      <c r="D780" s="889">
        <v>46040</v>
      </c>
      <c r="E780" s="888" t="s">
        <v>310</v>
      </c>
      <c r="F780" s="888" t="s">
        <v>310</v>
      </c>
    </row>
    <row r="781" spans="1:6" ht="12.75" customHeight="1">
      <c r="A781" s="888">
        <v>57</v>
      </c>
      <c r="B781" s="888" t="s">
        <v>1651</v>
      </c>
      <c r="C781" s="888" t="s">
        <v>1250</v>
      </c>
      <c r="D781" s="889">
        <v>46041</v>
      </c>
      <c r="E781" s="888" t="s">
        <v>310</v>
      </c>
      <c r="F781" s="888" t="s">
        <v>310</v>
      </c>
    </row>
    <row r="782" spans="1:6" ht="12.75" customHeight="1">
      <c r="A782" s="888">
        <v>57</v>
      </c>
      <c r="B782" s="888" t="s">
        <v>1651</v>
      </c>
      <c r="C782" s="888" t="s">
        <v>1250</v>
      </c>
      <c r="D782" s="889">
        <v>46042</v>
      </c>
      <c r="E782" s="888" t="s">
        <v>310</v>
      </c>
      <c r="F782" s="888" t="s">
        <v>310</v>
      </c>
    </row>
    <row r="783" spans="1:6" ht="12.75" customHeight="1">
      <c r="A783" s="888">
        <v>57</v>
      </c>
      <c r="B783" s="888" t="s">
        <v>1651</v>
      </c>
      <c r="C783" s="888" t="s">
        <v>1250</v>
      </c>
      <c r="D783" s="889">
        <v>46043</v>
      </c>
      <c r="E783" s="888" t="s">
        <v>310</v>
      </c>
      <c r="F783" s="888" t="s">
        <v>310</v>
      </c>
    </row>
    <row r="784" spans="1:6" ht="12.75" customHeight="1">
      <c r="A784" s="888">
        <v>57</v>
      </c>
      <c r="B784" s="888" t="s">
        <v>1651</v>
      </c>
      <c r="C784" s="888" t="s">
        <v>1250</v>
      </c>
      <c r="D784" s="889">
        <v>46044</v>
      </c>
      <c r="E784" s="888" t="s">
        <v>310</v>
      </c>
      <c r="F784" s="888" t="s">
        <v>310</v>
      </c>
    </row>
    <row r="785" spans="1:6" ht="12.75" customHeight="1">
      <c r="A785" s="888">
        <v>57</v>
      </c>
      <c r="B785" s="888" t="s">
        <v>1651</v>
      </c>
      <c r="C785" s="888" t="s">
        <v>1250</v>
      </c>
      <c r="D785" s="889">
        <v>46045</v>
      </c>
      <c r="E785" s="888" t="s">
        <v>310</v>
      </c>
      <c r="F785" s="888" t="s">
        <v>310</v>
      </c>
    </row>
    <row r="786" spans="1:6" ht="12.75" customHeight="1">
      <c r="A786" s="888">
        <v>57</v>
      </c>
      <c r="B786" s="888" t="s">
        <v>1651</v>
      </c>
      <c r="C786" s="888" t="s">
        <v>1250</v>
      </c>
      <c r="D786" s="889">
        <v>46046</v>
      </c>
      <c r="E786" s="888" t="s">
        <v>310</v>
      </c>
      <c r="F786" s="888" t="s">
        <v>310</v>
      </c>
    </row>
    <row r="787" spans="1:6" ht="12.75" customHeight="1">
      <c r="A787" s="888">
        <v>57</v>
      </c>
      <c r="B787" s="888" t="s">
        <v>1651</v>
      </c>
      <c r="C787" s="888" t="s">
        <v>1250</v>
      </c>
      <c r="D787" s="889">
        <v>46047</v>
      </c>
      <c r="E787" s="888" t="s">
        <v>310</v>
      </c>
      <c r="F787" s="888" t="s">
        <v>310</v>
      </c>
    </row>
    <row r="788" spans="1:6" ht="12.75" customHeight="1">
      <c r="A788" s="888">
        <v>57</v>
      </c>
      <c r="B788" s="888" t="s">
        <v>1651</v>
      </c>
      <c r="C788" s="888" t="s">
        <v>1250</v>
      </c>
      <c r="D788" s="889">
        <v>46048</v>
      </c>
      <c r="E788" s="888" t="s">
        <v>310</v>
      </c>
      <c r="F788" s="888" t="s">
        <v>310</v>
      </c>
    </row>
    <row r="789" spans="1:6" ht="12.75" customHeight="1">
      <c r="A789" s="888">
        <v>57</v>
      </c>
      <c r="B789" s="888" t="s">
        <v>1651</v>
      </c>
      <c r="C789" s="888" t="s">
        <v>1250</v>
      </c>
      <c r="D789" s="889">
        <v>46049</v>
      </c>
      <c r="E789" s="888" t="s">
        <v>310</v>
      </c>
      <c r="F789" s="888" t="s">
        <v>310</v>
      </c>
    </row>
    <row r="790" spans="1:6" ht="12.75" customHeight="1">
      <c r="A790" s="888">
        <v>57</v>
      </c>
      <c r="B790" s="888" t="s">
        <v>1651</v>
      </c>
      <c r="C790" s="888" t="s">
        <v>1250</v>
      </c>
      <c r="D790" s="889">
        <v>46050</v>
      </c>
      <c r="E790" s="888" t="s">
        <v>310</v>
      </c>
      <c r="F790" s="888" t="s">
        <v>310</v>
      </c>
    </row>
    <row r="791" spans="1:6" ht="12.75" customHeight="1">
      <c r="A791" s="888">
        <v>57</v>
      </c>
      <c r="B791" s="888" t="s">
        <v>1651</v>
      </c>
      <c r="C791" s="888" t="s">
        <v>1250</v>
      </c>
      <c r="D791" s="889">
        <v>46051</v>
      </c>
      <c r="E791" s="888" t="s">
        <v>310</v>
      </c>
      <c r="F791" s="888" t="s">
        <v>310</v>
      </c>
    </row>
    <row r="792" spans="1:6" ht="12.75" customHeight="1">
      <c r="A792" s="888">
        <v>57</v>
      </c>
      <c r="B792" s="888" t="s">
        <v>1651</v>
      </c>
      <c r="C792" s="888" t="s">
        <v>1250</v>
      </c>
      <c r="D792" s="889">
        <v>46052</v>
      </c>
      <c r="E792" s="888" t="s">
        <v>310</v>
      </c>
      <c r="F792" s="888" t="s">
        <v>310</v>
      </c>
    </row>
    <row r="793" spans="1:6" ht="12.75" customHeight="1">
      <c r="A793" s="888">
        <v>57</v>
      </c>
      <c r="B793" s="888" t="s">
        <v>1651</v>
      </c>
      <c r="C793" s="888" t="s">
        <v>1250</v>
      </c>
      <c r="D793" s="889">
        <v>46053</v>
      </c>
      <c r="E793" s="888" t="s">
        <v>310</v>
      </c>
      <c r="F793" s="888" t="s">
        <v>310</v>
      </c>
    </row>
    <row r="794" spans="1:6" ht="12.75" customHeight="1">
      <c r="A794" s="888">
        <v>57</v>
      </c>
      <c r="B794" s="888" t="s">
        <v>1651</v>
      </c>
      <c r="C794" s="888" t="s">
        <v>1250</v>
      </c>
      <c r="D794" s="889">
        <v>46054</v>
      </c>
      <c r="E794" s="888" t="s">
        <v>310</v>
      </c>
      <c r="F794" s="888" t="s">
        <v>310</v>
      </c>
    </row>
    <row r="795" spans="1:6" ht="12.75" customHeight="1">
      <c r="A795" s="888">
        <v>60</v>
      </c>
      <c r="B795" s="888" t="s">
        <v>1123</v>
      </c>
      <c r="C795" s="888" t="s">
        <v>1652</v>
      </c>
      <c r="D795" s="889">
        <v>46023</v>
      </c>
      <c r="E795" s="888" t="s">
        <v>310</v>
      </c>
      <c r="F795" s="888" t="s">
        <v>310</v>
      </c>
    </row>
    <row r="796" spans="1:6" ht="12.75" customHeight="1">
      <c r="A796" s="888">
        <v>60</v>
      </c>
      <c r="B796" s="888" t="s">
        <v>1123</v>
      </c>
      <c r="C796" s="888" t="s">
        <v>1652</v>
      </c>
      <c r="D796" s="889">
        <v>46024</v>
      </c>
      <c r="E796" s="888" t="s">
        <v>310</v>
      </c>
      <c r="F796" s="888" t="s">
        <v>310</v>
      </c>
    </row>
    <row r="797" spans="1:6" ht="12.75" customHeight="1">
      <c r="A797" s="888">
        <v>60</v>
      </c>
      <c r="B797" s="888" t="s">
        <v>1123</v>
      </c>
      <c r="C797" s="888" t="s">
        <v>1652</v>
      </c>
      <c r="D797" s="889">
        <v>46025</v>
      </c>
      <c r="E797" s="888" t="s">
        <v>310</v>
      </c>
      <c r="F797" s="888" t="s">
        <v>310</v>
      </c>
    </row>
    <row r="798" spans="1:6" ht="12.75" customHeight="1">
      <c r="A798" s="888">
        <v>60</v>
      </c>
      <c r="B798" s="888" t="s">
        <v>1123</v>
      </c>
      <c r="C798" s="888" t="s">
        <v>1652</v>
      </c>
      <c r="D798" s="889">
        <v>46026</v>
      </c>
      <c r="E798" s="888" t="s">
        <v>310</v>
      </c>
      <c r="F798" s="888" t="s">
        <v>310</v>
      </c>
    </row>
    <row r="799" spans="1:6" ht="12.75" customHeight="1">
      <c r="A799" s="888">
        <v>60</v>
      </c>
      <c r="B799" s="888" t="s">
        <v>1123</v>
      </c>
      <c r="C799" s="888" t="s">
        <v>1652</v>
      </c>
      <c r="D799" s="889">
        <v>46027</v>
      </c>
      <c r="E799" s="890">
        <v>0.36650462962962965</v>
      </c>
      <c r="F799" s="890">
        <v>0.80050925925925931</v>
      </c>
    </row>
    <row r="800" spans="1:6" ht="12.75" customHeight="1">
      <c r="A800" s="888" t="s">
        <v>1653</v>
      </c>
      <c r="B800" s="888" t="s">
        <v>1654</v>
      </c>
      <c r="C800" s="888" t="s">
        <v>1655</v>
      </c>
    </row>
    <row r="801" spans="1:6" ht="12.75" customHeight="1">
      <c r="A801" s="888">
        <v>60</v>
      </c>
      <c r="B801" s="888" t="s">
        <v>1123</v>
      </c>
      <c r="C801" s="888" t="s">
        <v>1652</v>
      </c>
      <c r="D801" s="889">
        <v>46028</v>
      </c>
      <c r="E801" s="890">
        <v>0.55960648148148151</v>
      </c>
      <c r="F801" s="890">
        <v>0.76188657407407412</v>
      </c>
    </row>
    <row r="802" spans="1:6" ht="12.75" customHeight="1">
      <c r="A802" s="888" t="s">
        <v>1656</v>
      </c>
      <c r="B802" s="888" t="s">
        <v>1657</v>
      </c>
      <c r="C802" s="888" t="s">
        <v>1658</v>
      </c>
    </row>
    <row r="803" spans="1:6" ht="12.75" customHeight="1">
      <c r="A803" s="888">
        <v>60</v>
      </c>
      <c r="B803" s="888" t="s">
        <v>1123</v>
      </c>
      <c r="C803" s="888" t="s">
        <v>1652</v>
      </c>
      <c r="D803" s="889">
        <v>46029</v>
      </c>
      <c r="E803" s="890">
        <v>0.39015046296296296</v>
      </c>
      <c r="F803" s="890">
        <v>0.78030092592592593</v>
      </c>
    </row>
    <row r="804" spans="1:6" ht="12.75" customHeight="1">
      <c r="A804" s="888" t="s">
        <v>1659</v>
      </c>
      <c r="B804" s="888" t="s">
        <v>1660</v>
      </c>
      <c r="C804" s="888" t="s">
        <v>1661</v>
      </c>
    </row>
    <row r="805" spans="1:6" ht="12.75" customHeight="1">
      <c r="A805" s="888">
        <v>60</v>
      </c>
      <c r="B805" s="888" t="s">
        <v>1123</v>
      </c>
      <c r="C805" s="888" t="s">
        <v>1652</v>
      </c>
      <c r="D805" s="889">
        <v>46030</v>
      </c>
      <c r="E805" s="890">
        <v>0.38931712962962961</v>
      </c>
      <c r="F805" s="890">
        <v>0.78743055555555552</v>
      </c>
    </row>
    <row r="806" spans="1:6" ht="12.75" customHeight="1">
      <c r="A806" s="888" t="s">
        <v>1662</v>
      </c>
      <c r="B806" s="888" t="s">
        <v>1663</v>
      </c>
      <c r="C806" s="888" t="s">
        <v>1457</v>
      </c>
    </row>
    <row r="807" spans="1:6" ht="12.75" customHeight="1">
      <c r="A807" s="888">
        <v>60</v>
      </c>
      <c r="B807" s="888" t="s">
        <v>1123</v>
      </c>
      <c r="C807" s="888" t="s">
        <v>1652</v>
      </c>
      <c r="D807" s="889">
        <v>46031</v>
      </c>
      <c r="E807" s="890">
        <v>0.37421296296296297</v>
      </c>
      <c r="F807" s="890">
        <v>0.75684027777777774</v>
      </c>
    </row>
    <row r="808" spans="1:6" ht="12.75" customHeight="1">
      <c r="A808" s="888" t="s">
        <v>1664</v>
      </c>
      <c r="B808" s="888" t="s">
        <v>1665</v>
      </c>
      <c r="C808" s="888" t="s">
        <v>1314</v>
      </c>
    </row>
    <row r="809" spans="1:6" ht="12.75" customHeight="1">
      <c r="A809" s="888">
        <v>60</v>
      </c>
      <c r="B809" s="888" t="s">
        <v>1123</v>
      </c>
      <c r="C809" s="888" t="s">
        <v>1652</v>
      </c>
      <c r="D809" s="889">
        <v>46032</v>
      </c>
      <c r="E809" s="890">
        <v>0.42969907407407409</v>
      </c>
      <c r="F809" s="890">
        <v>0.76650462962962962</v>
      </c>
    </row>
    <row r="810" spans="1:6" ht="12.75" customHeight="1">
      <c r="A810" s="888" t="s">
        <v>1666</v>
      </c>
      <c r="B810" s="888" t="s">
        <v>1667</v>
      </c>
      <c r="C810" s="888" t="s">
        <v>1668</v>
      </c>
    </row>
    <row r="811" spans="1:6" ht="12.75" customHeight="1">
      <c r="A811" s="888">
        <v>60</v>
      </c>
      <c r="B811" s="888" t="s">
        <v>1123</v>
      </c>
      <c r="C811" s="888" t="s">
        <v>1652</v>
      </c>
      <c r="D811" s="889">
        <v>46033</v>
      </c>
      <c r="E811" s="888" t="s">
        <v>310</v>
      </c>
      <c r="F811" s="888" t="s">
        <v>310</v>
      </c>
    </row>
    <row r="812" spans="1:6" ht="12.75" customHeight="1">
      <c r="A812" s="888">
        <v>60</v>
      </c>
      <c r="B812" s="888" t="s">
        <v>1123</v>
      </c>
      <c r="C812" s="888" t="s">
        <v>1652</v>
      </c>
      <c r="D812" s="889">
        <v>46034</v>
      </c>
      <c r="E812" s="890">
        <v>0.3715162037037037</v>
      </c>
      <c r="F812" s="890">
        <v>0.77576388888888892</v>
      </c>
    </row>
    <row r="813" spans="1:6" ht="12.75" customHeight="1">
      <c r="A813" s="888" t="s">
        <v>1669</v>
      </c>
      <c r="B813" s="888" t="s">
        <v>1670</v>
      </c>
      <c r="C813" s="888" t="s">
        <v>1266</v>
      </c>
    </row>
    <row r="814" spans="1:6" ht="12.75" customHeight="1">
      <c r="A814" s="888">
        <v>60</v>
      </c>
      <c r="B814" s="888" t="s">
        <v>1123</v>
      </c>
      <c r="C814" s="888" t="s">
        <v>1652</v>
      </c>
      <c r="D814" s="889">
        <v>46035</v>
      </c>
      <c r="E814" s="890">
        <v>0.57002314814814814</v>
      </c>
      <c r="F814" s="890">
        <v>0.78971064814814818</v>
      </c>
    </row>
    <row r="815" spans="1:6" ht="12.75" customHeight="1">
      <c r="A815" s="888" t="s">
        <v>1671</v>
      </c>
      <c r="B815" s="888" t="s">
        <v>1672</v>
      </c>
      <c r="C815" s="888" t="s">
        <v>1673</v>
      </c>
    </row>
    <row r="816" spans="1:6" ht="12.75" customHeight="1">
      <c r="A816" s="888">
        <v>60</v>
      </c>
      <c r="B816" s="888" t="s">
        <v>1123</v>
      </c>
      <c r="C816" s="888" t="s">
        <v>1652</v>
      </c>
      <c r="D816" s="889">
        <v>46036</v>
      </c>
      <c r="E816" s="890">
        <v>0.37037037037037035</v>
      </c>
      <c r="F816" s="890">
        <v>0.87949074074074074</v>
      </c>
    </row>
    <row r="817" spans="1:6" ht="12.75" customHeight="1">
      <c r="A817" s="888" t="s">
        <v>1674</v>
      </c>
      <c r="B817" s="888" t="s">
        <v>1675</v>
      </c>
      <c r="C817" s="888" t="s">
        <v>1676</v>
      </c>
    </row>
    <row r="818" spans="1:6" ht="12.75" customHeight="1">
      <c r="A818" s="888">
        <v>60</v>
      </c>
      <c r="B818" s="888" t="s">
        <v>1123</v>
      </c>
      <c r="C818" s="888" t="s">
        <v>1652</v>
      </c>
      <c r="D818" s="889">
        <v>46037</v>
      </c>
      <c r="E818" s="890">
        <v>0.3664351851851852</v>
      </c>
      <c r="F818" s="890">
        <v>0.76416666666666666</v>
      </c>
    </row>
    <row r="819" spans="1:6" ht="12.75" customHeight="1">
      <c r="A819" s="888" t="s">
        <v>1677</v>
      </c>
      <c r="B819" s="888" t="s">
        <v>1678</v>
      </c>
      <c r="C819" s="888" t="s">
        <v>1457</v>
      </c>
    </row>
    <row r="820" spans="1:6" ht="12.75" customHeight="1">
      <c r="A820" s="888">
        <v>60</v>
      </c>
      <c r="B820" s="888" t="s">
        <v>1123</v>
      </c>
      <c r="C820" s="888" t="s">
        <v>1652</v>
      </c>
      <c r="D820" s="889">
        <v>46038</v>
      </c>
      <c r="E820" s="890">
        <v>0.41037037037037039</v>
      </c>
      <c r="F820" s="890">
        <v>0.91717592592592589</v>
      </c>
    </row>
    <row r="821" spans="1:6" ht="12.75" customHeight="1">
      <c r="A821" s="888" t="s">
        <v>1679</v>
      </c>
      <c r="B821" s="888" t="s">
        <v>1680</v>
      </c>
      <c r="C821" s="888" t="s">
        <v>1681</v>
      </c>
    </row>
    <row r="822" spans="1:6" ht="12.75" customHeight="1">
      <c r="A822" s="888">
        <v>60</v>
      </c>
      <c r="B822" s="888" t="s">
        <v>1123</v>
      </c>
      <c r="C822" s="888" t="s">
        <v>1652</v>
      </c>
      <c r="D822" s="889">
        <v>46039</v>
      </c>
      <c r="E822" s="888" t="s">
        <v>310</v>
      </c>
      <c r="F822" s="888" t="s">
        <v>310</v>
      </c>
    </row>
    <row r="823" spans="1:6" ht="12.75" customHeight="1">
      <c r="A823" s="888">
        <v>60</v>
      </c>
      <c r="B823" s="888" t="s">
        <v>1123</v>
      </c>
      <c r="C823" s="888" t="s">
        <v>1652</v>
      </c>
      <c r="D823" s="889">
        <v>46040</v>
      </c>
      <c r="E823" s="888" t="s">
        <v>310</v>
      </c>
      <c r="F823" s="888" t="s">
        <v>310</v>
      </c>
    </row>
    <row r="824" spans="1:6" ht="12.75" customHeight="1">
      <c r="A824" s="888">
        <v>60</v>
      </c>
      <c r="B824" s="888" t="s">
        <v>1123</v>
      </c>
      <c r="C824" s="888" t="s">
        <v>1652</v>
      </c>
      <c r="D824" s="889">
        <v>46041</v>
      </c>
      <c r="E824" s="890">
        <v>0.36921296296296297</v>
      </c>
      <c r="F824" s="890">
        <v>0.78021990740740743</v>
      </c>
    </row>
    <row r="825" spans="1:6" ht="12.75" customHeight="1">
      <c r="A825" s="888" t="s">
        <v>1682</v>
      </c>
      <c r="B825" s="888" t="s">
        <v>1683</v>
      </c>
      <c r="C825" s="888" t="s">
        <v>1613</v>
      </c>
    </row>
    <row r="826" spans="1:6" ht="12.75" customHeight="1">
      <c r="A826" s="888">
        <v>60</v>
      </c>
      <c r="B826" s="888" t="s">
        <v>1123</v>
      </c>
      <c r="C826" s="888" t="s">
        <v>1652</v>
      </c>
      <c r="D826" s="889">
        <v>46042</v>
      </c>
      <c r="E826" s="890">
        <v>0.37783564814814813</v>
      </c>
      <c r="F826" s="890">
        <v>0.79981481481481487</v>
      </c>
    </row>
    <row r="827" spans="1:6" ht="12.75" customHeight="1">
      <c r="A827" s="888" t="s">
        <v>1684</v>
      </c>
      <c r="B827" s="888" t="s">
        <v>1685</v>
      </c>
      <c r="C827" s="888" t="s">
        <v>1686</v>
      </c>
    </row>
    <row r="828" spans="1:6" ht="12.75" customHeight="1">
      <c r="A828" s="888">
        <v>60</v>
      </c>
      <c r="B828" s="888" t="s">
        <v>1123</v>
      </c>
      <c r="C828" s="888" t="s">
        <v>1652</v>
      </c>
      <c r="D828" s="889">
        <v>46043</v>
      </c>
      <c r="E828" s="890">
        <v>0.37825231481481481</v>
      </c>
      <c r="F828" s="890">
        <v>0.80806712962962968</v>
      </c>
    </row>
    <row r="829" spans="1:6" ht="12.75" customHeight="1">
      <c r="A829" s="888" t="s">
        <v>1687</v>
      </c>
      <c r="B829" s="888" t="s">
        <v>1688</v>
      </c>
      <c r="C829" s="888" t="s">
        <v>1282</v>
      </c>
    </row>
    <row r="830" spans="1:6" ht="12.75" customHeight="1">
      <c r="A830" s="888">
        <v>60</v>
      </c>
      <c r="B830" s="888" t="s">
        <v>1123</v>
      </c>
      <c r="C830" s="888" t="s">
        <v>1652</v>
      </c>
      <c r="D830" s="889">
        <v>46044</v>
      </c>
      <c r="E830" s="890">
        <v>0.3757523148148148</v>
      </c>
      <c r="F830" s="890">
        <v>0.77413194444444444</v>
      </c>
    </row>
    <row r="831" spans="1:6" ht="12.75" customHeight="1">
      <c r="A831" s="888" t="s">
        <v>1689</v>
      </c>
      <c r="B831" s="888" t="s">
        <v>1690</v>
      </c>
      <c r="C831" s="888" t="s">
        <v>1383</v>
      </c>
    </row>
    <row r="832" spans="1:6" ht="12.75" customHeight="1">
      <c r="A832" s="888">
        <v>60</v>
      </c>
      <c r="B832" s="888" t="s">
        <v>1123</v>
      </c>
      <c r="C832" s="888" t="s">
        <v>1652</v>
      </c>
      <c r="D832" s="889">
        <v>46045</v>
      </c>
      <c r="E832" s="890">
        <v>0.39453703703703702</v>
      </c>
      <c r="F832" s="890">
        <v>0.78218750000000004</v>
      </c>
    </row>
    <row r="833" spans="1:6" ht="12.75" customHeight="1">
      <c r="A833" s="888" t="s">
        <v>1691</v>
      </c>
      <c r="B833" s="888" t="s">
        <v>1692</v>
      </c>
      <c r="C833" s="888" t="s">
        <v>1410</v>
      </c>
    </row>
    <row r="834" spans="1:6" ht="12.75" customHeight="1">
      <c r="A834" s="888">
        <v>60</v>
      </c>
      <c r="B834" s="888" t="s">
        <v>1123</v>
      </c>
      <c r="C834" s="888" t="s">
        <v>1652</v>
      </c>
      <c r="D834" s="889">
        <v>46046</v>
      </c>
      <c r="E834" s="888" t="s">
        <v>310</v>
      </c>
      <c r="F834" s="888" t="s">
        <v>310</v>
      </c>
    </row>
    <row r="835" spans="1:6" ht="12.75" customHeight="1">
      <c r="A835" s="888">
        <v>60</v>
      </c>
      <c r="B835" s="888" t="s">
        <v>1123</v>
      </c>
      <c r="C835" s="888" t="s">
        <v>1652</v>
      </c>
      <c r="D835" s="889">
        <v>46047</v>
      </c>
      <c r="E835" s="888" t="s">
        <v>310</v>
      </c>
      <c r="F835" s="888" t="s">
        <v>310</v>
      </c>
    </row>
    <row r="836" spans="1:6" ht="12.75" customHeight="1">
      <c r="A836" s="888">
        <v>60</v>
      </c>
      <c r="B836" s="888" t="s">
        <v>1123</v>
      </c>
      <c r="C836" s="888" t="s">
        <v>1652</v>
      </c>
      <c r="D836" s="889">
        <v>46048</v>
      </c>
      <c r="E836" s="890">
        <v>0.40722222222222221</v>
      </c>
      <c r="F836" s="890">
        <v>0.8706828703703704</v>
      </c>
    </row>
    <row r="837" spans="1:6" ht="12.75" customHeight="1">
      <c r="A837" s="888" t="s">
        <v>1693</v>
      </c>
      <c r="B837" s="888" t="s">
        <v>1694</v>
      </c>
      <c r="C837" s="888" t="s">
        <v>1695</v>
      </c>
    </row>
    <row r="838" spans="1:6" ht="12.75" customHeight="1">
      <c r="A838" s="888">
        <v>60</v>
      </c>
      <c r="B838" s="888" t="s">
        <v>1123</v>
      </c>
      <c r="C838" s="888" t="s">
        <v>1652</v>
      </c>
      <c r="D838" s="889">
        <v>46049</v>
      </c>
      <c r="E838" s="890">
        <v>0.56122685185185184</v>
      </c>
      <c r="F838" s="890">
        <v>0.76677083333333329</v>
      </c>
    </row>
    <row r="839" spans="1:6" ht="12.75" customHeight="1">
      <c r="A839" s="888" t="s">
        <v>1696</v>
      </c>
      <c r="B839" s="888" t="s">
        <v>1697</v>
      </c>
      <c r="C839" s="888" t="s">
        <v>1698</v>
      </c>
    </row>
    <row r="840" spans="1:6" ht="12.75" customHeight="1">
      <c r="A840" s="888">
        <v>60</v>
      </c>
      <c r="B840" s="888" t="s">
        <v>1123</v>
      </c>
      <c r="C840" s="888" t="s">
        <v>1652</v>
      </c>
      <c r="D840" s="889">
        <v>46050</v>
      </c>
      <c r="E840" s="890">
        <v>0.39484953703703701</v>
      </c>
      <c r="F840" s="890">
        <v>0.77217592592592588</v>
      </c>
    </row>
    <row r="841" spans="1:6" ht="12.75" customHeight="1">
      <c r="A841" s="888" t="s">
        <v>1699</v>
      </c>
      <c r="B841" s="888" t="s">
        <v>1700</v>
      </c>
      <c r="C841" s="888" t="s">
        <v>1610</v>
      </c>
    </row>
    <row r="842" spans="1:6" ht="12.75" customHeight="1">
      <c r="A842" s="888">
        <v>60</v>
      </c>
      <c r="B842" s="888" t="s">
        <v>1123</v>
      </c>
      <c r="C842" s="888" t="s">
        <v>1652</v>
      </c>
      <c r="D842" s="889">
        <v>46051</v>
      </c>
      <c r="E842" s="890">
        <v>0.38060185185185186</v>
      </c>
      <c r="F842" s="890">
        <v>0.77901620370370372</v>
      </c>
    </row>
    <row r="843" spans="1:6" ht="12.75" customHeight="1">
      <c r="A843" s="888" t="s">
        <v>1701</v>
      </c>
      <c r="B843" s="888" t="s">
        <v>1702</v>
      </c>
      <c r="C843" s="888" t="s">
        <v>1383</v>
      </c>
    </row>
    <row r="844" spans="1:6" ht="12.75" customHeight="1">
      <c r="A844" s="888">
        <v>60</v>
      </c>
      <c r="B844" s="888" t="s">
        <v>1123</v>
      </c>
      <c r="C844" s="888" t="s">
        <v>1652</v>
      </c>
      <c r="D844" s="889">
        <v>46052</v>
      </c>
      <c r="E844" s="890">
        <v>0.41966435185185186</v>
      </c>
      <c r="F844" s="890">
        <v>0.78481481481481485</v>
      </c>
    </row>
    <row r="845" spans="1:6" ht="12.75" customHeight="1">
      <c r="A845" s="888" t="s">
        <v>1703</v>
      </c>
      <c r="B845" s="888" t="s">
        <v>1704</v>
      </c>
      <c r="C845" s="888" t="s">
        <v>1705</v>
      </c>
    </row>
    <row r="846" spans="1:6" ht="12.75" customHeight="1">
      <c r="A846" s="888">
        <v>60</v>
      </c>
      <c r="B846" s="888" t="s">
        <v>1123</v>
      </c>
      <c r="C846" s="888" t="s">
        <v>1652</v>
      </c>
      <c r="D846" s="889">
        <v>46053</v>
      </c>
      <c r="E846" s="888" t="s">
        <v>310</v>
      </c>
      <c r="F846" s="888" t="s">
        <v>310</v>
      </c>
    </row>
    <row r="847" spans="1:6" ht="12.75" customHeight="1">
      <c r="A847" s="888">
        <v>60</v>
      </c>
      <c r="B847" s="888" t="s">
        <v>1123</v>
      </c>
      <c r="C847" s="888" t="s">
        <v>1652</v>
      </c>
      <c r="D847" s="889">
        <v>46054</v>
      </c>
      <c r="E847" s="888" t="s">
        <v>310</v>
      </c>
      <c r="F847" s="888" t="s">
        <v>310</v>
      </c>
    </row>
    <row r="848" spans="1:6" ht="12.75" customHeight="1">
      <c r="A848" s="888">
        <v>62</v>
      </c>
      <c r="B848" s="888" t="s">
        <v>1124</v>
      </c>
      <c r="C848" s="888" t="s">
        <v>1250</v>
      </c>
      <c r="D848" s="889">
        <v>46023</v>
      </c>
      <c r="E848" s="888" t="s">
        <v>310</v>
      </c>
      <c r="F848" s="888" t="s">
        <v>310</v>
      </c>
    </row>
    <row r="849" spans="1:6" ht="12.75" customHeight="1">
      <c r="A849" s="888">
        <v>62</v>
      </c>
      <c r="B849" s="888" t="s">
        <v>1124</v>
      </c>
      <c r="C849" s="888" t="s">
        <v>1250</v>
      </c>
      <c r="D849" s="889">
        <v>46024</v>
      </c>
      <c r="E849" s="888" t="s">
        <v>310</v>
      </c>
      <c r="F849" s="888" t="s">
        <v>310</v>
      </c>
    </row>
    <row r="850" spans="1:6" ht="12.75" customHeight="1">
      <c r="A850" s="888">
        <v>62</v>
      </c>
      <c r="B850" s="888" t="s">
        <v>1124</v>
      </c>
      <c r="C850" s="888" t="s">
        <v>1250</v>
      </c>
      <c r="D850" s="889">
        <v>46025</v>
      </c>
      <c r="E850" s="888" t="s">
        <v>310</v>
      </c>
      <c r="F850" s="888" t="s">
        <v>310</v>
      </c>
    </row>
    <row r="851" spans="1:6" ht="12.75" customHeight="1">
      <c r="A851" s="888">
        <v>62</v>
      </c>
      <c r="B851" s="888" t="s">
        <v>1124</v>
      </c>
      <c r="C851" s="888" t="s">
        <v>1250</v>
      </c>
      <c r="D851" s="889">
        <v>46026</v>
      </c>
      <c r="E851" s="888" t="s">
        <v>310</v>
      </c>
      <c r="F851" s="888" t="s">
        <v>310</v>
      </c>
    </row>
    <row r="852" spans="1:6" ht="12.75" customHeight="1">
      <c r="A852" s="888">
        <v>62</v>
      </c>
      <c r="B852" s="888" t="s">
        <v>1124</v>
      </c>
      <c r="C852" s="888" t="s">
        <v>1250</v>
      </c>
      <c r="D852" s="889">
        <v>46027</v>
      </c>
      <c r="E852" s="888" t="s">
        <v>310</v>
      </c>
      <c r="F852" s="888" t="s">
        <v>310</v>
      </c>
    </row>
    <row r="853" spans="1:6" ht="12.75" customHeight="1">
      <c r="A853" s="888">
        <v>62</v>
      </c>
      <c r="B853" s="888" t="s">
        <v>1124</v>
      </c>
      <c r="C853" s="888" t="s">
        <v>1250</v>
      </c>
      <c r="D853" s="889">
        <v>46028</v>
      </c>
      <c r="E853" s="890">
        <v>0.41532407407407407</v>
      </c>
      <c r="F853" s="888" t="s">
        <v>310</v>
      </c>
    </row>
    <row r="854" spans="1:6" ht="12.75" customHeight="1">
      <c r="A854" s="888" t="s">
        <v>1706</v>
      </c>
      <c r="B854" s="888" t="s">
        <v>1258</v>
      </c>
      <c r="C854" s="888" t="s">
        <v>1259</v>
      </c>
    </row>
    <row r="855" spans="1:6" ht="12.75" customHeight="1">
      <c r="A855" s="888">
        <v>62</v>
      </c>
      <c r="B855" s="888" t="s">
        <v>1124</v>
      </c>
      <c r="C855" s="888" t="s">
        <v>1250</v>
      </c>
      <c r="D855" s="889">
        <v>46029</v>
      </c>
      <c r="E855" s="890">
        <v>0.50071759259259263</v>
      </c>
      <c r="F855" s="888" t="s">
        <v>310</v>
      </c>
    </row>
    <row r="856" spans="1:6" ht="12.75" customHeight="1">
      <c r="A856" s="888" t="s">
        <v>1707</v>
      </c>
      <c r="B856" s="888" t="s">
        <v>1258</v>
      </c>
      <c r="C856" s="888" t="s">
        <v>1259</v>
      </c>
    </row>
    <row r="857" spans="1:6" ht="12.75" customHeight="1">
      <c r="A857" s="888">
        <v>62</v>
      </c>
      <c r="B857" s="888" t="s">
        <v>1124</v>
      </c>
      <c r="C857" s="888" t="s">
        <v>1250</v>
      </c>
      <c r="D857" s="889">
        <v>46030</v>
      </c>
      <c r="E857" s="888" t="s">
        <v>310</v>
      </c>
      <c r="F857" s="888" t="s">
        <v>310</v>
      </c>
    </row>
    <row r="858" spans="1:6" ht="12.75" customHeight="1">
      <c r="A858" s="888">
        <v>62</v>
      </c>
      <c r="B858" s="888" t="s">
        <v>1124</v>
      </c>
      <c r="C858" s="888" t="s">
        <v>1250</v>
      </c>
      <c r="D858" s="889">
        <v>46031</v>
      </c>
      <c r="E858" s="888" t="s">
        <v>310</v>
      </c>
      <c r="F858" s="888" t="s">
        <v>310</v>
      </c>
    </row>
    <row r="859" spans="1:6" ht="12.75" customHeight="1">
      <c r="A859" s="888">
        <v>62</v>
      </c>
      <c r="B859" s="888" t="s">
        <v>1124</v>
      </c>
      <c r="C859" s="888" t="s">
        <v>1250</v>
      </c>
      <c r="D859" s="889">
        <v>46032</v>
      </c>
      <c r="E859" s="888" t="s">
        <v>310</v>
      </c>
      <c r="F859" s="888" t="s">
        <v>310</v>
      </c>
    </row>
    <row r="860" spans="1:6" ht="12.75" customHeight="1">
      <c r="A860" s="888">
        <v>62</v>
      </c>
      <c r="B860" s="888" t="s">
        <v>1124</v>
      </c>
      <c r="C860" s="888" t="s">
        <v>1250</v>
      </c>
      <c r="D860" s="889">
        <v>46033</v>
      </c>
      <c r="E860" s="888" t="s">
        <v>310</v>
      </c>
      <c r="F860" s="888" t="s">
        <v>310</v>
      </c>
    </row>
    <row r="861" spans="1:6" ht="12.75" customHeight="1">
      <c r="A861" s="888">
        <v>62</v>
      </c>
      <c r="B861" s="888" t="s">
        <v>1124</v>
      </c>
      <c r="C861" s="888" t="s">
        <v>1250</v>
      </c>
      <c r="D861" s="889">
        <v>46034</v>
      </c>
      <c r="E861" s="888" t="s">
        <v>310</v>
      </c>
      <c r="F861" s="888" t="s">
        <v>310</v>
      </c>
    </row>
    <row r="862" spans="1:6" ht="12.75" customHeight="1">
      <c r="A862" s="888">
        <v>62</v>
      </c>
      <c r="B862" s="888" t="s">
        <v>1124</v>
      </c>
      <c r="C862" s="888" t="s">
        <v>1250</v>
      </c>
      <c r="D862" s="889">
        <v>46035</v>
      </c>
      <c r="E862" s="890">
        <v>0.45314814814814813</v>
      </c>
      <c r="F862" s="890">
        <v>0.7616087962962963</v>
      </c>
    </row>
    <row r="863" spans="1:6" ht="12.75" customHeight="1">
      <c r="A863" s="888" t="s">
        <v>1708</v>
      </c>
      <c r="B863" s="888" t="s">
        <v>1709</v>
      </c>
      <c r="C863" s="888" t="s">
        <v>1710</v>
      </c>
    </row>
    <row r="864" spans="1:6" ht="12.75" customHeight="1">
      <c r="A864" s="888">
        <v>62</v>
      </c>
      <c r="B864" s="888" t="s">
        <v>1124</v>
      </c>
      <c r="C864" s="888" t="s">
        <v>1250</v>
      </c>
      <c r="D864" s="889">
        <v>46036</v>
      </c>
      <c r="E864" s="888" t="s">
        <v>310</v>
      </c>
      <c r="F864" s="888" t="s">
        <v>310</v>
      </c>
    </row>
    <row r="865" spans="1:6" ht="12.75" customHeight="1">
      <c r="A865" s="888">
        <v>62</v>
      </c>
      <c r="B865" s="888" t="s">
        <v>1124</v>
      </c>
      <c r="C865" s="888" t="s">
        <v>1250</v>
      </c>
      <c r="D865" s="889">
        <v>46037</v>
      </c>
      <c r="E865" s="888" t="s">
        <v>310</v>
      </c>
      <c r="F865" s="888" t="s">
        <v>310</v>
      </c>
    </row>
    <row r="866" spans="1:6" ht="12.75" customHeight="1">
      <c r="A866" s="888">
        <v>62</v>
      </c>
      <c r="B866" s="888" t="s">
        <v>1124</v>
      </c>
      <c r="C866" s="888" t="s">
        <v>1250</v>
      </c>
      <c r="D866" s="889">
        <v>46038</v>
      </c>
      <c r="E866" s="888" t="s">
        <v>310</v>
      </c>
      <c r="F866" s="888" t="s">
        <v>310</v>
      </c>
    </row>
    <row r="867" spans="1:6" ht="12.75" customHeight="1">
      <c r="A867" s="888">
        <v>62</v>
      </c>
      <c r="B867" s="888" t="s">
        <v>1124</v>
      </c>
      <c r="C867" s="888" t="s">
        <v>1250</v>
      </c>
      <c r="D867" s="889">
        <v>46039</v>
      </c>
      <c r="E867" s="888" t="s">
        <v>310</v>
      </c>
      <c r="F867" s="888" t="s">
        <v>310</v>
      </c>
    </row>
    <row r="868" spans="1:6" ht="12.75" customHeight="1">
      <c r="A868" s="888">
        <v>62</v>
      </c>
      <c r="B868" s="888" t="s">
        <v>1124</v>
      </c>
      <c r="C868" s="888" t="s">
        <v>1250</v>
      </c>
      <c r="D868" s="889">
        <v>46040</v>
      </c>
      <c r="E868" s="888" t="s">
        <v>310</v>
      </c>
      <c r="F868" s="888" t="s">
        <v>310</v>
      </c>
    </row>
    <row r="869" spans="1:6" ht="12.75" customHeight="1">
      <c r="A869" s="888">
        <v>62</v>
      </c>
      <c r="B869" s="888" t="s">
        <v>1124</v>
      </c>
      <c r="C869" s="888" t="s">
        <v>1250</v>
      </c>
      <c r="D869" s="889">
        <v>46041</v>
      </c>
      <c r="E869" s="890">
        <v>0.75287037037037041</v>
      </c>
      <c r="F869" s="888" t="s">
        <v>310</v>
      </c>
    </row>
    <row r="870" spans="1:6" ht="12.75" customHeight="1">
      <c r="A870" s="888" t="s">
        <v>1711</v>
      </c>
      <c r="B870" s="888" t="s">
        <v>1258</v>
      </c>
      <c r="C870" s="888" t="s">
        <v>1259</v>
      </c>
    </row>
    <row r="871" spans="1:6" ht="12.75" customHeight="1">
      <c r="A871" s="888">
        <v>62</v>
      </c>
      <c r="B871" s="888" t="s">
        <v>1124</v>
      </c>
      <c r="C871" s="888" t="s">
        <v>1250</v>
      </c>
      <c r="D871" s="889">
        <v>46042</v>
      </c>
      <c r="E871" s="888" t="s">
        <v>310</v>
      </c>
      <c r="F871" s="888" t="s">
        <v>310</v>
      </c>
    </row>
    <row r="872" spans="1:6" ht="12.75" customHeight="1">
      <c r="A872" s="888">
        <v>62</v>
      </c>
      <c r="B872" s="888" t="s">
        <v>1124</v>
      </c>
      <c r="C872" s="888" t="s">
        <v>1250</v>
      </c>
      <c r="D872" s="889">
        <v>46043</v>
      </c>
      <c r="E872" s="890">
        <v>0.76667824074074076</v>
      </c>
      <c r="F872" s="888" t="s">
        <v>310</v>
      </c>
    </row>
    <row r="873" spans="1:6" ht="12.75" customHeight="1">
      <c r="A873" s="888" t="s">
        <v>1712</v>
      </c>
      <c r="B873" s="888" t="s">
        <v>1258</v>
      </c>
      <c r="C873" s="888" t="s">
        <v>1259</v>
      </c>
    </row>
    <row r="874" spans="1:6" ht="12.75" customHeight="1">
      <c r="A874" s="888">
        <v>62</v>
      </c>
      <c r="B874" s="888" t="s">
        <v>1124</v>
      </c>
      <c r="C874" s="888" t="s">
        <v>1250</v>
      </c>
      <c r="D874" s="889">
        <v>46044</v>
      </c>
      <c r="E874" s="888" t="s">
        <v>310</v>
      </c>
      <c r="F874" s="888" t="s">
        <v>310</v>
      </c>
    </row>
    <row r="875" spans="1:6" ht="12.75" customHeight="1">
      <c r="A875" s="888">
        <v>62</v>
      </c>
      <c r="B875" s="888" t="s">
        <v>1124</v>
      </c>
      <c r="C875" s="888" t="s">
        <v>1250</v>
      </c>
      <c r="D875" s="889">
        <v>46045</v>
      </c>
      <c r="E875" s="888" t="s">
        <v>310</v>
      </c>
      <c r="F875" s="888" t="s">
        <v>310</v>
      </c>
    </row>
    <row r="876" spans="1:6" ht="12.75" customHeight="1">
      <c r="A876" s="888">
        <v>62</v>
      </c>
      <c r="B876" s="888" t="s">
        <v>1124</v>
      </c>
      <c r="C876" s="888" t="s">
        <v>1250</v>
      </c>
      <c r="D876" s="889">
        <v>46046</v>
      </c>
      <c r="E876" s="888" t="s">
        <v>310</v>
      </c>
      <c r="F876" s="888" t="s">
        <v>310</v>
      </c>
    </row>
    <row r="877" spans="1:6" ht="12.75" customHeight="1">
      <c r="A877" s="888">
        <v>62</v>
      </c>
      <c r="B877" s="888" t="s">
        <v>1124</v>
      </c>
      <c r="C877" s="888" t="s">
        <v>1250</v>
      </c>
      <c r="D877" s="889">
        <v>46047</v>
      </c>
      <c r="E877" s="890">
        <v>0.34839120370370369</v>
      </c>
      <c r="F877" s="888" t="s">
        <v>310</v>
      </c>
    </row>
    <row r="878" spans="1:6" ht="12.75" customHeight="1">
      <c r="A878" s="888" t="s">
        <v>1713</v>
      </c>
      <c r="B878" s="888" t="s">
        <v>1258</v>
      </c>
      <c r="C878" s="888" t="s">
        <v>1259</v>
      </c>
    </row>
    <row r="879" spans="1:6" ht="12.75" customHeight="1">
      <c r="A879" s="888">
        <v>62</v>
      </c>
      <c r="B879" s="888" t="s">
        <v>1124</v>
      </c>
      <c r="C879" s="888" t="s">
        <v>1250</v>
      </c>
      <c r="D879" s="889">
        <v>46048</v>
      </c>
      <c r="E879" s="888" t="s">
        <v>310</v>
      </c>
      <c r="F879" s="888" t="s">
        <v>310</v>
      </c>
    </row>
    <row r="880" spans="1:6" ht="12.75" customHeight="1">
      <c r="A880" s="888">
        <v>62</v>
      </c>
      <c r="B880" s="888" t="s">
        <v>1124</v>
      </c>
      <c r="C880" s="888" t="s">
        <v>1250</v>
      </c>
      <c r="D880" s="889">
        <v>46049</v>
      </c>
      <c r="E880" s="888" t="s">
        <v>310</v>
      </c>
      <c r="F880" s="888" t="s">
        <v>310</v>
      </c>
    </row>
    <row r="881" spans="1:6" ht="12.75" customHeight="1">
      <c r="A881" s="888">
        <v>62</v>
      </c>
      <c r="B881" s="888" t="s">
        <v>1124</v>
      </c>
      <c r="C881" s="888" t="s">
        <v>1250</v>
      </c>
      <c r="D881" s="889">
        <v>46050</v>
      </c>
      <c r="E881" s="890">
        <v>0.69128472222222226</v>
      </c>
      <c r="F881" s="888" t="s">
        <v>310</v>
      </c>
    </row>
    <row r="882" spans="1:6" ht="12.75" customHeight="1">
      <c r="A882" s="888" t="s">
        <v>1714</v>
      </c>
      <c r="B882" s="888" t="s">
        <v>1258</v>
      </c>
      <c r="C882" s="888" t="s">
        <v>1259</v>
      </c>
    </row>
    <row r="883" spans="1:6" ht="12.75" customHeight="1">
      <c r="A883" s="888">
        <v>62</v>
      </c>
      <c r="B883" s="888" t="s">
        <v>1124</v>
      </c>
      <c r="C883" s="888" t="s">
        <v>1250</v>
      </c>
      <c r="D883" s="889">
        <v>46051</v>
      </c>
      <c r="E883" s="890">
        <v>0.52832175925925928</v>
      </c>
      <c r="F883" s="888" t="s">
        <v>310</v>
      </c>
    </row>
    <row r="884" spans="1:6" ht="12.75" customHeight="1">
      <c r="A884" s="888" t="s">
        <v>1715</v>
      </c>
      <c r="B884" s="888" t="s">
        <v>1258</v>
      </c>
      <c r="C884" s="888" t="s">
        <v>1259</v>
      </c>
    </row>
    <row r="885" spans="1:6" ht="12.75" customHeight="1">
      <c r="A885" s="888">
        <v>62</v>
      </c>
      <c r="B885" s="888" t="s">
        <v>1124</v>
      </c>
      <c r="C885" s="888" t="s">
        <v>1250</v>
      </c>
      <c r="D885" s="889">
        <v>46052</v>
      </c>
      <c r="E885" s="890">
        <v>0.56457175925925929</v>
      </c>
      <c r="F885" s="888" t="s">
        <v>310</v>
      </c>
    </row>
    <row r="886" spans="1:6" ht="12.75" customHeight="1">
      <c r="A886" s="888" t="s">
        <v>1716</v>
      </c>
      <c r="B886" s="888" t="s">
        <v>1258</v>
      </c>
      <c r="C886" s="888" t="s">
        <v>1259</v>
      </c>
    </row>
    <row r="887" spans="1:6" ht="12.75" customHeight="1">
      <c r="A887" s="888">
        <v>62</v>
      </c>
      <c r="B887" s="888" t="s">
        <v>1124</v>
      </c>
      <c r="C887" s="888" t="s">
        <v>1250</v>
      </c>
      <c r="D887" s="889">
        <v>46053</v>
      </c>
      <c r="E887" s="888" t="s">
        <v>310</v>
      </c>
      <c r="F887" s="888" t="s">
        <v>310</v>
      </c>
    </row>
    <row r="888" spans="1:6" ht="12.75" customHeight="1">
      <c r="A888" s="888">
        <v>62</v>
      </c>
      <c r="B888" s="888" t="s">
        <v>1124</v>
      </c>
      <c r="C888" s="888" t="s">
        <v>1250</v>
      </c>
      <c r="D888" s="889">
        <v>46054</v>
      </c>
      <c r="E888" s="888" t="s">
        <v>310</v>
      </c>
      <c r="F888" s="888" t="s">
        <v>310</v>
      </c>
    </row>
    <row r="889" spans="1:6" ht="12.75" customHeight="1">
      <c r="A889" s="888">
        <v>66</v>
      </c>
      <c r="B889" s="888" t="s">
        <v>1125</v>
      </c>
      <c r="C889" s="888" t="s">
        <v>1717</v>
      </c>
      <c r="D889" s="889">
        <v>46023</v>
      </c>
      <c r="E889" s="888" t="s">
        <v>310</v>
      </c>
      <c r="F889" s="888" t="s">
        <v>310</v>
      </c>
    </row>
    <row r="890" spans="1:6" ht="12.75" customHeight="1">
      <c r="A890" s="888">
        <v>66</v>
      </c>
      <c r="B890" s="888" t="s">
        <v>1125</v>
      </c>
      <c r="C890" s="888" t="s">
        <v>1717</v>
      </c>
      <c r="D890" s="889">
        <v>46024</v>
      </c>
      <c r="E890" s="888" t="s">
        <v>310</v>
      </c>
      <c r="F890" s="888" t="s">
        <v>310</v>
      </c>
    </row>
    <row r="891" spans="1:6" ht="12.75" customHeight="1">
      <c r="A891" s="888">
        <v>66</v>
      </c>
      <c r="B891" s="888" t="s">
        <v>1125</v>
      </c>
      <c r="C891" s="888" t="s">
        <v>1717</v>
      </c>
      <c r="D891" s="889">
        <v>46025</v>
      </c>
      <c r="E891" s="888" t="s">
        <v>310</v>
      </c>
      <c r="F891" s="888" t="s">
        <v>310</v>
      </c>
    </row>
    <row r="892" spans="1:6" ht="12.75" customHeight="1">
      <c r="A892" s="888">
        <v>66</v>
      </c>
      <c r="B892" s="888" t="s">
        <v>1125</v>
      </c>
      <c r="C892" s="888" t="s">
        <v>1717</v>
      </c>
      <c r="D892" s="889">
        <v>46026</v>
      </c>
      <c r="E892" s="888" t="s">
        <v>310</v>
      </c>
      <c r="F892" s="888" t="s">
        <v>310</v>
      </c>
    </row>
    <row r="893" spans="1:6" ht="12.75" customHeight="1">
      <c r="A893" s="888">
        <v>66</v>
      </c>
      <c r="B893" s="888" t="s">
        <v>1125</v>
      </c>
      <c r="C893" s="888" t="s">
        <v>1717</v>
      </c>
      <c r="D893" s="889">
        <v>46027</v>
      </c>
      <c r="E893" s="890">
        <v>0.36254629629629631</v>
      </c>
      <c r="F893" s="890">
        <v>0.76450231481481479</v>
      </c>
    </row>
    <row r="894" spans="1:6" ht="12.75" customHeight="1">
      <c r="A894" s="888" t="s">
        <v>1718</v>
      </c>
      <c r="B894" s="888" t="s">
        <v>1719</v>
      </c>
      <c r="C894" s="888" t="s">
        <v>1538</v>
      </c>
    </row>
    <row r="895" spans="1:6" ht="12.75" customHeight="1">
      <c r="A895" s="888">
        <v>66</v>
      </c>
      <c r="B895" s="888" t="s">
        <v>1125</v>
      </c>
      <c r="C895" s="888" t="s">
        <v>1717</v>
      </c>
      <c r="D895" s="889">
        <v>46028</v>
      </c>
      <c r="E895" s="890">
        <v>0.36723379629629632</v>
      </c>
      <c r="F895" s="890">
        <v>0.76875000000000004</v>
      </c>
    </row>
    <row r="896" spans="1:6" ht="12.75" customHeight="1">
      <c r="A896" s="888" t="s">
        <v>1720</v>
      </c>
      <c r="B896" s="888" t="s">
        <v>1721</v>
      </c>
      <c r="C896" s="888" t="s">
        <v>1466</v>
      </c>
    </row>
    <row r="897" spans="1:6" ht="12.75" customHeight="1">
      <c r="A897" s="888">
        <v>66</v>
      </c>
      <c r="B897" s="888" t="s">
        <v>1125</v>
      </c>
      <c r="C897" s="888" t="s">
        <v>1717</v>
      </c>
      <c r="D897" s="889">
        <v>46029</v>
      </c>
      <c r="E897" s="890">
        <v>0.36331018518518521</v>
      </c>
      <c r="F897" s="890">
        <v>0.75598379629629631</v>
      </c>
    </row>
    <row r="898" spans="1:6" ht="12.75" customHeight="1">
      <c r="A898" s="888" t="s">
        <v>1722</v>
      </c>
      <c r="B898" s="888" t="s">
        <v>1723</v>
      </c>
      <c r="C898" s="888" t="s">
        <v>1724</v>
      </c>
    </row>
    <row r="899" spans="1:6" ht="12.75" customHeight="1">
      <c r="A899" s="888">
        <v>66</v>
      </c>
      <c r="B899" s="888" t="s">
        <v>1125</v>
      </c>
      <c r="C899" s="888" t="s">
        <v>1717</v>
      </c>
      <c r="D899" s="889">
        <v>46030</v>
      </c>
      <c r="E899" s="890">
        <v>0.36660879629629628</v>
      </c>
      <c r="F899" s="890">
        <v>0.76244212962962965</v>
      </c>
    </row>
    <row r="900" spans="1:6" ht="12.75" customHeight="1">
      <c r="A900" s="888" t="s">
        <v>1725</v>
      </c>
      <c r="B900" s="888" t="s">
        <v>1726</v>
      </c>
      <c r="C900" s="888" t="s">
        <v>1404</v>
      </c>
    </row>
    <row r="901" spans="1:6" ht="12.75" customHeight="1">
      <c r="A901" s="888">
        <v>66</v>
      </c>
      <c r="B901" s="888" t="s">
        <v>1125</v>
      </c>
      <c r="C901" s="888" t="s">
        <v>1717</v>
      </c>
      <c r="D901" s="889">
        <v>46031</v>
      </c>
      <c r="E901" s="890">
        <v>0.36428240740740742</v>
      </c>
      <c r="F901" s="890">
        <v>0.78741898148148148</v>
      </c>
    </row>
    <row r="902" spans="1:6" ht="12.75" customHeight="1">
      <c r="A902" s="888" t="s">
        <v>1727</v>
      </c>
      <c r="B902" s="888" t="s">
        <v>1728</v>
      </c>
      <c r="C902" s="888" t="s">
        <v>1729</v>
      </c>
    </row>
    <row r="903" spans="1:6" ht="12.75" customHeight="1">
      <c r="A903" s="888">
        <v>66</v>
      </c>
      <c r="B903" s="888" t="s">
        <v>1125</v>
      </c>
      <c r="C903" s="888" t="s">
        <v>1717</v>
      </c>
      <c r="D903" s="889">
        <v>46032</v>
      </c>
      <c r="E903" s="890">
        <v>0.45611111111111113</v>
      </c>
      <c r="F903" s="890">
        <v>0.79909722222222224</v>
      </c>
    </row>
    <row r="904" spans="1:6" ht="12.75" customHeight="1">
      <c r="A904" s="888" t="s">
        <v>1730</v>
      </c>
      <c r="B904" s="888" t="s">
        <v>1731</v>
      </c>
      <c r="C904" s="888" t="s">
        <v>1732</v>
      </c>
    </row>
    <row r="905" spans="1:6" ht="12.75" customHeight="1">
      <c r="A905" s="888">
        <v>66</v>
      </c>
      <c r="B905" s="888" t="s">
        <v>1125</v>
      </c>
      <c r="C905" s="888" t="s">
        <v>1717</v>
      </c>
      <c r="D905" s="889">
        <v>46033</v>
      </c>
      <c r="E905" s="888" t="s">
        <v>310</v>
      </c>
      <c r="F905" s="888" t="s">
        <v>310</v>
      </c>
    </row>
    <row r="906" spans="1:6" ht="12.75" customHeight="1">
      <c r="A906" s="888">
        <v>66</v>
      </c>
      <c r="B906" s="888" t="s">
        <v>1125</v>
      </c>
      <c r="C906" s="888" t="s">
        <v>1717</v>
      </c>
      <c r="D906" s="889">
        <v>46034</v>
      </c>
      <c r="E906" s="890">
        <v>0.36593750000000003</v>
      </c>
      <c r="F906" s="890">
        <v>0.76969907407407412</v>
      </c>
    </row>
    <row r="907" spans="1:6" ht="12.75" customHeight="1">
      <c r="A907" s="888" t="s">
        <v>1733</v>
      </c>
      <c r="B907" s="888" t="s">
        <v>1734</v>
      </c>
      <c r="C907" s="888" t="s">
        <v>1363</v>
      </c>
    </row>
    <row r="908" spans="1:6" ht="12.75" customHeight="1">
      <c r="A908" s="888">
        <v>66</v>
      </c>
      <c r="B908" s="888" t="s">
        <v>1125</v>
      </c>
      <c r="C908" s="888" t="s">
        <v>1717</v>
      </c>
      <c r="D908" s="889">
        <v>46035</v>
      </c>
      <c r="E908" s="890">
        <v>0.36686342592592591</v>
      </c>
      <c r="F908" s="890">
        <v>0.75648148148148153</v>
      </c>
    </row>
    <row r="909" spans="1:6" ht="12.75" customHeight="1">
      <c r="A909" s="888" t="s">
        <v>1735</v>
      </c>
      <c r="B909" s="888" t="s">
        <v>1736</v>
      </c>
      <c r="C909" s="888" t="s">
        <v>1737</v>
      </c>
    </row>
    <row r="910" spans="1:6" ht="12.75" customHeight="1">
      <c r="A910" s="888">
        <v>66</v>
      </c>
      <c r="B910" s="888" t="s">
        <v>1125</v>
      </c>
      <c r="C910" s="888" t="s">
        <v>1717</v>
      </c>
      <c r="D910" s="889">
        <v>46036</v>
      </c>
      <c r="E910" s="890">
        <v>0.36884259259259261</v>
      </c>
      <c r="F910" s="890">
        <v>0.75718750000000001</v>
      </c>
    </row>
    <row r="911" spans="1:6" ht="12.75" customHeight="1">
      <c r="A911" s="888" t="s">
        <v>1738</v>
      </c>
      <c r="B911" s="888" t="s">
        <v>1739</v>
      </c>
      <c r="C911" s="888" t="s">
        <v>1484</v>
      </c>
    </row>
    <row r="912" spans="1:6" ht="12.75" customHeight="1">
      <c r="A912" s="888">
        <v>66</v>
      </c>
      <c r="B912" s="888" t="s">
        <v>1125</v>
      </c>
      <c r="C912" s="888" t="s">
        <v>1717</v>
      </c>
      <c r="D912" s="889">
        <v>46037</v>
      </c>
      <c r="E912" s="890">
        <v>0.37046296296296294</v>
      </c>
      <c r="F912" s="890">
        <v>0.75482638888888887</v>
      </c>
    </row>
    <row r="913" spans="1:6" ht="12.75" customHeight="1">
      <c r="A913" s="888" t="s">
        <v>1740</v>
      </c>
      <c r="B913" s="888" t="s">
        <v>1741</v>
      </c>
      <c r="C913" s="888" t="s">
        <v>1742</v>
      </c>
    </row>
    <row r="914" spans="1:6" ht="12.75" customHeight="1">
      <c r="A914" s="888">
        <v>66</v>
      </c>
      <c r="B914" s="888" t="s">
        <v>1125</v>
      </c>
      <c r="C914" s="888" t="s">
        <v>1717</v>
      </c>
      <c r="D914" s="889">
        <v>46038</v>
      </c>
      <c r="E914" s="890">
        <v>0.37065972222222221</v>
      </c>
      <c r="F914" s="890">
        <v>0.7666087962962963</v>
      </c>
    </row>
    <row r="915" spans="1:6" ht="12.75" customHeight="1">
      <c r="A915" s="888" t="s">
        <v>1743</v>
      </c>
      <c r="B915" s="888" t="s">
        <v>1744</v>
      </c>
      <c r="C915" s="888" t="s">
        <v>1404</v>
      </c>
    </row>
    <row r="916" spans="1:6" ht="12.75" customHeight="1">
      <c r="A916" s="888">
        <v>66</v>
      </c>
      <c r="B916" s="888" t="s">
        <v>1125</v>
      </c>
      <c r="C916" s="888" t="s">
        <v>1717</v>
      </c>
      <c r="D916" s="889">
        <v>46039</v>
      </c>
      <c r="E916" s="888" t="s">
        <v>310</v>
      </c>
      <c r="F916" s="888" t="s">
        <v>310</v>
      </c>
    </row>
    <row r="917" spans="1:6" ht="12.75" customHeight="1">
      <c r="A917" s="888">
        <v>66</v>
      </c>
      <c r="B917" s="888" t="s">
        <v>1125</v>
      </c>
      <c r="C917" s="888" t="s">
        <v>1717</v>
      </c>
      <c r="D917" s="889">
        <v>46040</v>
      </c>
      <c r="E917" s="888" t="s">
        <v>310</v>
      </c>
      <c r="F917" s="888" t="s">
        <v>310</v>
      </c>
    </row>
    <row r="918" spans="1:6" ht="12.75" customHeight="1">
      <c r="A918" s="888">
        <v>66</v>
      </c>
      <c r="B918" s="888" t="s">
        <v>1125</v>
      </c>
      <c r="C918" s="888" t="s">
        <v>1717</v>
      </c>
      <c r="D918" s="889">
        <v>46041</v>
      </c>
      <c r="E918" s="890">
        <v>0.36739583333333331</v>
      </c>
      <c r="F918" s="890">
        <v>0.75771990740740736</v>
      </c>
    </row>
    <row r="919" spans="1:6" ht="12.75" customHeight="1">
      <c r="A919" s="888" t="s">
        <v>1745</v>
      </c>
      <c r="B919" s="888" t="s">
        <v>1746</v>
      </c>
      <c r="C919" s="888" t="s">
        <v>1661</v>
      </c>
    </row>
    <row r="920" spans="1:6" ht="12.75" customHeight="1">
      <c r="A920" s="888">
        <v>66</v>
      </c>
      <c r="B920" s="888" t="s">
        <v>1125</v>
      </c>
      <c r="C920" s="888" t="s">
        <v>1717</v>
      </c>
      <c r="D920" s="889">
        <v>46042</v>
      </c>
      <c r="E920" s="890">
        <v>0.36814814814814817</v>
      </c>
      <c r="F920" s="890">
        <v>0.75353009259259263</v>
      </c>
    </row>
    <row r="921" spans="1:6" ht="12.75" customHeight="1">
      <c r="A921" s="888" t="s">
        <v>1747</v>
      </c>
      <c r="B921" s="888" t="s">
        <v>1748</v>
      </c>
      <c r="C921" s="888" t="s">
        <v>1595</v>
      </c>
    </row>
    <row r="922" spans="1:6" ht="12.75" customHeight="1">
      <c r="A922" s="888">
        <v>66</v>
      </c>
      <c r="B922" s="888" t="s">
        <v>1125</v>
      </c>
      <c r="C922" s="888" t="s">
        <v>1717</v>
      </c>
      <c r="D922" s="889">
        <v>46043</v>
      </c>
      <c r="E922" s="890">
        <v>0.36949074074074073</v>
      </c>
      <c r="F922" s="890">
        <v>0.76731481481481478</v>
      </c>
    </row>
    <row r="923" spans="1:6" ht="12.75" customHeight="1">
      <c r="A923" s="888" t="s">
        <v>1749</v>
      </c>
      <c r="B923" s="888" t="s">
        <v>1750</v>
      </c>
      <c r="C923" s="888" t="s">
        <v>1457</v>
      </c>
    </row>
    <row r="924" spans="1:6" ht="12.75" customHeight="1">
      <c r="A924" s="888">
        <v>66</v>
      </c>
      <c r="B924" s="888" t="s">
        <v>1125</v>
      </c>
      <c r="C924" s="888" t="s">
        <v>1717</v>
      </c>
      <c r="D924" s="889">
        <v>46044</v>
      </c>
      <c r="E924" s="890">
        <v>0.37069444444444444</v>
      </c>
      <c r="F924" s="890">
        <v>0.75763888888888886</v>
      </c>
    </row>
    <row r="925" spans="1:6" ht="12.75" customHeight="1">
      <c r="A925" s="888" t="s">
        <v>1751</v>
      </c>
      <c r="B925" s="888" t="s">
        <v>1752</v>
      </c>
      <c r="C925" s="888" t="s">
        <v>1753</v>
      </c>
    </row>
    <row r="926" spans="1:6" ht="12.75" customHeight="1">
      <c r="A926" s="888">
        <v>66</v>
      </c>
      <c r="B926" s="888" t="s">
        <v>1125</v>
      </c>
      <c r="C926" s="888" t="s">
        <v>1717</v>
      </c>
      <c r="D926" s="889">
        <v>46045</v>
      </c>
      <c r="E926" s="890">
        <v>0.75898148148148148</v>
      </c>
      <c r="F926" s="890">
        <v>0.75954861111111116</v>
      </c>
    </row>
    <row r="927" spans="1:6" ht="12.75" customHeight="1">
      <c r="A927" s="888" t="s">
        <v>1754</v>
      </c>
      <c r="B927" s="888" t="s">
        <v>1755</v>
      </c>
      <c r="C927" s="888" t="s">
        <v>1570</v>
      </c>
    </row>
    <row r="928" spans="1:6" ht="12.75" customHeight="1">
      <c r="A928" s="888">
        <v>66</v>
      </c>
      <c r="B928" s="888" t="s">
        <v>1125</v>
      </c>
      <c r="C928" s="888" t="s">
        <v>1717</v>
      </c>
      <c r="D928" s="889">
        <v>46046</v>
      </c>
      <c r="E928" s="888" t="s">
        <v>310</v>
      </c>
      <c r="F928" s="888" t="s">
        <v>310</v>
      </c>
    </row>
    <row r="929" spans="1:6" ht="12.75" customHeight="1">
      <c r="A929" s="888">
        <v>66</v>
      </c>
      <c r="B929" s="888" t="s">
        <v>1125</v>
      </c>
      <c r="C929" s="888" t="s">
        <v>1717</v>
      </c>
      <c r="D929" s="889">
        <v>46047</v>
      </c>
      <c r="E929" s="888" t="s">
        <v>310</v>
      </c>
      <c r="F929" s="888" t="s">
        <v>310</v>
      </c>
    </row>
    <row r="930" spans="1:6" ht="12.75" customHeight="1">
      <c r="A930" s="888">
        <v>66</v>
      </c>
      <c r="B930" s="888" t="s">
        <v>1125</v>
      </c>
      <c r="C930" s="888" t="s">
        <v>1717</v>
      </c>
      <c r="D930" s="889">
        <v>46048</v>
      </c>
      <c r="E930" s="890">
        <v>0.36583333333333334</v>
      </c>
      <c r="F930" s="890">
        <v>0.76288194444444446</v>
      </c>
    </row>
    <row r="931" spans="1:6" ht="12.75" customHeight="1">
      <c r="A931" s="888" t="s">
        <v>1756</v>
      </c>
      <c r="B931" s="888" t="s">
        <v>1757</v>
      </c>
      <c r="C931" s="888" t="s">
        <v>1514</v>
      </c>
    </row>
    <row r="932" spans="1:6" ht="12.75" customHeight="1">
      <c r="A932" s="888">
        <v>66</v>
      </c>
      <c r="B932" s="888" t="s">
        <v>1125</v>
      </c>
      <c r="C932" s="888" t="s">
        <v>1717</v>
      </c>
      <c r="D932" s="889">
        <v>46049</v>
      </c>
      <c r="E932" s="890">
        <v>0.36833333333333335</v>
      </c>
      <c r="F932" s="890">
        <v>0.75778935185185181</v>
      </c>
    </row>
    <row r="933" spans="1:6" ht="12.75" customHeight="1">
      <c r="A933" s="888" t="s">
        <v>1758</v>
      </c>
      <c r="B933" s="888" t="s">
        <v>1759</v>
      </c>
      <c r="C933" s="888" t="s">
        <v>1737</v>
      </c>
    </row>
    <row r="934" spans="1:6" ht="12.75" customHeight="1">
      <c r="A934" s="888">
        <v>66</v>
      </c>
      <c r="B934" s="888" t="s">
        <v>1125</v>
      </c>
      <c r="C934" s="888" t="s">
        <v>1717</v>
      </c>
      <c r="D934" s="889">
        <v>46050</v>
      </c>
      <c r="E934" s="890">
        <v>0.36978009259259259</v>
      </c>
      <c r="F934" s="890">
        <v>0.76225694444444447</v>
      </c>
    </row>
    <row r="935" spans="1:6" ht="12.75" customHeight="1">
      <c r="A935" s="888" t="s">
        <v>1760</v>
      </c>
      <c r="B935" s="888" t="s">
        <v>1761</v>
      </c>
      <c r="C935" s="888" t="s">
        <v>1724</v>
      </c>
    </row>
    <row r="936" spans="1:6" ht="12.75" customHeight="1">
      <c r="A936" s="888">
        <v>66</v>
      </c>
      <c r="B936" s="888" t="s">
        <v>1125</v>
      </c>
      <c r="C936" s="888" t="s">
        <v>1717</v>
      </c>
      <c r="D936" s="889">
        <v>46051</v>
      </c>
      <c r="E936" s="890">
        <v>0.36981481481481482</v>
      </c>
      <c r="F936" s="890">
        <v>0.76415509259259262</v>
      </c>
    </row>
    <row r="937" spans="1:6" ht="12.75" customHeight="1">
      <c r="A937" s="888" t="s">
        <v>1762</v>
      </c>
      <c r="B937" s="888" t="s">
        <v>1763</v>
      </c>
      <c r="C937" s="888" t="s">
        <v>1285</v>
      </c>
    </row>
    <row r="938" spans="1:6" ht="12.75" customHeight="1">
      <c r="A938" s="888">
        <v>66</v>
      </c>
      <c r="B938" s="888" t="s">
        <v>1125</v>
      </c>
      <c r="C938" s="888" t="s">
        <v>1717</v>
      </c>
      <c r="D938" s="889">
        <v>46052</v>
      </c>
      <c r="E938" s="890">
        <v>0.36974537037037036</v>
      </c>
      <c r="F938" s="890">
        <v>0.80939814814814814</v>
      </c>
    </row>
    <row r="939" spans="1:6" ht="12.75" customHeight="1">
      <c r="A939" s="888" t="s">
        <v>1764</v>
      </c>
      <c r="B939" s="888" t="s">
        <v>1765</v>
      </c>
      <c r="C939" s="888" t="s">
        <v>1766</v>
      </c>
    </row>
    <row r="940" spans="1:6" ht="12.75" customHeight="1">
      <c r="A940" s="888">
        <v>66</v>
      </c>
      <c r="B940" s="888" t="s">
        <v>1125</v>
      </c>
      <c r="C940" s="888" t="s">
        <v>1717</v>
      </c>
      <c r="D940" s="889">
        <v>46053</v>
      </c>
      <c r="E940" s="888" t="s">
        <v>310</v>
      </c>
      <c r="F940" s="888" t="s">
        <v>310</v>
      </c>
    </row>
    <row r="941" spans="1:6" ht="12.75" customHeight="1">
      <c r="A941" s="888">
        <v>66</v>
      </c>
      <c r="B941" s="888" t="s">
        <v>1125</v>
      </c>
      <c r="C941" s="888" t="s">
        <v>1717</v>
      </c>
      <c r="D941" s="889">
        <v>46054</v>
      </c>
      <c r="E941" s="888" t="s">
        <v>310</v>
      </c>
      <c r="F941" s="888" t="s">
        <v>310</v>
      </c>
    </row>
    <row r="942" spans="1:6" ht="12.75" customHeight="1">
      <c r="A942" s="888">
        <v>71</v>
      </c>
      <c r="B942" s="888" t="s">
        <v>1126</v>
      </c>
      <c r="C942" s="888" t="s">
        <v>1767</v>
      </c>
      <c r="D942" s="889">
        <v>46023</v>
      </c>
      <c r="E942" s="888" t="s">
        <v>310</v>
      </c>
      <c r="F942" s="888" t="s">
        <v>310</v>
      </c>
    </row>
    <row r="943" spans="1:6" ht="12.75" customHeight="1">
      <c r="A943" s="888">
        <v>71</v>
      </c>
      <c r="B943" s="888" t="s">
        <v>1126</v>
      </c>
      <c r="C943" s="888" t="s">
        <v>1767</v>
      </c>
      <c r="D943" s="889">
        <v>46024</v>
      </c>
      <c r="E943" s="888" t="s">
        <v>310</v>
      </c>
      <c r="F943" s="888" t="s">
        <v>310</v>
      </c>
    </row>
    <row r="944" spans="1:6" ht="12.75" customHeight="1">
      <c r="A944" s="888">
        <v>71</v>
      </c>
      <c r="B944" s="888" t="s">
        <v>1126</v>
      </c>
      <c r="C944" s="888" t="s">
        <v>1767</v>
      </c>
      <c r="D944" s="889">
        <v>46025</v>
      </c>
      <c r="E944" s="888" t="s">
        <v>310</v>
      </c>
      <c r="F944" s="888" t="s">
        <v>310</v>
      </c>
    </row>
    <row r="945" spans="1:6" ht="12.75" customHeight="1">
      <c r="A945" s="888">
        <v>71</v>
      </c>
      <c r="B945" s="888" t="s">
        <v>1126</v>
      </c>
      <c r="C945" s="888" t="s">
        <v>1767</v>
      </c>
      <c r="D945" s="889">
        <v>46026</v>
      </c>
      <c r="E945" s="888" t="s">
        <v>310</v>
      </c>
      <c r="F945" s="888" t="s">
        <v>310</v>
      </c>
    </row>
    <row r="946" spans="1:6" ht="12.75" customHeight="1">
      <c r="A946" s="888">
        <v>71</v>
      </c>
      <c r="B946" s="888" t="s">
        <v>1126</v>
      </c>
      <c r="C946" s="888" t="s">
        <v>1767</v>
      </c>
      <c r="D946" s="889">
        <v>46027</v>
      </c>
      <c r="E946" s="890">
        <v>0.37184027777777778</v>
      </c>
      <c r="F946" s="890">
        <v>0.81085648148148148</v>
      </c>
    </row>
    <row r="947" spans="1:6" ht="12.75" customHeight="1">
      <c r="A947" s="888" t="s">
        <v>1768</v>
      </c>
      <c r="B947" s="888" t="s">
        <v>1769</v>
      </c>
      <c r="C947" s="888" t="s">
        <v>1770</v>
      </c>
    </row>
    <row r="948" spans="1:6" ht="12.75" customHeight="1">
      <c r="A948" s="888">
        <v>71</v>
      </c>
      <c r="B948" s="888" t="s">
        <v>1126</v>
      </c>
      <c r="C948" s="888" t="s">
        <v>1767</v>
      </c>
      <c r="D948" s="889">
        <v>46028</v>
      </c>
      <c r="E948" s="890">
        <v>0.39898148148148149</v>
      </c>
      <c r="F948" s="890">
        <v>0.81844907407407408</v>
      </c>
    </row>
    <row r="949" spans="1:6" ht="12.75" customHeight="1">
      <c r="A949" s="888" t="s">
        <v>1771</v>
      </c>
      <c r="B949" s="888" t="s">
        <v>1772</v>
      </c>
      <c r="C949" s="888" t="s">
        <v>1773</v>
      </c>
    </row>
    <row r="950" spans="1:6" ht="12.75" customHeight="1">
      <c r="A950" s="888">
        <v>71</v>
      </c>
      <c r="B950" s="888" t="s">
        <v>1126</v>
      </c>
      <c r="C950" s="888" t="s">
        <v>1767</v>
      </c>
      <c r="D950" s="889">
        <v>46029</v>
      </c>
      <c r="E950" s="890">
        <v>0.41162037037037036</v>
      </c>
      <c r="F950" s="890">
        <v>0.80489583333333337</v>
      </c>
    </row>
    <row r="951" spans="1:6" ht="12.75" customHeight="1">
      <c r="A951" s="888" t="s">
        <v>1774</v>
      </c>
      <c r="B951" s="888" t="s">
        <v>1775</v>
      </c>
      <c r="C951" s="888" t="s">
        <v>1776</v>
      </c>
    </row>
    <row r="952" spans="1:6" ht="12.75" customHeight="1">
      <c r="A952" s="888">
        <v>71</v>
      </c>
      <c r="B952" s="888" t="s">
        <v>1126</v>
      </c>
      <c r="C952" s="888" t="s">
        <v>1767</v>
      </c>
      <c r="D952" s="889">
        <v>46030</v>
      </c>
      <c r="E952" s="890">
        <v>0.42115740740740742</v>
      </c>
      <c r="F952" s="890">
        <v>0.78715277777777781</v>
      </c>
    </row>
    <row r="953" spans="1:6" ht="12.75" customHeight="1">
      <c r="A953" s="888" t="s">
        <v>1777</v>
      </c>
      <c r="B953" s="888" t="s">
        <v>1778</v>
      </c>
      <c r="C953" s="888" t="s">
        <v>1779</v>
      </c>
    </row>
    <row r="954" spans="1:6" ht="12.75" customHeight="1">
      <c r="A954" s="888">
        <v>71</v>
      </c>
      <c r="B954" s="888" t="s">
        <v>1126</v>
      </c>
      <c r="C954" s="888" t="s">
        <v>1767</v>
      </c>
      <c r="D954" s="889">
        <v>46031</v>
      </c>
      <c r="E954" s="890">
        <v>0.53893518518518524</v>
      </c>
      <c r="F954" s="890">
        <v>0.80415509259259255</v>
      </c>
    </row>
    <row r="955" spans="1:6" ht="12.75" customHeight="1">
      <c r="A955" s="888" t="s">
        <v>1780</v>
      </c>
      <c r="B955" s="888" t="s">
        <v>1781</v>
      </c>
      <c r="C955" s="888" t="s">
        <v>1782</v>
      </c>
    </row>
    <row r="956" spans="1:6" ht="12.75" customHeight="1">
      <c r="A956" s="888">
        <v>71</v>
      </c>
      <c r="B956" s="888" t="s">
        <v>1126</v>
      </c>
      <c r="C956" s="888" t="s">
        <v>1767</v>
      </c>
      <c r="D956" s="889">
        <v>46032</v>
      </c>
      <c r="E956" s="890">
        <v>0.38149305555555557</v>
      </c>
      <c r="F956" s="890">
        <v>0.80579861111111106</v>
      </c>
    </row>
    <row r="957" spans="1:6" ht="12.75" customHeight="1">
      <c r="A957" s="888" t="s">
        <v>1783</v>
      </c>
      <c r="B957" s="888" t="s">
        <v>1784</v>
      </c>
      <c r="C957" s="888" t="s">
        <v>1393</v>
      </c>
    </row>
    <row r="958" spans="1:6" ht="12.75" customHeight="1">
      <c r="A958" s="888">
        <v>71</v>
      </c>
      <c r="B958" s="888" t="s">
        <v>1126</v>
      </c>
      <c r="C958" s="888" t="s">
        <v>1767</v>
      </c>
      <c r="D958" s="889">
        <v>46033</v>
      </c>
      <c r="E958" s="888" t="s">
        <v>310</v>
      </c>
      <c r="F958" s="888" t="s">
        <v>310</v>
      </c>
    </row>
    <row r="959" spans="1:6" ht="12.75" customHeight="1">
      <c r="A959" s="888">
        <v>71</v>
      </c>
      <c r="B959" s="888" t="s">
        <v>1126</v>
      </c>
      <c r="C959" s="888" t="s">
        <v>1767</v>
      </c>
      <c r="D959" s="889">
        <v>46034</v>
      </c>
      <c r="E959" s="890">
        <v>0.37443287037037037</v>
      </c>
      <c r="F959" s="890">
        <v>0.81282407407407409</v>
      </c>
    </row>
    <row r="960" spans="1:6" ht="12.75" customHeight="1">
      <c r="A960" s="888" t="s">
        <v>1785</v>
      </c>
      <c r="B960" s="888" t="s">
        <v>1786</v>
      </c>
      <c r="C960" s="888" t="s">
        <v>1787</v>
      </c>
    </row>
    <row r="961" spans="1:6" ht="12.75" customHeight="1">
      <c r="A961" s="888">
        <v>71</v>
      </c>
      <c r="B961" s="888" t="s">
        <v>1126</v>
      </c>
      <c r="C961" s="888" t="s">
        <v>1767</v>
      </c>
      <c r="D961" s="889">
        <v>46035</v>
      </c>
      <c r="E961" s="890">
        <v>0.39604166666666668</v>
      </c>
      <c r="F961" s="890">
        <v>0.81399305555555557</v>
      </c>
    </row>
    <row r="962" spans="1:6" ht="12.75" customHeight="1">
      <c r="A962" s="888" t="s">
        <v>1788</v>
      </c>
      <c r="B962" s="888" t="s">
        <v>1789</v>
      </c>
      <c r="C962" s="888" t="s">
        <v>1790</v>
      </c>
    </row>
    <row r="963" spans="1:6" ht="12.75" customHeight="1">
      <c r="A963" s="888">
        <v>71</v>
      </c>
      <c r="B963" s="888" t="s">
        <v>1126</v>
      </c>
      <c r="C963" s="888" t="s">
        <v>1767</v>
      </c>
      <c r="D963" s="889">
        <v>46036</v>
      </c>
      <c r="E963" s="890">
        <v>0.35877314814814815</v>
      </c>
      <c r="F963" s="890">
        <v>0.73438657407407404</v>
      </c>
    </row>
    <row r="964" spans="1:6" ht="12.75" customHeight="1">
      <c r="A964" s="888" t="s">
        <v>1791</v>
      </c>
      <c r="B964" s="888" t="s">
        <v>1792</v>
      </c>
      <c r="C964" s="888" t="s">
        <v>1330</v>
      </c>
    </row>
    <row r="965" spans="1:6" ht="12.75" customHeight="1">
      <c r="A965" s="888">
        <v>71</v>
      </c>
      <c r="B965" s="888" t="s">
        <v>1126</v>
      </c>
      <c r="C965" s="888" t="s">
        <v>1767</v>
      </c>
      <c r="D965" s="889">
        <v>46037</v>
      </c>
      <c r="E965" s="890">
        <v>0.38692129629629629</v>
      </c>
      <c r="F965" s="890">
        <v>0.86069444444444443</v>
      </c>
    </row>
    <row r="966" spans="1:6" ht="12.75" customHeight="1">
      <c r="A966" s="888" t="s">
        <v>1793</v>
      </c>
      <c r="B966" s="888" t="s">
        <v>1794</v>
      </c>
      <c r="C966" s="888" t="s">
        <v>1795</v>
      </c>
    </row>
    <row r="967" spans="1:6" ht="12.75" customHeight="1">
      <c r="A967" s="888">
        <v>71</v>
      </c>
      <c r="B967" s="888" t="s">
        <v>1126</v>
      </c>
      <c r="C967" s="888" t="s">
        <v>1767</v>
      </c>
      <c r="D967" s="889">
        <v>46038</v>
      </c>
      <c r="E967" s="890">
        <v>0.38880787037037035</v>
      </c>
      <c r="F967" s="890">
        <v>0.83281249999999996</v>
      </c>
    </row>
    <row r="968" spans="1:6" ht="12.75" customHeight="1">
      <c r="A968" s="888" t="s">
        <v>1796</v>
      </c>
      <c r="B968" s="888" t="s">
        <v>1797</v>
      </c>
      <c r="C968" s="888" t="s">
        <v>1270</v>
      </c>
    </row>
    <row r="969" spans="1:6" ht="12.75" customHeight="1">
      <c r="A969" s="888">
        <v>71</v>
      </c>
      <c r="B969" s="888" t="s">
        <v>1126</v>
      </c>
      <c r="C969" s="888" t="s">
        <v>1767</v>
      </c>
      <c r="D969" s="889">
        <v>46039</v>
      </c>
      <c r="E969" s="888" t="s">
        <v>310</v>
      </c>
      <c r="F969" s="888" t="s">
        <v>310</v>
      </c>
    </row>
    <row r="970" spans="1:6" ht="12.75" customHeight="1">
      <c r="A970" s="888">
        <v>71</v>
      </c>
      <c r="B970" s="888" t="s">
        <v>1126</v>
      </c>
      <c r="C970" s="888" t="s">
        <v>1767</v>
      </c>
      <c r="D970" s="889">
        <v>46040</v>
      </c>
      <c r="E970" s="888" t="s">
        <v>310</v>
      </c>
      <c r="F970" s="888" t="s">
        <v>310</v>
      </c>
    </row>
    <row r="971" spans="1:6" ht="12.75" customHeight="1">
      <c r="A971" s="888">
        <v>71</v>
      </c>
      <c r="B971" s="888" t="s">
        <v>1126</v>
      </c>
      <c r="C971" s="888" t="s">
        <v>1767</v>
      </c>
      <c r="D971" s="889">
        <v>46041</v>
      </c>
      <c r="E971" s="890">
        <v>0.38881944444444444</v>
      </c>
      <c r="F971" s="890">
        <v>0.78391203703703705</v>
      </c>
    </row>
    <row r="972" spans="1:6" ht="12.75" customHeight="1">
      <c r="A972" s="888" t="s">
        <v>1798</v>
      </c>
      <c r="B972" s="888" t="s">
        <v>1799</v>
      </c>
      <c r="C972" s="888" t="s">
        <v>1413</v>
      </c>
    </row>
    <row r="973" spans="1:6" ht="12.75" customHeight="1">
      <c r="A973" s="888">
        <v>71</v>
      </c>
      <c r="B973" s="888" t="s">
        <v>1126</v>
      </c>
      <c r="C973" s="888" t="s">
        <v>1767</v>
      </c>
      <c r="D973" s="889">
        <v>46042</v>
      </c>
      <c r="E973" s="890">
        <v>0.39344907407407409</v>
      </c>
      <c r="F973" s="890">
        <v>0.78408564814814818</v>
      </c>
    </row>
    <row r="974" spans="1:6" ht="12.75" customHeight="1">
      <c r="A974" s="888" t="s">
        <v>1800</v>
      </c>
      <c r="B974" s="888" t="s">
        <v>1801</v>
      </c>
      <c r="C974" s="888" t="s">
        <v>1437</v>
      </c>
    </row>
    <row r="975" spans="1:6" ht="12.75" customHeight="1">
      <c r="A975" s="888">
        <v>71</v>
      </c>
      <c r="B975" s="888" t="s">
        <v>1126</v>
      </c>
      <c r="C975" s="888" t="s">
        <v>1767</v>
      </c>
      <c r="D975" s="889">
        <v>46043</v>
      </c>
      <c r="E975" s="890">
        <v>0.39907407407407408</v>
      </c>
      <c r="F975" s="890">
        <v>0.79434027777777783</v>
      </c>
    </row>
    <row r="976" spans="1:6" ht="12.75" customHeight="1">
      <c r="A976" s="888" t="s">
        <v>1802</v>
      </c>
      <c r="B976" s="888" t="s">
        <v>1803</v>
      </c>
      <c r="C976" s="888" t="s">
        <v>1413</v>
      </c>
    </row>
    <row r="977" spans="1:6" ht="12.75" customHeight="1">
      <c r="A977" s="888">
        <v>71</v>
      </c>
      <c r="B977" s="888" t="s">
        <v>1126</v>
      </c>
      <c r="C977" s="888" t="s">
        <v>1767</v>
      </c>
      <c r="D977" s="889">
        <v>46044</v>
      </c>
      <c r="E977" s="890">
        <v>0.41238425925925926</v>
      </c>
      <c r="F977" s="890">
        <v>0.80783564814814812</v>
      </c>
    </row>
    <row r="978" spans="1:6" ht="12.75" customHeight="1">
      <c r="A978" s="888" t="s">
        <v>1804</v>
      </c>
      <c r="B978" s="888" t="s">
        <v>1805</v>
      </c>
      <c r="C978" s="888" t="s">
        <v>1413</v>
      </c>
    </row>
    <row r="979" spans="1:6" ht="12.75" customHeight="1">
      <c r="A979" s="888">
        <v>71</v>
      </c>
      <c r="B979" s="888" t="s">
        <v>1126</v>
      </c>
      <c r="C979" s="888" t="s">
        <v>1767</v>
      </c>
      <c r="D979" s="889">
        <v>46045</v>
      </c>
      <c r="E979" s="890">
        <v>0.41233796296296299</v>
      </c>
      <c r="F979" s="890">
        <v>0.83523148148148152</v>
      </c>
    </row>
    <row r="980" spans="1:6" ht="12.75" customHeight="1">
      <c r="A980" s="888" t="s">
        <v>1806</v>
      </c>
      <c r="B980" s="888" t="s">
        <v>1807</v>
      </c>
      <c r="C980" s="888" t="s">
        <v>1729</v>
      </c>
    </row>
    <row r="981" spans="1:6" ht="12.75" customHeight="1">
      <c r="A981" s="888">
        <v>71</v>
      </c>
      <c r="B981" s="888" t="s">
        <v>1126</v>
      </c>
      <c r="C981" s="888" t="s">
        <v>1767</v>
      </c>
      <c r="D981" s="889">
        <v>46046</v>
      </c>
      <c r="E981" s="888" t="s">
        <v>310</v>
      </c>
      <c r="F981" s="888" t="s">
        <v>310</v>
      </c>
    </row>
    <row r="982" spans="1:6" ht="12.75" customHeight="1">
      <c r="A982" s="888">
        <v>71</v>
      </c>
      <c r="B982" s="888" t="s">
        <v>1126</v>
      </c>
      <c r="C982" s="888" t="s">
        <v>1767</v>
      </c>
      <c r="D982" s="889">
        <v>46047</v>
      </c>
      <c r="E982" s="888" t="s">
        <v>310</v>
      </c>
      <c r="F982" s="888" t="s">
        <v>310</v>
      </c>
    </row>
    <row r="983" spans="1:6" ht="12.75" customHeight="1">
      <c r="A983" s="888">
        <v>71</v>
      </c>
      <c r="B983" s="888" t="s">
        <v>1126</v>
      </c>
      <c r="C983" s="888" t="s">
        <v>1767</v>
      </c>
      <c r="D983" s="889">
        <v>46048</v>
      </c>
      <c r="E983" s="890">
        <v>0.5761574074074074</v>
      </c>
      <c r="F983" s="890">
        <v>0.77098379629629632</v>
      </c>
    </row>
    <row r="984" spans="1:6" ht="12.75" customHeight="1">
      <c r="A984" s="888" t="s">
        <v>1808</v>
      </c>
      <c r="B984" s="888" t="s">
        <v>1809</v>
      </c>
      <c r="C984" s="888" t="s">
        <v>1810</v>
      </c>
    </row>
    <row r="985" spans="1:6" ht="12.75" customHeight="1">
      <c r="A985" s="888">
        <v>71</v>
      </c>
      <c r="B985" s="888" t="s">
        <v>1126</v>
      </c>
      <c r="C985" s="888" t="s">
        <v>1767</v>
      </c>
      <c r="D985" s="889">
        <v>46049</v>
      </c>
      <c r="E985" s="890">
        <v>0.40204861111111112</v>
      </c>
      <c r="F985" s="890">
        <v>0.79395833333333332</v>
      </c>
    </row>
    <row r="986" spans="1:6" ht="12.75" customHeight="1">
      <c r="A986" s="888" t="s">
        <v>1811</v>
      </c>
      <c r="B986" s="888" t="s">
        <v>1812</v>
      </c>
      <c r="C986" s="888" t="s">
        <v>1813</v>
      </c>
    </row>
    <row r="987" spans="1:6" ht="12.75" customHeight="1">
      <c r="A987" s="888">
        <v>71</v>
      </c>
      <c r="B987" s="888" t="s">
        <v>1126</v>
      </c>
      <c r="C987" s="888" t="s">
        <v>1767</v>
      </c>
      <c r="D987" s="889">
        <v>46050</v>
      </c>
      <c r="E987" s="890">
        <v>0.38822916666666668</v>
      </c>
      <c r="F987" s="890">
        <v>0.8006712962962963</v>
      </c>
    </row>
    <row r="988" spans="1:6" ht="12.75" customHeight="1">
      <c r="A988" s="888" t="s">
        <v>1814</v>
      </c>
      <c r="B988" s="888" t="s">
        <v>1815</v>
      </c>
      <c r="C988" s="888" t="s">
        <v>1816</v>
      </c>
    </row>
    <row r="989" spans="1:6" ht="12.75" customHeight="1">
      <c r="A989" s="888">
        <v>71</v>
      </c>
      <c r="B989" s="888" t="s">
        <v>1126</v>
      </c>
      <c r="C989" s="888" t="s">
        <v>1767</v>
      </c>
      <c r="D989" s="889">
        <v>46051</v>
      </c>
      <c r="E989" s="890">
        <v>0.38537037037037036</v>
      </c>
      <c r="F989" s="890">
        <v>0.84120370370370368</v>
      </c>
    </row>
    <row r="990" spans="1:6" ht="12.75" customHeight="1">
      <c r="A990" s="888" t="s">
        <v>1817</v>
      </c>
      <c r="B990" s="888" t="s">
        <v>1818</v>
      </c>
      <c r="C990" s="888" t="s">
        <v>1819</v>
      </c>
    </row>
    <row r="991" spans="1:6" ht="12.75" customHeight="1">
      <c r="A991" s="888">
        <v>71</v>
      </c>
      <c r="B991" s="888" t="s">
        <v>1126</v>
      </c>
      <c r="C991" s="888" t="s">
        <v>1767</v>
      </c>
      <c r="D991" s="889">
        <v>46052</v>
      </c>
      <c r="E991" s="890">
        <v>0.55883101851851846</v>
      </c>
      <c r="F991" s="890">
        <v>0.82511574074074079</v>
      </c>
    </row>
    <row r="992" spans="1:6" ht="12.75" customHeight="1">
      <c r="A992" s="888" t="s">
        <v>1820</v>
      </c>
      <c r="B992" s="888" t="s">
        <v>1821</v>
      </c>
      <c r="C992" s="888" t="s">
        <v>1822</v>
      </c>
    </row>
    <row r="993" spans="1:6" ht="12.75" customHeight="1">
      <c r="A993" s="888">
        <v>71</v>
      </c>
      <c r="B993" s="888" t="s">
        <v>1126</v>
      </c>
      <c r="C993" s="888" t="s">
        <v>1767</v>
      </c>
      <c r="D993" s="889">
        <v>46053</v>
      </c>
      <c r="E993" s="888" t="s">
        <v>310</v>
      </c>
      <c r="F993" s="888" t="s">
        <v>310</v>
      </c>
    </row>
    <row r="994" spans="1:6" ht="12.75" customHeight="1">
      <c r="A994" s="888">
        <v>71</v>
      </c>
      <c r="B994" s="888" t="s">
        <v>1126</v>
      </c>
      <c r="C994" s="888" t="s">
        <v>1767</v>
      </c>
      <c r="D994" s="889">
        <v>46054</v>
      </c>
      <c r="E994" s="888" t="s">
        <v>310</v>
      </c>
      <c r="F994" s="888" t="s">
        <v>310</v>
      </c>
    </row>
    <row r="995" spans="1:6" ht="12.75" customHeight="1">
      <c r="A995" s="888">
        <v>74</v>
      </c>
      <c r="B995" s="888" t="s">
        <v>1127</v>
      </c>
      <c r="C995" s="888" t="s">
        <v>1823</v>
      </c>
      <c r="D995" s="889">
        <v>46023</v>
      </c>
      <c r="E995" s="888" t="s">
        <v>310</v>
      </c>
      <c r="F995" s="888" t="s">
        <v>310</v>
      </c>
    </row>
    <row r="996" spans="1:6" ht="12.75" customHeight="1">
      <c r="A996" s="888">
        <v>74</v>
      </c>
      <c r="B996" s="888" t="s">
        <v>1127</v>
      </c>
      <c r="C996" s="888" t="s">
        <v>1823</v>
      </c>
      <c r="D996" s="889">
        <v>46024</v>
      </c>
      <c r="E996" s="888" t="s">
        <v>310</v>
      </c>
      <c r="F996" s="888" t="s">
        <v>310</v>
      </c>
    </row>
    <row r="997" spans="1:6" ht="12.75" customHeight="1">
      <c r="A997" s="888">
        <v>74</v>
      </c>
      <c r="B997" s="888" t="s">
        <v>1127</v>
      </c>
      <c r="C997" s="888" t="s">
        <v>1823</v>
      </c>
      <c r="D997" s="889">
        <v>46025</v>
      </c>
      <c r="E997" s="888" t="s">
        <v>310</v>
      </c>
      <c r="F997" s="888" t="s">
        <v>310</v>
      </c>
    </row>
    <row r="998" spans="1:6" ht="12.75" customHeight="1">
      <c r="A998" s="888">
        <v>74</v>
      </c>
      <c r="B998" s="888" t="s">
        <v>1127</v>
      </c>
      <c r="C998" s="888" t="s">
        <v>1823</v>
      </c>
      <c r="D998" s="889">
        <v>46026</v>
      </c>
      <c r="E998" s="888" t="s">
        <v>310</v>
      </c>
      <c r="F998" s="888" t="s">
        <v>310</v>
      </c>
    </row>
    <row r="999" spans="1:6" ht="12.75" customHeight="1">
      <c r="A999" s="888">
        <v>74</v>
      </c>
      <c r="B999" s="888" t="s">
        <v>1127</v>
      </c>
      <c r="C999" s="888" t="s">
        <v>1823</v>
      </c>
      <c r="D999" s="889">
        <v>46027</v>
      </c>
      <c r="E999" s="888" t="s">
        <v>310</v>
      </c>
      <c r="F999" s="888" t="s">
        <v>310</v>
      </c>
    </row>
    <row r="1000" spans="1:6" ht="12.75" customHeight="1">
      <c r="A1000" s="888">
        <v>74</v>
      </c>
      <c r="B1000" s="888" t="s">
        <v>1127</v>
      </c>
      <c r="C1000" s="888" t="s">
        <v>1823</v>
      </c>
      <c r="D1000" s="889">
        <v>46028</v>
      </c>
      <c r="E1000" s="888" t="s">
        <v>310</v>
      </c>
      <c r="F1000" s="888" t="s">
        <v>310</v>
      </c>
    </row>
    <row r="1001" spans="1:6" ht="12.75" customHeight="1">
      <c r="A1001" s="888">
        <v>74</v>
      </c>
      <c r="B1001" s="888" t="s">
        <v>1127</v>
      </c>
      <c r="C1001" s="888" t="s">
        <v>1823</v>
      </c>
      <c r="D1001" s="889">
        <v>46029</v>
      </c>
      <c r="E1001" s="888" t="s">
        <v>310</v>
      </c>
      <c r="F1001" s="888" t="s">
        <v>310</v>
      </c>
    </row>
    <row r="1002" spans="1:6" ht="12.75" customHeight="1">
      <c r="A1002" s="888">
        <v>74</v>
      </c>
      <c r="B1002" s="888" t="s">
        <v>1127</v>
      </c>
      <c r="C1002" s="888" t="s">
        <v>1823</v>
      </c>
      <c r="D1002" s="889">
        <v>46030</v>
      </c>
      <c r="E1002" s="888" t="s">
        <v>310</v>
      </c>
      <c r="F1002" s="888" t="s">
        <v>310</v>
      </c>
    </row>
    <row r="1003" spans="1:6" ht="12.75" customHeight="1">
      <c r="A1003" s="888">
        <v>74</v>
      </c>
      <c r="B1003" s="888" t="s">
        <v>1127</v>
      </c>
      <c r="C1003" s="888" t="s">
        <v>1823</v>
      </c>
      <c r="D1003" s="889">
        <v>46031</v>
      </c>
      <c r="E1003" s="888" t="s">
        <v>310</v>
      </c>
      <c r="F1003" s="888" t="s">
        <v>310</v>
      </c>
    </row>
    <row r="1004" spans="1:6" ht="12.75" customHeight="1">
      <c r="A1004" s="888">
        <v>74</v>
      </c>
      <c r="B1004" s="888" t="s">
        <v>1127</v>
      </c>
      <c r="C1004" s="888" t="s">
        <v>1823</v>
      </c>
      <c r="D1004" s="889">
        <v>46032</v>
      </c>
      <c r="E1004" s="888" t="s">
        <v>310</v>
      </c>
      <c r="F1004" s="888" t="s">
        <v>310</v>
      </c>
    </row>
    <row r="1005" spans="1:6" ht="12.75" customHeight="1">
      <c r="A1005" s="888">
        <v>74</v>
      </c>
      <c r="B1005" s="888" t="s">
        <v>1127</v>
      </c>
      <c r="C1005" s="888" t="s">
        <v>1823</v>
      </c>
      <c r="D1005" s="889">
        <v>46033</v>
      </c>
      <c r="E1005" s="888" t="s">
        <v>310</v>
      </c>
      <c r="F1005" s="888" t="s">
        <v>310</v>
      </c>
    </row>
    <row r="1006" spans="1:6" ht="12.75" customHeight="1">
      <c r="A1006" s="888">
        <v>74</v>
      </c>
      <c r="B1006" s="888" t="s">
        <v>1127</v>
      </c>
      <c r="C1006" s="888" t="s">
        <v>1823</v>
      </c>
      <c r="D1006" s="889">
        <v>46034</v>
      </c>
      <c r="E1006" s="888" t="s">
        <v>310</v>
      </c>
      <c r="F1006" s="888" t="s">
        <v>310</v>
      </c>
    </row>
    <row r="1007" spans="1:6" ht="12.75" customHeight="1">
      <c r="A1007" s="888">
        <v>74</v>
      </c>
      <c r="B1007" s="888" t="s">
        <v>1127</v>
      </c>
      <c r="C1007" s="888" t="s">
        <v>1823</v>
      </c>
      <c r="D1007" s="889">
        <v>46035</v>
      </c>
      <c r="E1007" s="888" t="s">
        <v>310</v>
      </c>
      <c r="F1007" s="888" t="s">
        <v>310</v>
      </c>
    </row>
    <row r="1008" spans="1:6" ht="12.75" customHeight="1">
      <c r="A1008" s="888">
        <v>74</v>
      </c>
      <c r="B1008" s="888" t="s">
        <v>1127</v>
      </c>
      <c r="C1008" s="888" t="s">
        <v>1823</v>
      </c>
      <c r="D1008" s="889">
        <v>46036</v>
      </c>
      <c r="E1008" s="888" t="s">
        <v>310</v>
      </c>
      <c r="F1008" s="888" t="s">
        <v>310</v>
      </c>
    </row>
    <row r="1009" spans="1:6" ht="12.75" customHeight="1">
      <c r="A1009" s="888">
        <v>74</v>
      </c>
      <c r="B1009" s="888" t="s">
        <v>1127</v>
      </c>
      <c r="C1009" s="888" t="s">
        <v>1823</v>
      </c>
      <c r="D1009" s="889">
        <v>46037</v>
      </c>
      <c r="E1009" s="888" t="s">
        <v>310</v>
      </c>
      <c r="F1009" s="888" t="s">
        <v>310</v>
      </c>
    </row>
    <row r="1010" spans="1:6" ht="12.75" customHeight="1">
      <c r="A1010" s="888">
        <v>74</v>
      </c>
      <c r="B1010" s="888" t="s">
        <v>1127</v>
      </c>
      <c r="C1010" s="888" t="s">
        <v>1823</v>
      </c>
      <c r="D1010" s="889">
        <v>46038</v>
      </c>
      <c r="E1010" s="888" t="s">
        <v>310</v>
      </c>
      <c r="F1010" s="888" t="s">
        <v>310</v>
      </c>
    </row>
    <row r="1011" spans="1:6" ht="12.75" customHeight="1">
      <c r="A1011" s="888">
        <v>74</v>
      </c>
      <c r="B1011" s="888" t="s">
        <v>1127</v>
      </c>
      <c r="C1011" s="888" t="s">
        <v>1823</v>
      </c>
      <c r="D1011" s="889">
        <v>46039</v>
      </c>
      <c r="E1011" s="888" t="s">
        <v>310</v>
      </c>
      <c r="F1011" s="888" t="s">
        <v>310</v>
      </c>
    </row>
    <row r="1012" spans="1:6" ht="12.75" customHeight="1">
      <c r="A1012" s="888">
        <v>74</v>
      </c>
      <c r="B1012" s="888" t="s">
        <v>1127</v>
      </c>
      <c r="C1012" s="888" t="s">
        <v>1823</v>
      </c>
      <c r="D1012" s="889">
        <v>46040</v>
      </c>
      <c r="E1012" s="888" t="s">
        <v>310</v>
      </c>
      <c r="F1012" s="888" t="s">
        <v>310</v>
      </c>
    </row>
    <row r="1013" spans="1:6" ht="12.75" customHeight="1">
      <c r="A1013" s="888">
        <v>74</v>
      </c>
      <c r="B1013" s="888" t="s">
        <v>1127</v>
      </c>
      <c r="C1013" s="888" t="s">
        <v>1823</v>
      </c>
      <c r="D1013" s="889">
        <v>46041</v>
      </c>
      <c r="E1013" s="890">
        <v>0.36349537037037039</v>
      </c>
      <c r="F1013" s="890">
        <v>0.37357638888888889</v>
      </c>
    </row>
    <row r="1014" spans="1:6" ht="12.75" customHeight="1">
      <c r="A1014" s="888" t="s">
        <v>1824</v>
      </c>
      <c r="B1014" s="888" t="s">
        <v>1825</v>
      </c>
      <c r="C1014" s="888" t="s">
        <v>1826</v>
      </c>
    </row>
    <row r="1015" spans="1:6" ht="12.75" customHeight="1">
      <c r="A1015" s="888">
        <v>74</v>
      </c>
      <c r="B1015" s="888" t="s">
        <v>1127</v>
      </c>
      <c r="C1015" s="888" t="s">
        <v>1823</v>
      </c>
      <c r="D1015" s="889">
        <v>46042</v>
      </c>
      <c r="E1015" s="888" t="s">
        <v>310</v>
      </c>
      <c r="F1015" s="888" t="s">
        <v>310</v>
      </c>
    </row>
    <row r="1016" spans="1:6" ht="12.75" customHeight="1">
      <c r="A1016" s="888">
        <v>74</v>
      </c>
      <c r="B1016" s="888" t="s">
        <v>1127</v>
      </c>
      <c r="C1016" s="888" t="s">
        <v>1823</v>
      </c>
      <c r="D1016" s="889">
        <v>46043</v>
      </c>
      <c r="E1016" s="888" t="s">
        <v>310</v>
      </c>
      <c r="F1016" s="888" t="s">
        <v>310</v>
      </c>
    </row>
    <row r="1017" spans="1:6" ht="12.75" customHeight="1">
      <c r="A1017" s="888">
        <v>74</v>
      </c>
      <c r="B1017" s="888" t="s">
        <v>1127</v>
      </c>
      <c r="C1017" s="888" t="s">
        <v>1823</v>
      </c>
      <c r="D1017" s="889">
        <v>46044</v>
      </c>
      <c r="E1017" s="890">
        <v>0.76715277777777779</v>
      </c>
      <c r="F1017" s="890">
        <v>0.76718750000000002</v>
      </c>
    </row>
    <row r="1018" spans="1:6" ht="12.75" customHeight="1">
      <c r="A1018" s="888" t="s">
        <v>1827</v>
      </c>
      <c r="B1018" s="888" t="s">
        <v>1828</v>
      </c>
      <c r="C1018" s="888" t="s">
        <v>1259</v>
      </c>
    </row>
    <row r="1019" spans="1:6" ht="12.75" customHeight="1">
      <c r="A1019" s="888">
        <v>74</v>
      </c>
      <c r="B1019" s="888" t="s">
        <v>1127</v>
      </c>
      <c r="C1019" s="888" t="s">
        <v>1823</v>
      </c>
      <c r="D1019" s="889">
        <v>46045</v>
      </c>
      <c r="E1019" s="888" t="s">
        <v>310</v>
      </c>
      <c r="F1019" s="888" t="s">
        <v>310</v>
      </c>
    </row>
    <row r="1020" spans="1:6" ht="12.75" customHeight="1">
      <c r="A1020" s="888">
        <v>74</v>
      </c>
      <c r="B1020" s="888" t="s">
        <v>1127</v>
      </c>
      <c r="C1020" s="888" t="s">
        <v>1823</v>
      </c>
      <c r="D1020" s="889">
        <v>46046</v>
      </c>
      <c r="E1020" s="888" t="s">
        <v>310</v>
      </c>
      <c r="F1020" s="888" t="s">
        <v>310</v>
      </c>
    </row>
    <row r="1021" spans="1:6" ht="12.75" customHeight="1">
      <c r="A1021" s="888">
        <v>74</v>
      </c>
      <c r="B1021" s="888" t="s">
        <v>1127</v>
      </c>
      <c r="C1021" s="888" t="s">
        <v>1823</v>
      </c>
      <c r="D1021" s="889">
        <v>46047</v>
      </c>
      <c r="E1021" s="888" t="s">
        <v>310</v>
      </c>
      <c r="F1021" s="888" t="s">
        <v>310</v>
      </c>
    </row>
    <row r="1022" spans="1:6" ht="12.75" customHeight="1">
      <c r="A1022" s="888">
        <v>74</v>
      </c>
      <c r="B1022" s="888" t="s">
        <v>1127</v>
      </c>
      <c r="C1022" s="888" t="s">
        <v>1823</v>
      </c>
      <c r="D1022" s="889">
        <v>46048</v>
      </c>
      <c r="E1022" s="888" t="s">
        <v>310</v>
      </c>
      <c r="F1022" s="888" t="s">
        <v>310</v>
      </c>
    </row>
    <row r="1023" spans="1:6" ht="12.75" customHeight="1">
      <c r="A1023" s="888">
        <v>74</v>
      </c>
      <c r="B1023" s="888" t="s">
        <v>1127</v>
      </c>
      <c r="C1023" s="888" t="s">
        <v>1823</v>
      </c>
      <c r="D1023" s="889">
        <v>46049</v>
      </c>
      <c r="E1023" s="888" t="s">
        <v>310</v>
      </c>
      <c r="F1023" s="888" t="s">
        <v>310</v>
      </c>
    </row>
    <row r="1024" spans="1:6" ht="12.75" customHeight="1">
      <c r="A1024" s="888">
        <v>74</v>
      </c>
      <c r="B1024" s="888" t="s">
        <v>1127</v>
      </c>
      <c r="C1024" s="888" t="s">
        <v>1823</v>
      </c>
      <c r="D1024" s="889">
        <v>46050</v>
      </c>
      <c r="E1024" s="888" t="s">
        <v>310</v>
      </c>
      <c r="F1024" s="888" t="s">
        <v>310</v>
      </c>
    </row>
    <row r="1025" spans="1:6" ht="12.75" customHeight="1">
      <c r="A1025" s="888">
        <v>74</v>
      </c>
      <c r="B1025" s="888" t="s">
        <v>1127</v>
      </c>
      <c r="C1025" s="888" t="s">
        <v>1823</v>
      </c>
      <c r="D1025" s="889">
        <v>46051</v>
      </c>
      <c r="E1025" s="890">
        <v>0.62270833333333331</v>
      </c>
      <c r="F1025" s="890">
        <v>0.62307870370370366</v>
      </c>
    </row>
    <row r="1026" spans="1:6" ht="12.75" customHeight="1">
      <c r="A1026" s="888" t="s">
        <v>1829</v>
      </c>
      <c r="B1026" s="888" t="s">
        <v>1830</v>
      </c>
      <c r="C1026" s="888" t="s">
        <v>1570</v>
      </c>
    </row>
    <row r="1027" spans="1:6" ht="12.75" customHeight="1">
      <c r="A1027" s="888">
        <v>74</v>
      </c>
      <c r="B1027" s="888" t="s">
        <v>1127</v>
      </c>
      <c r="C1027" s="888" t="s">
        <v>1823</v>
      </c>
      <c r="D1027" s="889">
        <v>46052</v>
      </c>
      <c r="E1027" s="888" t="s">
        <v>310</v>
      </c>
      <c r="F1027" s="888" t="s">
        <v>310</v>
      </c>
    </row>
    <row r="1028" spans="1:6" ht="12.75" customHeight="1">
      <c r="A1028" s="888">
        <v>74</v>
      </c>
      <c r="B1028" s="888" t="s">
        <v>1127</v>
      </c>
      <c r="C1028" s="888" t="s">
        <v>1823</v>
      </c>
      <c r="D1028" s="889">
        <v>46053</v>
      </c>
      <c r="E1028" s="888" t="s">
        <v>310</v>
      </c>
      <c r="F1028" s="888" t="s">
        <v>310</v>
      </c>
    </row>
    <row r="1029" spans="1:6" ht="12.75" customHeight="1">
      <c r="A1029" s="888">
        <v>74</v>
      </c>
      <c r="B1029" s="888" t="s">
        <v>1127</v>
      </c>
      <c r="C1029" s="888" t="s">
        <v>1823</v>
      </c>
      <c r="D1029" s="889">
        <v>46054</v>
      </c>
      <c r="E1029" s="888" t="s">
        <v>310</v>
      </c>
      <c r="F1029" s="888" t="s">
        <v>310</v>
      </c>
    </row>
    <row r="1030" spans="1:6" ht="12.75" customHeight="1">
      <c r="A1030" s="888">
        <v>76</v>
      </c>
      <c r="B1030" s="888" t="s">
        <v>1128</v>
      </c>
      <c r="C1030" s="888" t="s">
        <v>1652</v>
      </c>
      <c r="D1030" s="889">
        <v>46023</v>
      </c>
      <c r="E1030" s="888" t="s">
        <v>310</v>
      </c>
      <c r="F1030" s="888" t="s">
        <v>310</v>
      </c>
    </row>
    <row r="1031" spans="1:6" ht="12.75" customHeight="1">
      <c r="A1031" s="888">
        <v>76</v>
      </c>
      <c r="B1031" s="888" t="s">
        <v>1128</v>
      </c>
      <c r="C1031" s="888" t="s">
        <v>1652</v>
      </c>
      <c r="D1031" s="889">
        <v>46024</v>
      </c>
      <c r="E1031" s="888" t="s">
        <v>310</v>
      </c>
      <c r="F1031" s="888" t="s">
        <v>310</v>
      </c>
    </row>
    <row r="1032" spans="1:6" ht="12.75" customHeight="1">
      <c r="A1032" s="888">
        <v>76</v>
      </c>
      <c r="B1032" s="888" t="s">
        <v>1128</v>
      </c>
      <c r="C1032" s="888" t="s">
        <v>1652</v>
      </c>
      <c r="D1032" s="889">
        <v>46025</v>
      </c>
      <c r="E1032" s="888" t="s">
        <v>310</v>
      </c>
      <c r="F1032" s="888" t="s">
        <v>310</v>
      </c>
    </row>
    <row r="1033" spans="1:6" ht="12.75" customHeight="1">
      <c r="A1033" s="888">
        <v>76</v>
      </c>
      <c r="B1033" s="888" t="s">
        <v>1128</v>
      </c>
      <c r="C1033" s="888" t="s">
        <v>1652</v>
      </c>
      <c r="D1033" s="889">
        <v>46026</v>
      </c>
      <c r="E1033" s="888" t="s">
        <v>310</v>
      </c>
      <c r="F1033" s="888" t="s">
        <v>310</v>
      </c>
    </row>
    <row r="1034" spans="1:6" ht="12.75" customHeight="1">
      <c r="A1034" s="888">
        <v>76</v>
      </c>
      <c r="B1034" s="888" t="s">
        <v>1128</v>
      </c>
      <c r="C1034" s="888" t="s">
        <v>1652</v>
      </c>
      <c r="D1034" s="889">
        <v>46027</v>
      </c>
      <c r="E1034" s="890">
        <v>0.56111111111111112</v>
      </c>
      <c r="F1034" s="890">
        <v>0.7522106481481482</v>
      </c>
    </row>
    <row r="1035" spans="1:6" ht="12.75" customHeight="1">
      <c r="A1035" s="888" t="s">
        <v>1831</v>
      </c>
      <c r="B1035" s="888" t="s">
        <v>1832</v>
      </c>
      <c r="C1035" s="888" t="s">
        <v>1833</v>
      </c>
    </row>
    <row r="1036" spans="1:6" ht="12.75" customHeight="1">
      <c r="A1036" s="888">
        <v>76</v>
      </c>
      <c r="B1036" s="888" t="s">
        <v>1128</v>
      </c>
      <c r="C1036" s="888" t="s">
        <v>1652</v>
      </c>
      <c r="D1036" s="889">
        <v>46028</v>
      </c>
      <c r="E1036" s="890">
        <v>0.36289351851851853</v>
      </c>
      <c r="F1036" s="890">
        <v>0.76186342592592593</v>
      </c>
    </row>
    <row r="1037" spans="1:6" ht="12.75" customHeight="1">
      <c r="A1037" s="888" t="s">
        <v>1834</v>
      </c>
      <c r="B1037" s="888" t="s">
        <v>1835</v>
      </c>
      <c r="C1037" s="888" t="s">
        <v>1288</v>
      </c>
    </row>
    <row r="1038" spans="1:6" ht="12.75" customHeight="1">
      <c r="A1038" s="888">
        <v>76</v>
      </c>
      <c r="B1038" s="888" t="s">
        <v>1128</v>
      </c>
      <c r="C1038" s="888" t="s">
        <v>1652</v>
      </c>
      <c r="D1038" s="889">
        <v>46029</v>
      </c>
      <c r="E1038" s="890">
        <v>0.35646990740740742</v>
      </c>
      <c r="F1038" s="890">
        <v>0.78028935185185189</v>
      </c>
    </row>
    <row r="1039" spans="1:6" ht="12.75" customHeight="1">
      <c r="A1039" s="888" t="s">
        <v>1836</v>
      </c>
      <c r="B1039" s="888" t="s">
        <v>1837</v>
      </c>
      <c r="C1039" s="888" t="s">
        <v>1419</v>
      </c>
    </row>
    <row r="1040" spans="1:6" ht="12.75" customHeight="1">
      <c r="A1040" s="888">
        <v>76</v>
      </c>
      <c r="B1040" s="888" t="s">
        <v>1128</v>
      </c>
      <c r="C1040" s="888" t="s">
        <v>1652</v>
      </c>
      <c r="D1040" s="889">
        <v>46030</v>
      </c>
      <c r="E1040" s="890">
        <v>0.56491898148148145</v>
      </c>
      <c r="F1040" s="890">
        <v>0.78314814814814815</v>
      </c>
    </row>
    <row r="1041" spans="1:6" ht="12.75" customHeight="1">
      <c r="A1041" s="888" t="s">
        <v>1838</v>
      </c>
      <c r="B1041" s="888" t="s">
        <v>1839</v>
      </c>
      <c r="C1041" s="888" t="s">
        <v>1840</v>
      </c>
    </row>
    <row r="1042" spans="1:6" ht="12.75" customHeight="1">
      <c r="A1042" s="888">
        <v>76</v>
      </c>
      <c r="B1042" s="888" t="s">
        <v>1128</v>
      </c>
      <c r="C1042" s="888" t="s">
        <v>1652</v>
      </c>
      <c r="D1042" s="889">
        <v>46031</v>
      </c>
      <c r="E1042" s="890">
        <v>0.35318287037037038</v>
      </c>
      <c r="F1042" s="890">
        <v>0.75680555555555551</v>
      </c>
    </row>
    <row r="1043" spans="1:6" ht="12.75" customHeight="1">
      <c r="A1043" s="888" t="s">
        <v>1841</v>
      </c>
      <c r="B1043" s="888" t="s">
        <v>1842</v>
      </c>
      <c r="C1043" s="888" t="s">
        <v>1363</v>
      </c>
    </row>
    <row r="1044" spans="1:6" ht="12.75" customHeight="1">
      <c r="A1044" s="888">
        <v>76</v>
      </c>
      <c r="B1044" s="888" t="s">
        <v>1128</v>
      </c>
      <c r="C1044" s="888" t="s">
        <v>1652</v>
      </c>
      <c r="D1044" s="889">
        <v>46032</v>
      </c>
      <c r="E1044" s="890">
        <v>0.37626157407407407</v>
      </c>
      <c r="F1044" s="890">
        <v>0.76648148148148143</v>
      </c>
    </row>
    <row r="1045" spans="1:6" ht="12.75" customHeight="1">
      <c r="A1045" s="888" t="s">
        <v>1843</v>
      </c>
      <c r="B1045" s="888" t="s">
        <v>1844</v>
      </c>
      <c r="C1045" s="888" t="s">
        <v>1661</v>
      </c>
    </row>
    <row r="1046" spans="1:6" ht="12.75" customHeight="1">
      <c r="A1046" s="888">
        <v>76</v>
      </c>
      <c r="B1046" s="888" t="s">
        <v>1128</v>
      </c>
      <c r="C1046" s="888" t="s">
        <v>1652</v>
      </c>
      <c r="D1046" s="889">
        <v>46033</v>
      </c>
      <c r="E1046" s="888" t="s">
        <v>310</v>
      </c>
      <c r="F1046" s="888" t="s">
        <v>310</v>
      </c>
    </row>
    <row r="1047" spans="1:6" ht="12.75" customHeight="1">
      <c r="A1047" s="888">
        <v>76</v>
      </c>
      <c r="B1047" s="888" t="s">
        <v>1128</v>
      </c>
      <c r="C1047" s="888" t="s">
        <v>1652</v>
      </c>
      <c r="D1047" s="889">
        <v>46034</v>
      </c>
      <c r="E1047" s="890">
        <v>0.35432870370370373</v>
      </c>
      <c r="F1047" s="890">
        <v>0.76353009259259264</v>
      </c>
    </row>
    <row r="1048" spans="1:6" ht="12.75" customHeight="1">
      <c r="A1048" s="888" t="s">
        <v>1845</v>
      </c>
      <c r="B1048" s="888" t="s">
        <v>1846</v>
      </c>
      <c r="C1048" s="888" t="s">
        <v>1372</v>
      </c>
    </row>
    <row r="1049" spans="1:6" ht="12.75" customHeight="1">
      <c r="A1049" s="888">
        <v>76</v>
      </c>
      <c r="B1049" s="888" t="s">
        <v>1128</v>
      </c>
      <c r="C1049" s="888" t="s">
        <v>1652</v>
      </c>
      <c r="D1049" s="889">
        <v>46035</v>
      </c>
      <c r="E1049" s="890">
        <v>0.35728009259259258</v>
      </c>
      <c r="F1049" s="890">
        <v>0.78983796296296294</v>
      </c>
    </row>
    <row r="1050" spans="1:6" ht="12.75" customHeight="1">
      <c r="A1050" s="888" t="s">
        <v>1847</v>
      </c>
      <c r="B1050" s="888" t="s">
        <v>1848</v>
      </c>
      <c r="C1050" s="888" t="s">
        <v>1849</v>
      </c>
    </row>
    <row r="1051" spans="1:6" ht="12.75" customHeight="1">
      <c r="A1051" s="888">
        <v>76</v>
      </c>
      <c r="B1051" s="888" t="s">
        <v>1128</v>
      </c>
      <c r="C1051" s="888" t="s">
        <v>1652</v>
      </c>
      <c r="D1051" s="889">
        <v>46036</v>
      </c>
      <c r="E1051" s="890">
        <v>0.35640046296296296</v>
      </c>
      <c r="F1051" s="890">
        <v>0.87953703703703701</v>
      </c>
    </row>
    <row r="1052" spans="1:6" ht="12.75" customHeight="1">
      <c r="A1052" s="888" t="s">
        <v>1850</v>
      </c>
      <c r="B1052" s="888" t="s">
        <v>1851</v>
      </c>
      <c r="C1052" s="888" t="s">
        <v>1852</v>
      </c>
    </row>
    <row r="1053" spans="1:6" ht="12.75" customHeight="1">
      <c r="A1053" s="888">
        <v>76</v>
      </c>
      <c r="B1053" s="888" t="s">
        <v>1128</v>
      </c>
      <c r="C1053" s="888" t="s">
        <v>1652</v>
      </c>
      <c r="D1053" s="889">
        <v>46037</v>
      </c>
      <c r="E1053" s="890">
        <v>0.37335648148148148</v>
      </c>
      <c r="F1053" s="890">
        <v>0.76402777777777775</v>
      </c>
    </row>
    <row r="1054" spans="1:6" ht="12.75" customHeight="1">
      <c r="A1054" s="888" t="s">
        <v>1853</v>
      </c>
      <c r="B1054" s="888" t="s">
        <v>1854</v>
      </c>
      <c r="C1054" s="888" t="s">
        <v>1437</v>
      </c>
    </row>
    <row r="1055" spans="1:6" ht="12.75" customHeight="1">
      <c r="A1055" s="888">
        <v>76</v>
      </c>
      <c r="B1055" s="888" t="s">
        <v>1128</v>
      </c>
      <c r="C1055" s="888" t="s">
        <v>1652</v>
      </c>
      <c r="D1055" s="889">
        <v>46038</v>
      </c>
      <c r="E1055" s="890">
        <v>0.36255787037037035</v>
      </c>
      <c r="F1055" s="890">
        <v>0.91712962962962963</v>
      </c>
    </row>
    <row r="1056" spans="1:6" ht="12.75" customHeight="1">
      <c r="A1056" s="888" t="s">
        <v>1855</v>
      </c>
      <c r="B1056" s="888" t="s">
        <v>1856</v>
      </c>
      <c r="C1056" s="888" t="s">
        <v>1857</v>
      </c>
    </row>
    <row r="1057" spans="1:6" ht="12.75" customHeight="1">
      <c r="A1057" s="888">
        <v>76</v>
      </c>
      <c r="B1057" s="888" t="s">
        <v>1128</v>
      </c>
      <c r="C1057" s="888" t="s">
        <v>1652</v>
      </c>
      <c r="D1057" s="889">
        <v>46039</v>
      </c>
      <c r="E1057" s="888" t="s">
        <v>310</v>
      </c>
      <c r="F1057" s="888" t="s">
        <v>310</v>
      </c>
    </row>
    <row r="1058" spans="1:6" ht="12.75" customHeight="1">
      <c r="A1058" s="888">
        <v>76</v>
      </c>
      <c r="B1058" s="888" t="s">
        <v>1128</v>
      </c>
      <c r="C1058" s="888" t="s">
        <v>1652</v>
      </c>
      <c r="D1058" s="889">
        <v>46040</v>
      </c>
      <c r="E1058" s="888" t="s">
        <v>310</v>
      </c>
      <c r="F1058" s="888" t="s">
        <v>310</v>
      </c>
    </row>
    <row r="1059" spans="1:6" ht="12.75" customHeight="1">
      <c r="A1059" s="888">
        <v>76</v>
      </c>
      <c r="B1059" s="888" t="s">
        <v>1128</v>
      </c>
      <c r="C1059" s="888" t="s">
        <v>1652</v>
      </c>
      <c r="D1059" s="889">
        <v>46041</v>
      </c>
      <c r="E1059" s="890">
        <v>0.55912037037037032</v>
      </c>
      <c r="F1059" s="890">
        <v>0.78013888888888894</v>
      </c>
    </row>
    <row r="1060" spans="1:6" ht="12.75" customHeight="1">
      <c r="A1060" s="888" t="s">
        <v>1858</v>
      </c>
      <c r="B1060" s="888" t="s">
        <v>1859</v>
      </c>
      <c r="C1060" s="888" t="s">
        <v>1860</v>
      </c>
    </row>
    <row r="1061" spans="1:6" ht="12.75" customHeight="1">
      <c r="A1061" s="888">
        <v>76</v>
      </c>
      <c r="B1061" s="888" t="s">
        <v>1128</v>
      </c>
      <c r="C1061" s="888" t="s">
        <v>1652</v>
      </c>
      <c r="D1061" s="889">
        <v>46042</v>
      </c>
      <c r="E1061" s="890">
        <v>0.55847222222222226</v>
      </c>
      <c r="F1061" s="890">
        <v>0.78594907407407411</v>
      </c>
    </row>
    <row r="1062" spans="1:6" ht="12.75" customHeight="1">
      <c r="A1062" s="888" t="s">
        <v>1861</v>
      </c>
      <c r="B1062" s="888" t="s">
        <v>1862</v>
      </c>
      <c r="C1062" s="888" t="s">
        <v>1863</v>
      </c>
    </row>
    <row r="1063" spans="1:6" ht="12.75" customHeight="1">
      <c r="A1063" s="888">
        <v>76</v>
      </c>
      <c r="B1063" s="888" t="s">
        <v>1128</v>
      </c>
      <c r="C1063" s="888" t="s">
        <v>1652</v>
      </c>
      <c r="D1063" s="889">
        <v>46043</v>
      </c>
      <c r="E1063" s="890">
        <v>0.36173611111111109</v>
      </c>
      <c r="F1063" s="890">
        <v>0.76923611111111112</v>
      </c>
    </row>
    <row r="1064" spans="1:6" ht="12.75" customHeight="1">
      <c r="A1064" s="888" t="s">
        <v>1864</v>
      </c>
      <c r="B1064" s="888" t="s">
        <v>1865</v>
      </c>
      <c r="C1064" s="888" t="s">
        <v>1645</v>
      </c>
    </row>
    <row r="1065" spans="1:6" ht="12.75" customHeight="1">
      <c r="A1065" s="888">
        <v>76</v>
      </c>
      <c r="B1065" s="888" t="s">
        <v>1128</v>
      </c>
      <c r="C1065" s="888" t="s">
        <v>1652</v>
      </c>
      <c r="D1065" s="889">
        <v>46044</v>
      </c>
      <c r="E1065" s="890">
        <v>0.36092592592592593</v>
      </c>
      <c r="F1065" s="890">
        <v>0.76804398148148145</v>
      </c>
    </row>
    <row r="1066" spans="1:6" ht="12.75" customHeight="1">
      <c r="A1066" s="888" t="s">
        <v>1866</v>
      </c>
      <c r="B1066" s="888" t="s">
        <v>1867</v>
      </c>
      <c r="C1066" s="888" t="s">
        <v>1868</v>
      </c>
    </row>
    <row r="1067" spans="1:6" ht="12.75" customHeight="1">
      <c r="A1067" s="888">
        <v>76</v>
      </c>
      <c r="B1067" s="888" t="s">
        <v>1128</v>
      </c>
      <c r="C1067" s="888" t="s">
        <v>1652</v>
      </c>
      <c r="D1067" s="889">
        <v>46045</v>
      </c>
      <c r="E1067" s="890">
        <v>0.36954861111111109</v>
      </c>
      <c r="F1067" s="890">
        <v>0.7904282407407407</v>
      </c>
    </row>
    <row r="1068" spans="1:6" ht="12.75" customHeight="1">
      <c r="A1068" s="888" t="s">
        <v>1869</v>
      </c>
      <c r="B1068" s="888" t="s">
        <v>1870</v>
      </c>
      <c r="C1068" s="888" t="s">
        <v>1871</v>
      </c>
    </row>
    <row r="1069" spans="1:6" ht="12.75" customHeight="1">
      <c r="A1069" s="888">
        <v>76</v>
      </c>
      <c r="B1069" s="888" t="s">
        <v>1128</v>
      </c>
      <c r="C1069" s="888" t="s">
        <v>1652</v>
      </c>
      <c r="D1069" s="889">
        <v>46046</v>
      </c>
      <c r="E1069" s="888" t="s">
        <v>310</v>
      </c>
      <c r="F1069" s="888" t="s">
        <v>310</v>
      </c>
    </row>
    <row r="1070" spans="1:6" ht="12.75" customHeight="1">
      <c r="A1070" s="888">
        <v>76</v>
      </c>
      <c r="B1070" s="888" t="s">
        <v>1128</v>
      </c>
      <c r="C1070" s="888" t="s">
        <v>1652</v>
      </c>
      <c r="D1070" s="889">
        <v>46047</v>
      </c>
      <c r="E1070" s="888" t="s">
        <v>310</v>
      </c>
      <c r="F1070" s="888" t="s">
        <v>310</v>
      </c>
    </row>
    <row r="1071" spans="1:6" ht="12.75" customHeight="1">
      <c r="A1071" s="888">
        <v>76</v>
      </c>
      <c r="B1071" s="888" t="s">
        <v>1128</v>
      </c>
      <c r="C1071" s="888" t="s">
        <v>1652</v>
      </c>
      <c r="D1071" s="889">
        <v>46048</v>
      </c>
      <c r="E1071" s="888" t="s">
        <v>310</v>
      </c>
      <c r="F1071" s="888" t="s">
        <v>310</v>
      </c>
    </row>
    <row r="1072" spans="1:6" ht="12.75" customHeight="1">
      <c r="A1072" s="888">
        <v>76</v>
      </c>
      <c r="B1072" s="888" t="s">
        <v>1128</v>
      </c>
      <c r="C1072" s="888" t="s">
        <v>1652</v>
      </c>
      <c r="D1072" s="889">
        <v>46049</v>
      </c>
      <c r="E1072" s="890">
        <v>0.35730324074074077</v>
      </c>
      <c r="F1072" s="890">
        <v>0.76682870370370371</v>
      </c>
    </row>
    <row r="1073" spans="1:6" ht="12.75" customHeight="1">
      <c r="A1073" s="888" t="s">
        <v>1872</v>
      </c>
      <c r="B1073" s="888" t="s">
        <v>1873</v>
      </c>
      <c r="C1073" s="888" t="s">
        <v>1874</v>
      </c>
    </row>
    <row r="1074" spans="1:6" ht="12.75" customHeight="1">
      <c r="A1074" s="888">
        <v>76</v>
      </c>
      <c r="B1074" s="888" t="s">
        <v>1128</v>
      </c>
      <c r="C1074" s="888" t="s">
        <v>1652</v>
      </c>
      <c r="D1074" s="889">
        <v>46050</v>
      </c>
      <c r="E1074" s="890">
        <v>0.36228009259259258</v>
      </c>
      <c r="F1074" s="890">
        <v>0.76226851851851851</v>
      </c>
    </row>
    <row r="1075" spans="1:6" ht="12.75" customHeight="1">
      <c r="A1075" s="888" t="s">
        <v>1875</v>
      </c>
      <c r="B1075" s="888" t="s">
        <v>1876</v>
      </c>
      <c r="C1075" s="888" t="s">
        <v>1526</v>
      </c>
    </row>
    <row r="1076" spans="1:6" ht="12.75" customHeight="1">
      <c r="A1076" s="888">
        <v>76</v>
      </c>
      <c r="B1076" s="888" t="s">
        <v>1128</v>
      </c>
      <c r="C1076" s="888" t="s">
        <v>1652</v>
      </c>
      <c r="D1076" s="889">
        <v>46051</v>
      </c>
      <c r="E1076" s="890">
        <v>0.36364583333333333</v>
      </c>
      <c r="F1076" s="890">
        <v>0.77893518518518523</v>
      </c>
    </row>
    <row r="1077" spans="1:6" ht="12.75" customHeight="1">
      <c r="A1077" s="888" t="s">
        <v>1877</v>
      </c>
      <c r="B1077" s="888" t="s">
        <v>1878</v>
      </c>
      <c r="C1077" s="888" t="s">
        <v>1879</v>
      </c>
    </row>
    <row r="1078" spans="1:6" ht="12.75" customHeight="1">
      <c r="A1078" s="888">
        <v>76</v>
      </c>
      <c r="B1078" s="888" t="s">
        <v>1128</v>
      </c>
      <c r="C1078" s="888" t="s">
        <v>1652</v>
      </c>
      <c r="D1078" s="889">
        <v>46052</v>
      </c>
      <c r="E1078" s="890">
        <v>0.37796296296296295</v>
      </c>
      <c r="F1078" s="890">
        <v>0.76631944444444444</v>
      </c>
    </row>
    <row r="1079" spans="1:6" ht="12.75" customHeight="1">
      <c r="A1079" s="888" t="s">
        <v>1880</v>
      </c>
      <c r="B1079" s="888" t="s">
        <v>1881</v>
      </c>
      <c r="C1079" s="888" t="s">
        <v>1484</v>
      </c>
    </row>
    <row r="1080" spans="1:6" ht="12.75" customHeight="1">
      <c r="A1080" s="888">
        <v>76</v>
      </c>
      <c r="B1080" s="888" t="s">
        <v>1128</v>
      </c>
      <c r="C1080" s="888" t="s">
        <v>1652</v>
      </c>
      <c r="D1080" s="889">
        <v>46053</v>
      </c>
      <c r="E1080" s="888" t="s">
        <v>310</v>
      </c>
      <c r="F1080" s="888" t="s">
        <v>310</v>
      </c>
    </row>
    <row r="1081" spans="1:6" ht="12.75" customHeight="1">
      <c r="A1081" s="888">
        <v>76</v>
      </c>
      <c r="B1081" s="888" t="s">
        <v>1128</v>
      </c>
      <c r="C1081" s="888" t="s">
        <v>1652</v>
      </c>
      <c r="D1081" s="889">
        <v>46054</v>
      </c>
      <c r="E1081" s="888" t="s">
        <v>310</v>
      </c>
      <c r="F1081" s="888" t="s">
        <v>310</v>
      </c>
    </row>
    <row r="1082" spans="1:6" ht="12.75" customHeight="1">
      <c r="A1082" s="888">
        <v>77</v>
      </c>
      <c r="B1082" s="888" t="s">
        <v>1129</v>
      </c>
      <c r="C1082" s="888" t="s">
        <v>1250</v>
      </c>
      <c r="D1082" s="889">
        <v>46023</v>
      </c>
      <c r="E1082" s="888" t="s">
        <v>310</v>
      </c>
      <c r="F1082" s="888" t="s">
        <v>310</v>
      </c>
    </row>
    <row r="1083" spans="1:6" ht="12.75" customHeight="1">
      <c r="A1083" s="888">
        <v>77</v>
      </c>
      <c r="B1083" s="888" t="s">
        <v>1129</v>
      </c>
      <c r="C1083" s="888" t="s">
        <v>1250</v>
      </c>
      <c r="D1083" s="889">
        <v>46024</v>
      </c>
      <c r="E1083" s="888" t="s">
        <v>310</v>
      </c>
      <c r="F1083" s="888" t="s">
        <v>310</v>
      </c>
    </row>
    <row r="1084" spans="1:6" ht="12.75" customHeight="1">
      <c r="A1084" s="888">
        <v>77</v>
      </c>
      <c r="B1084" s="888" t="s">
        <v>1129</v>
      </c>
      <c r="C1084" s="888" t="s">
        <v>1250</v>
      </c>
      <c r="D1084" s="889">
        <v>46025</v>
      </c>
      <c r="E1084" s="888" t="s">
        <v>310</v>
      </c>
      <c r="F1084" s="888" t="s">
        <v>310</v>
      </c>
    </row>
    <row r="1085" spans="1:6" ht="12.75" customHeight="1">
      <c r="A1085" s="888">
        <v>77</v>
      </c>
      <c r="B1085" s="888" t="s">
        <v>1129</v>
      </c>
      <c r="C1085" s="888" t="s">
        <v>1250</v>
      </c>
      <c r="D1085" s="889">
        <v>46026</v>
      </c>
      <c r="E1085" s="888" t="s">
        <v>310</v>
      </c>
      <c r="F1085" s="888" t="s">
        <v>310</v>
      </c>
    </row>
    <row r="1086" spans="1:6" ht="12.75" customHeight="1">
      <c r="A1086" s="888">
        <v>77</v>
      </c>
      <c r="B1086" s="888" t="s">
        <v>1129</v>
      </c>
      <c r="C1086" s="888" t="s">
        <v>1250</v>
      </c>
      <c r="D1086" s="889">
        <v>46027</v>
      </c>
      <c r="E1086" s="890">
        <v>0.45704861111111111</v>
      </c>
      <c r="F1086" s="888" t="s">
        <v>310</v>
      </c>
    </row>
    <row r="1087" spans="1:6" ht="12.75" customHeight="1">
      <c r="A1087" s="888" t="s">
        <v>1882</v>
      </c>
      <c r="B1087" s="888" t="s">
        <v>1258</v>
      </c>
      <c r="C1087" s="888" t="s">
        <v>1259</v>
      </c>
    </row>
    <row r="1088" spans="1:6" ht="12.75" customHeight="1">
      <c r="A1088" s="888">
        <v>77</v>
      </c>
      <c r="B1088" s="888" t="s">
        <v>1129</v>
      </c>
      <c r="C1088" s="888" t="s">
        <v>1250</v>
      </c>
      <c r="D1088" s="889">
        <v>46028</v>
      </c>
      <c r="E1088" s="890">
        <v>0.31113425925925925</v>
      </c>
      <c r="F1088" s="888" t="s">
        <v>310</v>
      </c>
    </row>
    <row r="1089" spans="1:6" ht="12.75" customHeight="1">
      <c r="A1089" s="888" t="s">
        <v>1883</v>
      </c>
      <c r="B1089" s="888" t="s">
        <v>1258</v>
      </c>
      <c r="C1089" s="888" t="s">
        <v>1259</v>
      </c>
    </row>
    <row r="1090" spans="1:6" ht="12.75" customHeight="1">
      <c r="A1090" s="888">
        <v>77</v>
      </c>
      <c r="B1090" s="888" t="s">
        <v>1129</v>
      </c>
      <c r="C1090" s="888" t="s">
        <v>1250</v>
      </c>
      <c r="D1090" s="889">
        <v>46029</v>
      </c>
      <c r="E1090" s="888" t="s">
        <v>310</v>
      </c>
      <c r="F1090" s="888" t="s">
        <v>310</v>
      </c>
    </row>
    <row r="1091" spans="1:6" ht="12.75" customHeight="1">
      <c r="A1091" s="888">
        <v>77</v>
      </c>
      <c r="B1091" s="888" t="s">
        <v>1129</v>
      </c>
      <c r="C1091" s="888" t="s">
        <v>1250</v>
      </c>
      <c r="D1091" s="889">
        <v>46030</v>
      </c>
      <c r="E1091" s="888" t="s">
        <v>310</v>
      </c>
      <c r="F1091" s="888" t="s">
        <v>310</v>
      </c>
    </row>
    <row r="1092" spans="1:6" ht="12.75" customHeight="1">
      <c r="A1092" s="888">
        <v>77</v>
      </c>
      <c r="B1092" s="888" t="s">
        <v>1129</v>
      </c>
      <c r="C1092" s="888" t="s">
        <v>1250</v>
      </c>
      <c r="D1092" s="889">
        <v>46031</v>
      </c>
      <c r="E1092" s="888" t="s">
        <v>310</v>
      </c>
      <c r="F1092" s="888" t="s">
        <v>310</v>
      </c>
    </row>
    <row r="1093" spans="1:6" ht="12.75" customHeight="1">
      <c r="A1093" s="888">
        <v>77</v>
      </c>
      <c r="B1093" s="888" t="s">
        <v>1129</v>
      </c>
      <c r="C1093" s="888" t="s">
        <v>1250</v>
      </c>
      <c r="D1093" s="889">
        <v>46032</v>
      </c>
      <c r="E1093" s="888" t="s">
        <v>310</v>
      </c>
      <c r="F1093" s="888" t="s">
        <v>310</v>
      </c>
    </row>
    <row r="1094" spans="1:6" ht="12.75" customHeight="1">
      <c r="A1094" s="888">
        <v>77</v>
      </c>
      <c r="B1094" s="888" t="s">
        <v>1129</v>
      </c>
      <c r="C1094" s="888" t="s">
        <v>1250</v>
      </c>
      <c r="D1094" s="889">
        <v>46033</v>
      </c>
      <c r="E1094" s="888" t="s">
        <v>310</v>
      </c>
      <c r="F1094" s="888" t="s">
        <v>310</v>
      </c>
    </row>
    <row r="1095" spans="1:6" ht="12.75" customHeight="1">
      <c r="A1095" s="888">
        <v>77</v>
      </c>
      <c r="B1095" s="888" t="s">
        <v>1129</v>
      </c>
      <c r="C1095" s="888" t="s">
        <v>1250</v>
      </c>
      <c r="D1095" s="889">
        <v>46034</v>
      </c>
      <c r="E1095" s="890">
        <v>0.31189814814814815</v>
      </c>
      <c r="F1095" s="888" t="s">
        <v>310</v>
      </c>
    </row>
    <row r="1096" spans="1:6" ht="12.75" customHeight="1">
      <c r="A1096" s="888" t="s">
        <v>1884</v>
      </c>
      <c r="B1096" s="888" t="s">
        <v>1258</v>
      </c>
      <c r="C1096" s="888" t="s">
        <v>1259</v>
      </c>
    </row>
    <row r="1097" spans="1:6" ht="12.75" customHeight="1">
      <c r="A1097" s="888">
        <v>77</v>
      </c>
      <c r="B1097" s="888" t="s">
        <v>1129</v>
      </c>
      <c r="C1097" s="888" t="s">
        <v>1250</v>
      </c>
      <c r="D1097" s="889">
        <v>46035</v>
      </c>
      <c r="E1097" s="890">
        <v>0.31305555555555553</v>
      </c>
      <c r="F1097" s="890">
        <v>0.76583333333333337</v>
      </c>
    </row>
    <row r="1098" spans="1:6" ht="12.75" customHeight="1">
      <c r="A1098" s="888" t="s">
        <v>1885</v>
      </c>
      <c r="B1098" s="888" t="s">
        <v>1886</v>
      </c>
      <c r="C1098" s="888" t="s">
        <v>1887</v>
      </c>
    </row>
    <row r="1099" spans="1:6" ht="12.75" customHeight="1">
      <c r="A1099" s="888">
        <v>77</v>
      </c>
      <c r="B1099" s="888" t="s">
        <v>1129</v>
      </c>
      <c r="C1099" s="888" t="s">
        <v>1250</v>
      </c>
      <c r="D1099" s="889">
        <v>46036</v>
      </c>
      <c r="E1099" s="888" t="s">
        <v>310</v>
      </c>
      <c r="F1099" s="888" t="s">
        <v>310</v>
      </c>
    </row>
    <row r="1100" spans="1:6" ht="12.75" customHeight="1">
      <c r="A1100" s="888">
        <v>77</v>
      </c>
      <c r="B1100" s="888" t="s">
        <v>1129</v>
      </c>
      <c r="C1100" s="888" t="s">
        <v>1250</v>
      </c>
      <c r="D1100" s="889">
        <v>46037</v>
      </c>
      <c r="E1100" s="890">
        <v>0.32165509259259262</v>
      </c>
      <c r="F1100" s="890">
        <v>0.32193287037037038</v>
      </c>
    </row>
    <row r="1101" spans="1:6" ht="12.75" customHeight="1">
      <c r="A1101" s="888" t="s">
        <v>1888</v>
      </c>
      <c r="B1101" s="888" t="s">
        <v>1889</v>
      </c>
      <c r="C1101" s="888" t="s">
        <v>1259</v>
      </c>
    </row>
    <row r="1102" spans="1:6" ht="12.75" customHeight="1">
      <c r="A1102" s="888">
        <v>77</v>
      </c>
      <c r="B1102" s="888" t="s">
        <v>1129</v>
      </c>
      <c r="C1102" s="888" t="s">
        <v>1250</v>
      </c>
      <c r="D1102" s="889">
        <v>46038</v>
      </c>
      <c r="E1102" s="890">
        <v>0.31836805555555553</v>
      </c>
      <c r="F1102" s="890">
        <v>0.38733796296296297</v>
      </c>
    </row>
    <row r="1103" spans="1:6" ht="12.75" customHeight="1">
      <c r="A1103" s="888" t="s">
        <v>1890</v>
      </c>
      <c r="B1103" s="888" t="s">
        <v>1891</v>
      </c>
      <c r="C1103" s="888" t="s">
        <v>1892</v>
      </c>
    </row>
    <row r="1104" spans="1:6" ht="12.75" customHeight="1">
      <c r="A1104" s="888">
        <v>77</v>
      </c>
      <c r="B1104" s="888" t="s">
        <v>1129</v>
      </c>
      <c r="C1104" s="888" t="s">
        <v>1250</v>
      </c>
      <c r="D1104" s="889">
        <v>46039</v>
      </c>
      <c r="E1104" s="888" t="s">
        <v>310</v>
      </c>
      <c r="F1104" s="888" t="s">
        <v>310</v>
      </c>
    </row>
    <row r="1105" spans="1:6" ht="12.75" customHeight="1">
      <c r="A1105" s="888">
        <v>77</v>
      </c>
      <c r="B1105" s="888" t="s">
        <v>1129</v>
      </c>
      <c r="C1105" s="888" t="s">
        <v>1250</v>
      </c>
      <c r="D1105" s="889">
        <v>46040</v>
      </c>
      <c r="E1105" s="888" t="s">
        <v>310</v>
      </c>
      <c r="F1105" s="888" t="s">
        <v>310</v>
      </c>
    </row>
    <row r="1106" spans="1:6" ht="12.75" customHeight="1">
      <c r="A1106" s="888">
        <v>77</v>
      </c>
      <c r="B1106" s="888" t="s">
        <v>1129</v>
      </c>
      <c r="C1106" s="888" t="s">
        <v>1250</v>
      </c>
      <c r="D1106" s="889">
        <v>46041</v>
      </c>
      <c r="E1106" s="888" t="s">
        <v>310</v>
      </c>
      <c r="F1106" s="888" t="s">
        <v>310</v>
      </c>
    </row>
    <row r="1107" spans="1:6" ht="12.75" customHeight="1">
      <c r="A1107" s="888">
        <v>77</v>
      </c>
      <c r="B1107" s="888" t="s">
        <v>1129</v>
      </c>
      <c r="C1107" s="888" t="s">
        <v>1250</v>
      </c>
      <c r="D1107" s="889">
        <v>46042</v>
      </c>
      <c r="E1107" s="890">
        <v>0.32231481481481483</v>
      </c>
      <c r="F1107" s="890">
        <v>0.75737268518518519</v>
      </c>
    </row>
    <row r="1108" spans="1:6" ht="12.75" customHeight="1">
      <c r="A1108" s="888" t="s">
        <v>1893</v>
      </c>
      <c r="B1108" s="888" t="s">
        <v>1894</v>
      </c>
      <c r="C1108" s="888" t="s">
        <v>1895</v>
      </c>
    </row>
    <row r="1109" spans="1:6" ht="12.75" customHeight="1">
      <c r="A1109" s="888">
        <v>77</v>
      </c>
      <c r="B1109" s="888" t="s">
        <v>1129</v>
      </c>
      <c r="C1109" s="888" t="s">
        <v>1250</v>
      </c>
      <c r="D1109" s="889">
        <v>46043</v>
      </c>
      <c r="E1109" s="890">
        <v>0.32336805555555553</v>
      </c>
      <c r="F1109" s="890">
        <v>0.32346064814814812</v>
      </c>
    </row>
    <row r="1110" spans="1:6" ht="12.75" customHeight="1">
      <c r="A1110" s="888" t="s">
        <v>1896</v>
      </c>
      <c r="B1110" s="888" t="s">
        <v>1897</v>
      </c>
      <c r="C1110" s="888" t="s">
        <v>1259</v>
      </c>
    </row>
    <row r="1111" spans="1:6" ht="12.75" customHeight="1">
      <c r="A1111" s="888">
        <v>77</v>
      </c>
      <c r="B1111" s="888" t="s">
        <v>1129</v>
      </c>
      <c r="C1111" s="888" t="s">
        <v>1250</v>
      </c>
      <c r="D1111" s="889">
        <v>46044</v>
      </c>
      <c r="E1111" s="890">
        <v>0.31675925925925924</v>
      </c>
      <c r="F1111" s="888" t="s">
        <v>310</v>
      </c>
    </row>
    <row r="1112" spans="1:6" ht="12.75" customHeight="1">
      <c r="A1112" s="888" t="s">
        <v>1898</v>
      </c>
      <c r="B1112" s="888" t="s">
        <v>1258</v>
      </c>
      <c r="C1112" s="888" t="s">
        <v>1259</v>
      </c>
    </row>
    <row r="1113" spans="1:6" ht="12.75" customHeight="1">
      <c r="A1113" s="888">
        <v>77</v>
      </c>
      <c r="B1113" s="888" t="s">
        <v>1129</v>
      </c>
      <c r="C1113" s="888" t="s">
        <v>1250</v>
      </c>
      <c r="D1113" s="889">
        <v>46045</v>
      </c>
      <c r="E1113" s="890">
        <v>0.32723379629629629</v>
      </c>
      <c r="F1113" s="890">
        <v>0.32730324074074074</v>
      </c>
    </row>
    <row r="1114" spans="1:6" ht="12.75" customHeight="1">
      <c r="A1114" s="888" t="s">
        <v>1899</v>
      </c>
      <c r="B1114" s="888" t="s">
        <v>1900</v>
      </c>
      <c r="C1114" s="888" t="s">
        <v>1259</v>
      </c>
    </row>
    <row r="1115" spans="1:6" ht="12.75" customHeight="1">
      <c r="A1115" s="888">
        <v>77</v>
      </c>
      <c r="B1115" s="888" t="s">
        <v>1129</v>
      </c>
      <c r="C1115" s="888" t="s">
        <v>1250</v>
      </c>
      <c r="D1115" s="889">
        <v>46046</v>
      </c>
      <c r="E1115" s="888" t="s">
        <v>310</v>
      </c>
      <c r="F1115" s="888" t="s">
        <v>310</v>
      </c>
    </row>
    <row r="1116" spans="1:6" ht="12.75" customHeight="1">
      <c r="A1116" s="888">
        <v>77</v>
      </c>
      <c r="B1116" s="888" t="s">
        <v>1129</v>
      </c>
      <c r="C1116" s="888" t="s">
        <v>1250</v>
      </c>
      <c r="D1116" s="889">
        <v>46047</v>
      </c>
      <c r="E1116" s="888" t="s">
        <v>310</v>
      </c>
      <c r="F1116" s="888" t="s">
        <v>310</v>
      </c>
    </row>
    <row r="1117" spans="1:6" ht="12.75" customHeight="1">
      <c r="A1117" s="888">
        <v>77</v>
      </c>
      <c r="B1117" s="888" t="s">
        <v>1129</v>
      </c>
      <c r="C1117" s="888" t="s">
        <v>1250</v>
      </c>
      <c r="D1117" s="889">
        <v>46048</v>
      </c>
      <c r="E1117" s="890">
        <v>0.32932870370370371</v>
      </c>
      <c r="F1117" s="890">
        <v>0.76293981481481477</v>
      </c>
    </row>
    <row r="1118" spans="1:6" ht="12.75" customHeight="1">
      <c r="A1118" s="888" t="s">
        <v>1901</v>
      </c>
      <c r="B1118" s="888" t="s">
        <v>1902</v>
      </c>
      <c r="C1118" s="888" t="s">
        <v>1903</v>
      </c>
    </row>
    <row r="1119" spans="1:6" ht="12.75" customHeight="1">
      <c r="A1119" s="888">
        <v>77</v>
      </c>
      <c r="B1119" s="888" t="s">
        <v>1129</v>
      </c>
      <c r="C1119" s="888" t="s">
        <v>1250</v>
      </c>
      <c r="D1119" s="889">
        <v>46049</v>
      </c>
      <c r="E1119" s="890">
        <v>0.32120370370370371</v>
      </c>
      <c r="F1119" s="890">
        <v>0.32141203703703702</v>
      </c>
    </row>
    <row r="1120" spans="1:6" ht="12.75" customHeight="1">
      <c r="A1120" s="888" t="s">
        <v>1904</v>
      </c>
      <c r="B1120" s="888" t="s">
        <v>1905</v>
      </c>
      <c r="C1120" s="888" t="s">
        <v>1259</v>
      </c>
    </row>
    <row r="1121" spans="1:6" ht="12.75" customHeight="1">
      <c r="A1121" s="888">
        <v>77</v>
      </c>
      <c r="B1121" s="888" t="s">
        <v>1129</v>
      </c>
      <c r="C1121" s="888" t="s">
        <v>1250</v>
      </c>
      <c r="D1121" s="889">
        <v>46050</v>
      </c>
      <c r="E1121" s="888" t="s">
        <v>310</v>
      </c>
      <c r="F1121" s="888" t="s">
        <v>310</v>
      </c>
    </row>
    <row r="1122" spans="1:6" ht="12.75" customHeight="1">
      <c r="A1122" s="888">
        <v>77</v>
      </c>
      <c r="B1122" s="888" t="s">
        <v>1129</v>
      </c>
      <c r="C1122" s="888" t="s">
        <v>1250</v>
      </c>
      <c r="D1122" s="889">
        <v>46051</v>
      </c>
      <c r="E1122" s="888" t="s">
        <v>310</v>
      </c>
      <c r="F1122" s="888" t="s">
        <v>310</v>
      </c>
    </row>
    <row r="1123" spans="1:6" ht="12.75" customHeight="1">
      <c r="A1123" s="888">
        <v>77</v>
      </c>
      <c r="B1123" s="888" t="s">
        <v>1129</v>
      </c>
      <c r="C1123" s="888" t="s">
        <v>1250</v>
      </c>
      <c r="D1123" s="889">
        <v>46052</v>
      </c>
      <c r="E1123" s="890">
        <v>0.32519675925925928</v>
      </c>
      <c r="F1123" s="890">
        <v>0.3253125</v>
      </c>
    </row>
    <row r="1124" spans="1:6" ht="12.75" customHeight="1">
      <c r="A1124" s="888" t="s">
        <v>1906</v>
      </c>
      <c r="B1124" s="888" t="s">
        <v>1907</v>
      </c>
      <c r="C1124" s="888" t="s">
        <v>1259</v>
      </c>
    </row>
    <row r="1125" spans="1:6" ht="12.75" customHeight="1">
      <c r="A1125" s="888">
        <v>77</v>
      </c>
      <c r="B1125" s="888" t="s">
        <v>1129</v>
      </c>
      <c r="C1125" s="888" t="s">
        <v>1250</v>
      </c>
      <c r="D1125" s="889">
        <v>46053</v>
      </c>
      <c r="E1125" s="888" t="s">
        <v>310</v>
      </c>
      <c r="F1125" s="888" t="s">
        <v>310</v>
      </c>
    </row>
    <row r="1126" spans="1:6" ht="12.75" customHeight="1">
      <c r="A1126" s="888">
        <v>77</v>
      </c>
      <c r="B1126" s="888" t="s">
        <v>1129</v>
      </c>
      <c r="C1126" s="888" t="s">
        <v>1250</v>
      </c>
      <c r="D1126" s="889">
        <v>46054</v>
      </c>
      <c r="E1126" s="888" t="s">
        <v>310</v>
      </c>
      <c r="F1126" s="888" t="s">
        <v>310</v>
      </c>
    </row>
    <row r="1127" spans="1:6" ht="12.75" customHeight="1">
      <c r="A1127" s="888">
        <v>78</v>
      </c>
      <c r="B1127" s="888" t="s">
        <v>1130</v>
      </c>
      <c r="C1127" s="888" t="s">
        <v>1468</v>
      </c>
      <c r="D1127" s="889">
        <v>46023</v>
      </c>
      <c r="E1127" s="888" t="s">
        <v>310</v>
      </c>
      <c r="F1127" s="888" t="s">
        <v>310</v>
      </c>
    </row>
    <row r="1128" spans="1:6" ht="12.75" customHeight="1">
      <c r="A1128" s="888">
        <v>78</v>
      </c>
      <c r="B1128" s="888" t="s">
        <v>1130</v>
      </c>
      <c r="C1128" s="888" t="s">
        <v>1468</v>
      </c>
      <c r="D1128" s="889">
        <v>46024</v>
      </c>
      <c r="E1128" s="888" t="s">
        <v>310</v>
      </c>
      <c r="F1128" s="888" t="s">
        <v>310</v>
      </c>
    </row>
    <row r="1129" spans="1:6" ht="12.75" customHeight="1">
      <c r="A1129" s="888">
        <v>78</v>
      </c>
      <c r="B1129" s="888" t="s">
        <v>1130</v>
      </c>
      <c r="C1129" s="888" t="s">
        <v>1468</v>
      </c>
      <c r="D1129" s="889">
        <v>46025</v>
      </c>
      <c r="E1129" s="888" t="s">
        <v>310</v>
      </c>
      <c r="F1129" s="888" t="s">
        <v>310</v>
      </c>
    </row>
    <row r="1130" spans="1:6" ht="12.75" customHeight="1">
      <c r="A1130" s="888">
        <v>78</v>
      </c>
      <c r="B1130" s="888" t="s">
        <v>1130</v>
      </c>
      <c r="C1130" s="888" t="s">
        <v>1468</v>
      </c>
      <c r="D1130" s="889">
        <v>46026</v>
      </c>
      <c r="E1130" s="888" t="s">
        <v>310</v>
      </c>
      <c r="F1130" s="888" t="s">
        <v>310</v>
      </c>
    </row>
    <row r="1131" spans="1:6" ht="12.75" customHeight="1">
      <c r="A1131" s="888">
        <v>78</v>
      </c>
      <c r="B1131" s="888" t="s">
        <v>1130</v>
      </c>
      <c r="C1131" s="888" t="s">
        <v>1468</v>
      </c>
      <c r="D1131" s="889">
        <v>46027</v>
      </c>
      <c r="E1131" s="890">
        <v>0.91479166666666667</v>
      </c>
      <c r="F1131" s="888" t="s">
        <v>310</v>
      </c>
    </row>
    <row r="1132" spans="1:6" ht="12.75" customHeight="1">
      <c r="A1132" s="888" t="s">
        <v>1908</v>
      </c>
      <c r="B1132" s="888" t="s">
        <v>1258</v>
      </c>
      <c r="C1132" s="888" t="s">
        <v>1259</v>
      </c>
    </row>
    <row r="1133" spans="1:6" ht="12.75" customHeight="1">
      <c r="A1133" s="888">
        <v>78</v>
      </c>
      <c r="B1133" s="888" t="s">
        <v>1130</v>
      </c>
      <c r="C1133" s="888" t="s">
        <v>1468</v>
      </c>
      <c r="D1133" s="889">
        <v>46028</v>
      </c>
      <c r="E1133" s="888" t="s">
        <v>310</v>
      </c>
      <c r="F1133" s="888" t="s">
        <v>310</v>
      </c>
    </row>
    <row r="1134" spans="1:6" ht="12.75" customHeight="1">
      <c r="A1134" s="888">
        <v>78</v>
      </c>
      <c r="B1134" s="888" t="s">
        <v>1130</v>
      </c>
      <c r="C1134" s="888" t="s">
        <v>1468</v>
      </c>
      <c r="D1134" s="889">
        <v>46029</v>
      </c>
      <c r="E1134" s="890">
        <v>0.79541666666666666</v>
      </c>
      <c r="F1134" s="890">
        <v>0.79569444444444448</v>
      </c>
    </row>
    <row r="1135" spans="1:6" ht="12.75" customHeight="1">
      <c r="A1135" s="888" t="s">
        <v>1909</v>
      </c>
      <c r="B1135" s="888" t="s">
        <v>1910</v>
      </c>
      <c r="C1135" s="888" t="s">
        <v>1259</v>
      </c>
    </row>
    <row r="1136" spans="1:6" ht="12.75" customHeight="1">
      <c r="A1136" s="888">
        <v>78</v>
      </c>
      <c r="B1136" s="888" t="s">
        <v>1130</v>
      </c>
      <c r="C1136" s="888" t="s">
        <v>1468</v>
      </c>
      <c r="D1136" s="889">
        <v>46030</v>
      </c>
      <c r="E1136" s="890">
        <v>0.84297453703703706</v>
      </c>
      <c r="F1136" s="888" t="s">
        <v>310</v>
      </c>
    </row>
    <row r="1137" spans="1:6" ht="12.75" customHeight="1">
      <c r="A1137" s="888" t="s">
        <v>1911</v>
      </c>
      <c r="B1137" s="888" t="s">
        <v>1258</v>
      </c>
      <c r="C1137" s="888" t="s">
        <v>1259</v>
      </c>
    </row>
    <row r="1138" spans="1:6" ht="12.75" customHeight="1">
      <c r="A1138" s="888">
        <v>78</v>
      </c>
      <c r="B1138" s="888" t="s">
        <v>1130</v>
      </c>
      <c r="C1138" s="888" t="s">
        <v>1468</v>
      </c>
      <c r="D1138" s="889">
        <v>46031</v>
      </c>
      <c r="E1138" s="888" t="s">
        <v>310</v>
      </c>
      <c r="F1138" s="888" t="s">
        <v>310</v>
      </c>
    </row>
    <row r="1139" spans="1:6" ht="12.75" customHeight="1">
      <c r="A1139" s="888">
        <v>78</v>
      </c>
      <c r="B1139" s="888" t="s">
        <v>1130</v>
      </c>
      <c r="C1139" s="888" t="s">
        <v>1468</v>
      </c>
      <c r="D1139" s="889">
        <v>46032</v>
      </c>
      <c r="E1139" s="888" t="s">
        <v>310</v>
      </c>
      <c r="F1139" s="888" t="s">
        <v>310</v>
      </c>
    </row>
    <row r="1140" spans="1:6" ht="12.75" customHeight="1">
      <c r="A1140" s="888">
        <v>78</v>
      </c>
      <c r="B1140" s="888" t="s">
        <v>1130</v>
      </c>
      <c r="C1140" s="888" t="s">
        <v>1468</v>
      </c>
      <c r="D1140" s="889">
        <v>46033</v>
      </c>
      <c r="E1140" s="888" t="s">
        <v>310</v>
      </c>
      <c r="F1140" s="888" t="s">
        <v>310</v>
      </c>
    </row>
    <row r="1141" spans="1:6" ht="12.75" customHeight="1">
      <c r="A1141" s="888">
        <v>78</v>
      </c>
      <c r="B1141" s="888" t="s">
        <v>1130</v>
      </c>
      <c r="C1141" s="888" t="s">
        <v>1468</v>
      </c>
      <c r="D1141" s="889">
        <v>46034</v>
      </c>
      <c r="E1141" s="888" t="s">
        <v>310</v>
      </c>
      <c r="F1141" s="888" t="s">
        <v>310</v>
      </c>
    </row>
    <row r="1142" spans="1:6" ht="12.75" customHeight="1">
      <c r="A1142" s="888">
        <v>78</v>
      </c>
      <c r="B1142" s="888" t="s">
        <v>1130</v>
      </c>
      <c r="C1142" s="888" t="s">
        <v>1468</v>
      </c>
      <c r="D1142" s="889">
        <v>46035</v>
      </c>
      <c r="E1142" s="890">
        <v>0.80821759259259263</v>
      </c>
      <c r="F1142" s="888" t="s">
        <v>310</v>
      </c>
    </row>
    <row r="1143" spans="1:6" ht="12.75" customHeight="1">
      <c r="A1143" s="888" t="s">
        <v>1912</v>
      </c>
      <c r="B1143" s="888" t="s">
        <v>1258</v>
      </c>
      <c r="C1143" s="888" t="s">
        <v>1259</v>
      </c>
    </row>
    <row r="1144" spans="1:6" ht="12.75" customHeight="1">
      <c r="A1144" s="888">
        <v>78</v>
      </c>
      <c r="B1144" s="888" t="s">
        <v>1130</v>
      </c>
      <c r="C1144" s="888" t="s">
        <v>1468</v>
      </c>
      <c r="D1144" s="889">
        <v>46036</v>
      </c>
      <c r="E1144" s="890">
        <v>0.92923611111111115</v>
      </c>
      <c r="F1144" s="888" t="s">
        <v>310</v>
      </c>
    </row>
    <row r="1145" spans="1:6" ht="12.75" customHeight="1">
      <c r="A1145" s="888" t="s">
        <v>1913</v>
      </c>
      <c r="B1145" s="888" t="s">
        <v>1258</v>
      </c>
      <c r="C1145" s="888" t="s">
        <v>1259</v>
      </c>
    </row>
    <row r="1146" spans="1:6" ht="12.75" customHeight="1">
      <c r="A1146" s="888">
        <v>78</v>
      </c>
      <c r="B1146" s="888" t="s">
        <v>1130</v>
      </c>
      <c r="C1146" s="888" t="s">
        <v>1468</v>
      </c>
      <c r="D1146" s="889">
        <v>46037</v>
      </c>
      <c r="E1146" s="888" t="s">
        <v>310</v>
      </c>
      <c r="F1146" s="888" t="s">
        <v>310</v>
      </c>
    </row>
    <row r="1147" spans="1:6" ht="12.75" customHeight="1">
      <c r="A1147" s="888">
        <v>78</v>
      </c>
      <c r="B1147" s="888" t="s">
        <v>1130</v>
      </c>
      <c r="C1147" s="888" t="s">
        <v>1468</v>
      </c>
      <c r="D1147" s="889">
        <v>46038</v>
      </c>
      <c r="E1147" s="890">
        <v>0.49736111111111109</v>
      </c>
      <c r="F1147" s="890">
        <v>0.49766203703703704</v>
      </c>
    </row>
    <row r="1148" spans="1:6" ht="12.75" customHeight="1">
      <c r="A1148" s="888" t="s">
        <v>1914</v>
      </c>
      <c r="B1148" s="888" t="s">
        <v>1915</v>
      </c>
      <c r="C1148" s="888" t="s">
        <v>1259</v>
      </c>
    </row>
    <row r="1149" spans="1:6" ht="12.75" customHeight="1">
      <c r="A1149" s="888">
        <v>78</v>
      </c>
      <c r="B1149" s="888" t="s">
        <v>1130</v>
      </c>
      <c r="C1149" s="888" t="s">
        <v>1468</v>
      </c>
      <c r="D1149" s="889">
        <v>46039</v>
      </c>
      <c r="E1149" s="888" t="s">
        <v>310</v>
      </c>
      <c r="F1149" s="888" t="s">
        <v>310</v>
      </c>
    </row>
    <row r="1150" spans="1:6" ht="12.75" customHeight="1">
      <c r="A1150" s="888">
        <v>78</v>
      </c>
      <c r="B1150" s="888" t="s">
        <v>1130</v>
      </c>
      <c r="C1150" s="888" t="s">
        <v>1468</v>
      </c>
      <c r="D1150" s="889">
        <v>46040</v>
      </c>
      <c r="E1150" s="888" t="s">
        <v>310</v>
      </c>
      <c r="F1150" s="888" t="s">
        <v>310</v>
      </c>
    </row>
    <row r="1151" spans="1:6" ht="12.75" customHeight="1">
      <c r="A1151" s="888">
        <v>78</v>
      </c>
      <c r="B1151" s="888" t="s">
        <v>1130</v>
      </c>
      <c r="C1151" s="888" t="s">
        <v>1468</v>
      </c>
      <c r="D1151" s="889">
        <v>46041</v>
      </c>
      <c r="E1151" s="890">
        <v>0.93711805555555561</v>
      </c>
      <c r="F1151" s="890">
        <v>0.93744212962962958</v>
      </c>
    </row>
    <row r="1152" spans="1:6" ht="12.75" customHeight="1">
      <c r="A1152" s="888" t="s">
        <v>1916</v>
      </c>
      <c r="B1152" s="888" t="s">
        <v>1917</v>
      </c>
      <c r="C1152" s="888" t="s">
        <v>1259</v>
      </c>
    </row>
    <row r="1153" spans="1:6" ht="12.75" customHeight="1">
      <c r="A1153" s="888">
        <v>78</v>
      </c>
      <c r="B1153" s="888" t="s">
        <v>1130</v>
      </c>
      <c r="C1153" s="888" t="s">
        <v>1468</v>
      </c>
      <c r="D1153" s="889">
        <v>46042</v>
      </c>
      <c r="E1153" s="888" t="s">
        <v>310</v>
      </c>
      <c r="F1153" s="888" t="s">
        <v>310</v>
      </c>
    </row>
    <row r="1154" spans="1:6" ht="12.75" customHeight="1">
      <c r="A1154" s="888">
        <v>78</v>
      </c>
      <c r="B1154" s="888" t="s">
        <v>1130</v>
      </c>
      <c r="C1154" s="888" t="s">
        <v>1468</v>
      </c>
      <c r="D1154" s="889">
        <v>46043</v>
      </c>
      <c r="E1154" s="888" t="s">
        <v>310</v>
      </c>
      <c r="F1154" s="888" t="s">
        <v>310</v>
      </c>
    </row>
    <row r="1155" spans="1:6" ht="12.75" customHeight="1">
      <c r="A1155" s="888">
        <v>78</v>
      </c>
      <c r="B1155" s="888" t="s">
        <v>1130</v>
      </c>
      <c r="C1155" s="888" t="s">
        <v>1468</v>
      </c>
      <c r="D1155" s="889">
        <v>46044</v>
      </c>
      <c r="E1155" s="888" t="s">
        <v>310</v>
      </c>
      <c r="F1155" s="888" t="s">
        <v>310</v>
      </c>
    </row>
    <row r="1156" spans="1:6" ht="12.75" customHeight="1">
      <c r="A1156" s="888">
        <v>78</v>
      </c>
      <c r="B1156" s="888" t="s">
        <v>1130</v>
      </c>
      <c r="C1156" s="888" t="s">
        <v>1468</v>
      </c>
      <c r="D1156" s="889">
        <v>46045</v>
      </c>
      <c r="E1156" s="890">
        <v>0.92179398148148151</v>
      </c>
      <c r="F1156" s="888" t="s">
        <v>310</v>
      </c>
    </row>
    <row r="1157" spans="1:6" ht="12.75" customHeight="1">
      <c r="A1157" s="888" t="s">
        <v>1918</v>
      </c>
      <c r="B1157" s="888" t="s">
        <v>1258</v>
      </c>
      <c r="C1157" s="888" t="s">
        <v>1259</v>
      </c>
    </row>
    <row r="1158" spans="1:6" ht="12.75" customHeight="1">
      <c r="A1158" s="888">
        <v>78</v>
      </c>
      <c r="B1158" s="888" t="s">
        <v>1130</v>
      </c>
      <c r="C1158" s="888" t="s">
        <v>1468</v>
      </c>
      <c r="D1158" s="889">
        <v>46046</v>
      </c>
      <c r="E1158" s="888" t="s">
        <v>310</v>
      </c>
      <c r="F1158" s="888" t="s">
        <v>310</v>
      </c>
    </row>
    <row r="1159" spans="1:6" ht="12.75" customHeight="1">
      <c r="A1159" s="888">
        <v>78</v>
      </c>
      <c r="B1159" s="888" t="s">
        <v>1130</v>
      </c>
      <c r="C1159" s="888" t="s">
        <v>1468</v>
      </c>
      <c r="D1159" s="889">
        <v>46047</v>
      </c>
      <c r="E1159" s="888" t="s">
        <v>310</v>
      </c>
      <c r="F1159" s="888" t="s">
        <v>310</v>
      </c>
    </row>
    <row r="1160" spans="1:6" ht="12.75" customHeight="1">
      <c r="A1160" s="888">
        <v>78</v>
      </c>
      <c r="B1160" s="888" t="s">
        <v>1130</v>
      </c>
      <c r="C1160" s="888" t="s">
        <v>1468</v>
      </c>
      <c r="D1160" s="889">
        <v>46048</v>
      </c>
      <c r="E1160" s="890">
        <v>0.86724537037037042</v>
      </c>
      <c r="F1160" s="888" t="s">
        <v>310</v>
      </c>
    </row>
    <row r="1161" spans="1:6" ht="12.75" customHeight="1">
      <c r="A1161" s="888" t="s">
        <v>1919</v>
      </c>
      <c r="B1161" s="888" t="s">
        <v>1258</v>
      </c>
      <c r="C1161" s="888" t="s">
        <v>1259</v>
      </c>
    </row>
    <row r="1162" spans="1:6" ht="12.75" customHeight="1">
      <c r="A1162" s="888">
        <v>78</v>
      </c>
      <c r="B1162" s="888" t="s">
        <v>1130</v>
      </c>
      <c r="C1162" s="888" t="s">
        <v>1468</v>
      </c>
      <c r="D1162" s="889">
        <v>46049</v>
      </c>
      <c r="E1162" s="890">
        <v>0.8303935185185185</v>
      </c>
      <c r="F1162" s="888" t="s">
        <v>310</v>
      </c>
    </row>
    <row r="1163" spans="1:6" ht="12.75" customHeight="1">
      <c r="A1163" s="888" t="s">
        <v>1920</v>
      </c>
      <c r="B1163" s="888" t="s">
        <v>1258</v>
      </c>
      <c r="C1163" s="888" t="s">
        <v>1259</v>
      </c>
    </row>
    <row r="1164" spans="1:6" ht="12.75" customHeight="1">
      <c r="A1164" s="888">
        <v>78</v>
      </c>
      <c r="B1164" s="888" t="s">
        <v>1130</v>
      </c>
      <c r="C1164" s="888" t="s">
        <v>1468</v>
      </c>
      <c r="D1164" s="889">
        <v>46050</v>
      </c>
      <c r="E1164" s="890">
        <v>0.9250694444444445</v>
      </c>
      <c r="F1164" s="890">
        <v>0.92546296296296293</v>
      </c>
    </row>
    <row r="1165" spans="1:6" ht="12.75" customHeight="1">
      <c r="A1165" s="888" t="s">
        <v>1921</v>
      </c>
      <c r="B1165" s="888" t="s">
        <v>1922</v>
      </c>
      <c r="C1165" s="888" t="s">
        <v>1570</v>
      </c>
    </row>
    <row r="1166" spans="1:6" ht="12.75" customHeight="1">
      <c r="A1166" s="888">
        <v>78</v>
      </c>
      <c r="B1166" s="888" t="s">
        <v>1130</v>
      </c>
      <c r="C1166" s="888" t="s">
        <v>1468</v>
      </c>
      <c r="D1166" s="889">
        <v>46051</v>
      </c>
      <c r="E1166" s="890">
        <v>0.61784722222222221</v>
      </c>
      <c r="F1166" s="888" t="s">
        <v>310</v>
      </c>
    </row>
    <row r="1167" spans="1:6" ht="12.75" customHeight="1">
      <c r="A1167" s="888" t="s">
        <v>1923</v>
      </c>
      <c r="B1167" s="888" t="s">
        <v>1258</v>
      </c>
      <c r="C1167" s="888" t="s">
        <v>1259</v>
      </c>
    </row>
    <row r="1168" spans="1:6" ht="12.75" customHeight="1">
      <c r="A1168" s="888">
        <v>78</v>
      </c>
      <c r="B1168" s="888" t="s">
        <v>1130</v>
      </c>
      <c r="C1168" s="888" t="s">
        <v>1468</v>
      </c>
      <c r="D1168" s="889">
        <v>46052</v>
      </c>
      <c r="E1168" s="888" t="s">
        <v>310</v>
      </c>
      <c r="F1168" s="888" t="s">
        <v>310</v>
      </c>
    </row>
    <row r="1169" spans="1:6" ht="12.75" customHeight="1">
      <c r="A1169" s="888">
        <v>78</v>
      </c>
      <c r="B1169" s="888" t="s">
        <v>1130</v>
      </c>
      <c r="C1169" s="888" t="s">
        <v>1468</v>
      </c>
      <c r="D1169" s="889">
        <v>46053</v>
      </c>
      <c r="E1169" s="888" t="s">
        <v>310</v>
      </c>
      <c r="F1169" s="888" t="s">
        <v>310</v>
      </c>
    </row>
    <row r="1170" spans="1:6" ht="12.75" customHeight="1">
      <c r="A1170" s="888">
        <v>78</v>
      </c>
      <c r="B1170" s="888" t="s">
        <v>1130</v>
      </c>
      <c r="C1170" s="888" t="s">
        <v>1468</v>
      </c>
      <c r="D1170" s="889">
        <v>46054</v>
      </c>
      <c r="E1170" s="888" t="s">
        <v>310</v>
      </c>
      <c r="F1170" s="888" t="s">
        <v>310</v>
      </c>
    </row>
    <row r="1171" spans="1:6" ht="12.75" customHeight="1">
      <c r="A1171" s="888">
        <v>79</v>
      </c>
      <c r="B1171" s="888" t="s">
        <v>1131</v>
      </c>
      <c r="C1171" s="888" t="s">
        <v>1823</v>
      </c>
      <c r="D1171" s="889">
        <v>46023</v>
      </c>
      <c r="E1171" s="888" t="s">
        <v>310</v>
      </c>
      <c r="F1171" s="888" t="s">
        <v>310</v>
      </c>
    </row>
    <row r="1172" spans="1:6" ht="12.75" customHeight="1">
      <c r="A1172" s="888">
        <v>79</v>
      </c>
      <c r="B1172" s="888" t="s">
        <v>1131</v>
      </c>
      <c r="C1172" s="888" t="s">
        <v>1823</v>
      </c>
      <c r="D1172" s="889">
        <v>46024</v>
      </c>
      <c r="E1172" s="888" t="s">
        <v>310</v>
      </c>
      <c r="F1172" s="888" t="s">
        <v>310</v>
      </c>
    </row>
    <row r="1173" spans="1:6" ht="12.75" customHeight="1">
      <c r="A1173" s="888">
        <v>79</v>
      </c>
      <c r="B1173" s="888" t="s">
        <v>1131</v>
      </c>
      <c r="C1173" s="888" t="s">
        <v>1823</v>
      </c>
      <c r="D1173" s="889">
        <v>46025</v>
      </c>
      <c r="E1173" s="888" t="s">
        <v>310</v>
      </c>
      <c r="F1173" s="888" t="s">
        <v>310</v>
      </c>
    </row>
    <row r="1174" spans="1:6" ht="12.75" customHeight="1">
      <c r="A1174" s="888">
        <v>79</v>
      </c>
      <c r="B1174" s="888" t="s">
        <v>1131</v>
      </c>
      <c r="C1174" s="888" t="s">
        <v>1823</v>
      </c>
      <c r="D1174" s="889">
        <v>46026</v>
      </c>
      <c r="E1174" s="888" t="s">
        <v>310</v>
      </c>
      <c r="F1174" s="888" t="s">
        <v>310</v>
      </c>
    </row>
    <row r="1175" spans="1:6" ht="12.75" customHeight="1">
      <c r="A1175" s="888">
        <v>79</v>
      </c>
      <c r="B1175" s="888" t="s">
        <v>1131</v>
      </c>
      <c r="C1175" s="888" t="s">
        <v>1823</v>
      </c>
      <c r="D1175" s="889">
        <v>46027</v>
      </c>
      <c r="E1175" s="890">
        <v>0.38662037037037039</v>
      </c>
      <c r="F1175" s="890">
        <v>0.75445601851851851</v>
      </c>
    </row>
    <row r="1176" spans="1:6" ht="12.75" customHeight="1">
      <c r="A1176" s="888" t="s">
        <v>1924</v>
      </c>
      <c r="B1176" s="888" t="s">
        <v>1925</v>
      </c>
      <c r="C1176" s="888" t="s">
        <v>1926</v>
      </c>
    </row>
    <row r="1177" spans="1:6" ht="12.75" customHeight="1">
      <c r="A1177" s="888">
        <v>79</v>
      </c>
      <c r="B1177" s="888" t="s">
        <v>1131</v>
      </c>
      <c r="C1177" s="888" t="s">
        <v>1823</v>
      </c>
      <c r="D1177" s="889">
        <v>46028</v>
      </c>
      <c r="E1177" s="890">
        <v>0.57925925925925925</v>
      </c>
      <c r="F1177" s="890">
        <v>0.78805555555555551</v>
      </c>
    </row>
    <row r="1178" spans="1:6" ht="12.75" customHeight="1">
      <c r="A1178" s="888" t="s">
        <v>1927</v>
      </c>
      <c r="B1178" s="888" t="s">
        <v>1928</v>
      </c>
      <c r="C1178" s="888" t="s">
        <v>1929</v>
      </c>
    </row>
    <row r="1179" spans="1:6" ht="12.75" customHeight="1">
      <c r="A1179" s="888">
        <v>79</v>
      </c>
      <c r="B1179" s="888" t="s">
        <v>1131</v>
      </c>
      <c r="C1179" s="888" t="s">
        <v>1823</v>
      </c>
      <c r="D1179" s="889">
        <v>46029</v>
      </c>
      <c r="E1179" s="890">
        <v>0.37950231481481483</v>
      </c>
      <c r="F1179" s="890">
        <v>0.75462962962962965</v>
      </c>
    </row>
    <row r="1180" spans="1:6" ht="12.75" customHeight="1">
      <c r="A1180" s="888" t="s">
        <v>1930</v>
      </c>
      <c r="B1180" s="888" t="s">
        <v>1931</v>
      </c>
      <c r="C1180" s="888" t="s">
        <v>1442</v>
      </c>
    </row>
    <row r="1181" spans="1:6" ht="12.75" customHeight="1">
      <c r="A1181" s="888">
        <v>79</v>
      </c>
      <c r="B1181" s="888" t="s">
        <v>1131</v>
      </c>
      <c r="C1181" s="888" t="s">
        <v>1823</v>
      </c>
      <c r="D1181" s="889">
        <v>46030</v>
      </c>
      <c r="E1181" s="890">
        <v>0.78263888888888888</v>
      </c>
      <c r="F1181" s="888" t="s">
        <v>310</v>
      </c>
    </row>
    <row r="1182" spans="1:6" ht="12.75" customHeight="1">
      <c r="A1182" s="888" t="s">
        <v>1932</v>
      </c>
      <c r="B1182" s="888" t="s">
        <v>1258</v>
      </c>
      <c r="C1182" s="888" t="s">
        <v>1259</v>
      </c>
    </row>
    <row r="1183" spans="1:6" ht="12.75" customHeight="1">
      <c r="A1183" s="888">
        <v>79</v>
      </c>
      <c r="B1183" s="888" t="s">
        <v>1131</v>
      </c>
      <c r="C1183" s="888" t="s">
        <v>1823</v>
      </c>
      <c r="D1183" s="889">
        <v>46031</v>
      </c>
      <c r="E1183" s="890">
        <v>0.37994212962962964</v>
      </c>
      <c r="F1183" s="890">
        <v>0.7668518518518519</v>
      </c>
    </row>
    <row r="1184" spans="1:6" ht="12.75" customHeight="1">
      <c r="A1184" s="888" t="s">
        <v>1933</v>
      </c>
      <c r="B1184" s="888" t="s">
        <v>1934</v>
      </c>
      <c r="C1184" s="888" t="s">
        <v>1753</v>
      </c>
    </row>
    <row r="1185" spans="1:6" ht="12.75" customHeight="1">
      <c r="A1185" s="888">
        <v>79</v>
      </c>
      <c r="B1185" s="888" t="s">
        <v>1131</v>
      </c>
      <c r="C1185" s="888" t="s">
        <v>1823</v>
      </c>
      <c r="D1185" s="889">
        <v>46032</v>
      </c>
      <c r="E1185" s="890">
        <v>0.39315972222222223</v>
      </c>
      <c r="F1185" s="890">
        <v>0.76519675925925923</v>
      </c>
    </row>
    <row r="1186" spans="1:6" ht="12.75" customHeight="1">
      <c r="A1186" s="888" t="s">
        <v>1935</v>
      </c>
      <c r="B1186" s="888" t="s">
        <v>1936</v>
      </c>
      <c r="C1186" s="888" t="s">
        <v>1937</v>
      </c>
    </row>
    <row r="1187" spans="1:6" ht="12.75" customHeight="1">
      <c r="A1187" s="888">
        <v>79</v>
      </c>
      <c r="B1187" s="888" t="s">
        <v>1131</v>
      </c>
      <c r="C1187" s="888" t="s">
        <v>1823</v>
      </c>
      <c r="D1187" s="889">
        <v>46033</v>
      </c>
      <c r="E1187" s="888" t="s">
        <v>310</v>
      </c>
      <c r="F1187" s="888" t="s">
        <v>310</v>
      </c>
    </row>
    <row r="1188" spans="1:6" ht="12.75" customHeight="1">
      <c r="A1188" s="888">
        <v>79</v>
      </c>
      <c r="B1188" s="888" t="s">
        <v>1131</v>
      </c>
      <c r="C1188" s="888" t="s">
        <v>1823</v>
      </c>
      <c r="D1188" s="889">
        <v>46034</v>
      </c>
      <c r="E1188" s="890">
        <v>0.37217592592592591</v>
      </c>
      <c r="F1188" s="890">
        <v>0.7543171296296296</v>
      </c>
    </row>
    <row r="1189" spans="1:6" ht="12.75" customHeight="1">
      <c r="A1189" s="888" t="s">
        <v>1938</v>
      </c>
      <c r="B1189" s="888" t="s">
        <v>1939</v>
      </c>
      <c r="C1189" s="888" t="s">
        <v>1580</v>
      </c>
    </row>
    <row r="1190" spans="1:6" ht="12.75" customHeight="1">
      <c r="A1190" s="888">
        <v>79</v>
      </c>
      <c r="B1190" s="888" t="s">
        <v>1131</v>
      </c>
      <c r="C1190" s="888" t="s">
        <v>1823</v>
      </c>
      <c r="D1190" s="889">
        <v>46035</v>
      </c>
      <c r="E1190" s="890">
        <v>0.37032407407407408</v>
      </c>
      <c r="F1190" s="890">
        <v>0.75633101851851847</v>
      </c>
    </row>
    <row r="1191" spans="1:6" ht="12.75" customHeight="1">
      <c r="A1191" s="888" t="s">
        <v>1940</v>
      </c>
      <c r="B1191" s="888" t="s">
        <v>1941</v>
      </c>
      <c r="C1191" s="888" t="s">
        <v>1598</v>
      </c>
    </row>
    <row r="1192" spans="1:6" ht="12.75" customHeight="1">
      <c r="A1192" s="888">
        <v>79</v>
      </c>
      <c r="B1192" s="888" t="s">
        <v>1131</v>
      </c>
      <c r="C1192" s="888" t="s">
        <v>1823</v>
      </c>
      <c r="D1192" s="889">
        <v>46036</v>
      </c>
      <c r="E1192" s="890">
        <v>0.37127314814814816</v>
      </c>
      <c r="F1192" s="890">
        <v>0.75497685185185182</v>
      </c>
    </row>
    <row r="1193" spans="1:6" ht="12.75" customHeight="1">
      <c r="A1193" s="888" t="s">
        <v>1942</v>
      </c>
      <c r="B1193" s="888" t="s">
        <v>1943</v>
      </c>
      <c r="C1193" s="888" t="s">
        <v>1742</v>
      </c>
    </row>
    <row r="1194" spans="1:6" ht="12.75" customHeight="1">
      <c r="A1194" s="888">
        <v>79</v>
      </c>
      <c r="B1194" s="888" t="s">
        <v>1131</v>
      </c>
      <c r="C1194" s="888" t="s">
        <v>1823</v>
      </c>
      <c r="D1194" s="889">
        <v>46037</v>
      </c>
      <c r="E1194" s="890">
        <v>0.36385416666666665</v>
      </c>
      <c r="F1194" s="890">
        <v>0.82608796296296294</v>
      </c>
    </row>
    <row r="1195" spans="1:6" ht="12.75" customHeight="1">
      <c r="A1195" s="888" t="s">
        <v>1944</v>
      </c>
      <c r="B1195" s="888" t="s">
        <v>1945</v>
      </c>
      <c r="C1195" s="888" t="s">
        <v>1946</v>
      </c>
    </row>
    <row r="1196" spans="1:6" ht="12.75" customHeight="1">
      <c r="A1196" s="888">
        <v>79</v>
      </c>
      <c r="B1196" s="888" t="s">
        <v>1131</v>
      </c>
      <c r="C1196" s="888" t="s">
        <v>1823</v>
      </c>
      <c r="D1196" s="889">
        <v>46038</v>
      </c>
      <c r="E1196" s="890">
        <v>0.37070601851851853</v>
      </c>
      <c r="F1196" s="890">
        <v>0.76244212962962965</v>
      </c>
    </row>
    <row r="1197" spans="1:6" ht="12.75" customHeight="1">
      <c r="A1197" s="888" t="s">
        <v>1947</v>
      </c>
      <c r="B1197" s="888" t="s">
        <v>1948</v>
      </c>
      <c r="C1197" s="888" t="s">
        <v>1813</v>
      </c>
    </row>
    <row r="1198" spans="1:6" ht="12.75" customHeight="1">
      <c r="A1198" s="888">
        <v>79</v>
      </c>
      <c r="B1198" s="888" t="s">
        <v>1131</v>
      </c>
      <c r="C1198" s="888" t="s">
        <v>1823</v>
      </c>
      <c r="D1198" s="889">
        <v>46039</v>
      </c>
      <c r="E1198" s="888" t="s">
        <v>310</v>
      </c>
      <c r="F1198" s="888" t="s">
        <v>310</v>
      </c>
    </row>
    <row r="1199" spans="1:6" ht="12.75" customHeight="1">
      <c r="A1199" s="888">
        <v>79</v>
      </c>
      <c r="B1199" s="888" t="s">
        <v>1131</v>
      </c>
      <c r="C1199" s="888" t="s">
        <v>1823</v>
      </c>
      <c r="D1199" s="889">
        <v>46040</v>
      </c>
      <c r="E1199" s="888" t="s">
        <v>310</v>
      </c>
      <c r="F1199" s="888" t="s">
        <v>310</v>
      </c>
    </row>
    <row r="1200" spans="1:6" ht="12.75" customHeight="1">
      <c r="A1200" s="888">
        <v>79</v>
      </c>
      <c r="B1200" s="888" t="s">
        <v>1131</v>
      </c>
      <c r="C1200" s="888" t="s">
        <v>1823</v>
      </c>
      <c r="D1200" s="889">
        <v>46041</v>
      </c>
      <c r="E1200" s="890">
        <v>0.35373842592592591</v>
      </c>
      <c r="F1200" s="890">
        <v>0.75765046296296301</v>
      </c>
    </row>
    <row r="1201" spans="1:6" ht="12.75" customHeight="1">
      <c r="A1201" s="888" t="s">
        <v>1949</v>
      </c>
      <c r="B1201" s="888" t="s">
        <v>1950</v>
      </c>
      <c r="C1201" s="888" t="s">
        <v>1266</v>
      </c>
    </row>
    <row r="1202" spans="1:6" ht="12.75" customHeight="1">
      <c r="A1202" s="888">
        <v>79</v>
      </c>
      <c r="B1202" s="888" t="s">
        <v>1131</v>
      </c>
      <c r="C1202" s="888" t="s">
        <v>1823</v>
      </c>
      <c r="D1202" s="889">
        <v>46042</v>
      </c>
      <c r="E1202" s="890">
        <v>0.35932870370370368</v>
      </c>
      <c r="F1202" s="890">
        <v>0.77708333333333335</v>
      </c>
    </row>
    <row r="1203" spans="1:6" ht="12.75" customHeight="1">
      <c r="A1203" s="888" t="s">
        <v>1951</v>
      </c>
      <c r="B1203" s="888" t="s">
        <v>1952</v>
      </c>
      <c r="C1203" s="888" t="s">
        <v>1790</v>
      </c>
    </row>
    <row r="1204" spans="1:6" ht="12.75" customHeight="1">
      <c r="A1204" s="888">
        <v>79</v>
      </c>
      <c r="B1204" s="888" t="s">
        <v>1131</v>
      </c>
      <c r="C1204" s="888" t="s">
        <v>1823</v>
      </c>
      <c r="D1204" s="889">
        <v>46043</v>
      </c>
      <c r="E1204" s="890">
        <v>0.38390046296296299</v>
      </c>
      <c r="F1204" s="890">
        <v>0.82861111111111108</v>
      </c>
    </row>
    <row r="1205" spans="1:6" ht="12.75" customHeight="1">
      <c r="A1205" s="888" t="s">
        <v>1953</v>
      </c>
      <c r="B1205" s="888" t="s">
        <v>1954</v>
      </c>
      <c r="C1205" s="888" t="s">
        <v>1955</v>
      </c>
    </row>
    <row r="1206" spans="1:6" ht="12.75" customHeight="1">
      <c r="A1206" s="888">
        <v>79</v>
      </c>
      <c r="B1206" s="888" t="s">
        <v>1131</v>
      </c>
      <c r="C1206" s="888" t="s">
        <v>1823</v>
      </c>
      <c r="D1206" s="889">
        <v>46044</v>
      </c>
      <c r="E1206" s="890">
        <v>0.39778935185185182</v>
      </c>
      <c r="F1206" s="890">
        <v>0.76723379629629629</v>
      </c>
    </row>
    <row r="1207" spans="1:6" ht="12.75" customHeight="1">
      <c r="A1207" s="888" t="s">
        <v>1956</v>
      </c>
      <c r="B1207" s="888" t="s">
        <v>1957</v>
      </c>
      <c r="C1207" s="888" t="s">
        <v>1958</v>
      </c>
    </row>
    <row r="1208" spans="1:6" ht="12.75" customHeight="1">
      <c r="A1208" s="888">
        <v>79</v>
      </c>
      <c r="B1208" s="888" t="s">
        <v>1131</v>
      </c>
      <c r="C1208" s="888" t="s">
        <v>1823</v>
      </c>
      <c r="D1208" s="889">
        <v>46045</v>
      </c>
      <c r="E1208" s="890">
        <v>0.40383101851851849</v>
      </c>
      <c r="F1208" s="890">
        <v>0.7835185185185185</v>
      </c>
    </row>
    <row r="1209" spans="1:6" ht="12.75" customHeight="1">
      <c r="A1209" s="888" t="s">
        <v>1959</v>
      </c>
      <c r="B1209" s="888" t="s">
        <v>1960</v>
      </c>
      <c r="C1209" s="888" t="s">
        <v>1585</v>
      </c>
    </row>
    <row r="1210" spans="1:6" ht="12.75" customHeight="1">
      <c r="A1210" s="888">
        <v>79</v>
      </c>
      <c r="B1210" s="888" t="s">
        <v>1131</v>
      </c>
      <c r="C1210" s="888" t="s">
        <v>1823</v>
      </c>
      <c r="D1210" s="889">
        <v>46046</v>
      </c>
      <c r="E1210" s="888" t="s">
        <v>310</v>
      </c>
      <c r="F1210" s="888" t="s">
        <v>310</v>
      </c>
    </row>
    <row r="1211" spans="1:6" ht="12.75" customHeight="1">
      <c r="A1211" s="888">
        <v>79</v>
      </c>
      <c r="B1211" s="888" t="s">
        <v>1131</v>
      </c>
      <c r="C1211" s="888" t="s">
        <v>1823</v>
      </c>
      <c r="D1211" s="889">
        <v>46047</v>
      </c>
      <c r="E1211" s="888" t="s">
        <v>310</v>
      </c>
      <c r="F1211" s="888" t="s">
        <v>310</v>
      </c>
    </row>
    <row r="1212" spans="1:6" ht="12.75" customHeight="1">
      <c r="A1212" s="888">
        <v>79</v>
      </c>
      <c r="B1212" s="888" t="s">
        <v>1131</v>
      </c>
      <c r="C1212" s="888" t="s">
        <v>1823</v>
      </c>
      <c r="D1212" s="889">
        <v>46048</v>
      </c>
      <c r="E1212" s="890">
        <v>0.85306712962962961</v>
      </c>
      <c r="F1212" s="888" t="s">
        <v>310</v>
      </c>
    </row>
    <row r="1213" spans="1:6" ht="12.75" customHeight="1">
      <c r="A1213" s="888" t="s">
        <v>1961</v>
      </c>
      <c r="B1213" s="888" t="s">
        <v>1258</v>
      </c>
      <c r="C1213" s="888" t="s">
        <v>1259</v>
      </c>
    </row>
    <row r="1214" spans="1:6" ht="12.75" customHeight="1">
      <c r="A1214" s="888">
        <v>79</v>
      </c>
      <c r="B1214" s="888" t="s">
        <v>1131</v>
      </c>
      <c r="C1214" s="888" t="s">
        <v>1823</v>
      </c>
      <c r="D1214" s="889">
        <v>46049</v>
      </c>
      <c r="E1214" s="888" t="s">
        <v>310</v>
      </c>
      <c r="F1214" s="888" t="s">
        <v>310</v>
      </c>
    </row>
    <row r="1215" spans="1:6" ht="12.75" customHeight="1">
      <c r="A1215" s="888">
        <v>79</v>
      </c>
      <c r="B1215" s="888" t="s">
        <v>1131</v>
      </c>
      <c r="C1215" s="888" t="s">
        <v>1823</v>
      </c>
      <c r="D1215" s="889">
        <v>46050</v>
      </c>
      <c r="E1215" s="890">
        <v>0.35878472222222224</v>
      </c>
      <c r="F1215" s="890">
        <v>0.79388888888888887</v>
      </c>
    </row>
    <row r="1216" spans="1:6" ht="12.75" customHeight="1">
      <c r="A1216" s="888" t="s">
        <v>1962</v>
      </c>
      <c r="B1216" s="888" t="s">
        <v>1963</v>
      </c>
      <c r="C1216" s="888" t="s">
        <v>1964</v>
      </c>
    </row>
    <row r="1217" spans="1:6" ht="12.75" customHeight="1">
      <c r="A1217" s="888">
        <v>79</v>
      </c>
      <c r="B1217" s="888" t="s">
        <v>1131</v>
      </c>
      <c r="C1217" s="888" t="s">
        <v>1823</v>
      </c>
      <c r="D1217" s="889">
        <v>46051</v>
      </c>
      <c r="E1217" s="890">
        <v>0.38671296296296298</v>
      </c>
      <c r="F1217" s="890">
        <v>0.76018518518518519</v>
      </c>
    </row>
    <row r="1218" spans="1:6" ht="12.75" customHeight="1">
      <c r="A1218" s="888" t="s">
        <v>1965</v>
      </c>
      <c r="B1218" s="888" t="s">
        <v>1966</v>
      </c>
      <c r="C1218" s="888" t="s">
        <v>1326</v>
      </c>
    </row>
    <row r="1219" spans="1:6" ht="12.75" customHeight="1">
      <c r="A1219" s="888">
        <v>79</v>
      </c>
      <c r="B1219" s="888" t="s">
        <v>1131</v>
      </c>
      <c r="C1219" s="888" t="s">
        <v>1823</v>
      </c>
      <c r="D1219" s="889">
        <v>46052</v>
      </c>
      <c r="E1219" s="890">
        <v>0.56276620370370367</v>
      </c>
      <c r="F1219" s="890">
        <v>0.75501157407407404</v>
      </c>
    </row>
    <row r="1220" spans="1:6" ht="12.75" customHeight="1">
      <c r="A1220" s="888" t="s">
        <v>1967</v>
      </c>
      <c r="B1220" s="888" t="s">
        <v>1968</v>
      </c>
      <c r="C1220" s="888" t="s">
        <v>1969</v>
      </c>
    </row>
    <row r="1221" spans="1:6" ht="12.75" customHeight="1">
      <c r="A1221" s="888">
        <v>79</v>
      </c>
      <c r="B1221" s="888" t="s">
        <v>1131</v>
      </c>
      <c r="C1221" s="888" t="s">
        <v>1823</v>
      </c>
      <c r="D1221" s="889">
        <v>46053</v>
      </c>
      <c r="E1221" s="888" t="s">
        <v>310</v>
      </c>
      <c r="F1221" s="888" t="s">
        <v>310</v>
      </c>
    </row>
    <row r="1222" spans="1:6" ht="12.75" customHeight="1">
      <c r="A1222" s="888">
        <v>79</v>
      </c>
      <c r="B1222" s="888" t="s">
        <v>1131</v>
      </c>
      <c r="C1222" s="888" t="s">
        <v>1823</v>
      </c>
      <c r="D1222" s="889">
        <v>46054</v>
      </c>
      <c r="E1222" s="888" t="s">
        <v>310</v>
      </c>
      <c r="F1222" s="888" t="s">
        <v>310</v>
      </c>
    </row>
    <row r="1223" spans="1:6" ht="12.75" customHeight="1">
      <c r="A1223" s="888">
        <v>87</v>
      </c>
      <c r="B1223" s="888" t="s">
        <v>1132</v>
      </c>
      <c r="C1223" s="888" t="s">
        <v>1387</v>
      </c>
      <c r="D1223" s="889">
        <v>46023</v>
      </c>
      <c r="E1223" s="888" t="s">
        <v>310</v>
      </c>
      <c r="F1223" s="888" t="s">
        <v>310</v>
      </c>
    </row>
    <row r="1224" spans="1:6" ht="12.75" customHeight="1">
      <c r="A1224" s="888">
        <v>87</v>
      </c>
      <c r="B1224" s="888" t="s">
        <v>1132</v>
      </c>
      <c r="C1224" s="888" t="s">
        <v>1387</v>
      </c>
      <c r="D1224" s="889">
        <v>46024</v>
      </c>
      <c r="E1224" s="888" t="s">
        <v>310</v>
      </c>
      <c r="F1224" s="888" t="s">
        <v>310</v>
      </c>
    </row>
    <row r="1225" spans="1:6" ht="12.75" customHeight="1">
      <c r="A1225" s="888">
        <v>87</v>
      </c>
      <c r="B1225" s="888" t="s">
        <v>1132</v>
      </c>
      <c r="C1225" s="888" t="s">
        <v>1387</v>
      </c>
      <c r="D1225" s="889">
        <v>46025</v>
      </c>
      <c r="E1225" s="888" t="s">
        <v>310</v>
      </c>
      <c r="F1225" s="888" t="s">
        <v>310</v>
      </c>
    </row>
    <row r="1226" spans="1:6" ht="12.75" customHeight="1">
      <c r="A1226" s="888">
        <v>87</v>
      </c>
      <c r="B1226" s="888" t="s">
        <v>1132</v>
      </c>
      <c r="C1226" s="888" t="s">
        <v>1387</v>
      </c>
      <c r="D1226" s="889">
        <v>46026</v>
      </c>
      <c r="E1226" s="888" t="s">
        <v>310</v>
      </c>
      <c r="F1226" s="888" t="s">
        <v>310</v>
      </c>
    </row>
    <row r="1227" spans="1:6" ht="12.75" customHeight="1">
      <c r="A1227" s="888">
        <v>87</v>
      </c>
      <c r="B1227" s="888" t="s">
        <v>1132</v>
      </c>
      <c r="C1227" s="888" t="s">
        <v>1387</v>
      </c>
      <c r="D1227" s="889">
        <v>46027</v>
      </c>
      <c r="E1227" s="890">
        <v>0.3865277777777778</v>
      </c>
      <c r="F1227" s="890">
        <v>0.76238425925925923</v>
      </c>
    </row>
    <row r="1228" spans="1:6" ht="12.75" customHeight="1">
      <c r="A1228" s="888" t="s">
        <v>1970</v>
      </c>
      <c r="B1228" s="888" t="s">
        <v>1971</v>
      </c>
      <c r="C1228" s="888" t="s">
        <v>1330</v>
      </c>
    </row>
    <row r="1229" spans="1:6" ht="12.75" customHeight="1">
      <c r="A1229" s="888">
        <v>87</v>
      </c>
      <c r="B1229" s="888" t="s">
        <v>1132</v>
      </c>
      <c r="C1229" s="888" t="s">
        <v>1387</v>
      </c>
      <c r="D1229" s="889">
        <v>46028</v>
      </c>
      <c r="E1229" s="890">
        <v>0.39380787037037035</v>
      </c>
      <c r="F1229" s="890">
        <v>0.79605324074074069</v>
      </c>
    </row>
    <row r="1230" spans="1:6" ht="12.75" customHeight="1">
      <c r="A1230" s="888" t="s">
        <v>1972</v>
      </c>
      <c r="B1230" s="888" t="s">
        <v>1973</v>
      </c>
      <c r="C1230" s="888" t="s">
        <v>1538</v>
      </c>
    </row>
    <row r="1231" spans="1:6" ht="12.75" customHeight="1">
      <c r="A1231" s="888">
        <v>87</v>
      </c>
      <c r="B1231" s="888" t="s">
        <v>1132</v>
      </c>
      <c r="C1231" s="888" t="s">
        <v>1387</v>
      </c>
      <c r="D1231" s="889">
        <v>46029</v>
      </c>
      <c r="E1231" s="890">
        <v>0.76729166666666671</v>
      </c>
      <c r="F1231" s="888" t="s">
        <v>310</v>
      </c>
    </row>
    <row r="1232" spans="1:6" ht="12.75" customHeight="1">
      <c r="A1232" s="888" t="s">
        <v>1974</v>
      </c>
      <c r="B1232" s="888" t="s">
        <v>1258</v>
      </c>
      <c r="C1232" s="888" t="s">
        <v>1259</v>
      </c>
    </row>
    <row r="1233" spans="1:6" ht="12.75" customHeight="1">
      <c r="A1233" s="888">
        <v>87</v>
      </c>
      <c r="B1233" s="888" t="s">
        <v>1132</v>
      </c>
      <c r="C1233" s="888" t="s">
        <v>1387</v>
      </c>
      <c r="D1233" s="889">
        <v>46030</v>
      </c>
      <c r="E1233" s="890">
        <v>0.3919212962962963</v>
      </c>
      <c r="F1233" s="890">
        <v>0.83625000000000005</v>
      </c>
    </row>
    <row r="1234" spans="1:6" ht="12.75" customHeight="1">
      <c r="A1234" s="888" t="s">
        <v>1975</v>
      </c>
      <c r="B1234" s="888" t="s">
        <v>1976</v>
      </c>
      <c r="C1234" s="888" t="s">
        <v>1955</v>
      </c>
    </row>
    <row r="1235" spans="1:6" ht="12.75" customHeight="1">
      <c r="A1235" s="888">
        <v>87</v>
      </c>
      <c r="B1235" s="888" t="s">
        <v>1132</v>
      </c>
      <c r="C1235" s="888" t="s">
        <v>1387</v>
      </c>
      <c r="D1235" s="889">
        <v>46031</v>
      </c>
      <c r="E1235" s="888" t="s">
        <v>310</v>
      </c>
      <c r="F1235" s="888" t="s">
        <v>310</v>
      </c>
    </row>
    <row r="1236" spans="1:6" ht="12.75" customHeight="1">
      <c r="A1236" s="888">
        <v>87</v>
      </c>
      <c r="B1236" s="888" t="s">
        <v>1132</v>
      </c>
      <c r="C1236" s="888" t="s">
        <v>1387</v>
      </c>
      <c r="D1236" s="889">
        <v>46032</v>
      </c>
      <c r="E1236" s="888" t="s">
        <v>310</v>
      </c>
      <c r="F1236" s="888" t="s">
        <v>310</v>
      </c>
    </row>
    <row r="1237" spans="1:6" ht="12.75" customHeight="1">
      <c r="A1237" s="888">
        <v>87</v>
      </c>
      <c r="B1237" s="888" t="s">
        <v>1132</v>
      </c>
      <c r="C1237" s="888" t="s">
        <v>1387</v>
      </c>
      <c r="D1237" s="889">
        <v>46033</v>
      </c>
      <c r="E1237" s="888" t="s">
        <v>310</v>
      </c>
      <c r="F1237" s="888" t="s">
        <v>310</v>
      </c>
    </row>
    <row r="1238" spans="1:6" ht="12.75" customHeight="1">
      <c r="A1238" s="888">
        <v>87</v>
      </c>
      <c r="B1238" s="888" t="s">
        <v>1132</v>
      </c>
      <c r="C1238" s="888" t="s">
        <v>1387</v>
      </c>
      <c r="D1238" s="889">
        <v>46034</v>
      </c>
      <c r="E1238" s="890">
        <v>0.37821759259259258</v>
      </c>
      <c r="F1238" s="890">
        <v>0.76104166666666662</v>
      </c>
    </row>
    <row r="1239" spans="1:6" ht="12.75" customHeight="1">
      <c r="A1239" s="888" t="s">
        <v>1977</v>
      </c>
      <c r="B1239" s="888" t="s">
        <v>1978</v>
      </c>
      <c r="C1239" s="888" t="s">
        <v>1314</v>
      </c>
    </row>
    <row r="1240" spans="1:6" ht="12.75" customHeight="1">
      <c r="A1240" s="888">
        <v>87</v>
      </c>
      <c r="B1240" s="888" t="s">
        <v>1132</v>
      </c>
      <c r="C1240" s="888" t="s">
        <v>1387</v>
      </c>
      <c r="D1240" s="889">
        <v>46035</v>
      </c>
      <c r="E1240" s="890">
        <v>0.42321759259259262</v>
      </c>
      <c r="F1240" s="890">
        <v>0.78085648148148146</v>
      </c>
    </row>
    <row r="1241" spans="1:6" ht="12.75" customHeight="1">
      <c r="A1241" s="888" t="s">
        <v>1979</v>
      </c>
      <c r="B1241" s="888" t="s">
        <v>1980</v>
      </c>
      <c r="C1241" s="888" t="s">
        <v>1981</v>
      </c>
    </row>
    <row r="1242" spans="1:6" ht="12.75" customHeight="1">
      <c r="A1242" s="888">
        <v>87</v>
      </c>
      <c r="B1242" s="888" t="s">
        <v>1132</v>
      </c>
      <c r="C1242" s="888" t="s">
        <v>1387</v>
      </c>
      <c r="D1242" s="889">
        <v>46036</v>
      </c>
      <c r="E1242" s="890">
        <v>0.41826388888888888</v>
      </c>
      <c r="F1242" s="890">
        <v>0.76116898148148149</v>
      </c>
    </row>
    <row r="1243" spans="1:6" ht="12.75" customHeight="1">
      <c r="A1243" s="888" t="s">
        <v>1982</v>
      </c>
      <c r="B1243" s="888" t="s">
        <v>1983</v>
      </c>
      <c r="C1243" s="888" t="s">
        <v>1732</v>
      </c>
    </row>
    <row r="1244" spans="1:6" ht="12.75" customHeight="1">
      <c r="A1244" s="888">
        <v>87</v>
      </c>
      <c r="B1244" s="888" t="s">
        <v>1132</v>
      </c>
      <c r="C1244" s="888" t="s">
        <v>1387</v>
      </c>
      <c r="D1244" s="889">
        <v>46037</v>
      </c>
      <c r="E1244" s="888" t="s">
        <v>310</v>
      </c>
      <c r="F1244" s="888" t="s">
        <v>310</v>
      </c>
    </row>
    <row r="1245" spans="1:6" ht="12.75" customHeight="1">
      <c r="A1245" s="888">
        <v>87</v>
      </c>
      <c r="B1245" s="888" t="s">
        <v>1132</v>
      </c>
      <c r="C1245" s="888" t="s">
        <v>1387</v>
      </c>
      <c r="D1245" s="889">
        <v>46038</v>
      </c>
      <c r="E1245" s="888" t="s">
        <v>310</v>
      </c>
      <c r="F1245" s="888" t="s">
        <v>310</v>
      </c>
    </row>
    <row r="1246" spans="1:6" ht="12.75" customHeight="1">
      <c r="A1246" s="888">
        <v>87</v>
      </c>
      <c r="B1246" s="888" t="s">
        <v>1132</v>
      </c>
      <c r="C1246" s="888" t="s">
        <v>1387</v>
      </c>
      <c r="D1246" s="889">
        <v>46039</v>
      </c>
      <c r="E1246" s="888" t="s">
        <v>310</v>
      </c>
      <c r="F1246" s="888" t="s">
        <v>310</v>
      </c>
    </row>
    <row r="1247" spans="1:6" ht="12.75" customHeight="1">
      <c r="A1247" s="888">
        <v>87</v>
      </c>
      <c r="B1247" s="888" t="s">
        <v>1132</v>
      </c>
      <c r="C1247" s="888" t="s">
        <v>1387</v>
      </c>
      <c r="D1247" s="889">
        <v>46040</v>
      </c>
      <c r="E1247" s="888" t="s">
        <v>310</v>
      </c>
      <c r="F1247" s="888" t="s">
        <v>310</v>
      </c>
    </row>
    <row r="1248" spans="1:6" ht="12.75" customHeight="1">
      <c r="A1248" s="888">
        <v>87</v>
      </c>
      <c r="B1248" s="888" t="s">
        <v>1132</v>
      </c>
      <c r="C1248" s="888" t="s">
        <v>1387</v>
      </c>
      <c r="D1248" s="889">
        <v>46041</v>
      </c>
      <c r="E1248" s="890">
        <v>0.40524305555555556</v>
      </c>
      <c r="F1248" s="890">
        <v>0.77761574074074069</v>
      </c>
    </row>
    <row r="1249" spans="1:6" ht="12.75" customHeight="1">
      <c r="A1249" s="888" t="s">
        <v>1984</v>
      </c>
      <c r="B1249" s="888" t="s">
        <v>1985</v>
      </c>
      <c r="C1249" s="888" t="s">
        <v>1937</v>
      </c>
    </row>
    <row r="1250" spans="1:6" ht="12.75" customHeight="1">
      <c r="A1250" s="888">
        <v>87</v>
      </c>
      <c r="B1250" s="888" t="s">
        <v>1132</v>
      </c>
      <c r="C1250" s="888" t="s">
        <v>1387</v>
      </c>
      <c r="D1250" s="889">
        <v>46042</v>
      </c>
      <c r="E1250" s="890">
        <v>0.41608796296296297</v>
      </c>
      <c r="F1250" s="890">
        <v>0.76364583333333336</v>
      </c>
    </row>
    <row r="1251" spans="1:6" ht="12.75" customHeight="1">
      <c r="A1251" s="888" t="s">
        <v>1986</v>
      </c>
      <c r="B1251" s="888" t="s">
        <v>1987</v>
      </c>
      <c r="C1251" s="888" t="s">
        <v>1988</v>
      </c>
    </row>
    <row r="1252" spans="1:6" ht="12.75" customHeight="1">
      <c r="A1252" s="888">
        <v>87</v>
      </c>
      <c r="B1252" s="888" t="s">
        <v>1132</v>
      </c>
      <c r="C1252" s="888" t="s">
        <v>1387</v>
      </c>
      <c r="D1252" s="889">
        <v>46043</v>
      </c>
      <c r="E1252" s="890">
        <v>0.38234953703703706</v>
      </c>
      <c r="F1252" s="890">
        <v>0.7756481481481482</v>
      </c>
    </row>
    <row r="1253" spans="1:6" ht="12.75" customHeight="1">
      <c r="A1253" s="888" t="s">
        <v>1989</v>
      </c>
      <c r="B1253" s="888" t="s">
        <v>1990</v>
      </c>
      <c r="C1253" s="888" t="s">
        <v>1776</v>
      </c>
    </row>
    <row r="1254" spans="1:6" ht="12.75" customHeight="1">
      <c r="A1254" s="888">
        <v>87</v>
      </c>
      <c r="B1254" s="888" t="s">
        <v>1132</v>
      </c>
      <c r="C1254" s="888" t="s">
        <v>1387</v>
      </c>
      <c r="D1254" s="889">
        <v>46044</v>
      </c>
      <c r="E1254" s="890">
        <v>0.41708333333333331</v>
      </c>
      <c r="F1254" s="890">
        <v>0.75871527777777781</v>
      </c>
    </row>
    <row r="1255" spans="1:6" ht="12.75" customHeight="1">
      <c r="A1255" s="888" t="s">
        <v>1991</v>
      </c>
      <c r="B1255" s="888" t="s">
        <v>1992</v>
      </c>
      <c r="C1255" s="888" t="s">
        <v>1481</v>
      </c>
    </row>
    <row r="1256" spans="1:6" ht="12.75" customHeight="1">
      <c r="A1256" s="888">
        <v>87</v>
      </c>
      <c r="B1256" s="888" t="s">
        <v>1132</v>
      </c>
      <c r="C1256" s="888" t="s">
        <v>1387</v>
      </c>
      <c r="D1256" s="889">
        <v>46045</v>
      </c>
      <c r="E1256" s="888" t="s">
        <v>310</v>
      </c>
      <c r="F1256" s="888" t="s">
        <v>310</v>
      </c>
    </row>
    <row r="1257" spans="1:6" ht="12.75" customHeight="1">
      <c r="A1257" s="888">
        <v>87</v>
      </c>
      <c r="B1257" s="888" t="s">
        <v>1132</v>
      </c>
      <c r="C1257" s="888" t="s">
        <v>1387</v>
      </c>
      <c r="D1257" s="889">
        <v>46046</v>
      </c>
      <c r="E1257" s="888" t="s">
        <v>310</v>
      </c>
      <c r="F1257" s="888" t="s">
        <v>310</v>
      </c>
    </row>
    <row r="1258" spans="1:6" ht="12.75" customHeight="1">
      <c r="A1258" s="888">
        <v>87</v>
      </c>
      <c r="B1258" s="888" t="s">
        <v>1132</v>
      </c>
      <c r="C1258" s="888" t="s">
        <v>1387</v>
      </c>
      <c r="D1258" s="889">
        <v>46047</v>
      </c>
      <c r="E1258" s="888" t="s">
        <v>310</v>
      </c>
      <c r="F1258" s="888" t="s">
        <v>310</v>
      </c>
    </row>
    <row r="1259" spans="1:6" ht="12.75" customHeight="1">
      <c r="A1259" s="888">
        <v>87</v>
      </c>
      <c r="B1259" s="888" t="s">
        <v>1132</v>
      </c>
      <c r="C1259" s="888" t="s">
        <v>1387</v>
      </c>
      <c r="D1259" s="889">
        <v>46048</v>
      </c>
      <c r="E1259" s="890">
        <v>0.41516203703703702</v>
      </c>
      <c r="F1259" s="890">
        <v>0.76530092592592591</v>
      </c>
    </row>
    <row r="1260" spans="1:6" ht="12.75" customHeight="1">
      <c r="A1260" s="888" t="s">
        <v>1993</v>
      </c>
      <c r="B1260" s="888" t="s">
        <v>1994</v>
      </c>
      <c r="C1260" s="888" t="s">
        <v>1995</v>
      </c>
    </row>
    <row r="1261" spans="1:6" ht="12.75" customHeight="1">
      <c r="A1261" s="888">
        <v>87</v>
      </c>
      <c r="B1261" s="888" t="s">
        <v>1132</v>
      </c>
      <c r="C1261" s="888" t="s">
        <v>1387</v>
      </c>
      <c r="D1261" s="889">
        <v>46049</v>
      </c>
      <c r="E1261" s="890">
        <v>0.38843749999999999</v>
      </c>
      <c r="F1261" s="890">
        <v>0.77149305555555558</v>
      </c>
    </row>
    <row r="1262" spans="1:6" ht="12.75" customHeight="1">
      <c r="A1262" s="888" t="s">
        <v>1996</v>
      </c>
      <c r="B1262" s="888" t="s">
        <v>1997</v>
      </c>
      <c r="C1262" s="888" t="s">
        <v>1576</v>
      </c>
    </row>
    <row r="1263" spans="1:6" ht="12.75" customHeight="1">
      <c r="A1263" s="888">
        <v>87</v>
      </c>
      <c r="B1263" s="888" t="s">
        <v>1132</v>
      </c>
      <c r="C1263" s="888" t="s">
        <v>1387</v>
      </c>
      <c r="D1263" s="889">
        <v>46050</v>
      </c>
      <c r="E1263" s="890">
        <v>0.40736111111111112</v>
      </c>
      <c r="F1263" s="890">
        <v>0.77901620370370372</v>
      </c>
    </row>
    <row r="1264" spans="1:6" ht="12.75" customHeight="1">
      <c r="A1264" s="888" t="s">
        <v>1998</v>
      </c>
      <c r="B1264" s="888" t="s">
        <v>1999</v>
      </c>
      <c r="C1264" s="888" t="s">
        <v>2000</v>
      </c>
    </row>
    <row r="1265" spans="1:6" ht="12.75" customHeight="1">
      <c r="A1265" s="888">
        <v>87</v>
      </c>
      <c r="B1265" s="888" t="s">
        <v>1132</v>
      </c>
      <c r="C1265" s="888" t="s">
        <v>1387</v>
      </c>
      <c r="D1265" s="889">
        <v>46051</v>
      </c>
      <c r="E1265" s="890">
        <v>0.42336805555555557</v>
      </c>
      <c r="F1265" s="890">
        <v>0.83368055555555554</v>
      </c>
    </row>
    <row r="1266" spans="1:6" ht="12.75" customHeight="1">
      <c r="A1266" s="888" t="s">
        <v>2001</v>
      </c>
      <c r="B1266" s="888" t="s">
        <v>2002</v>
      </c>
      <c r="C1266" s="888" t="s">
        <v>2003</v>
      </c>
    </row>
    <row r="1267" spans="1:6" ht="12.75" customHeight="1">
      <c r="A1267" s="888">
        <v>87</v>
      </c>
      <c r="B1267" s="888" t="s">
        <v>1132</v>
      </c>
      <c r="C1267" s="888" t="s">
        <v>1387</v>
      </c>
      <c r="D1267" s="889">
        <v>46052</v>
      </c>
      <c r="E1267" s="888" t="s">
        <v>310</v>
      </c>
      <c r="F1267" s="888" t="s">
        <v>310</v>
      </c>
    </row>
    <row r="1268" spans="1:6" ht="12.75" customHeight="1">
      <c r="A1268" s="888">
        <v>87</v>
      </c>
      <c r="B1268" s="888" t="s">
        <v>1132</v>
      </c>
      <c r="C1268" s="888" t="s">
        <v>1387</v>
      </c>
      <c r="D1268" s="889">
        <v>46053</v>
      </c>
      <c r="E1268" s="888" t="s">
        <v>310</v>
      </c>
      <c r="F1268" s="888" t="s">
        <v>310</v>
      </c>
    </row>
    <row r="1269" spans="1:6" ht="12.75" customHeight="1">
      <c r="A1269" s="888">
        <v>87</v>
      </c>
      <c r="B1269" s="888" t="s">
        <v>1132</v>
      </c>
      <c r="C1269" s="888" t="s">
        <v>1387</v>
      </c>
      <c r="D1269" s="889">
        <v>46054</v>
      </c>
      <c r="E1269" s="888" t="s">
        <v>310</v>
      </c>
      <c r="F1269" s="888" t="s">
        <v>310</v>
      </c>
    </row>
    <row r="1270" spans="1:6" ht="12.75" customHeight="1">
      <c r="A1270" s="888">
        <v>91</v>
      </c>
      <c r="B1270" s="888" t="s">
        <v>2004</v>
      </c>
      <c r="C1270" s="888" t="s">
        <v>1250</v>
      </c>
      <c r="D1270" s="889">
        <v>46023</v>
      </c>
      <c r="E1270" s="888" t="s">
        <v>310</v>
      </c>
      <c r="F1270" s="888" t="s">
        <v>310</v>
      </c>
    </row>
    <row r="1271" spans="1:6" ht="12.75" customHeight="1">
      <c r="A1271" s="888">
        <v>91</v>
      </c>
      <c r="B1271" s="888" t="s">
        <v>2004</v>
      </c>
      <c r="C1271" s="888" t="s">
        <v>1250</v>
      </c>
      <c r="D1271" s="889">
        <v>46024</v>
      </c>
      <c r="E1271" s="888" t="s">
        <v>310</v>
      </c>
      <c r="F1271" s="888" t="s">
        <v>310</v>
      </c>
    </row>
    <row r="1272" spans="1:6" ht="12.75" customHeight="1">
      <c r="A1272" s="888">
        <v>91</v>
      </c>
      <c r="B1272" s="888" t="s">
        <v>2004</v>
      </c>
      <c r="C1272" s="888" t="s">
        <v>1250</v>
      </c>
      <c r="D1272" s="889">
        <v>46025</v>
      </c>
      <c r="E1272" s="888" t="s">
        <v>310</v>
      </c>
      <c r="F1272" s="888" t="s">
        <v>310</v>
      </c>
    </row>
    <row r="1273" spans="1:6" ht="12.75" customHeight="1">
      <c r="A1273" s="888">
        <v>91</v>
      </c>
      <c r="B1273" s="888" t="s">
        <v>2004</v>
      </c>
      <c r="C1273" s="888" t="s">
        <v>1250</v>
      </c>
      <c r="D1273" s="889">
        <v>46026</v>
      </c>
      <c r="E1273" s="888" t="s">
        <v>310</v>
      </c>
      <c r="F1273" s="888" t="s">
        <v>310</v>
      </c>
    </row>
    <row r="1274" spans="1:6" ht="12.75" customHeight="1">
      <c r="A1274" s="888">
        <v>91</v>
      </c>
      <c r="B1274" s="888" t="s">
        <v>2004</v>
      </c>
      <c r="C1274" s="888" t="s">
        <v>1250</v>
      </c>
      <c r="D1274" s="889">
        <v>46027</v>
      </c>
      <c r="E1274" s="888" t="s">
        <v>310</v>
      </c>
      <c r="F1274" s="888" t="s">
        <v>310</v>
      </c>
    </row>
    <row r="1275" spans="1:6" ht="12.75" customHeight="1">
      <c r="A1275" s="888">
        <v>91</v>
      </c>
      <c r="B1275" s="888" t="s">
        <v>2004</v>
      </c>
      <c r="C1275" s="888" t="s">
        <v>1250</v>
      </c>
      <c r="D1275" s="889">
        <v>46028</v>
      </c>
      <c r="E1275" s="888" t="s">
        <v>310</v>
      </c>
      <c r="F1275" s="888" t="s">
        <v>310</v>
      </c>
    </row>
    <row r="1276" spans="1:6" ht="12.75" customHeight="1">
      <c r="A1276" s="888">
        <v>91</v>
      </c>
      <c r="B1276" s="888" t="s">
        <v>2004</v>
      </c>
      <c r="C1276" s="888" t="s">
        <v>1250</v>
      </c>
      <c r="D1276" s="889">
        <v>46029</v>
      </c>
      <c r="E1276" s="888" t="s">
        <v>310</v>
      </c>
      <c r="F1276" s="888" t="s">
        <v>310</v>
      </c>
    </row>
    <row r="1277" spans="1:6" ht="12.75" customHeight="1">
      <c r="A1277" s="888">
        <v>91</v>
      </c>
      <c r="B1277" s="888" t="s">
        <v>2004</v>
      </c>
      <c r="C1277" s="888" t="s">
        <v>1250</v>
      </c>
      <c r="D1277" s="889">
        <v>46030</v>
      </c>
      <c r="E1277" s="888" t="s">
        <v>310</v>
      </c>
      <c r="F1277" s="888" t="s">
        <v>310</v>
      </c>
    </row>
    <row r="1278" spans="1:6" ht="12.75" customHeight="1">
      <c r="A1278" s="888">
        <v>91</v>
      </c>
      <c r="B1278" s="888" t="s">
        <v>2004</v>
      </c>
      <c r="C1278" s="888" t="s">
        <v>1250</v>
      </c>
      <c r="D1278" s="889">
        <v>46031</v>
      </c>
      <c r="E1278" s="888" t="s">
        <v>310</v>
      </c>
      <c r="F1278" s="888" t="s">
        <v>310</v>
      </c>
    </row>
    <row r="1279" spans="1:6" ht="12.75" customHeight="1">
      <c r="A1279" s="888">
        <v>91</v>
      </c>
      <c r="B1279" s="888" t="s">
        <v>2004</v>
      </c>
      <c r="C1279" s="888" t="s">
        <v>1250</v>
      </c>
      <c r="D1279" s="889">
        <v>46032</v>
      </c>
      <c r="E1279" s="888" t="s">
        <v>310</v>
      </c>
      <c r="F1279" s="888" t="s">
        <v>310</v>
      </c>
    </row>
    <row r="1280" spans="1:6" ht="12.75" customHeight="1">
      <c r="A1280" s="888">
        <v>91</v>
      </c>
      <c r="B1280" s="888" t="s">
        <v>2004</v>
      </c>
      <c r="C1280" s="888" t="s">
        <v>1250</v>
      </c>
      <c r="D1280" s="889">
        <v>46033</v>
      </c>
      <c r="E1280" s="888" t="s">
        <v>310</v>
      </c>
      <c r="F1280" s="888" t="s">
        <v>310</v>
      </c>
    </row>
    <row r="1281" spans="1:6" ht="12.75" customHeight="1">
      <c r="A1281" s="888">
        <v>91</v>
      </c>
      <c r="B1281" s="888" t="s">
        <v>2004</v>
      </c>
      <c r="C1281" s="888" t="s">
        <v>1250</v>
      </c>
      <c r="D1281" s="889">
        <v>46034</v>
      </c>
      <c r="E1281" s="888" t="s">
        <v>310</v>
      </c>
      <c r="F1281" s="888" t="s">
        <v>310</v>
      </c>
    </row>
    <row r="1282" spans="1:6" ht="12.75" customHeight="1">
      <c r="A1282" s="888">
        <v>91</v>
      </c>
      <c r="B1282" s="888" t="s">
        <v>2004</v>
      </c>
      <c r="C1282" s="888" t="s">
        <v>1250</v>
      </c>
      <c r="D1282" s="889">
        <v>46035</v>
      </c>
      <c r="E1282" s="888" t="s">
        <v>310</v>
      </c>
      <c r="F1282" s="888" t="s">
        <v>310</v>
      </c>
    </row>
    <row r="1283" spans="1:6" ht="12.75" customHeight="1">
      <c r="A1283" s="888">
        <v>91</v>
      </c>
      <c r="B1283" s="888" t="s">
        <v>2004</v>
      </c>
      <c r="C1283" s="888" t="s">
        <v>1250</v>
      </c>
      <c r="D1283" s="889">
        <v>46036</v>
      </c>
      <c r="E1283" s="888" t="s">
        <v>310</v>
      </c>
      <c r="F1283" s="888" t="s">
        <v>310</v>
      </c>
    </row>
    <row r="1284" spans="1:6" ht="12.75" customHeight="1">
      <c r="A1284" s="888">
        <v>91</v>
      </c>
      <c r="B1284" s="888" t="s">
        <v>2004</v>
      </c>
      <c r="C1284" s="888" t="s">
        <v>1250</v>
      </c>
      <c r="D1284" s="889">
        <v>46037</v>
      </c>
      <c r="E1284" s="888" t="s">
        <v>310</v>
      </c>
      <c r="F1284" s="888" t="s">
        <v>310</v>
      </c>
    </row>
    <row r="1285" spans="1:6" ht="12.75" customHeight="1">
      <c r="A1285" s="888">
        <v>91</v>
      </c>
      <c r="B1285" s="888" t="s">
        <v>2004</v>
      </c>
      <c r="C1285" s="888" t="s">
        <v>1250</v>
      </c>
      <c r="D1285" s="889">
        <v>46038</v>
      </c>
      <c r="E1285" s="888" t="s">
        <v>310</v>
      </c>
      <c r="F1285" s="888" t="s">
        <v>310</v>
      </c>
    </row>
    <row r="1286" spans="1:6" ht="12.75" customHeight="1">
      <c r="A1286" s="888">
        <v>91</v>
      </c>
      <c r="B1286" s="888" t="s">
        <v>2004</v>
      </c>
      <c r="C1286" s="888" t="s">
        <v>1250</v>
      </c>
      <c r="D1286" s="889">
        <v>46039</v>
      </c>
      <c r="E1286" s="888" t="s">
        <v>310</v>
      </c>
      <c r="F1286" s="888" t="s">
        <v>310</v>
      </c>
    </row>
    <row r="1287" spans="1:6" ht="12.75" customHeight="1">
      <c r="A1287" s="888">
        <v>91</v>
      </c>
      <c r="B1287" s="888" t="s">
        <v>2004</v>
      </c>
      <c r="C1287" s="888" t="s">
        <v>1250</v>
      </c>
      <c r="D1287" s="889">
        <v>46040</v>
      </c>
      <c r="E1287" s="888" t="s">
        <v>310</v>
      </c>
      <c r="F1287" s="888" t="s">
        <v>310</v>
      </c>
    </row>
    <row r="1288" spans="1:6" ht="12.75" customHeight="1">
      <c r="A1288" s="888">
        <v>91</v>
      </c>
      <c r="B1288" s="888" t="s">
        <v>2004</v>
      </c>
      <c r="C1288" s="888" t="s">
        <v>1250</v>
      </c>
      <c r="D1288" s="889">
        <v>46041</v>
      </c>
      <c r="E1288" s="888" t="s">
        <v>310</v>
      </c>
      <c r="F1288" s="888" t="s">
        <v>310</v>
      </c>
    </row>
    <row r="1289" spans="1:6" ht="12.75" customHeight="1">
      <c r="A1289" s="888">
        <v>91</v>
      </c>
      <c r="B1289" s="888" t="s">
        <v>2004</v>
      </c>
      <c r="C1289" s="888" t="s">
        <v>1250</v>
      </c>
      <c r="D1289" s="889">
        <v>46042</v>
      </c>
      <c r="E1289" s="888" t="s">
        <v>310</v>
      </c>
      <c r="F1289" s="888" t="s">
        <v>310</v>
      </c>
    </row>
    <row r="1290" spans="1:6" ht="12.75" customHeight="1">
      <c r="A1290" s="888">
        <v>91</v>
      </c>
      <c r="B1290" s="888" t="s">
        <v>2004</v>
      </c>
      <c r="C1290" s="888" t="s">
        <v>1250</v>
      </c>
      <c r="D1290" s="889">
        <v>46043</v>
      </c>
      <c r="E1290" s="888" t="s">
        <v>310</v>
      </c>
      <c r="F1290" s="888" t="s">
        <v>310</v>
      </c>
    </row>
    <row r="1291" spans="1:6" ht="12.75" customHeight="1">
      <c r="A1291" s="888">
        <v>91</v>
      </c>
      <c r="B1291" s="888" t="s">
        <v>2004</v>
      </c>
      <c r="C1291" s="888" t="s">
        <v>1250</v>
      </c>
      <c r="D1291" s="889">
        <v>46044</v>
      </c>
      <c r="E1291" s="888" t="s">
        <v>310</v>
      </c>
      <c r="F1291" s="888" t="s">
        <v>310</v>
      </c>
    </row>
    <row r="1292" spans="1:6" ht="12.75" customHeight="1">
      <c r="A1292" s="888">
        <v>91</v>
      </c>
      <c r="B1292" s="888" t="s">
        <v>2004</v>
      </c>
      <c r="C1292" s="888" t="s">
        <v>1250</v>
      </c>
      <c r="D1292" s="889">
        <v>46045</v>
      </c>
      <c r="E1292" s="888" t="s">
        <v>310</v>
      </c>
      <c r="F1292" s="888" t="s">
        <v>310</v>
      </c>
    </row>
    <row r="1293" spans="1:6" ht="12.75" customHeight="1">
      <c r="A1293" s="888">
        <v>91</v>
      </c>
      <c r="B1293" s="888" t="s">
        <v>2004</v>
      </c>
      <c r="C1293" s="888" t="s">
        <v>1250</v>
      </c>
      <c r="D1293" s="889">
        <v>46046</v>
      </c>
      <c r="E1293" s="888" t="s">
        <v>310</v>
      </c>
      <c r="F1293" s="888" t="s">
        <v>310</v>
      </c>
    </row>
    <row r="1294" spans="1:6" ht="12.75" customHeight="1">
      <c r="A1294" s="888">
        <v>91</v>
      </c>
      <c r="B1294" s="888" t="s">
        <v>2004</v>
      </c>
      <c r="C1294" s="888" t="s">
        <v>1250</v>
      </c>
      <c r="D1294" s="889">
        <v>46047</v>
      </c>
      <c r="E1294" s="888" t="s">
        <v>310</v>
      </c>
      <c r="F1294" s="888" t="s">
        <v>310</v>
      </c>
    </row>
    <row r="1295" spans="1:6" ht="12.75" customHeight="1">
      <c r="A1295" s="888">
        <v>91</v>
      </c>
      <c r="B1295" s="888" t="s">
        <v>2004</v>
      </c>
      <c r="C1295" s="888" t="s">
        <v>1250</v>
      </c>
      <c r="D1295" s="889">
        <v>46048</v>
      </c>
      <c r="E1295" s="888" t="s">
        <v>310</v>
      </c>
      <c r="F1295" s="888" t="s">
        <v>310</v>
      </c>
    </row>
    <row r="1296" spans="1:6" ht="12.75" customHeight="1">
      <c r="A1296" s="888">
        <v>91</v>
      </c>
      <c r="B1296" s="888" t="s">
        <v>2004</v>
      </c>
      <c r="C1296" s="888" t="s">
        <v>1250</v>
      </c>
      <c r="D1296" s="889">
        <v>46049</v>
      </c>
      <c r="E1296" s="888" t="s">
        <v>310</v>
      </c>
      <c r="F1296" s="888" t="s">
        <v>310</v>
      </c>
    </row>
    <row r="1297" spans="1:6" ht="12.75" customHeight="1">
      <c r="A1297" s="888">
        <v>91</v>
      </c>
      <c r="B1297" s="888" t="s">
        <v>2004</v>
      </c>
      <c r="C1297" s="888" t="s">
        <v>1250</v>
      </c>
      <c r="D1297" s="889">
        <v>46050</v>
      </c>
      <c r="E1297" s="888" t="s">
        <v>310</v>
      </c>
      <c r="F1297" s="888" t="s">
        <v>310</v>
      </c>
    </row>
    <row r="1298" spans="1:6" ht="12.75" customHeight="1">
      <c r="A1298" s="888">
        <v>91</v>
      </c>
      <c r="B1298" s="888" t="s">
        <v>2004</v>
      </c>
      <c r="C1298" s="888" t="s">
        <v>1250</v>
      </c>
      <c r="D1298" s="889">
        <v>46051</v>
      </c>
      <c r="E1298" s="888" t="s">
        <v>310</v>
      </c>
      <c r="F1298" s="888" t="s">
        <v>310</v>
      </c>
    </row>
    <row r="1299" spans="1:6" ht="12.75" customHeight="1">
      <c r="A1299" s="888">
        <v>91</v>
      </c>
      <c r="B1299" s="888" t="s">
        <v>2004</v>
      </c>
      <c r="C1299" s="888" t="s">
        <v>1250</v>
      </c>
      <c r="D1299" s="889">
        <v>46052</v>
      </c>
      <c r="E1299" s="888" t="s">
        <v>310</v>
      </c>
      <c r="F1299" s="888" t="s">
        <v>310</v>
      </c>
    </row>
    <row r="1300" spans="1:6" ht="12.75" customHeight="1">
      <c r="A1300" s="888">
        <v>91</v>
      </c>
      <c r="B1300" s="888" t="s">
        <v>2004</v>
      </c>
      <c r="C1300" s="888" t="s">
        <v>1250</v>
      </c>
      <c r="D1300" s="889">
        <v>46053</v>
      </c>
      <c r="E1300" s="888" t="s">
        <v>310</v>
      </c>
      <c r="F1300" s="888" t="s">
        <v>310</v>
      </c>
    </row>
    <row r="1301" spans="1:6" ht="12.75" customHeight="1">
      <c r="A1301" s="888">
        <v>91</v>
      </c>
      <c r="B1301" s="888" t="s">
        <v>2004</v>
      </c>
      <c r="C1301" s="888" t="s">
        <v>1250</v>
      </c>
      <c r="D1301" s="889">
        <v>46054</v>
      </c>
      <c r="E1301" s="888" t="s">
        <v>310</v>
      </c>
      <c r="F1301" s="888" t="s">
        <v>310</v>
      </c>
    </row>
    <row r="1302" spans="1:6" ht="12.75" customHeight="1">
      <c r="A1302" s="888">
        <v>92</v>
      </c>
      <c r="B1302" s="888" t="s">
        <v>1133</v>
      </c>
      <c r="C1302" s="888" t="s">
        <v>1767</v>
      </c>
      <c r="D1302" s="889">
        <v>46023</v>
      </c>
      <c r="E1302" s="888" t="s">
        <v>310</v>
      </c>
      <c r="F1302" s="888" t="s">
        <v>310</v>
      </c>
    </row>
    <row r="1303" spans="1:6" ht="12.75" customHeight="1">
      <c r="A1303" s="888">
        <v>92</v>
      </c>
      <c r="B1303" s="888" t="s">
        <v>1133</v>
      </c>
      <c r="C1303" s="888" t="s">
        <v>1767</v>
      </c>
      <c r="D1303" s="889">
        <v>46024</v>
      </c>
      <c r="E1303" s="888" t="s">
        <v>310</v>
      </c>
      <c r="F1303" s="888" t="s">
        <v>310</v>
      </c>
    </row>
    <row r="1304" spans="1:6" ht="12.75" customHeight="1">
      <c r="A1304" s="888">
        <v>92</v>
      </c>
      <c r="B1304" s="888" t="s">
        <v>1133</v>
      </c>
      <c r="C1304" s="888" t="s">
        <v>1767</v>
      </c>
      <c r="D1304" s="889">
        <v>46025</v>
      </c>
      <c r="E1304" s="888" t="s">
        <v>310</v>
      </c>
      <c r="F1304" s="888" t="s">
        <v>310</v>
      </c>
    </row>
    <row r="1305" spans="1:6" ht="12.75" customHeight="1">
      <c r="A1305" s="888">
        <v>92</v>
      </c>
      <c r="B1305" s="888" t="s">
        <v>1133</v>
      </c>
      <c r="C1305" s="888" t="s">
        <v>1767</v>
      </c>
      <c r="D1305" s="889">
        <v>46026</v>
      </c>
      <c r="E1305" s="888" t="s">
        <v>310</v>
      </c>
      <c r="F1305" s="888" t="s">
        <v>310</v>
      </c>
    </row>
    <row r="1306" spans="1:6" ht="12.75" customHeight="1">
      <c r="A1306" s="888">
        <v>92</v>
      </c>
      <c r="B1306" s="888" t="s">
        <v>1133</v>
      </c>
      <c r="C1306" s="888" t="s">
        <v>1767</v>
      </c>
      <c r="D1306" s="889">
        <v>46027</v>
      </c>
      <c r="E1306" s="890">
        <v>0.37331018518518516</v>
      </c>
      <c r="F1306" s="890">
        <v>0.77359953703703699</v>
      </c>
    </row>
    <row r="1307" spans="1:6" ht="12.75" customHeight="1">
      <c r="A1307" s="888" t="s">
        <v>2005</v>
      </c>
      <c r="B1307" s="888" t="s">
        <v>2006</v>
      </c>
      <c r="C1307" s="888" t="s">
        <v>1526</v>
      </c>
    </row>
    <row r="1308" spans="1:6" ht="12.75" customHeight="1">
      <c r="A1308" s="888">
        <v>92</v>
      </c>
      <c r="B1308" s="888" t="s">
        <v>1133</v>
      </c>
      <c r="C1308" s="888" t="s">
        <v>1767</v>
      </c>
      <c r="D1308" s="889">
        <v>46028</v>
      </c>
      <c r="E1308" s="890">
        <v>0.40932870370370372</v>
      </c>
      <c r="F1308" s="890">
        <v>0.82395833333333335</v>
      </c>
    </row>
    <row r="1309" spans="1:6" ht="12.75" customHeight="1">
      <c r="A1309" s="888" t="s">
        <v>2007</v>
      </c>
      <c r="B1309" s="888" t="s">
        <v>2008</v>
      </c>
      <c r="C1309" s="888" t="s">
        <v>2009</v>
      </c>
    </row>
    <row r="1310" spans="1:6" ht="12.75" customHeight="1">
      <c r="A1310" s="888">
        <v>92</v>
      </c>
      <c r="B1310" s="888" t="s">
        <v>1133</v>
      </c>
      <c r="C1310" s="888" t="s">
        <v>1767</v>
      </c>
      <c r="D1310" s="889">
        <v>46029</v>
      </c>
      <c r="E1310" s="890">
        <v>0.40937499999999999</v>
      </c>
      <c r="F1310" s="890">
        <v>0.79901620370370374</v>
      </c>
    </row>
    <row r="1311" spans="1:6" ht="12.75" customHeight="1">
      <c r="A1311" s="888" t="s">
        <v>2010</v>
      </c>
      <c r="B1311" s="888" t="s">
        <v>2011</v>
      </c>
      <c r="C1311" s="888" t="s">
        <v>1737</v>
      </c>
    </row>
    <row r="1312" spans="1:6" ht="12.75" customHeight="1">
      <c r="A1312" s="888">
        <v>92</v>
      </c>
      <c r="B1312" s="888" t="s">
        <v>1133</v>
      </c>
      <c r="C1312" s="888" t="s">
        <v>1767</v>
      </c>
      <c r="D1312" s="889">
        <v>46030</v>
      </c>
      <c r="E1312" s="890">
        <v>0.40704861111111112</v>
      </c>
      <c r="F1312" s="890">
        <v>0.77444444444444449</v>
      </c>
    </row>
    <row r="1313" spans="1:6" ht="12.75" customHeight="1">
      <c r="A1313" s="888" t="s">
        <v>2012</v>
      </c>
      <c r="B1313" s="888" t="s">
        <v>2013</v>
      </c>
      <c r="C1313" s="888" t="s">
        <v>2014</v>
      </c>
    </row>
    <row r="1314" spans="1:6" ht="12.75" customHeight="1">
      <c r="A1314" s="888">
        <v>92</v>
      </c>
      <c r="B1314" s="888" t="s">
        <v>1133</v>
      </c>
      <c r="C1314" s="888" t="s">
        <v>1767</v>
      </c>
      <c r="D1314" s="889">
        <v>46031</v>
      </c>
      <c r="E1314" s="890">
        <v>0.43506944444444445</v>
      </c>
      <c r="F1314" s="890">
        <v>0.80052083333333335</v>
      </c>
    </row>
    <row r="1315" spans="1:6" ht="12.75" customHeight="1">
      <c r="A1315" s="888" t="s">
        <v>2015</v>
      </c>
      <c r="B1315" s="888" t="s">
        <v>2016</v>
      </c>
      <c r="C1315" s="888" t="s">
        <v>1705</v>
      </c>
    </row>
    <row r="1316" spans="1:6" ht="12.75" customHeight="1">
      <c r="A1316" s="888">
        <v>92</v>
      </c>
      <c r="B1316" s="888" t="s">
        <v>1133</v>
      </c>
      <c r="C1316" s="888" t="s">
        <v>1767</v>
      </c>
      <c r="D1316" s="889">
        <v>46032</v>
      </c>
      <c r="E1316" s="890">
        <v>0.39930555555555558</v>
      </c>
      <c r="F1316" s="890">
        <v>0.78249999999999997</v>
      </c>
    </row>
    <row r="1317" spans="1:6" ht="12.75" customHeight="1">
      <c r="A1317" s="888" t="s">
        <v>2017</v>
      </c>
      <c r="B1317" s="888" t="s">
        <v>2018</v>
      </c>
      <c r="C1317" s="888" t="s">
        <v>1576</v>
      </c>
    </row>
    <row r="1318" spans="1:6" ht="12.75" customHeight="1">
      <c r="A1318" s="888">
        <v>92</v>
      </c>
      <c r="B1318" s="888" t="s">
        <v>1133</v>
      </c>
      <c r="C1318" s="888" t="s">
        <v>1767</v>
      </c>
      <c r="D1318" s="889">
        <v>46033</v>
      </c>
      <c r="E1318" s="888" t="s">
        <v>310</v>
      </c>
      <c r="F1318" s="888" t="s">
        <v>310</v>
      </c>
    </row>
    <row r="1319" spans="1:6" ht="12.75" customHeight="1">
      <c r="A1319" s="888">
        <v>92</v>
      </c>
      <c r="B1319" s="888" t="s">
        <v>1133</v>
      </c>
      <c r="C1319" s="888" t="s">
        <v>1767</v>
      </c>
      <c r="D1319" s="889">
        <v>46034</v>
      </c>
      <c r="E1319" s="890">
        <v>0.38244212962962965</v>
      </c>
      <c r="F1319" s="890">
        <v>0.8362384259259259</v>
      </c>
    </row>
    <row r="1320" spans="1:6" ht="12.75" customHeight="1">
      <c r="A1320" s="888" t="s">
        <v>2019</v>
      </c>
      <c r="B1320" s="888" t="s">
        <v>2020</v>
      </c>
      <c r="C1320" s="888" t="s">
        <v>1279</v>
      </c>
    </row>
    <row r="1321" spans="1:6" ht="12.75" customHeight="1">
      <c r="A1321" s="888">
        <v>92</v>
      </c>
      <c r="B1321" s="888" t="s">
        <v>1133</v>
      </c>
      <c r="C1321" s="888" t="s">
        <v>1767</v>
      </c>
      <c r="D1321" s="889">
        <v>46035</v>
      </c>
      <c r="E1321" s="890">
        <v>0.3843287037037037</v>
      </c>
      <c r="F1321" s="890">
        <v>0.50787037037037042</v>
      </c>
    </row>
    <row r="1322" spans="1:6" ht="12.75" customHeight="1">
      <c r="A1322" s="888" t="s">
        <v>2021</v>
      </c>
      <c r="B1322" s="888" t="s">
        <v>2022</v>
      </c>
      <c r="C1322" s="888" t="s">
        <v>2023</v>
      </c>
    </row>
    <row r="1323" spans="1:6" ht="12.75" customHeight="1">
      <c r="A1323" s="888">
        <v>92</v>
      </c>
      <c r="B1323" s="888" t="s">
        <v>1133</v>
      </c>
      <c r="C1323" s="888" t="s">
        <v>1767</v>
      </c>
      <c r="D1323" s="889">
        <v>46036</v>
      </c>
      <c r="E1323" s="890">
        <v>0.39439814814814816</v>
      </c>
      <c r="F1323" s="890">
        <v>0.79112268518518514</v>
      </c>
    </row>
    <row r="1324" spans="1:6" ht="12.75" customHeight="1">
      <c r="A1324" s="888" t="s">
        <v>2024</v>
      </c>
      <c r="B1324" s="888" t="s">
        <v>2025</v>
      </c>
      <c r="C1324" s="888" t="s">
        <v>1452</v>
      </c>
    </row>
    <row r="1325" spans="1:6" ht="12.75" customHeight="1">
      <c r="A1325" s="888">
        <v>92</v>
      </c>
      <c r="B1325" s="888" t="s">
        <v>1133</v>
      </c>
      <c r="C1325" s="888" t="s">
        <v>1767</v>
      </c>
      <c r="D1325" s="889">
        <v>46037</v>
      </c>
      <c r="E1325" s="890">
        <v>0.41152777777777777</v>
      </c>
      <c r="F1325" s="890">
        <v>0.86519675925925921</v>
      </c>
    </row>
    <row r="1326" spans="1:6" ht="12.75" customHeight="1">
      <c r="A1326" s="888" t="s">
        <v>2026</v>
      </c>
      <c r="B1326" s="888" t="s">
        <v>2027</v>
      </c>
      <c r="C1326" s="888" t="s">
        <v>1279</v>
      </c>
    </row>
    <row r="1327" spans="1:6" ht="12.75" customHeight="1">
      <c r="A1327" s="888">
        <v>92</v>
      </c>
      <c r="B1327" s="888" t="s">
        <v>1133</v>
      </c>
      <c r="C1327" s="888" t="s">
        <v>1767</v>
      </c>
      <c r="D1327" s="889">
        <v>46038</v>
      </c>
      <c r="E1327" s="890">
        <v>0.39701388888888889</v>
      </c>
      <c r="F1327" s="890">
        <v>0.81593749999999998</v>
      </c>
    </row>
    <row r="1328" spans="1:6" ht="12.75" customHeight="1">
      <c r="A1328" s="888" t="s">
        <v>2028</v>
      </c>
      <c r="B1328" s="888" t="s">
        <v>2029</v>
      </c>
      <c r="C1328" s="888" t="s">
        <v>2030</v>
      </c>
    </row>
    <row r="1329" spans="1:6" ht="12.75" customHeight="1">
      <c r="A1329" s="888">
        <v>92</v>
      </c>
      <c r="B1329" s="888" t="s">
        <v>1133</v>
      </c>
      <c r="C1329" s="888" t="s">
        <v>1767</v>
      </c>
      <c r="D1329" s="889">
        <v>46039</v>
      </c>
      <c r="E1329" s="888" t="s">
        <v>310</v>
      </c>
      <c r="F1329" s="888" t="s">
        <v>310</v>
      </c>
    </row>
    <row r="1330" spans="1:6" ht="12.75" customHeight="1">
      <c r="A1330" s="888">
        <v>92</v>
      </c>
      <c r="B1330" s="888" t="s">
        <v>1133</v>
      </c>
      <c r="C1330" s="888" t="s">
        <v>1767</v>
      </c>
      <c r="D1330" s="889">
        <v>46040</v>
      </c>
      <c r="E1330" s="888" t="s">
        <v>310</v>
      </c>
      <c r="F1330" s="888" t="s">
        <v>310</v>
      </c>
    </row>
    <row r="1331" spans="1:6" ht="12.75" customHeight="1">
      <c r="A1331" s="888">
        <v>92</v>
      </c>
      <c r="B1331" s="888" t="s">
        <v>1133</v>
      </c>
      <c r="C1331" s="888" t="s">
        <v>1767</v>
      </c>
      <c r="D1331" s="889">
        <v>46041</v>
      </c>
      <c r="E1331" s="890">
        <v>0.3913773148148148</v>
      </c>
      <c r="F1331" s="890">
        <v>0.78353009259259254</v>
      </c>
    </row>
    <row r="1332" spans="1:6" ht="12.75" customHeight="1">
      <c r="A1332" s="888" t="s">
        <v>2031</v>
      </c>
      <c r="B1332" s="888" t="s">
        <v>2032</v>
      </c>
      <c r="C1332" s="888" t="s">
        <v>1724</v>
      </c>
    </row>
    <row r="1333" spans="1:6" ht="12.75" customHeight="1">
      <c r="A1333" s="888">
        <v>92</v>
      </c>
      <c r="B1333" s="888" t="s">
        <v>1133</v>
      </c>
      <c r="C1333" s="888" t="s">
        <v>1767</v>
      </c>
      <c r="D1333" s="889">
        <v>46042</v>
      </c>
      <c r="E1333" s="890">
        <v>0.41122685185185187</v>
      </c>
      <c r="F1333" s="890">
        <v>0.82891203703703709</v>
      </c>
    </row>
    <row r="1334" spans="1:6" ht="12.75" customHeight="1">
      <c r="A1334" s="888" t="s">
        <v>2033</v>
      </c>
      <c r="B1334" s="888" t="s">
        <v>2034</v>
      </c>
      <c r="C1334" s="888" t="s">
        <v>2035</v>
      </c>
    </row>
    <row r="1335" spans="1:6" ht="12.75" customHeight="1">
      <c r="A1335" s="888">
        <v>92</v>
      </c>
      <c r="B1335" s="888" t="s">
        <v>1133</v>
      </c>
      <c r="C1335" s="888" t="s">
        <v>1767</v>
      </c>
      <c r="D1335" s="889">
        <v>46043</v>
      </c>
      <c r="E1335" s="890">
        <v>0.39114583333333336</v>
      </c>
      <c r="F1335" s="890">
        <v>0.79148148148148145</v>
      </c>
    </row>
    <row r="1336" spans="1:6" ht="12.75" customHeight="1">
      <c r="A1336" s="888" t="s">
        <v>2036</v>
      </c>
      <c r="B1336" s="888" t="s">
        <v>2037</v>
      </c>
      <c r="C1336" s="888" t="s">
        <v>1526</v>
      </c>
    </row>
    <row r="1337" spans="1:6" ht="12.75" customHeight="1">
      <c r="A1337" s="888">
        <v>92</v>
      </c>
      <c r="B1337" s="888" t="s">
        <v>1133</v>
      </c>
      <c r="C1337" s="888" t="s">
        <v>1767</v>
      </c>
      <c r="D1337" s="889">
        <v>46044</v>
      </c>
      <c r="E1337" s="890">
        <v>0.41311342592592593</v>
      </c>
      <c r="F1337" s="890">
        <v>0.7971759259259259</v>
      </c>
    </row>
    <row r="1338" spans="1:6" ht="12.75" customHeight="1">
      <c r="A1338" s="888" t="s">
        <v>2038</v>
      </c>
      <c r="B1338" s="888" t="s">
        <v>2039</v>
      </c>
      <c r="C1338" s="888" t="s">
        <v>1742</v>
      </c>
    </row>
    <row r="1339" spans="1:6" ht="12.75" customHeight="1">
      <c r="A1339" s="888">
        <v>92</v>
      </c>
      <c r="B1339" s="888" t="s">
        <v>1133</v>
      </c>
      <c r="C1339" s="888" t="s">
        <v>1767</v>
      </c>
      <c r="D1339" s="889">
        <v>46045</v>
      </c>
      <c r="E1339" s="890">
        <v>0.40247685185185184</v>
      </c>
      <c r="F1339" s="890">
        <v>0.83480324074074075</v>
      </c>
    </row>
    <row r="1340" spans="1:6" ht="12.75" customHeight="1">
      <c r="A1340" s="888" t="s">
        <v>2040</v>
      </c>
      <c r="B1340" s="888" t="s">
        <v>2041</v>
      </c>
      <c r="C1340" s="888" t="s">
        <v>1849</v>
      </c>
    </row>
    <row r="1341" spans="1:6" ht="12.75" customHeight="1">
      <c r="A1341" s="888">
        <v>92</v>
      </c>
      <c r="B1341" s="888" t="s">
        <v>1133</v>
      </c>
      <c r="C1341" s="888" t="s">
        <v>1767</v>
      </c>
      <c r="D1341" s="889">
        <v>46046</v>
      </c>
      <c r="E1341" s="888" t="s">
        <v>310</v>
      </c>
      <c r="F1341" s="888" t="s">
        <v>310</v>
      </c>
    </row>
    <row r="1342" spans="1:6" ht="12.75" customHeight="1">
      <c r="A1342" s="888">
        <v>92</v>
      </c>
      <c r="B1342" s="888" t="s">
        <v>1133</v>
      </c>
      <c r="C1342" s="888" t="s">
        <v>1767</v>
      </c>
      <c r="D1342" s="889">
        <v>46047</v>
      </c>
      <c r="E1342" s="888" t="s">
        <v>310</v>
      </c>
      <c r="F1342" s="888" t="s">
        <v>310</v>
      </c>
    </row>
    <row r="1343" spans="1:6" ht="12.75" customHeight="1">
      <c r="A1343" s="888">
        <v>92</v>
      </c>
      <c r="B1343" s="888" t="s">
        <v>1133</v>
      </c>
      <c r="C1343" s="888" t="s">
        <v>1767</v>
      </c>
      <c r="D1343" s="889">
        <v>46048</v>
      </c>
      <c r="E1343" s="890">
        <v>0.39327546296296295</v>
      </c>
      <c r="F1343" s="890">
        <v>0.77056712962962959</v>
      </c>
    </row>
    <row r="1344" spans="1:6" ht="12.75" customHeight="1">
      <c r="A1344" s="888" t="s">
        <v>2042</v>
      </c>
      <c r="B1344" s="888" t="s">
        <v>2043</v>
      </c>
      <c r="C1344" s="888" t="s">
        <v>1610</v>
      </c>
    </row>
    <row r="1345" spans="1:6" ht="12.75" customHeight="1">
      <c r="A1345" s="888">
        <v>92</v>
      </c>
      <c r="B1345" s="888" t="s">
        <v>1133</v>
      </c>
      <c r="C1345" s="888" t="s">
        <v>1767</v>
      </c>
      <c r="D1345" s="889">
        <v>46049</v>
      </c>
      <c r="E1345" s="890">
        <v>0.40265046296296297</v>
      </c>
      <c r="F1345" s="890">
        <v>0.79392361111111109</v>
      </c>
    </row>
    <row r="1346" spans="1:6" ht="12.75" customHeight="1">
      <c r="A1346" s="888" t="s">
        <v>2044</v>
      </c>
      <c r="B1346" s="888" t="s">
        <v>2045</v>
      </c>
      <c r="C1346" s="888" t="s">
        <v>1437</v>
      </c>
    </row>
    <row r="1347" spans="1:6" ht="12.75" customHeight="1">
      <c r="A1347" s="888">
        <v>92</v>
      </c>
      <c r="B1347" s="888" t="s">
        <v>1133</v>
      </c>
      <c r="C1347" s="888" t="s">
        <v>1767</v>
      </c>
      <c r="D1347" s="889">
        <v>46050</v>
      </c>
      <c r="E1347" s="888" t="s">
        <v>310</v>
      </c>
      <c r="F1347" s="888" t="s">
        <v>310</v>
      </c>
    </row>
    <row r="1348" spans="1:6" ht="12.75" customHeight="1">
      <c r="A1348" s="888">
        <v>92</v>
      </c>
      <c r="B1348" s="888" t="s">
        <v>1133</v>
      </c>
      <c r="C1348" s="888" t="s">
        <v>1767</v>
      </c>
      <c r="D1348" s="889">
        <v>46051</v>
      </c>
      <c r="E1348" s="890">
        <v>0.40142361111111113</v>
      </c>
      <c r="F1348" s="890">
        <v>0.81092592592592594</v>
      </c>
    </row>
    <row r="1349" spans="1:6" ht="12.75" customHeight="1">
      <c r="A1349" s="888" t="s">
        <v>2046</v>
      </c>
      <c r="B1349" s="888" t="s">
        <v>2047</v>
      </c>
      <c r="C1349" s="888" t="s">
        <v>1874</v>
      </c>
    </row>
    <row r="1350" spans="1:6" ht="12.75" customHeight="1">
      <c r="A1350" s="888">
        <v>92</v>
      </c>
      <c r="B1350" s="888" t="s">
        <v>1133</v>
      </c>
      <c r="C1350" s="888" t="s">
        <v>1767</v>
      </c>
      <c r="D1350" s="889">
        <v>46052</v>
      </c>
      <c r="E1350" s="890">
        <v>0.4074652777777778</v>
      </c>
      <c r="F1350" s="890">
        <v>0.82510416666666664</v>
      </c>
    </row>
    <row r="1351" spans="1:6" ht="12.75" customHeight="1">
      <c r="A1351" s="888" t="s">
        <v>2048</v>
      </c>
      <c r="B1351" s="888" t="s">
        <v>2049</v>
      </c>
      <c r="C1351" s="888" t="s">
        <v>2035</v>
      </c>
    </row>
    <row r="1352" spans="1:6" ht="12.75" customHeight="1">
      <c r="A1352" s="888">
        <v>92</v>
      </c>
      <c r="B1352" s="888" t="s">
        <v>1133</v>
      </c>
      <c r="C1352" s="888" t="s">
        <v>1767</v>
      </c>
      <c r="D1352" s="889">
        <v>46053</v>
      </c>
      <c r="E1352" s="888" t="s">
        <v>310</v>
      </c>
      <c r="F1352" s="888" t="s">
        <v>310</v>
      </c>
    </row>
    <row r="1353" spans="1:6" ht="12.75" customHeight="1">
      <c r="A1353" s="888">
        <v>92</v>
      </c>
      <c r="B1353" s="888" t="s">
        <v>1133</v>
      </c>
      <c r="C1353" s="888" t="s">
        <v>1767</v>
      </c>
      <c r="D1353" s="889">
        <v>46054</v>
      </c>
      <c r="E1353" s="888" t="s">
        <v>310</v>
      </c>
      <c r="F1353" s="888" t="s">
        <v>310</v>
      </c>
    </row>
    <row r="1354" spans="1:6" ht="12.75" customHeight="1">
      <c r="A1354" s="888">
        <v>94</v>
      </c>
      <c r="B1354" s="888" t="s">
        <v>2050</v>
      </c>
      <c r="C1354" s="888" t="s">
        <v>1387</v>
      </c>
      <c r="D1354" s="889">
        <v>46023</v>
      </c>
      <c r="E1354" s="888" t="s">
        <v>310</v>
      </c>
      <c r="F1354" s="888" t="s">
        <v>310</v>
      </c>
    </row>
    <row r="1355" spans="1:6" ht="12.75" customHeight="1">
      <c r="A1355" s="888">
        <v>94</v>
      </c>
      <c r="B1355" s="888" t="s">
        <v>2050</v>
      </c>
      <c r="C1355" s="888" t="s">
        <v>1387</v>
      </c>
      <c r="D1355" s="889">
        <v>46024</v>
      </c>
      <c r="E1355" s="888" t="s">
        <v>310</v>
      </c>
      <c r="F1355" s="888" t="s">
        <v>310</v>
      </c>
    </row>
    <row r="1356" spans="1:6" ht="12.75" customHeight="1">
      <c r="A1356" s="888">
        <v>94</v>
      </c>
      <c r="B1356" s="888" t="s">
        <v>2050</v>
      </c>
      <c r="C1356" s="888" t="s">
        <v>1387</v>
      </c>
      <c r="D1356" s="889">
        <v>46025</v>
      </c>
      <c r="E1356" s="888" t="s">
        <v>310</v>
      </c>
      <c r="F1356" s="888" t="s">
        <v>310</v>
      </c>
    </row>
    <row r="1357" spans="1:6" ht="12.75" customHeight="1">
      <c r="A1357" s="888">
        <v>94</v>
      </c>
      <c r="B1357" s="888" t="s">
        <v>2050</v>
      </c>
      <c r="C1357" s="888" t="s">
        <v>1387</v>
      </c>
      <c r="D1357" s="889">
        <v>46026</v>
      </c>
      <c r="E1357" s="888" t="s">
        <v>310</v>
      </c>
      <c r="F1357" s="888" t="s">
        <v>310</v>
      </c>
    </row>
    <row r="1358" spans="1:6" ht="12.75" customHeight="1">
      <c r="A1358" s="888">
        <v>94</v>
      </c>
      <c r="B1358" s="888" t="s">
        <v>2050</v>
      </c>
      <c r="C1358" s="888" t="s">
        <v>1387</v>
      </c>
      <c r="D1358" s="889">
        <v>46027</v>
      </c>
      <c r="E1358" s="888" t="s">
        <v>310</v>
      </c>
      <c r="F1358" s="888" t="s">
        <v>310</v>
      </c>
    </row>
    <row r="1359" spans="1:6" ht="12.75" customHeight="1">
      <c r="A1359" s="888">
        <v>94</v>
      </c>
      <c r="B1359" s="888" t="s">
        <v>2050</v>
      </c>
      <c r="C1359" s="888" t="s">
        <v>1387</v>
      </c>
      <c r="D1359" s="889">
        <v>46028</v>
      </c>
      <c r="E1359" s="888" t="s">
        <v>310</v>
      </c>
      <c r="F1359" s="888" t="s">
        <v>310</v>
      </c>
    </row>
    <row r="1360" spans="1:6" ht="12.75" customHeight="1">
      <c r="A1360" s="888">
        <v>94</v>
      </c>
      <c r="B1360" s="888" t="s">
        <v>2050</v>
      </c>
      <c r="C1360" s="888" t="s">
        <v>1387</v>
      </c>
      <c r="D1360" s="889">
        <v>46029</v>
      </c>
      <c r="E1360" s="888" t="s">
        <v>310</v>
      </c>
      <c r="F1360" s="888" t="s">
        <v>310</v>
      </c>
    </row>
    <row r="1361" spans="1:6" ht="12.75" customHeight="1">
      <c r="A1361" s="888">
        <v>94</v>
      </c>
      <c r="B1361" s="888" t="s">
        <v>2050</v>
      </c>
      <c r="C1361" s="888" t="s">
        <v>1387</v>
      </c>
      <c r="D1361" s="889">
        <v>46030</v>
      </c>
      <c r="E1361" s="888" t="s">
        <v>310</v>
      </c>
      <c r="F1361" s="888" t="s">
        <v>310</v>
      </c>
    </row>
    <row r="1362" spans="1:6" ht="12.75" customHeight="1">
      <c r="A1362" s="888">
        <v>94</v>
      </c>
      <c r="B1362" s="888" t="s">
        <v>2050</v>
      </c>
      <c r="C1362" s="888" t="s">
        <v>1387</v>
      </c>
      <c r="D1362" s="889">
        <v>46031</v>
      </c>
      <c r="E1362" s="888" t="s">
        <v>310</v>
      </c>
      <c r="F1362" s="888" t="s">
        <v>310</v>
      </c>
    </row>
    <row r="1363" spans="1:6" ht="12.75" customHeight="1">
      <c r="A1363" s="888">
        <v>94</v>
      </c>
      <c r="B1363" s="888" t="s">
        <v>2050</v>
      </c>
      <c r="C1363" s="888" t="s">
        <v>1387</v>
      </c>
      <c r="D1363" s="889">
        <v>46032</v>
      </c>
      <c r="E1363" s="888" t="s">
        <v>310</v>
      </c>
      <c r="F1363" s="888" t="s">
        <v>310</v>
      </c>
    </row>
    <row r="1364" spans="1:6" ht="12.75" customHeight="1">
      <c r="A1364" s="888">
        <v>94</v>
      </c>
      <c r="B1364" s="888" t="s">
        <v>2050</v>
      </c>
      <c r="C1364" s="888" t="s">
        <v>1387</v>
      </c>
      <c r="D1364" s="889">
        <v>46033</v>
      </c>
      <c r="E1364" s="888" t="s">
        <v>310</v>
      </c>
      <c r="F1364" s="888" t="s">
        <v>310</v>
      </c>
    </row>
    <row r="1365" spans="1:6" ht="12.75" customHeight="1">
      <c r="A1365" s="888">
        <v>94</v>
      </c>
      <c r="B1365" s="888" t="s">
        <v>2050</v>
      </c>
      <c r="C1365" s="888" t="s">
        <v>1387</v>
      </c>
      <c r="D1365" s="889">
        <v>46034</v>
      </c>
      <c r="E1365" s="888" t="s">
        <v>310</v>
      </c>
      <c r="F1365" s="888" t="s">
        <v>310</v>
      </c>
    </row>
    <row r="1366" spans="1:6" ht="12.75" customHeight="1">
      <c r="A1366" s="888">
        <v>94</v>
      </c>
      <c r="B1366" s="888" t="s">
        <v>2050</v>
      </c>
      <c r="C1366" s="888" t="s">
        <v>1387</v>
      </c>
      <c r="D1366" s="889">
        <v>46035</v>
      </c>
      <c r="E1366" s="888" t="s">
        <v>310</v>
      </c>
      <c r="F1366" s="888" t="s">
        <v>310</v>
      </c>
    </row>
    <row r="1367" spans="1:6" ht="12.75" customHeight="1">
      <c r="A1367" s="888">
        <v>94</v>
      </c>
      <c r="B1367" s="888" t="s">
        <v>2050</v>
      </c>
      <c r="C1367" s="888" t="s">
        <v>1387</v>
      </c>
      <c r="D1367" s="889">
        <v>46036</v>
      </c>
      <c r="E1367" s="888" t="s">
        <v>310</v>
      </c>
      <c r="F1367" s="888" t="s">
        <v>310</v>
      </c>
    </row>
    <row r="1368" spans="1:6" ht="12.75" customHeight="1">
      <c r="A1368" s="888">
        <v>94</v>
      </c>
      <c r="B1368" s="888" t="s">
        <v>2050</v>
      </c>
      <c r="C1368" s="888" t="s">
        <v>1387</v>
      </c>
      <c r="D1368" s="889">
        <v>46037</v>
      </c>
      <c r="E1368" s="888" t="s">
        <v>310</v>
      </c>
      <c r="F1368" s="888" t="s">
        <v>310</v>
      </c>
    </row>
    <row r="1369" spans="1:6" ht="12.75" customHeight="1">
      <c r="A1369" s="888">
        <v>94</v>
      </c>
      <c r="B1369" s="888" t="s">
        <v>2050</v>
      </c>
      <c r="C1369" s="888" t="s">
        <v>1387</v>
      </c>
      <c r="D1369" s="889">
        <v>46038</v>
      </c>
      <c r="E1369" s="888" t="s">
        <v>310</v>
      </c>
      <c r="F1369" s="888" t="s">
        <v>310</v>
      </c>
    </row>
    <row r="1370" spans="1:6" ht="12.75" customHeight="1">
      <c r="A1370" s="888">
        <v>94</v>
      </c>
      <c r="B1370" s="888" t="s">
        <v>2050</v>
      </c>
      <c r="C1370" s="888" t="s">
        <v>1387</v>
      </c>
      <c r="D1370" s="889">
        <v>46039</v>
      </c>
      <c r="E1370" s="888" t="s">
        <v>310</v>
      </c>
      <c r="F1370" s="888" t="s">
        <v>310</v>
      </c>
    </row>
    <row r="1371" spans="1:6" ht="12.75" customHeight="1">
      <c r="A1371" s="888">
        <v>94</v>
      </c>
      <c r="B1371" s="888" t="s">
        <v>2050</v>
      </c>
      <c r="C1371" s="888" t="s">
        <v>1387</v>
      </c>
      <c r="D1371" s="889">
        <v>46040</v>
      </c>
      <c r="E1371" s="888" t="s">
        <v>310</v>
      </c>
      <c r="F1371" s="888" t="s">
        <v>310</v>
      </c>
    </row>
    <row r="1372" spans="1:6" ht="12.75" customHeight="1">
      <c r="A1372" s="888">
        <v>94</v>
      </c>
      <c r="B1372" s="888" t="s">
        <v>2050</v>
      </c>
      <c r="C1372" s="888" t="s">
        <v>1387</v>
      </c>
      <c r="D1372" s="889">
        <v>46041</v>
      </c>
      <c r="E1372" s="888" t="s">
        <v>310</v>
      </c>
      <c r="F1372" s="888" t="s">
        <v>310</v>
      </c>
    </row>
    <row r="1373" spans="1:6" ht="12.75" customHeight="1">
      <c r="A1373" s="888">
        <v>94</v>
      </c>
      <c r="B1373" s="888" t="s">
        <v>2050</v>
      </c>
      <c r="C1373" s="888" t="s">
        <v>1387</v>
      </c>
      <c r="D1373" s="889">
        <v>46042</v>
      </c>
      <c r="E1373" s="888" t="s">
        <v>310</v>
      </c>
      <c r="F1373" s="888" t="s">
        <v>310</v>
      </c>
    </row>
    <row r="1374" spans="1:6" ht="12.75" customHeight="1">
      <c r="A1374" s="888">
        <v>94</v>
      </c>
      <c r="B1374" s="888" t="s">
        <v>2050</v>
      </c>
      <c r="C1374" s="888" t="s">
        <v>1387</v>
      </c>
      <c r="D1374" s="889">
        <v>46043</v>
      </c>
      <c r="E1374" s="888" t="s">
        <v>310</v>
      </c>
      <c r="F1374" s="888" t="s">
        <v>310</v>
      </c>
    </row>
    <row r="1375" spans="1:6" ht="12.75" customHeight="1">
      <c r="A1375" s="888">
        <v>94</v>
      </c>
      <c r="B1375" s="888" t="s">
        <v>2050</v>
      </c>
      <c r="C1375" s="888" t="s">
        <v>1387</v>
      </c>
      <c r="D1375" s="889">
        <v>46044</v>
      </c>
      <c r="E1375" s="888" t="s">
        <v>310</v>
      </c>
      <c r="F1375" s="888" t="s">
        <v>310</v>
      </c>
    </row>
    <row r="1376" spans="1:6" ht="12.75" customHeight="1">
      <c r="A1376" s="888">
        <v>94</v>
      </c>
      <c r="B1376" s="888" t="s">
        <v>2050</v>
      </c>
      <c r="C1376" s="888" t="s">
        <v>1387</v>
      </c>
      <c r="D1376" s="889">
        <v>46045</v>
      </c>
      <c r="E1376" s="888" t="s">
        <v>310</v>
      </c>
      <c r="F1376" s="888" t="s">
        <v>310</v>
      </c>
    </row>
    <row r="1377" spans="1:6" ht="12.75" customHeight="1">
      <c r="A1377" s="888">
        <v>94</v>
      </c>
      <c r="B1377" s="888" t="s">
        <v>2050</v>
      </c>
      <c r="C1377" s="888" t="s">
        <v>1387</v>
      </c>
      <c r="D1377" s="889">
        <v>46046</v>
      </c>
      <c r="E1377" s="888" t="s">
        <v>310</v>
      </c>
      <c r="F1377" s="888" t="s">
        <v>310</v>
      </c>
    </row>
    <row r="1378" spans="1:6" ht="12.75" customHeight="1">
      <c r="A1378" s="888">
        <v>94</v>
      </c>
      <c r="B1378" s="888" t="s">
        <v>2050</v>
      </c>
      <c r="C1378" s="888" t="s">
        <v>1387</v>
      </c>
      <c r="D1378" s="889">
        <v>46047</v>
      </c>
      <c r="E1378" s="888" t="s">
        <v>310</v>
      </c>
      <c r="F1378" s="888" t="s">
        <v>310</v>
      </c>
    </row>
    <row r="1379" spans="1:6" ht="12.75" customHeight="1">
      <c r="A1379" s="888">
        <v>94</v>
      </c>
      <c r="B1379" s="888" t="s">
        <v>2050</v>
      </c>
      <c r="C1379" s="888" t="s">
        <v>1387</v>
      </c>
      <c r="D1379" s="889">
        <v>46048</v>
      </c>
      <c r="E1379" s="888" t="s">
        <v>310</v>
      </c>
      <c r="F1379" s="888" t="s">
        <v>310</v>
      </c>
    </row>
    <row r="1380" spans="1:6" ht="12.75" customHeight="1">
      <c r="A1380" s="888">
        <v>94</v>
      </c>
      <c r="B1380" s="888" t="s">
        <v>2050</v>
      </c>
      <c r="C1380" s="888" t="s">
        <v>1387</v>
      </c>
      <c r="D1380" s="889">
        <v>46049</v>
      </c>
      <c r="E1380" s="888" t="s">
        <v>310</v>
      </c>
      <c r="F1380" s="888" t="s">
        <v>310</v>
      </c>
    </row>
    <row r="1381" spans="1:6" ht="12.75" customHeight="1">
      <c r="A1381" s="888">
        <v>94</v>
      </c>
      <c r="B1381" s="888" t="s">
        <v>2050</v>
      </c>
      <c r="C1381" s="888" t="s">
        <v>1387</v>
      </c>
      <c r="D1381" s="889">
        <v>46050</v>
      </c>
      <c r="E1381" s="888" t="s">
        <v>310</v>
      </c>
      <c r="F1381" s="888" t="s">
        <v>310</v>
      </c>
    </row>
    <row r="1382" spans="1:6" ht="12.75" customHeight="1">
      <c r="A1382" s="888">
        <v>94</v>
      </c>
      <c r="B1382" s="888" t="s">
        <v>2050</v>
      </c>
      <c r="C1382" s="888" t="s">
        <v>1387</v>
      </c>
      <c r="D1382" s="889">
        <v>46051</v>
      </c>
      <c r="E1382" s="888" t="s">
        <v>310</v>
      </c>
      <c r="F1382" s="888" t="s">
        <v>310</v>
      </c>
    </row>
    <row r="1383" spans="1:6" ht="12.75" customHeight="1">
      <c r="A1383" s="888">
        <v>94</v>
      </c>
      <c r="B1383" s="888" t="s">
        <v>2050</v>
      </c>
      <c r="C1383" s="888" t="s">
        <v>1387</v>
      </c>
      <c r="D1383" s="889">
        <v>46052</v>
      </c>
      <c r="E1383" s="888" t="s">
        <v>310</v>
      </c>
      <c r="F1383" s="888" t="s">
        <v>310</v>
      </c>
    </row>
    <row r="1384" spans="1:6" ht="12.75" customHeight="1">
      <c r="A1384" s="888">
        <v>94</v>
      </c>
      <c r="B1384" s="888" t="s">
        <v>2050</v>
      </c>
      <c r="C1384" s="888" t="s">
        <v>1387</v>
      </c>
      <c r="D1384" s="889">
        <v>46053</v>
      </c>
      <c r="E1384" s="888" t="s">
        <v>310</v>
      </c>
      <c r="F1384" s="888" t="s">
        <v>310</v>
      </c>
    </row>
    <row r="1385" spans="1:6" ht="12.75" customHeight="1">
      <c r="A1385" s="888">
        <v>94</v>
      </c>
      <c r="B1385" s="888" t="s">
        <v>2050</v>
      </c>
      <c r="C1385" s="888" t="s">
        <v>1387</v>
      </c>
      <c r="D1385" s="889">
        <v>46054</v>
      </c>
      <c r="E1385" s="888" t="s">
        <v>310</v>
      </c>
      <c r="F1385" s="888" t="s">
        <v>310</v>
      </c>
    </row>
    <row r="1386" spans="1:6" ht="12.75" customHeight="1">
      <c r="A1386" s="888">
        <v>103</v>
      </c>
      <c r="B1386" s="888" t="s">
        <v>1134</v>
      </c>
      <c r="C1386" s="888" t="s">
        <v>1387</v>
      </c>
      <c r="D1386" s="889">
        <v>46023</v>
      </c>
      <c r="E1386" s="888" t="s">
        <v>310</v>
      </c>
      <c r="F1386" s="888" t="s">
        <v>310</v>
      </c>
    </row>
    <row r="1387" spans="1:6" ht="12.75" customHeight="1">
      <c r="A1387" s="888">
        <v>103</v>
      </c>
      <c r="B1387" s="888" t="s">
        <v>1134</v>
      </c>
      <c r="C1387" s="888" t="s">
        <v>1387</v>
      </c>
      <c r="D1387" s="889">
        <v>46024</v>
      </c>
      <c r="E1387" s="888" t="s">
        <v>310</v>
      </c>
      <c r="F1387" s="888" t="s">
        <v>310</v>
      </c>
    </row>
    <row r="1388" spans="1:6" ht="12.75" customHeight="1">
      <c r="A1388" s="888">
        <v>103</v>
      </c>
      <c r="B1388" s="888" t="s">
        <v>1134</v>
      </c>
      <c r="C1388" s="888" t="s">
        <v>1387</v>
      </c>
      <c r="D1388" s="889">
        <v>46025</v>
      </c>
      <c r="E1388" s="888" t="s">
        <v>310</v>
      </c>
      <c r="F1388" s="888" t="s">
        <v>310</v>
      </c>
    </row>
    <row r="1389" spans="1:6" ht="12.75" customHeight="1">
      <c r="A1389" s="888">
        <v>103</v>
      </c>
      <c r="B1389" s="888" t="s">
        <v>1134</v>
      </c>
      <c r="C1389" s="888" t="s">
        <v>1387</v>
      </c>
      <c r="D1389" s="889">
        <v>46026</v>
      </c>
      <c r="E1389" s="888" t="s">
        <v>310</v>
      </c>
      <c r="F1389" s="888" t="s">
        <v>310</v>
      </c>
    </row>
    <row r="1390" spans="1:6" ht="12.75" customHeight="1">
      <c r="A1390" s="888">
        <v>103</v>
      </c>
      <c r="B1390" s="888" t="s">
        <v>1134</v>
      </c>
      <c r="C1390" s="888" t="s">
        <v>1387</v>
      </c>
      <c r="D1390" s="889">
        <v>46027</v>
      </c>
      <c r="E1390" s="888" t="s">
        <v>310</v>
      </c>
      <c r="F1390" s="888" t="s">
        <v>310</v>
      </c>
    </row>
    <row r="1391" spans="1:6" ht="12.75" customHeight="1">
      <c r="A1391" s="888">
        <v>103</v>
      </c>
      <c r="B1391" s="888" t="s">
        <v>1134</v>
      </c>
      <c r="C1391" s="888" t="s">
        <v>1387</v>
      </c>
      <c r="D1391" s="889">
        <v>46028</v>
      </c>
      <c r="E1391" s="888" t="s">
        <v>310</v>
      </c>
      <c r="F1391" s="888" t="s">
        <v>310</v>
      </c>
    </row>
    <row r="1392" spans="1:6" ht="12.75" customHeight="1">
      <c r="A1392" s="888">
        <v>103</v>
      </c>
      <c r="B1392" s="888" t="s">
        <v>1134</v>
      </c>
      <c r="C1392" s="888" t="s">
        <v>1387</v>
      </c>
      <c r="D1392" s="889">
        <v>46029</v>
      </c>
      <c r="E1392" s="888" t="s">
        <v>310</v>
      </c>
      <c r="F1392" s="888" t="s">
        <v>310</v>
      </c>
    </row>
    <row r="1393" spans="1:6" ht="12.75" customHeight="1">
      <c r="A1393" s="888">
        <v>103</v>
      </c>
      <c r="B1393" s="888" t="s">
        <v>1134</v>
      </c>
      <c r="C1393" s="888" t="s">
        <v>1387</v>
      </c>
      <c r="D1393" s="889">
        <v>46030</v>
      </c>
      <c r="E1393" s="888" t="s">
        <v>310</v>
      </c>
      <c r="F1393" s="888" t="s">
        <v>310</v>
      </c>
    </row>
    <row r="1394" spans="1:6" ht="12.75" customHeight="1">
      <c r="A1394" s="888">
        <v>103</v>
      </c>
      <c r="B1394" s="888" t="s">
        <v>1134</v>
      </c>
      <c r="C1394" s="888" t="s">
        <v>1387</v>
      </c>
      <c r="D1394" s="889">
        <v>46031</v>
      </c>
      <c r="E1394" s="888" t="s">
        <v>310</v>
      </c>
      <c r="F1394" s="888" t="s">
        <v>310</v>
      </c>
    </row>
    <row r="1395" spans="1:6" ht="12.75" customHeight="1">
      <c r="A1395" s="888">
        <v>103</v>
      </c>
      <c r="B1395" s="888" t="s">
        <v>1134</v>
      </c>
      <c r="C1395" s="888" t="s">
        <v>1387</v>
      </c>
      <c r="D1395" s="889">
        <v>46032</v>
      </c>
      <c r="E1395" s="888" t="s">
        <v>310</v>
      </c>
      <c r="F1395" s="888" t="s">
        <v>310</v>
      </c>
    </row>
    <row r="1396" spans="1:6" ht="12.75" customHeight="1">
      <c r="A1396" s="888">
        <v>103</v>
      </c>
      <c r="B1396" s="888" t="s">
        <v>1134</v>
      </c>
      <c r="C1396" s="888" t="s">
        <v>1387</v>
      </c>
      <c r="D1396" s="889">
        <v>46033</v>
      </c>
      <c r="E1396" s="888" t="s">
        <v>310</v>
      </c>
      <c r="F1396" s="888" t="s">
        <v>310</v>
      </c>
    </row>
    <row r="1397" spans="1:6" ht="12.75" customHeight="1">
      <c r="A1397" s="888">
        <v>103</v>
      </c>
      <c r="B1397" s="888" t="s">
        <v>1134</v>
      </c>
      <c r="C1397" s="888" t="s">
        <v>1387</v>
      </c>
      <c r="D1397" s="889">
        <v>46034</v>
      </c>
      <c r="E1397" s="888" t="s">
        <v>310</v>
      </c>
      <c r="F1397" s="888" t="s">
        <v>310</v>
      </c>
    </row>
    <row r="1398" spans="1:6" ht="12.75" customHeight="1">
      <c r="A1398" s="888">
        <v>103</v>
      </c>
      <c r="B1398" s="888" t="s">
        <v>1134</v>
      </c>
      <c r="C1398" s="888" t="s">
        <v>1387</v>
      </c>
      <c r="D1398" s="889">
        <v>46035</v>
      </c>
      <c r="E1398" s="888" t="s">
        <v>310</v>
      </c>
      <c r="F1398" s="888" t="s">
        <v>310</v>
      </c>
    </row>
    <row r="1399" spans="1:6" ht="12.75" customHeight="1">
      <c r="A1399" s="888">
        <v>103</v>
      </c>
      <c r="B1399" s="888" t="s">
        <v>1134</v>
      </c>
      <c r="C1399" s="888" t="s">
        <v>1387</v>
      </c>
      <c r="D1399" s="889">
        <v>46036</v>
      </c>
      <c r="E1399" s="888" t="s">
        <v>310</v>
      </c>
      <c r="F1399" s="888" t="s">
        <v>310</v>
      </c>
    </row>
    <row r="1400" spans="1:6" ht="12.75" customHeight="1">
      <c r="A1400" s="888">
        <v>103</v>
      </c>
      <c r="B1400" s="888" t="s">
        <v>1134</v>
      </c>
      <c r="C1400" s="888" t="s">
        <v>1387</v>
      </c>
      <c r="D1400" s="889">
        <v>46037</v>
      </c>
      <c r="E1400" s="888" t="s">
        <v>310</v>
      </c>
      <c r="F1400" s="888" t="s">
        <v>310</v>
      </c>
    </row>
    <row r="1401" spans="1:6" ht="12.75" customHeight="1">
      <c r="A1401" s="888">
        <v>103</v>
      </c>
      <c r="B1401" s="888" t="s">
        <v>1134</v>
      </c>
      <c r="C1401" s="888" t="s">
        <v>1387</v>
      </c>
      <c r="D1401" s="889">
        <v>46038</v>
      </c>
      <c r="E1401" s="888" t="s">
        <v>310</v>
      </c>
      <c r="F1401" s="888" t="s">
        <v>310</v>
      </c>
    </row>
    <row r="1402" spans="1:6" ht="12.75" customHeight="1">
      <c r="A1402" s="888">
        <v>103</v>
      </c>
      <c r="B1402" s="888" t="s">
        <v>1134</v>
      </c>
      <c r="C1402" s="888" t="s">
        <v>1387</v>
      </c>
      <c r="D1402" s="889">
        <v>46039</v>
      </c>
      <c r="E1402" s="888" t="s">
        <v>310</v>
      </c>
      <c r="F1402" s="888" t="s">
        <v>310</v>
      </c>
    </row>
    <row r="1403" spans="1:6" ht="12.75" customHeight="1">
      <c r="A1403" s="888">
        <v>103</v>
      </c>
      <c r="B1403" s="888" t="s">
        <v>1134</v>
      </c>
      <c r="C1403" s="888" t="s">
        <v>1387</v>
      </c>
      <c r="D1403" s="889">
        <v>46040</v>
      </c>
      <c r="E1403" s="888" t="s">
        <v>310</v>
      </c>
      <c r="F1403" s="888" t="s">
        <v>310</v>
      </c>
    </row>
    <row r="1404" spans="1:6" ht="12.75" customHeight="1">
      <c r="A1404" s="888">
        <v>103</v>
      </c>
      <c r="B1404" s="888" t="s">
        <v>1134</v>
      </c>
      <c r="C1404" s="888" t="s">
        <v>1387</v>
      </c>
      <c r="D1404" s="889">
        <v>46041</v>
      </c>
      <c r="E1404" s="888" t="s">
        <v>310</v>
      </c>
      <c r="F1404" s="888" t="s">
        <v>310</v>
      </c>
    </row>
    <row r="1405" spans="1:6" ht="12.75" customHeight="1">
      <c r="A1405" s="888">
        <v>103</v>
      </c>
      <c r="B1405" s="888" t="s">
        <v>1134</v>
      </c>
      <c r="C1405" s="888" t="s">
        <v>1387</v>
      </c>
      <c r="D1405" s="889">
        <v>46042</v>
      </c>
      <c r="E1405" s="888" t="s">
        <v>310</v>
      </c>
      <c r="F1405" s="888" t="s">
        <v>310</v>
      </c>
    </row>
    <row r="1406" spans="1:6" ht="12.75" customHeight="1">
      <c r="A1406" s="888">
        <v>103</v>
      </c>
      <c r="B1406" s="888" t="s">
        <v>1134</v>
      </c>
      <c r="C1406" s="888" t="s">
        <v>1387</v>
      </c>
      <c r="D1406" s="889">
        <v>46043</v>
      </c>
      <c r="E1406" s="888" t="s">
        <v>310</v>
      </c>
      <c r="F1406" s="888" t="s">
        <v>310</v>
      </c>
    </row>
    <row r="1407" spans="1:6" ht="12.75" customHeight="1">
      <c r="A1407" s="888">
        <v>103</v>
      </c>
      <c r="B1407" s="888" t="s">
        <v>1134</v>
      </c>
      <c r="C1407" s="888" t="s">
        <v>1387</v>
      </c>
      <c r="D1407" s="889">
        <v>46044</v>
      </c>
      <c r="E1407" s="888" t="s">
        <v>310</v>
      </c>
      <c r="F1407" s="888" t="s">
        <v>310</v>
      </c>
    </row>
    <row r="1408" spans="1:6" ht="12.75" customHeight="1">
      <c r="A1408" s="888">
        <v>103</v>
      </c>
      <c r="B1408" s="888" t="s">
        <v>1134</v>
      </c>
      <c r="C1408" s="888" t="s">
        <v>1387</v>
      </c>
      <c r="D1408" s="889">
        <v>46045</v>
      </c>
      <c r="E1408" s="888" t="s">
        <v>310</v>
      </c>
      <c r="F1408" s="888" t="s">
        <v>310</v>
      </c>
    </row>
    <row r="1409" spans="1:6" ht="12.75" customHeight="1">
      <c r="A1409" s="888">
        <v>103</v>
      </c>
      <c r="B1409" s="888" t="s">
        <v>1134</v>
      </c>
      <c r="C1409" s="888" t="s">
        <v>1387</v>
      </c>
      <c r="D1409" s="889">
        <v>46046</v>
      </c>
      <c r="E1409" s="888" t="s">
        <v>310</v>
      </c>
      <c r="F1409" s="888" t="s">
        <v>310</v>
      </c>
    </row>
    <row r="1410" spans="1:6" ht="12.75" customHeight="1">
      <c r="A1410" s="888">
        <v>103</v>
      </c>
      <c r="B1410" s="888" t="s">
        <v>1134</v>
      </c>
      <c r="C1410" s="888" t="s">
        <v>1387</v>
      </c>
      <c r="D1410" s="889">
        <v>46047</v>
      </c>
      <c r="E1410" s="888" t="s">
        <v>310</v>
      </c>
      <c r="F1410" s="888" t="s">
        <v>310</v>
      </c>
    </row>
    <row r="1411" spans="1:6">
      <c r="A1411" s="888">
        <v>103</v>
      </c>
      <c r="B1411" s="888" t="s">
        <v>1134</v>
      </c>
      <c r="C1411" s="888" t="s">
        <v>1387</v>
      </c>
      <c r="D1411" s="889">
        <v>46048</v>
      </c>
      <c r="E1411" s="888" t="s">
        <v>310</v>
      </c>
      <c r="F1411" s="888" t="s">
        <v>310</v>
      </c>
    </row>
    <row r="1412" spans="1:6">
      <c r="A1412" s="888">
        <v>103</v>
      </c>
      <c r="B1412" s="888" t="s">
        <v>1134</v>
      </c>
      <c r="C1412" s="888" t="s">
        <v>1387</v>
      </c>
      <c r="D1412" s="889">
        <v>46049</v>
      </c>
      <c r="E1412" s="888" t="s">
        <v>310</v>
      </c>
      <c r="F1412" s="888" t="s">
        <v>310</v>
      </c>
    </row>
    <row r="1413" spans="1:6">
      <c r="A1413" s="888">
        <v>103</v>
      </c>
      <c r="B1413" s="888" t="s">
        <v>1134</v>
      </c>
      <c r="C1413" s="888" t="s">
        <v>1387</v>
      </c>
      <c r="D1413" s="889">
        <v>46050</v>
      </c>
      <c r="E1413" s="888" t="s">
        <v>310</v>
      </c>
      <c r="F1413" s="888" t="s">
        <v>310</v>
      </c>
    </row>
    <row r="1414" spans="1:6">
      <c r="A1414" s="888">
        <v>103</v>
      </c>
      <c r="B1414" s="888" t="s">
        <v>1134</v>
      </c>
      <c r="C1414" s="888" t="s">
        <v>1387</v>
      </c>
      <c r="D1414" s="889">
        <v>46051</v>
      </c>
      <c r="E1414" s="888" t="s">
        <v>310</v>
      </c>
      <c r="F1414" s="888" t="s">
        <v>310</v>
      </c>
    </row>
    <row r="1415" spans="1:6">
      <c r="A1415" s="888">
        <v>103</v>
      </c>
      <c r="B1415" s="888" t="s">
        <v>1134</v>
      </c>
      <c r="C1415" s="888" t="s">
        <v>1387</v>
      </c>
      <c r="D1415" s="889">
        <v>46052</v>
      </c>
      <c r="E1415" s="888" t="s">
        <v>310</v>
      </c>
      <c r="F1415" s="888" t="s">
        <v>310</v>
      </c>
    </row>
    <row r="1416" spans="1:6">
      <c r="A1416" s="888">
        <v>103</v>
      </c>
      <c r="B1416" s="888" t="s">
        <v>1134</v>
      </c>
      <c r="C1416" s="888" t="s">
        <v>1387</v>
      </c>
      <c r="D1416" s="889">
        <v>46053</v>
      </c>
      <c r="E1416" s="888" t="s">
        <v>310</v>
      </c>
      <c r="F1416" s="888" t="s">
        <v>310</v>
      </c>
    </row>
    <row r="1417" spans="1:6">
      <c r="A1417" s="888">
        <v>103</v>
      </c>
      <c r="B1417" s="888" t="s">
        <v>1134</v>
      </c>
      <c r="C1417" s="888" t="s">
        <v>1387</v>
      </c>
      <c r="D1417" s="889">
        <v>46054</v>
      </c>
      <c r="E1417" s="888" t="s">
        <v>310</v>
      </c>
      <c r="F1417" s="888" t="s">
        <v>310</v>
      </c>
    </row>
    <row r="1418" spans="1:6">
      <c r="A1418" s="888">
        <v>104</v>
      </c>
      <c r="B1418" s="888" t="s">
        <v>2051</v>
      </c>
      <c r="C1418" s="888" t="s">
        <v>1250</v>
      </c>
      <c r="D1418" s="889">
        <v>46023</v>
      </c>
      <c r="E1418" s="888" t="s">
        <v>310</v>
      </c>
      <c r="F1418" s="888" t="s">
        <v>310</v>
      </c>
    </row>
    <row r="1419" spans="1:6">
      <c r="A1419" s="888">
        <v>104</v>
      </c>
      <c r="B1419" s="888" t="s">
        <v>2051</v>
      </c>
      <c r="C1419" s="888" t="s">
        <v>1250</v>
      </c>
      <c r="D1419" s="889">
        <v>46024</v>
      </c>
      <c r="E1419" s="888" t="s">
        <v>310</v>
      </c>
      <c r="F1419" s="888" t="s">
        <v>310</v>
      </c>
    </row>
    <row r="1420" spans="1:6">
      <c r="A1420" s="888">
        <v>104</v>
      </c>
      <c r="B1420" s="888" t="s">
        <v>2051</v>
      </c>
      <c r="C1420" s="888" t="s">
        <v>1250</v>
      </c>
      <c r="D1420" s="889">
        <v>46025</v>
      </c>
      <c r="E1420" s="888" t="s">
        <v>310</v>
      </c>
      <c r="F1420" s="888" t="s">
        <v>310</v>
      </c>
    </row>
    <row r="1421" spans="1:6">
      <c r="A1421" s="888">
        <v>104</v>
      </c>
      <c r="B1421" s="888" t="s">
        <v>2051</v>
      </c>
      <c r="C1421" s="888" t="s">
        <v>1250</v>
      </c>
      <c r="D1421" s="889">
        <v>46026</v>
      </c>
      <c r="E1421" s="888" t="s">
        <v>310</v>
      </c>
      <c r="F1421" s="888" t="s">
        <v>310</v>
      </c>
    </row>
    <row r="1422" spans="1:6">
      <c r="A1422" s="888">
        <v>104</v>
      </c>
      <c r="B1422" s="888" t="s">
        <v>2051</v>
      </c>
      <c r="C1422" s="888" t="s">
        <v>1250</v>
      </c>
      <c r="D1422" s="889">
        <v>46027</v>
      </c>
      <c r="E1422" s="888" t="s">
        <v>310</v>
      </c>
      <c r="F1422" s="888" t="s">
        <v>310</v>
      </c>
    </row>
    <row r="1423" spans="1:6">
      <c r="A1423" s="888">
        <v>104</v>
      </c>
      <c r="B1423" s="888" t="s">
        <v>2051</v>
      </c>
      <c r="C1423" s="888" t="s">
        <v>1250</v>
      </c>
      <c r="D1423" s="889">
        <v>46028</v>
      </c>
      <c r="E1423" s="888" t="s">
        <v>310</v>
      </c>
      <c r="F1423" s="888" t="s">
        <v>310</v>
      </c>
    </row>
    <row r="1424" spans="1:6">
      <c r="A1424" s="888">
        <v>104</v>
      </c>
      <c r="B1424" s="888" t="s">
        <v>2051</v>
      </c>
      <c r="C1424" s="888" t="s">
        <v>1250</v>
      </c>
      <c r="D1424" s="889">
        <v>46029</v>
      </c>
      <c r="E1424" s="888" t="s">
        <v>310</v>
      </c>
      <c r="F1424" s="888" t="s">
        <v>310</v>
      </c>
    </row>
    <row r="1425" spans="1:6">
      <c r="A1425" s="888">
        <v>104</v>
      </c>
      <c r="B1425" s="888" t="s">
        <v>2051</v>
      </c>
      <c r="C1425" s="888" t="s">
        <v>1250</v>
      </c>
      <c r="D1425" s="889">
        <v>46030</v>
      </c>
      <c r="E1425" s="888" t="s">
        <v>310</v>
      </c>
      <c r="F1425" s="888" t="s">
        <v>310</v>
      </c>
    </row>
    <row r="1426" spans="1:6">
      <c r="A1426" s="888">
        <v>104</v>
      </c>
      <c r="B1426" s="888" t="s">
        <v>2051</v>
      </c>
      <c r="C1426" s="888" t="s">
        <v>1250</v>
      </c>
      <c r="D1426" s="889">
        <v>46031</v>
      </c>
      <c r="E1426" s="888" t="s">
        <v>310</v>
      </c>
      <c r="F1426" s="888" t="s">
        <v>310</v>
      </c>
    </row>
    <row r="1427" spans="1:6">
      <c r="A1427" s="888">
        <v>104</v>
      </c>
      <c r="B1427" s="888" t="s">
        <v>2051</v>
      </c>
      <c r="C1427" s="888" t="s">
        <v>1250</v>
      </c>
      <c r="D1427" s="889">
        <v>46032</v>
      </c>
      <c r="E1427" s="888" t="s">
        <v>310</v>
      </c>
      <c r="F1427" s="888" t="s">
        <v>310</v>
      </c>
    </row>
    <row r="1428" spans="1:6">
      <c r="A1428" s="888">
        <v>104</v>
      </c>
      <c r="B1428" s="888" t="s">
        <v>2051</v>
      </c>
      <c r="C1428" s="888" t="s">
        <v>1250</v>
      </c>
      <c r="D1428" s="889">
        <v>46033</v>
      </c>
      <c r="E1428" s="888" t="s">
        <v>310</v>
      </c>
      <c r="F1428" s="888" t="s">
        <v>310</v>
      </c>
    </row>
    <row r="1429" spans="1:6">
      <c r="A1429" s="888">
        <v>104</v>
      </c>
      <c r="B1429" s="888" t="s">
        <v>2051</v>
      </c>
      <c r="C1429" s="888" t="s">
        <v>1250</v>
      </c>
      <c r="D1429" s="889">
        <v>46034</v>
      </c>
      <c r="E1429" s="888" t="s">
        <v>310</v>
      </c>
      <c r="F1429" s="888" t="s">
        <v>310</v>
      </c>
    </row>
    <row r="1430" spans="1:6">
      <c r="A1430" s="888">
        <v>104</v>
      </c>
      <c r="B1430" s="888" t="s">
        <v>2051</v>
      </c>
      <c r="C1430" s="888" t="s">
        <v>1250</v>
      </c>
      <c r="D1430" s="889">
        <v>46035</v>
      </c>
      <c r="E1430" s="888" t="s">
        <v>310</v>
      </c>
      <c r="F1430" s="888" t="s">
        <v>310</v>
      </c>
    </row>
    <row r="1431" spans="1:6">
      <c r="A1431" s="888">
        <v>104</v>
      </c>
      <c r="B1431" s="888" t="s">
        <v>2051</v>
      </c>
      <c r="C1431" s="888" t="s">
        <v>1250</v>
      </c>
      <c r="D1431" s="889">
        <v>46036</v>
      </c>
      <c r="E1431" s="888" t="s">
        <v>310</v>
      </c>
      <c r="F1431" s="888" t="s">
        <v>310</v>
      </c>
    </row>
    <row r="1432" spans="1:6">
      <c r="A1432" s="888">
        <v>104</v>
      </c>
      <c r="B1432" s="888" t="s">
        <v>2051</v>
      </c>
      <c r="C1432" s="888" t="s">
        <v>1250</v>
      </c>
      <c r="D1432" s="889">
        <v>46037</v>
      </c>
      <c r="E1432" s="888" t="s">
        <v>310</v>
      </c>
      <c r="F1432" s="888" t="s">
        <v>310</v>
      </c>
    </row>
    <row r="1433" spans="1:6">
      <c r="A1433" s="888">
        <v>104</v>
      </c>
      <c r="B1433" s="888" t="s">
        <v>2051</v>
      </c>
      <c r="C1433" s="888" t="s">
        <v>1250</v>
      </c>
      <c r="D1433" s="889">
        <v>46038</v>
      </c>
      <c r="E1433" s="888" t="s">
        <v>310</v>
      </c>
      <c r="F1433" s="888" t="s">
        <v>310</v>
      </c>
    </row>
    <row r="1434" spans="1:6">
      <c r="A1434" s="888">
        <v>104</v>
      </c>
      <c r="B1434" s="888" t="s">
        <v>2051</v>
      </c>
      <c r="C1434" s="888" t="s">
        <v>1250</v>
      </c>
      <c r="D1434" s="889">
        <v>46039</v>
      </c>
      <c r="E1434" s="888" t="s">
        <v>310</v>
      </c>
      <c r="F1434" s="888" t="s">
        <v>310</v>
      </c>
    </row>
    <row r="1435" spans="1:6">
      <c r="A1435" s="888">
        <v>104</v>
      </c>
      <c r="B1435" s="888" t="s">
        <v>2051</v>
      </c>
      <c r="C1435" s="888" t="s">
        <v>1250</v>
      </c>
      <c r="D1435" s="889">
        <v>46040</v>
      </c>
      <c r="E1435" s="888" t="s">
        <v>310</v>
      </c>
      <c r="F1435" s="888" t="s">
        <v>310</v>
      </c>
    </row>
    <row r="1436" spans="1:6">
      <c r="A1436" s="888">
        <v>104</v>
      </c>
      <c r="B1436" s="888" t="s">
        <v>2051</v>
      </c>
      <c r="C1436" s="888" t="s">
        <v>1250</v>
      </c>
      <c r="D1436" s="889">
        <v>46041</v>
      </c>
      <c r="E1436" s="888" t="s">
        <v>310</v>
      </c>
      <c r="F1436" s="888" t="s">
        <v>310</v>
      </c>
    </row>
    <row r="1437" spans="1:6">
      <c r="A1437" s="888">
        <v>104</v>
      </c>
      <c r="B1437" s="888" t="s">
        <v>2051</v>
      </c>
      <c r="C1437" s="888" t="s">
        <v>1250</v>
      </c>
      <c r="D1437" s="889">
        <v>46042</v>
      </c>
      <c r="E1437" s="888" t="s">
        <v>310</v>
      </c>
      <c r="F1437" s="888" t="s">
        <v>310</v>
      </c>
    </row>
    <row r="1438" spans="1:6">
      <c r="A1438" s="888">
        <v>104</v>
      </c>
      <c r="B1438" s="888" t="s">
        <v>2051</v>
      </c>
      <c r="C1438" s="888" t="s">
        <v>1250</v>
      </c>
      <c r="D1438" s="889">
        <v>46043</v>
      </c>
      <c r="E1438" s="888" t="s">
        <v>310</v>
      </c>
      <c r="F1438" s="888" t="s">
        <v>310</v>
      </c>
    </row>
    <row r="1439" spans="1:6">
      <c r="A1439" s="888">
        <v>104</v>
      </c>
      <c r="B1439" s="888" t="s">
        <v>2051</v>
      </c>
      <c r="C1439" s="888" t="s">
        <v>1250</v>
      </c>
      <c r="D1439" s="889">
        <v>46044</v>
      </c>
      <c r="E1439" s="888" t="s">
        <v>310</v>
      </c>
      <c r="F1439" s="888" t="s">
        <v>310</v>
      </c>
    </row>
    <row r="1440" spans="1:6">
      <c r="A1440" s="888">
        <v>104</v>
      </c>
      <c r="B1440" s="888" t="s">
        <v>2051</v>
      </c>
      <c r="C1440" s="888" t="s">
        <v>1250</v>
      </c>
      <c r="D1440" s="889">
        <v>46045</v>
      </c>
      <c r="E1440" s="888" t="s">
        <v>310</v>
      </c>
      <c r="F1440" s="888" t="s">
        <v>310</v>
      </c>
    </row>
    <row r="1441" spans="1:6">
      <c r="A1441" s="888">
        <v>104</v>
      </c>
      <c r="B1441" s="888" t="s">
        <v>2051</v>
      </c>
      <c r="C1441" s="888" t="s">
        <v>1250</v>
      </c>
      <c r="D1441" s="889">
        <v>46046</v>
      </c>
      <c r="E1441" s="888" t="s">
        <v>310</v>
      </c>
      <c r="F1441" s="888" t="s">
        <v>310</v>
      </c>
    </row>
    <row r="1442" spans="1:6">
      <c r="A1442" s="888">
        <v>104</v>
      </c>
      <c r="B1442" s="888" t="s">
        <v>2051</v>
      </c>
      <c r="C1442" s="888" t="s">
        <v>1250</v>
      </c>
      <c r="D1442" s="889">
        <v>46047</v>
      </c>
      <c r="E1442" s="888" t="s">
        <v>310</v>
      </c>
      <c r="F1442" s="888" t="s">
        <v>310</v>
      </c>
    </row>
    <row r="1443" spans="1:6">
      <c r="A1443" s="888">
        <v>104</v>
      </c>
      <c r="B1443" s="888" t="s">
        <v>2051</v>
      </c>
      <c r="C1443" s="888" t="s">
        <v>1250</v>
      </c>
      <c r="D1443" s="889">
        <v>46048</v>
      </c>
      <c r="E1443" s="888" t="s">
        <v>310</v>
      </c>
      <c r="F1443" s="888" t="s">
        <v>310</v>
      </c>
    </row>
    <row r="1444" spans="1:6">
      <c r="A1444" s="888">
        <v>104</v>
      </c>
      <c r="B1444" s="888" t="s">
        <v>2051</v>
      </c>
      <c r="C1444" s="888" t="s">
        <v>1250</v>
      </c>
      <c r="D1444" s="889">
        <v>46049</v>
      </c>
      <c r="E1444" s="888" t="s">
        <v>310</v>
      </c>
      <c r="F1444" s="888" t="s">
        <v>310</v>
      </c>
    </row>
    <row r="1445" spans="1:6">
      <c r="A1445" s="888">
        <v>104</v>
      </c>
      <c r="B1445" s="888" t="s">
        <v>2051</v>
      </c>
      <c r="C1445" s="888" t="s">
        <v>1250</v>
      </c>
      <c r="D1445" s="889">
        <v>46050</v>
      </c>
      <c r="E1445" s="888" t="s">
        <v>310</v>
      </c>
      <c r="F1445" s="888" t="s">
        <v>310</v>
      </c>
    </row>
    <row r="1446" spans="1:6">
      <c r="A1446" s="888">
        <v>104</v>
      </c>
      <c r="B1446" s="888" t="s">
        <v>2051</v>
      </c>
      <c r="C1446" s="888" t="s">
        <v>1250</v>
      </c>
      <c r="D1446" s="889">
        <v>46051</v>
      </c>
      <c r="E1446" s="888" t="s">
        <v>310</v>
      </c>
      <c r="F1446" s="888" t="s">
        <v>310</v>
      </c>
    </row>
    <row r="1447" spans="1:6">
      <c r="A1447" s="888">
        <v>104</v>
      </c>
      <c r="B1447" s="888" t="s">
        <v>2051</v>
      </c>
      <c r="C1447" s="888" t="s">
        <v>1250</v>
      </c>
      <c r="D1447" s="889">
        <v>46052</v>
      </c>
      <c r="E1447" s="888" t="s">
        <v>310</v>
      </c>
      <c r="F1447" s="888" t="s">
        <v>310</v>
      </c>
    </row>
    <row r="1448" spans="1:6">
      <c r="A1448" s="888">
        <v>104</v>
      </c>
      <c r="B1448" s="888" t="s">
        <v>2051</v>
      </c>
      <c r="C1448" s="888" t="s">
        <v>1250</v>
      </c>
      <c r="D1448" s="889">
        <v>46053</v>
      </c>
      <c r="E1448" s="888" t="s">
        <v>310</v>
      </c>
      <c r="F1448" s="888" t="s">
        <v>310</v>
      </c>
    </row>
    <row r="1449" spans="1:6">
      <c r="A1449" s="888">
        <v>104</v>
      </c>
      <c r="B1449" s="888" t="s">
        <v>2051</v>
      </c>
      <c r="C1449" s="888" t="s">
        <v>1250</v>
      </c>
      <c r="D1449" s="889">
        <v>46054</v>
      </c>
      <c r="E1449" s="888" t="s">
        <v>310</v>
      </c>
      <c r="F1449" s="888" t="s">
        <v>310</v>
      </c>
    </row>
    <row r="1450" spans="1:6">
      <c r="A1450" s="888">
        <v>106</v>
      </c>
      <c r="B1450" s="888" t="s">
        <v>1135</v>
      </c>
      <c r="C1450" s="888" t="s">
        <v>1250</v>
      </c>
      <c r="D1450" s="889">
        <v>46023</v>
      </c>
      <c r="E1450" s="888" t="s">
        <v>310</v>
      </c>
      <c r="F1450" s="888" t="s">
        <v>310</v>
      </c>
    </row>
    <row r="1451" spans="1:6">
      <c r="A1451" s="888">
        <v>106</v>
      </c>
      <c r="B1451" s="888" t="s">
        <v>1135</v>
      </c>
      <c r="C1451" s="888" t="s">
        <v>1250</v>
      </c>
      <c r="D1451" s="889">
        <v>46024</v>
      </c>
      <c r="E1451" s="888" t="s">
        <v>310</v>
      </c>
      <c r="F1451" s="888" t="s">
        <v>310</v>
      </c>
    </row>
    <row r="1452" spans="1:6">
      <c r="A1452" s="888">
        <v>106</v>
      </c>
      <c r="B1452" s="888" t="s">
        <v>1135</v>
      </c>
      <c r="C1452" s="888" t="s">
        <v>1250</v>
      </c>
      <c r="D1452" s="889">
        <v>46025</v>
      </c>
      <c r="E1452" s="888" t="s">
        <v>310</v>
      </c>
      <c r="F1452" s="888" t="s">
        <v>310</v>
      </c>
    </row>
    <row r="1453" spans="1:6">
      <c r="A1453" s="888">
        <v>106</v>
      </c>
      <c r="B1453" s="888" t="s">
        <v>1135</v>
      </c>
      <c r="C1453" s="888" t="s">
        <v>1250</v>
      </c>
      <c r="D1453" s="889">
        <v>46026</v>
      </c>
      <c r="E1453" s="888" t="s">
        <v>310</v>
      </c>
      <c r="F1453" s="888" t="s">
        <v>310</v>
      </c>
    </row>
    <row r="1454" spans="1:6">
      <c r="A1454" s="888">
        <v>106</v>
      </c>
      <c r="B1454" s="888" t="s">
        <v>1135</v>
      </c>
      <c r="C1454" s="888" t="s">
        <v>1250</v>
      </c>
      <c r="D1454" s="889">
        <v>46027</v>
      </c>
      <c r="E1454" s="888" t="s">
        <v>310</v>
      </c>
      <c r="F1454" s="888" t="s">
        <v>310</v>
      </c>
    </row>
    <row r="1455" spans="1:6">
      <c r="A1455" s="888">
        <v>106</v>
      </c>
      <c r="B1455" s="888" t="s">
        <v>1135</v>
      </c>
      <c r="C1455" s="888" t="s">
        <v>1250</v>
      </c>
      <c r="D1455" s="889">
        <v>46028</v>
      </c>
      <c r="E1455" s="888" t="s">
        <v>310</v>
      </c>
      <c r="F1455" s="888" t="s">
        <v>310</v>
      </c>
    </row>
    <row r="1456" spans="1:6">
      <c r="A1456" s="888">
        <v>106</v>
      </c>
      <c r="B1456" s="888" t="s">
        <v>1135</v>
      </c>
      <c r="C1456" s="888" t="s">
        <v>1250</v>
      </c>
      <c r="D1456" s="889">
        <v>46029</v>
      </c>
      <c r="E1456" s="888" t="s">
        <v>310</v>
      </c>
      <c r="F1456" s="888" t="s">
        <v>310</v>
      </c>
    </row>
    <row r="1457" spans="1:6">
      <c r="A1457" s="888">
        <v>106</v>
      </c>
      <c r="B1457" s="888" t="s">
        <v>1135</v>
      </c>
      <c r="C1457" s="888" t="s">
        <v>1250</v>
      </c>
      <c r="D1457" s="889">
        <v>46030</v>
      </c>
      <c r="E1457" s="888" t="s">
        <v>310</v>
      </c>
      <c r="F1457" s="888" t="s">
        <v>310</v>
      </c>
    </row>
    <row r="1458" spans="1:6">
      <c r="A1458" s="888">
        <v>106</v>
      </c>
      <c r="B1458" s="888" t="s">
        <v>1135</v>
      </c>
      <c r="C1458" s="888" t="s">
        <v>1250</v>
      </c>
      <c r="D1458" s="889">
        <v>46031</v>
      </c>
      <c r="E1458" s="888" t="s">
        <v>310</v>
      </c>
      <c r="F1458" s="888" t="s">
        <v>310</v>
      </c>
    </row>
    <row r="1459" spans="1:6">
      <c r="A1459" s="888">
        <v>106</v>
      </c>
      <c r="B1459" s="888" t="s">
        <v>1135</v>
      </c>
      <c r="C1459" s="888" t="s">
        <v>1250</v>
      </c>
      <c r="D1459" s="889">
        <v>46032</v>
      </c>
      <c r="E1459" s="888" t="s">
        <v>310</v>
      </c>
      <c r="F1459" s="888" t="s">
        <v>310</v>
      </c>
    </row>
    <row r="1460" spans="1:6">
      <c r="A1460" s="888">
        <v>106</v>
      </c>
      <c r="B1460" s="888" t="s">
        <v>1135</v>
      </c>
      <c r="C1460" s="888" t="s">
        <v>1250</v>
      </c>
      <c r="D1460" s="889">
        <v>46033</v>
      </c>
      <c r="E1460" s="888" t="s">
        <v>310</v>
      </c>
      <c r="F1460" s="888" t="s">
        <v>310</v>
      </c>
    </row>
    <row r="1461" spans="1:6">
      <c r="A1461" s="888">
        <v>106</v>
      </c>
      <c r="B1461" s="888" t="s">
        <v>1135</v>
      </c>
      <c r="C1461" s="888" t="s">
        <v>1250</v>
      </c>
      <c r="D1461" s="889">
        <v>46034</v>
      </c>
      <c r="E1461" s="888" t="s">
        <v>310</v>
      </c>
      <c r="F1461" s="888" t="s">
        <v>310</v>
      </c>
    </row>
    <row r="1462" spans="1:6">
      <c r="A1462" s="888">
        <v>106</v>
      </c>
      <c r="B1462" s="888" t="s">
        <v>1135</v>
      </c>
      <c r="C1462" s="888" t="s">
        <v>1250</v>
      </c>
      <c r="D1462" s="889">
        <v>46035</v>
      </c>
      <c r="E1462" s="888" t="s">
        <v>310</v>
      </c>
      <c r="F1462" s="888" t="s">
        <v>310</v>
      </c>
    </row>
    <row r="1463" spans="1:6">
      <c r="A1463" s="888">
        <v>106</v>
      </c>
      <c r="B1463" s="888" t="s">
        <v>1135</v>
      </c>
      <c r="C1463" s="888" t="s">
        <v>1250</v>
      </c>
      <c r="D1463" s="889">
        <v>46036</v>
      </c>
      <c r="E1463" s="888" t="s">
        <v>310</v>
      </c>
      <c r="F1463" s="888" t="s">
        <v>310</v>
      </c>
    </row>
    <row r="1464" spans="1:6">
      <c r="A1464" s="888">
        <v>106</v>
      </c>
      <c r="B1464" s="888" t="s">
        <v>1135</v>
      </c>
      <c r="C1464" s="888" t="s">
        <v>1250</v>
      </c>
      <c r="D1464" s="889">
        <v>46037</v>
      </c>
      <c r="E1464" s="890">
        <v>0.43885416666666666</v>
      </c>
      <c r="F1464" s="890">
        <v>0.43956018518518519</v>
      </c>
    </row>
    <row r="1465" spans="1:6">
      <c r="A1465" s="888" t="s">
        <v>2052</v>
      </c>
      <c r="B1465" s="888" t="s">
        <v>2053</v>
      </c>
      <c r="C1465" s="888" t="s">
        <v>1570</v>
      </c>
    </row>
    <row r="1466" spans="1:6">
      <c r="A1466" s="888">
        <v>106</v>
      </c>
      <c r="B1466" s="888" t="s">
        <v>1135</v>
      </c>
      <c r="C1466" s="888" t="s">
        <v>1250</v>
      </c>
      <c r="D1466" s="889">
        <v>46038</v>
      </c>
      <c r="E1466" s="888" t="s">
        <v>310</v>
      </c>
      <c r="F1466" s="888" t="s">
        <v>310</v>
      </c>
    </row>
    <row r="1467" spans="1:6">
      <c r="A1467" s="888">
        <v>106</v>
      </c>
      <c r="B1467" s="888" t="s">
        <v>1135</v>
      </c>
      <c r="C1467" s="888" t="s">
        <v>1250</v>
      </c>
      <c r="D1467" s="889">
        <v>46039</v>
      </c>
      <c r="E1467" s="888" t="s">
        <v>310</v>
      </c>
      <c r="F1467" s="888" t="s">
        <v>310</v>
      </c>
    </row>
    <row r="1468" spans="1:6">
      <c r="A1468" s="888">
        <v>106</v>
      </c>
      <c r="B1468" s="888" t="s">
        <v>1135</v>
      </c>
      <c r="C1468" s="888" t="s">
        <v>1250</v>
      </c>
      <c r="D1468" s="889">
        <v>46040</v>
      </c>
      <c r="E1468" s="888" t="s">
        <v>310</v>
      </c>
      <c r="F1468" s="888" t="s">
        <v>310</v>
      </c>
    </row>
    <row r="1469" spans="1:6">
      <c r="A1469" s="888">
        <v>106</v>
      </c>
      <c r="B1469" s="888" t="s">
        <v>1135</v>
      </c>
      <c r="C1469" s="888" t="s">
        <v>1250</v>
      </c>
      <c r="D1469" s="889">
        <v>46041</v>
      </c>
      <c r="E1469" s="888" t="s">
        <v>310</v>
      </c>
      <c r="F1469" s="888" t="s">
        <v>310</v>
      </c>
    </row>
    <row r="1470" spans="1:6">
      <c r="A1470" s="888">
        <v>106</v>
      </c>
      <c r="B1470" s="888" t="s">
        <v>1135</v>
      </c>
      <c r="C1470" s="888" t="s">
        <v>1250</v>
      </c>
      <c r="D1470" s="889">
        <v>46042</v>
      </c>
      <c r="E1470" s="888" t="s">
        <v>310</v>
      </c>
      <c r="F1470" s="888" t="s">
        <v>310</v>
      </c>
    </row>
    <row r="1471" spans="1:6">
      <c r="A1471" s="888">
        <v>106</v>
      </c>
      <c r="B1471" s="888" t="s">
        <v>1135</v>
      </c>
      <c r="C1471" s="888" t="s">
        <v>1250</v>
      </c>
      <c r="D1471" s="889">
        <v>46043</v>
      </c>
      <c r="E1471" s="888" t="s">
        <v>310</v>
      </c>
      <c r="F1471" s="888" t="s">
        <v>310</v>
      </c>
    </row>
    <row r="1472" spans="1:6">
      <c r="A1472" s="888">
        <v>106</v>
      </c>
      <c r="B1472" s="888" t="s">
        <v>1135</v>
      </c>
      <c r="C1472" s="888" t="s">
        <v>1250</v>
      </c>
      <c r="D1472" s="889">
        <v>46044</v>
      </c>
      <c r="E1472" s="888" t="s">
        <v>310</v>
      </c>
      <c r="F1472" s="888" t="s">
        <v>310</v>
      </c>
    </row>
    <row r="1473" spans="1:6">
      <c r="A1473" s="888">
        <v>106</v>
      </c>
      <c r="B1473" s="888" t="s">
        <v>1135</v>
      </c>
      <c r="C1473" s="888" t="s">
        <v>1250</v>
      </c>
      <c r="D1473" s="889">
        <v>46045</v>
      </c>
      <c r="E1473" s="888" t="s">
        <v>310</v>
      </c>
      <c r="F1473" s="888" t="s">
        <v>310</v>
      </c>
    </row>
    <row r="1474" spans="1:6">
      <c r="A1474" s="888">
        <v>106</v>
      </c>
      <c r="B1474" s="888" t="s">
        <v>1135</v>
      </c>
      <c r="C1474" s="888" t="s">
        <v>1250</v>
      </c>
      <c r="D1474" s="889">
        <v>46046</v>
      </c>
      <c r="E1474" s="888" t="s">
        <v>310</v>
      </c>
      <c r="F1474" s="888" t="s">
        <v>310</v>
      </c>
    </row>
    <row r="1475" spans="1:6">
      <c r="A1475" s="888">
        <v>106</v>
      </c>
      <c r="B1475" s="888" t="s">
        <v>1135</v>
      </c>
      <c r="C1475" s="888" t="s">
        <v>1250</v>
      </c>
      <c r="D1475" s="889">
        <v>46047</v>
      </c>
      <c r="E1475" s="888" t="s">
        <v>310</v>
      </c>
      <c r="F1475" s="888" t="s">
        <v>310</v>
      </c>
    </row>
    <row r="1476" spans="1:6">
      <c r="A1476" s="888">
        <v>106</v>
      </c>
      <c r="B1476" s="888" t="s">
        <v>1135</v>
      </c>
      <c r="C1476" s="888" t="s">
        <v>1250</v>
      </c>
      <c r="D1476" s="889">
        <v>46048</v>
      </c>
      <c r="E1476" s="888" t="s">
        <v>310</v>
      </c>
      <c r="F1476" s="888" t="s">
        <v>310</v>
      </c>
    </row>
    <row r="1477" spans="1:6">
      <c r="A1477" s="888">
        <v>106</v>
      </c>
      <c r="B1477" s="888" t="s">
        <v>1135</v>
      </c>
      <c r="C1477" s="888" t="s">
        <v>1250</v>
      </c>
      <c r="D1477" s="889">
        <v>46049</v>
      </c>
      <c r="E1477" s="888" t="s">
        <v>310</v>
      </c>
      <c r="F1477" s="888" t="s">
        <v>310</v>
      </c>
    </row>
    <row r="1478" spans="1:6">
      <c r="A1478" s="888">
        <v>106</v>
      </c>
      <c r="B1478" s="888" t="s">
        <v>1135</v>
      </c>
      <c r="C1478" s="888" t="s">
        <v>1250</v>
      </c>
      <c r="D1478" s="889">
        <v>46050</v>
      </c>
      <c r="E1478" s="888" t="s">
        <v>310</v>
      </c>
      <c r="F1478" s="888" t="s">
        <v>310</v>
      </c>
    </row>
    <row r="1479" spans="1:6">
      <c r="A1479" s="888">
        <v>106</v>
      </c>
      <c r="B1479" s="888" t="s">
        <v>1135</v>
      </c>
      <c r="C1479" s="888" t="s">
        <v>1250</v>
      </c>
      <c r="D1479" s="889">
        <v>46051</v>
      </c>
      <c r="E1479" s="888" t="s">
        <v>310</v>
      </c>
      <c r="F1479" s="888" t="s">
        <v>310</v>
      </c>
    </row>
    <row r="1480" spans="1:6">
      <c r="A1480" s="888">
        <v>106</v>
      </c>
      <c r="B1480" s="888" t="s">
        <v>1135</v>
      </c>
      <c r="C1480" s="888" t="s">
        <v>1250</v>
      </c>
      <c r="D1480" s="889">
        <v>46052</v>
      </c>
      <c r="E1480" s="888" t="s">
        <v>310</v>
      </c>
      <c r="F1480" s="888" t="s">
        <v>310</v>
      </c>
    </row>
    <row r="1481" spans="1:6">
      <c r="A1481" s="888">
        <v>106</v>
      </c>
      <c r="B1481" s="888" t="s">
        <v>1135</v>
      </c>
      <c r="C1481" s="888" t="s">
        <v>1250</v>
      </c>
      <c r="D1481" s="889">
        <v>46053</v>
      </c>
      <c r="E1481" s="888" t="s">
        <v>310</v>
      </c>
      <c r="F1481" s="888" t="s">
        <v>310</v>
      </c>
    </row>
    <row r="1482" spans="1:6">
      <c r="A1482" s="888">
        <v>106</v>
      </c>
      <c r="B1482" s="888" t="s">
        <v>1135</v>
      </c>
      <c r="C1482" s="888" t="s">
        <v>1250</v>
      </c>
      <c r="D1482" s="889">
        <v>46054</v>
      </c>
      <c r="E1482" s="888" t="s">
        <v>310</v>
      </c>
      <c r="F1482" s="888" t="s">
        <v>310</v>
      </c>
    </row>
    <row r="1483" spans="1:6">
      <c r="A1483" s="888">
        <v>349</v>
      </c>
      <c r="B1483" s="888" t="s">
        <v>1014</v>
      </c>
      <c r="C1483" s="888" t="s">
        <v>1253</v>
      </c>
      <c r="D1483" s="889">
        <v>46023</v>
      </c>
      <c r="E1483" s="888" t="s">
        <v>310</v>
      </c>
      <c r="F1483" s="888" t="s">
        <v>310</v>
      </c>
    </row>
    <row r="1484" spans="1:6">
      <c r="A1484" s="888">
        <v>349</v>
      </c>
      <c r="B1484" s="888" t="s">
        <v>1014</v>
      </c>
      <c r="C1484" s="888" t="s">
        <v>1253</v>
      </c>
      <c r="D1484" s="889">
        <v>46024</v>
      </c>
      <c r="E1484" s="888" t="s">
        <v>310</v>
      </c>
      <c r="F1484" s="888" t="s">
        <v>310</v>
      </c>
    </row>
    <row r="1485" spans="1:6">
      <c r="A1485" s="888">
        <v>349</v>
      </c>
      <c r="B1485" s="888" t="s">
        <v>1014</v>
      </c>
      <c r="C1485" s="888" t="s">
        <v>1253</v>
      </c>
      <c r="D1485" s="889">
        <v>46025</v>
      </c>
      <c r="E1485" s="888" t="s">
        <v>310</v>
      </c>
      <c r="F1485" s="888" t="s">
        <v>310</v>
      </c>
    </row>
    <row r="1486" spans="1:6">
      <c r="A1486" s="888">
        <v>349</v>
      </c>
      <c r="B1486" s="888" t="s">
        <v>1014</v>
      </c>
      <c r="C1486" s="888" t="s">
        <v>1253</v>
      </c>
      <c r="D1486" s="889">
        <v>46026</v>
      </c>
      <c r="E1486" s="888" t="s">
        <v>310</v>
      </c>
      <c r="F1486" s="888" t="s">
        <v>310</v>
      </c>
    </row>
    <row r="1487" spans="1:6">
      <c r="A1487" s="888">
        <v>349</v>
      </c>
      <c r="B1487" s="888" t="s">
        <v>1014</v>
      </c>
      <c r="C1487" s="888" t="s">
        <v>1253</v>
      </c>
      <c r="D1487" s="889">
        <v>46027</v>
      </c>
      <c r="E1487" s="888" t="s">
        <v>310</v>
      </c>
      <c r="F1487" s="888" t="s">
        <v>310</v>
      </c>
    </row>
    <row r="1488" spans="1:6">
      <c r="A1488" s="888">
        <v>349</v>
      </c>
      <c r="B1488" s="888" t="s">
        <v>1014</v>
      </c>
      <c r="C1488" s="888" t="s">
        <v>1253</v>
      </c>
      <c r="D1488" s="889">
        <v>46028</v>
      </c>
      <c r="E1488" s="888" t="s">
        <v>310</v>
      </c>
      <c r="F1488" s="888" t="s">
        <v>310</v>
      </c>
    </row>
    <row r="1489" spans="1:6">
      <c r="A1489" s="888">
        <v>349</v>
      </c>
      <c r="B1489" s="888" t="s">
        <v>1014</v>
      </c>
      <c r="C1489" s="888" t="s">
        <v>1253</v>
      </c>
      <c r="D1489" s="889">
        <v>46029</v>
      </c>
      <c r="E1489" s="888" t="s">
        <v>310</v>
      </c>
      <c r="F1489" s="888" t="s">
        <v>310</v>
      </c>
    </row>
    <row r="1490" spans="1:6">
      <c r="A1490" s="888">
        <v>349</v>
      </c>
      <c r="B1490" s="888" t="s">
        <v>1014</v>
      </c>
      <c r="C1490" s="888" t="s">
        <v>1253</v>
      </c>
      <c r="D1490" s="889">
        <v>46030</v>
      </c>
      <c r="E1490" s="888" t="s">
        <v>310</v>
      </c>
      <c r="F1490" s="888" t="s">
        <v>310</v>
      </c>
    </row>
    <row r="1491" spans="1:6">
      <c r="A1491" s="888">
        <v>349</v>
      </c>
      <c r="B1491" s="888" t="s">
        <v>1014</v>
      </c>
      <c r="C1491" s="888" t="s">
        <v>1253</v>
      </c>
      <c r="D1491" s="889">
        <v>46031</v>
      </c>
      <c r="E1491" s="888" t="s">
        <v>310</v>
      </c>
      <c r="F1491" s="888" t="s">
        <v>310</v>
      </c>
    </row>
    <row r="1492" spans="1:6">
      <c r="A1492" s="888">
        <v>349</v>
      </c>
      <c r="B1492" s="888" t="s">
        <v>1014</v>
      </c>
      <c r="C1492" s="888" t="s">
        <v>1253</v>
      </c>
      <c r="D1492" s="889">
        <v>46032</v>
      </c>
      <c r="E1492" s="888" t="s">
        <v>310</v>
      </c>
      <c r="F1492" s="888" t="s">
        <v>310</v>
      </c>
    </row>
    <row r="1493" spans="1:6">
      <c r="A1493" s="888">
        <v>349</v>
      </c>
      <c r="B1493" s="888" t="s">
        <v>1014</v>
      </c>
      <c r="C1493" s="888" t="s">
        <v>1253</v>
      </c>
      <c r="D1493" s="889">
        <v>46033</v>
      </c>
      <c r="E1493" s="888" t="s">
        <v>310</v>
      </c>
      <c r="F1493" s="888" t="s">
        <v>310</v>
      </c>
    </row>
    <row r="1494" spans="1:6">
      <c r="A1494" s="888">
        <v>349</v>
      </c>
      <c r="B1494" s="888" t="s">
        <v>1014</v>
      </c>
      <c r="C1494" s="888" t="s">
        <v>1253</v>
      </c>
      <c r="D1494" s="889">
        <v>46034</v>
      </c>
      <c r="E1494" s="888" t="s">
        <v>310</v>
      </c>
      <c r="F1494" s="888" t="s">
        <v>310</v>
      </c>
    </row>
    <row r="1495" spans="1:6">
      <c r="A1495" s="888">
        <v>349</v>
      </c>
      <c r="B1495" s="888" t="s">
        <v>1014</v>
      </c>
      <c r="C1495" s="888" t="s">
        <v>1253</v>
      </c>
      <c r="D1495" s="889">
        <v>46035</v>
      </c>
      <c r="E1495" s="888" t="s">
        <v>310</v>
      </c>
      <c r="F1495" s="888" t="s">
        <v>310</v>
      </c>
    </row>
    <row r="1496" spans="1:6">
      <c r="A1496" s="888">
        <v>349</v>
      </c>
      <c r="B1496" s="888" t="s">
        <v>1014</v>
      </c>
      <c r="C1496" s="888" t="s">
        <v>1253</v>
      </c>
      <c r="D1496" s="889">
        <v>46036</v>
      </c>
      <c r="E1496" s="888" t="s">
        <v>310</v>
      </c>
      <c r="F1496" s="888" t="s">
        <v>310</v>
      </c>
    </row>
    <row r="1497" spans="1:6">
      <c r="A1497" s="888">
        <v>349</v>
      </c>
      <c r="B1497" s="888" t="s">
        <v>1014</v>
      </c>
      <c r="C1497" s="888" t="s">
        <v>1253</v>
      </c>
      <c r="D1497" s="889">
        <v>46037</v>
      </c>
      <c r="E1497" s="888" t="s">
        <v>310</v>
      </c>
      <c r="F1497" s="888" t="s">
        <v>310</v>
      </c>
    </row>
    <row r="1498" spans="1:6">
      <c r="A1498" s="888">
        <v>349</v>
      </c>
      <c r="B1498" s="888" t="s">
        <v>1014</v>
      </c>
      <c r="C1498" s="888" t="s">
        <v>1253</v>
      </c>
      <c r="D1498" s="889">
        <v>46038</v>
      </c>
      <c r="E1498" s="888" t="s">
        <v>310</v>
      </c>
      <c r="F1498" s="888" t="s">
        <v>310</v>
      </c>
    </row>
    <row r="1499" spans="1:6">
      <c r="A1499" s="888">
        <v>349</v>
      </c>
      <c r="B1499" s="888" t="s">
        <v>1014</v>
      </c>
      <c r="C1499" s="888" t="s">
        <v>1253</v>
      </c>
      <c r="D1499" s="889">
        <v>46039</v>
      </c>
      <c r="E1499" s="888" t="s">
        <v>310</v>
      </c>
      <c r="F1499" s="888" t="s">
        <v>310</v>
      </c>
    </row>
    <row r="1500" spans="1:6">
      <c r="A1500" s="888">
        <v>349</v>
      </c>
      <c r="B1500" s="888" t="s">
        <v>1014</v>
      </c>
      <c r="C1500" s="888" t="s">
        <v>1253</v>
      </c>
      <c r="D1500" s="889">
        <v>46040</v>
      </c>
      <c r="E1500" s="888" t="s">
        <v>310</v>
      </c>
      <c r="F1500" s="888" t="s">
        <v>310</v>
      </c>
    </row>
    <row r="1501" spans="1:6">
      <c r="A1501" s="888">
        <v>349</v>
      </c>
      <c r="B1501" s="888" t="s">
        <v>1014</v>
      </c>
      <c r="C1501" s="888" t="s">
        <v>1253</v>
      </c>
      <c r="D1501" s="889">
        <v>46041</v>
      </c>
      <c r="E1501" s="888" t="s">
        <v>310</v>
      </c>
      <c r="F1501" s="888" t="s">
        <v>310</v>
      </c>
    </row>
    <row r="1502" spans="1:6">
      <c r="A1502" s="888">
        <v>349</v>
      </c>
      <c r="B1502" s="888" t="s">
        <v>1014</v>
      </c>
      <c r="C1502" s="888" t="s">
        <v>1253</v>
      </c>
      <c r="D1502" s="889">
        <v>46042</v>
      </c>
      <c r="E1502" s="888" t="s">
        <v>310</v>
      </c>
      <c r="F1502" s="888" t="s">
        <v>310</v>
      </c>
    </row>
    <row r="1503" spans="1:6">
      <c r="A1503" s="888">
        <v>349</v>
      </c>
      <c r="B1503" s="888" t="s">
        <v>1014</v>
      </c>
      <c r="C1503" s="888" t="s">
        <v>1253</v>
      </c>
      <c r="D1503" s="889">
        <v>46043</v>
      </c>
      <c r="E1503" s="888" t="s">
        <v>310</v>
      </c>
      <c r="F1503" s="888" t="s">
        <v>310</v>
      </c>
    </row>
    <row r="1504" spans="1:6">
      <c r="A1504" s="888">
        <v>349</v>
      </c>
      <c r="B1504" s="888" t="s">
        <v>1014</v>
      </c>
      <c r="C1504" s="888" t="s">
        <v>1253</v>
      </c>
      <c r="D1504" s="889">
        <v>46044</v>
      </c>
      <c r="E1504" s="888" t="s">
        <v>310</v>
      </c>
      <c r="F1504" s="888" t="s">
        <v>310</v>
      </c>
    </row>
    <row r="1505" spans="1:6">
      <c r="A1505" s="888">
        <v>349</v>
      </c>
      <c r="B1505" s="888" t="s">
        <v>1014</v>
      </c>
      <c r="C1505" s="888" t="s">
        <v>1253</v>
      </c>
      <c r="D1505" s="889">
        <v>46045</v>
      </c>
      <c r="E1505" s="888" t="s">
        <v>310</v>
      </c>
      <c r="F1505" s="888" t="s">
        <v>310</v>
      </c>
    </row>
    <row r="1506" spans="1:6">
      <c r="A1506" s="888">
        <v>349</v>
      </c>
      <c r="B1506" s="888" t="s">
        <v>1014</v>
      </c>
      <c r="C1506" s="888" t="s">
        <v>1253</v>
      </c>
      <c r="D1506" s="889">
        <v>46046</v>
      </c>
      <c r="E1506" s="888" t="s">
        <v>310</v>
      </c>
      <c r="F1506" s="888" t="s">
        <v>310</v>
      </c>
    </row>
    <row r="1507" spans="1:6">
      <c r="A1507" s="888">
        <v>349</v>
      </c>
      <c r="B1507" s="888" t="s">
        <v>1014</v>
      </c>
      <c r="C1507" s="888" t="s">
        <v>1253</v>
      </c>
      <c r="D1507" s="889">
        <v>46047</v>
      </c>
      <c r="E1507" s="888" t="s">
        <v>310</v>
      </c>
      <c r="F1507" s="888" t="s">
        <v>310</v>
      </c>
    </row>
    <row r="1508" spans="1:6">
      <c r="A1508" s="888">
        <v>349</v>
      </c>
      <c r="B1508" s="888" t="s">
        <v>1014</v>
      </c>
      <c r="C1508" s="888" t="s">
        <v>1253</v>
      </c>
      <c r="D1508" s="889">
        <v>46048</v>
      </c>
      <c r="E1508" s="888" t="s">
        <v>310</v>
      </c>
      <c r="F1508" s="888" t="s">
        <v>310</v>
      </c>
    </row>
    <row r="1509" spans="1:6">
      <c r="A1509" s="888">
        <v>349</v>
      </c>
      <c r="B1509" s="888" t="s">
        <v>1014</v>
      </c>
      <c r="C1509" s="888" t="s">
        <v>1253</v>
      </c>
      <c r="D1509" s="889">
        <v>46049</v>
      </c>
      <c r="E1509" s="888" t="s">
        <v>310</v>
      </c>
      <c r="F1509" s="888" t="s">
        <v>310</v>
      </c>
    </row>
    <row r="1510" spans="1:6">
      <c r="A1510" s="888">
        <v>349</v>
      </c>
      <c r="B1510" s="888" t="s">
        <v>1014</v>
      </c>
      <c r="C1510" s="888" t="s">
        <v>1253</v>
      </c>
      <c r="D1510" s="889">
        <v>46050</v>
      </c>
      <c r="E1510" s="888" t="s">
        <v>310</v>
      </c>
      <c r="F1510" s="888" t="s">
        <v>310</v>
      </c>
    </row>
    <row r="1511" spans="1:6">
      <c r="A1511" s="888">
        <v>349</v>
      </c>
      <c r="B1511" s="888" t="s">
        <v>1014</v>
      </c>
      <c r="C1511" s="888" t="s">
        <v>1253</v>
      </c>
      <c r="D1511" s="889">
        <v>46051</v>
      </c>
      <c r="E1511" s="888" t="s">
        <v>310</v>
      </c>
      <c r="F1511" s="888" t="s">
        <v>310</v>
      </c>
    </row>
    <row r="1512" spans="1:6">
      <c r="A1512" s="888">
        <v>349</v>
      </c>
      <c r="B1512" s="888" t="s">
        <v>1014</v>
      </c>
      <c r="C1512" s="888" t="s">
        <v>1253</v>
      </c>
      <c r="D1512" s="889">
        <v>46052</v>
      </c>
      <c r="E1512" s="888" t="s">
        <v>310</v>
      </c>
      <c r="F1512" s="888" t="s">
        <v>310</v>
      </c>
    </row>
    <row r="1513" spans="1:6">
      <c r="A1513" s="888">
        <v>349</v>
      </c>
      <c r="B1513" s="888" t="s">
        <v>1014</v>
      </c>
      <c r="C1513" s="888" t="s">
        <v>1253</v>
      </c>
      <c r="D1513" s="889">
        <v>46053</v>
      </c>
      <c r="E1513" s="888" t="s">
        <v>310</v>
      </c>
      <c r="F1513" s="888" t="s">
        <v>310</v>
      </c>
    </row>
    <row r="1514" spans="1:6">
      <c r="A1514" s="888">
        <v>349</v>
      </c>
      <c r="B1514" s="888" t="s">
        <v>1014</v>
      </c>
      <c r="C1514" s="888" t="s">
        <v>1253</v>
      </c>
      <c r="D1514" s="889">
        <v>46054</v>
      </c>
      <c r="E1514" s="888" t="s">
        <v>310</v>
      </c>
      <c r="F1514" s="888" t="s">
        <v>310</v>
      </c>
    </row>
    <row r="1515" spans="1:6">
      <c r="A1515" s="888">
        <v>350</v>
      </c>
      <c r="B1515" s="888" t="s">
        <v>1085</v>
      </c>
      <c r="C1515" s="888" t="s">
        <v>1253</v>
      </c>
      <c r="D1515" s="889">
        <v>46023</v>
      </c>
      <c r="E1515" s="888" t="s">
        <v>310</v>
      </c>
      <c r="F1515" s="888" t="s">
        <v>310</v>
      </c>
    </row>
    <row r="1516" spans="1:6">
      <c r="A1516" s="888">
        <v>350</v>
      </c>
      <c r="B1516" s="888" t="s">
        <v>1085</v>
      </c>
      <c r="C1516" s="888" t="s">
        <v>1253</v>
      </c>
      <c r="D1516" s="889">
        <v>46024</v>
      </c>
      <c r="E1516" s="888" t="s">
        <v>310</v>
      </c>
      <c r="F1516" s="888" t="s">
        <v>310</v>
      </c>
    </row>
    <row r="1517" spans="1:6">
      <c r="A1517" s="888">
        <v>350</v>
      </c>
      <c r="B1517" s="888" t="s">
        <v>1085</v>
      </c>
      <c r="C1517" s="888" t="s">
        <v>1253</v>
      </c>
      <c r="D1517" s="889">
        <v>46025</v>
      </c>
      <c r="E1517" s="888" t="s">
        <v>310</v>
      </c>
      <c r="F1517" s="888" t="s">
        <v>310</v>
      </c>
    </row>
    <row r="1518" spans="1:6">
      <c r="A1518" s="888">
        <v>350</v>
      </c>
      <c r="B1518" s="888" t="s">
        <v>1085</v>
      </c>
      <c r="C1518" s="888" t="s">
        <v>1253</v>
      </c>
      <c r="D1518" s="889">
        <v>46026</v>
      </c>
      <c r="E1518" s="888" t="s">
        <v>310</v>
      </c>
      <c r="F1518" s="888" t="s">
        <v>310</v>
      </c>
    </row>
    <row r="1519" spans="1:6">
      <c r="A1519" s="888">
        <v>350</v>
      </c>
      <c r="B1519" s="888" t="s">
        <v>1085</v>
      </c>
      <c r="C1519" s="888" t="s">
        <v>1253</v>
      </c>
      <c r="D1519" s="889">
        <v>46027</v>
      </c>
      <c r="E1519" s="890">
        <v>0.36005787037037035</v>
      </c>
      <c r="F1519" s="890">
        <v>0.77285879629629628</v>
      </c>
    </row>
    <row r="1520" spans="1:6">
      <c r="A1520" s="888" t="s">
        <v>2054</v>
      </c>
      <c r="B1520" s="888" t="s">
        <v>2055</v>
      </c>
      <c r="C1520" s="888" t="s">
        <v>1816</v>
      </c>
    </row>
    <row r="1521" spans="1:6">
      <c r="A1521" s="888">
        <v>350</v>
      </c>
      <c r="B1521" s="888" t="s">
        <v>1085</v>
      </c>
      <c r="C1521" s="888" t="s">
        <v>1253</v>
      </c>
      <c r="D1521" s="889">
        <v>46028</v>
      </c>
      <c r="E1521" s="890">
        <v>0.37394675925925924</v>
      </c>
      <c r="F1521" s="890">
        <v>0.77459490740740744</v>
      </c>
    </row>
    <row r="1522" spans="1:6">
      <c r="A1522" s="888" t="s">
        <v>2056</v>
      </c>
      <c r="B1522" s="888" t="s">
        <v>2057</v>
      </c>
      <c r="C1522" s="888" t="s">
        <v>1378</v>
      </c>
    </row>
    <row r="1523" spans="1:6">
      <c r="A1523" s="888">
        <v>350</v>
      </c>
      <c r="B1523" s="888" t="s">
        <v>1085</v>
      </c>
      <c r="C1523" s="888" t="s">
        <v>1253</v>
      </c>
      <c r="D1523" s="889">
        <v>46029</v>
      </c>
      <c r="E1523" s="890">
        <v>0.36177083333333332</v>
      </c>
      <c r="F1523" s="890">
        <v>0.76438657407407407</v>
      </c>
    </row>
    <row r="1524" spans="1:6">
      <c r="A1524" s="888" t="s">
        <v>2058</v>
      </c>
      <c r="B1524" s="888" t="s">
        <v>2059</v>
      </c>
      <c r="C1524" s="888" t="s">
        <v>1624</v>
      </c>
    </row>
    <row r="1525" spans="1:6">
      <c r="A1525" s="888">
        <v>350</v>
      </c>
      <c r="B1525" s="888" t="s">
        <v>1085</v>
      </c>
      <c r="C1525" s="888" t="s">
        <v>1253</v>
      </c>
      <c r="D1525" s="889">
        <v>46030</v>
      </c>
      <c r="E1525" s="890">
        <v>0.36135416666666664</v>
      </c>
      <c r="F1525" s="890">
        <v>0.76076388888888891</v>
      </c>
    </row>
    <row r="1526" spans="1:6">
      <c r="A1526" s="888" t="s">
        <v>2060</v>
      </c>
      <c r="B1526" s="888" t="s">
        <v>2061</v>
      </c>
      <c r="C1526" s="888" t="s">
        <v>1288</v>
      </c>
    </row>
    <row r="1527" spans="1:6">
      <c r="A1527" s="888">
        <v>350</v>
      </c>
      <c r="B1527" s="888" t="s">
        <v>1085</v>
      </c>
      <c r="C1527" s="888" t="s">
        <v>1253</v>
      </c>
      <c r="D1527" s="889">
        <v>46031</v>
      </c>
      <c r="E1527" s="890">
        <v>0.37319444444444444</v>
      </c>
      <c r="F1527" s="890">
        <v>0.82719907407407411</v>
      </c>
    </row>
    <row r="1528" spans="1:6">
      <c r="A1528" s="888" t="s">
        <v>2062</v>
      </c>
      <c r="B1528" s="888" t="s">
        <v>2063</v>
      </c>
      <c r="C1528" s="888" t="s">
        <v>2064</v>
      </c>
    </row>
    <row r="1529" spans="1:6">
      <c r="A1529" s="888">
        <v>350</v>
      </c>
      <c r="B1529" s="888" t="s">
        <v>1085</v>
      </c>
      <c r="C1529" s="888" t="s">
        <v>1253</v>
      </c>
      <c r="D1529" s="889">
        <v>46032</v>
      </c>
      <c r="E1529" s="888" t="s">
        <v>310</v>
      </c>
      <c r="F1529" s="888" t="s">
        <v>310</v>
      </c>
    </row>
    <row r="1530" spans="1:6">
      <c r="A1530" s="888">
        <v>350</v>
      </c>
      <c r="B1530" s="888" t="s">
        <v>1085</v>
      </c>
      <c r="C1530" s="888" t="s">
        <v>1253</v>
      </c>
      <c r="D1530" s="889">
        <v>46033</v>
      </c>
      <c r="E1530" s="888" t="s">
        <v>310</v>
      </c>
      <c r="F1530" s="888" t="s">
        <v>310</v>
      </c>
    </row>
    <row r="1531" spans="1:6">
      <c r="A1531" s="888">
        <v>350</v>
      </c>
      <c r="B1531" s="888" t="s">
        <v>1085</v>
      </c>
      <c r="C1531" s="888" t="s">
        <v>1253</v>
      </c>
      <c r="D1531" s="889">
        <v>46034</v>
      </c>
      <c r="E1531" s="890">
        <v>0.3666550925925926</v>
      </c>
      <c r="F1531" s="888" t="s">
        <v>310</v>
      </c>
    </row>
    <row r="1532" spans="1:6">
      <c r="A1532" s="888" t="s">
        <v>2065</v>
      </c>
      <c r="B1532" s="888" t="s">
        <v>1258</v>
      </c>
      <c r="C1532" s="888" t="s">
        <v>1259</v>
      </c>
    </row>
    <row r="1533" spans="1:6">
      <c r="A1533" s="888">
        <v>350</v>
      </c>
      <c r="B1533" s="888" t="s">
        <v>1085</v>
      </c>
      <c r="C1533" s="888" t="s">
        <v>1253</v>
      </c>
      <c r="D1533" s="889">
        <v>46035</v>
      </c>
      <c r="E1533" s="890">
        <v>0.36254629629629631</v>
      </c>
      <c r="F1533" s="890">
        <v>0.76175925925925925</v>
      </c>
    </row>
    <row r="1534" spans="1:6">
      <c r="A1534" s="888" t="s">
        <v>2066</v>
      </c>
      <c r="B1534" s="888" t="s">
        <v>2067</v>
      </c>
      <c r="C1534" s="888" t="s">
        <v>1288</v>
      </c>
    </row>
    <row r="1535" spans="1:6">
      <c r="A1535" s="888">
        <v>350</v>
      </c>
      <c r="B1535" s="888" t="s">
        <v>1085</v>
      </c>
      <c r="C1535" s="888" t="s">
        <v>1253</v>
      </c>
      <c r="D1535" s="889">
        <v>46036</v>
      </c>
      <c r="E1535" s="890">
        <v>0.36622685185185183</v>
      </c>
      <c r="F1535" s="890">
        <v>0.76798611111111115</v>
      </c>
    </row>
    <row r="1536" spans="1:6">
      <c r="A1536" s="888" t="s">
        <v>2068</v>
      </c>
      <c r="B1536" s="888" t="s">
        <v>2069</v>
      </c>
      <c r="C1536" s="888" t="s">
        <v>1538</v>
      </c>
    </row>
    <row r="1537" spans="1:6">
      <c r="A1537" s="888">
        <v>350</v>
      </c>
      <c r="B1537" s="888" t="s">
        <v>1085</v>
      </c>
      <c r="C1537" s="888" t="s">
        <v>1253</v>
      </c>
      <c r="D1537" s="889">
        <v>46037</v>
      </c>
      <c r="E1537" s="890">
        <v>0.5130555555555556</v>
      </c>
      <c r="F1537" s="890">
        <v>0.75292824074074072</v>
      </c>
    </row>
    <row r="1538" spans="1:6">
      <c r="A1538" s="888" t="s">
        <v>2070</v>
      </c>
      <c r="B1538" s="888" t="s">
        <v>2071</v>
      </c>
      <c r="C1538" s="888" t="s">
        <v>2072</v>
      </c>
    </row>
    <row r="1539" spans="1:6">
      <c r="A1539" s="888">
        <v>350</v>
      </c>
      <c r="B1539" s="888" t="s">
        <v>1085</v>
      </c>
      <c r="C1539" s="888" t="s">
        <v>1253</v>
      </c>
      <c r="D1539" s="889">
        <v>46038</v>
      </c>
      <c r="E1539" s="890">
        <v>0.3488310185185185</v>
      </c>
      <c r="F1539" s="890">
        <v>0.75202546296296291</v>
      </c>
    </row>
    <row r="1540" spans="1:6">
      <c r="A1540" s="888" t="s">
        <v>2073</v>
      </c>
      <c r="B1540" s="888" t="s">
        <v>2074</v>
      </c>
      <c r="C1540" s="888" t="s">
        <v>1363</v>
      </c>
    </row>
    <row r="1541" spans="1:6">
      <c r="A1541" s="888">
        <v>350</v>
      </c>
      <c r="B1541" s="888" t="s">
        <v>1085</v>
      </c>
      <c r="C1541" s="888" t="s">
        <v>1253</v>
      </c>
      <c r="D1541" s="889">
        <v>46039</v>
      </c>
      <c r="E1541" s="888" t="s">
        <v>310</v>
      </c>
      <c r="F1541" s="888" t="s">
        <v>310</v>
      </c>
    </row>
    <row r="1542" spans="1:6">
      <c r="A1542" s="888">
        <v>350</v>
      </c>
      <c r="B1542" s="888" t="s">
        <v>1085</v>
      </c>
      <c r="C1542" s="888" t="s">
        <v>1253</v>
      </c>
      <c r="D1542" s="889">
        <v>46040</v>
      </c>
      <c r="E1542" s="888" t="s">
        <v>310</v>
      </c>
      <c r="F1542" s="888" t="s">
        <v>310</v>
      </c>
    </row>
    <row r="1543" spans="1:6">
      <c r="A1543" s="888">
        <v>350</v>
      </c>
      <c r="B1543" s="888" t="s">
        <v>1085</v>
      </c>
      <c r="C1543" s="888" t="s">
        <v>1253</v>
      </c>
      <c r="D1543" s="889">
        <v>46041</v>
      </c>
      <c r="E1543" s="890">
        <v>0.35855324074074074</v>
      </c>
      <c r="F1543" s="890">
        <v>0.76679398148148148</v>
      </c>
    </row>
    <row r="1544" spans="1:6">
      <c r="A1544" s="888" t="s">
        <v>2075</v>
      </c>
      <c r="B1544" s="888" t="s">
        <v>2076</v>
      </c>
      <c r="C1544" s="888" t="s">
        <v>2077</v>
      </c>
    </row>
    <row r="1545" spans="1:6">
      <c r="A1545" s="888">
        <v>350</v>
      </c>
      <c r="B1545" s="888" t="s">
        <v>1085</v>
      </c>
      <c r="C1545" s="888" t="s">
        <v>1253</v>
      </c>
      <c r="D1545" s="889">
        <v>46042</v>
      </c>
      <c r="E1545" s="890">
        <v>0.55686342592592597</v>
      </c>
      <c r="F1545" s="890">
        <v>0.75300925925925921</v>
      </c>
    </row>
    <row r="1546" spans="1:6">
      <c r="A1546" s="888" t="s">
        <v>2078</v>
      </c>
      <c r="B1546" s="888" t="s">
        <v>2079</v>
      </c>
      <c r="C1546" s="888" t="s">
        <v>2080</v>
      </c>
    </row>
    <row r="1547" spans="1:6">
      <c r="A1547" s="888">
        <v>350</v>
      </c>
      <c r="B1547" s="888" t="s">
        <v>1085</v>
      </c>
      <c r="C1547" s="888" t="s">
        <v>1253</v>
      </c>
      <c r="D1547" s="889">
        <v>46043</v>
      </c>
      <c r="E1547" s="890">
        <v>0.36499999999999999</v>
      </c>
      <c r="F1547" s="890">
        <v>0.77836805555555555</v>
      </c>
    </row>
    <row r="1548" spans="1:6">
      <c r="A1548" s="888" t="s">
        <v>2081</v>
      </c>
      <c r="B1548" s="888" t="s">
        <v>2082</v>
      </c>
      <c r="C1548" s="888" t="s">
        <v>1360</v>
      </c>
    </row>
    <row r="1549" spans="1:6">
      <c r="A1549" s="888">
        <v>350</v>
      </c>
      <c r="B1549" s="888" t="s">
        <v>1085</v>
      </c>
      <c r="C1549" s="888" t="s">
        <v>1253</v>
      </c>
      <c r="D1549" s="889">
        <v>46044</v>
      </c>
      <c r="E1549" s="890">
        <v>0.3694560185185185</v>
      </c>
      <c r="F1549" s="890">
        <v>0.76556712962962958</v>
      </c>
    </row>
    <row r="1550" spans="1:6">
      <c r="A1550" s="888" t="s">
        <v>2083</v>
      </c>
      <c r="B1550" s="888" t="s">
        <v>2084</v>
      </c>
      <c r="C1550" s="888" t="s">
        <v>1404</v>
      </c>
    </row>
    <row r="1551" spans="1:6">
      <c r="A1551" s="888">
        <v>350</v>
      </c>
      <c r="B1551" s="888" t="s">
        <v>1085</v>
      </c>
      <c r="C1551" s="888" t="s">
        <v>1253</v>
      </c>
      <c r="D1551" s="889">
        <v>46045</v>
      </c>
      <c r="E1551" s="890">
        <v>0.37388888888888888</v>
      </c>
      <c r="F1551" s="890">
        <v>0.76770833333333333</v>
      </c>
    </row>
    <row r="1552" spans="1:6">
      <c r="A1552" s="888" t="s">
        <v>2085</v>
      </c>
      <c r="B1552" s="888" t="s">
        <v>2086</v>
      </c>
      <c r="C1552" s="888" t="s">
        <v>1291</v>
      </c>
    </row>
    <row r="1553" spans="1:6">
      <c r="A1553" s="888">
        <v>350</v>
      </c>
      <c r="B1553" s="888" t="s">
        <v>1085</v>
      </c>
      <c r="C1553" s="888" t="s">
        <v>1253</v>
      </c>
      <c r="D1553" s="889">
        <v>46046</v>
      </c>
      <c r="E1553" s="888" t="s">
        <v>310</v>
      </c>
      <c r="F1553" s="888" t="s">
        <v>310</v>
      </c>
    </row>
    <row r="1554" spans="1:6">
      <c r="A1554" s="888">
        <v>350</v>
      </c>
      <c r="B1554" s="888" t="s">
        <v>1085</v>
      </c>
      <c r="C1554" s="888" t="s">
        <v>1253</v>
      </c>
      <c r="D1554" s="889">
        <v>46047</v>
      </c>
      <c r="E1554" s="888" t="s">
        <v>310</v>
      </c>
      <c r="F1554" s="888" t="s">
        <v>310</v>
      </c>
    </row>
    <row r="1555" spans="1:6">
      <c r="A1555" s="888">
        <v>350</v>
      </c>
      <c r="B1555" s="888" t="s">
        <v>1085</v>
      </c>
      <c r="C1555" s="888" t="s">
        <v>1253</v>
      </c>
      <c r="D1555" s="889">
        <v>46048</v>
      </c>
      <c r="E1555" s="890">
        <v>0.56525462962962958</v>
      </c>
      <c r="F1555" s="890">
        <v>0.76200231481481484</v>
      </c>
    </row>
    <row r="1556" spans="1:6">
      <c r="A1556" s="888" t="s">
        <v>2087</v>
      </c>
      <c r="B1556" s="888" t="s">
        <v>2088</v>
      </c>
      <c r="C1556" s="888" t="s">
        <v>2089</v>
      </c>
    </row>
    <row r="1557" spans="1:6">
      <c r="A1557" s="888">
        <v>350</v>
      </c>
      <c r="B1557" s="888" t="s">
        <v>1085</v>
      </c>
      <c r="C1557" s="888" t="s">
        <v>1253</v>
      </c>
      <c r="D1557" s="889">
        <v>46049</v>
      </c>
      <c r="E1557" s="890">
        <v>0.36031249999999998</v>
      </c>
      <c r="F1557" s="890">
        <v>0.76538194444444441</v>
      </c>
    </row>
    <row r="1558" spans="1:6">
      <c r="A1558" s="888" t="s">
        <v>2090</v>
      </c>
      <c r="B1558" s="888" t="s">
        <v>2091</v>
      </c>
      <c r="C1558" s="888" t="s">
        <v>1356</v>
      </c>
    </row>
    <row r="1559" spans="1:6">
      <c r="A1559" s="888">
        <v>350</v>
      </c>
      <c r="B1559" s="888" t="s">
        <v>1085</v>
      </c>
      <c r="C1559" s="888" t="s">
        <v>1253</v>
      </c>
      <c r="D1559" s="889">
        <v>46050</v>
      </c>
      <c r="E1559" s="888" t="s">
        <v>310</v>
      </c>
      <c r="F1559" s="888" t="s">
        <v>310</v>
      </c>
    </row>
    <row r="1560" spans="1:6">
      <c r="A1560" s="888">
        <v>350</v>
      </c>
      <c r="B1560" s="888" t="s">
        <v>1085</v>
      </c>
      <c r="C1560" s="888" t="s">
        <v>1253</v>
      </c>
      <c r="D1560" s="889">
        <v>46051</v>
      </c>
      <c r="E1560" s="890">
        <v>0.34675925925925927</v>
      </c>
      <c r="F1560" s="890">
        <v>0.76261574074074079</v>
      </c>
    </row>
    <row r="1561" spans="1:6">
      <c r="A1561" s="888" t="s">
        <v>2092</v>
      </c>
      <c r="B1561" s="888" t="s">
        <v>2093</v>
      </c>
      <c r="C1561" s="888" t="s">
        <v>1422</v>
      </c>
    </row>
    <row r="1562" spans="1:6">
      <c r="A1562" s="888">
        <v>350</v>
      </c>
      <c r="B1562" s="888" t="s">
        <v>1085</v>
      </c>
      <c r="C1562" s="888" t="s">
        <v>1253</v>
      </c>
      <c r="D1562" s="889">
        <v>46052</v>
      </c>
      <c r="E1562" s="888" t="s">
        <v>310</v>
      </c>
      <c r="F1562" s="888" t="s">
        <v>310</v>
      </c>
    </row>
    <row r="1563" spans="1:6">
      <c r="A1563" s="888">
        <v>350</v>
      </c>
      <c r="B1563" s="888" t="s">
        <v>1085</v>
      </c>
      <c r="C1563" s="888" t="s">
        <v>1253</v>
      </c>
      <c r="D1563" s="889">
        <v>46053</v>
      </c>
      <c r="E1563" s="888" t="s">
        <v>310</v>
      </c>
      <c r="F1563" s="888" t="s">
        <v>310</v>
      </c>
    </row>
    <row r="1564" spans="1:6">
      <c r="A1564" s="888">
        <v>350</v>
      </c>
      <c r="B1564" s="888" t="s">
        <v>1085</v>
      </c>
      <c r="C1564" s="888" t="s">
        <v>1253</v>
      </c>
      <c r="D1564" s="889">
        <v>46054</v>
      </c>
      <c r="E1564" s="888" t="s">
        <v>310</v>
      </c>
      <c r="F1564" s="888" t="s">
        <v>310</v>
      </c>
    </row>
    <row r="1565" spans="1:6">
      <c r="A1565" s="888">
        <v>351</v>
      </c>
      <c r="B1565" s="888" t="s">
        <v>2094</v>
      </c>
      <c r="C1565" s="888" t="s">
        <v>1253</v>
      </c>
      <c r="D1565" s="889">
        <v>46023</v>
      </c>
      <c r="E1565" s="888" t="s">
        <v>310</v>
      </c>
      <c r="F1565" s="888" t="s">
        <v>310</v>
      </c>
    </row>
    <row r="1566" spans="1:6">
      <c r="A1566" s="888">
        <v>351</v>
      </c>
      <c r="B1566" s="888" t="s">
        <v>2094</v>
      </c>
      <c r="C1566" s="888" t="s">
        <v>1253</v>
      </c>
      <c r="D1566" s="889">
        <v>46024</v>
      </c>
      <c r="E1566" s="888" t="s">
        <v>310</v>
      </c>
      <c r="F1566" s="888" t="s">
        <v>310</v>
      </c>
    </row>
    <row r="1567" spans="1:6">
      <c r="A1567" s="888">
        <v>351</v>
      </c>
      <c r="B1567" s="888" t="s">
        <v>2094</v>
      </c>
      <c r="C1567" s="888" t="s">
        <v>1253</v>
      </c>
      <c r="D1567" s="889">
        <v>46025</v>
      </c>
      <c r="E1567" s="888" t="s">
        <v>310</v>
      </c>
      <c r="F1567" s="888" t="s">
        <v>310</v>
      </c>
    </row>
    <row r="1568" spans="1:6">
      <c r="A1568" s="888">
        <v>351</v>
      </c>
      <c r="B1568" s="888" t="s">
        <v>2094</v>
      </c>
      <c r="C1568" s="888" t="s">
        <v>1253</v>
      </c>
      <c r="D1568" s="889">
        <v>46026</v>
      </c>
      <c r="E1568" s="888" t="s">
        <v>310</v>
      </c>
      <c r="F1568" s="888" t="s">
        <v>310</v>
      </c>
    </row>
    <row r="1569" spans="1:6">
      <c r="A1569" s="888">
        <v>351</v>
      </c>
      <c r="B1569" s="888" t="s">
        <v>2094</v>
      </c>
      <c r="C1569" s="888" t="s">
        <v>1253</v>
      </c>
      <c r="D1569" s="889">
        <v>46027</v>
      </c>
      <c r="E1569" s="888" t="s">
        <v>310</v>
      </c>
      <c r="F1569" s="888" t="s">
        <v>310</v>
      </c>
    </row>
    <row r="1570" spans="1:6">
      <c r="A1570" s="888">
        <v>351</v>
      </c>
      <c r="B1570" s="888" t="s">
        <v>2094</v>
      </c>
      <c r="C1570" s="888" t="s">
        <v>1253</v>
      </c>
      <c r="D1570" s="889">
        <v>46028</v>
      </c>
      <c r="E1570" s="888" t="s">
        <v>310</v>
      </c>
      <c r="F1570" s="888" t="s">
        <v>310</v>
      </c>
    </row>
    <row r="1571" spans="1:6">
      <c r="A1571" s="888">
        <v>351</v>
      </c>
      <c r="B1571" s="888" t="s">
        <v>2094</v>
      </c>
      <c r="C1571" s="888" t="s">
        <v>1253</v>
      </c>
      <c r="D1571" s="889">
        <v>46029</v>
      </c>
      <c r="E1571" s="888" t="s">
        <v>310</v>
      </c>
      <c r="F1571" s="888" t="s">
        <v>310</v>
      </c>
    </row>
    <row r="1572" spans="1:6">
      <c r="A1572" s="888">
        <v>351</v>
      </c>
      <c r="B1572" s="888" t="s">
        <v>2094</v>
      </c>
      <c r="C1572" s="888" t="s">
        <v>1253</v>
      </c>
      <c r="D1572" s="889">
        <v>46030</v>
      </c>
      <c r="E1572" s="888" t="s">
        <v>310</v>
      </c>
      <c r="F1572" s="888" t="s">
        <v>310</v>
      </c>
    </row>
    <row r="1573" spans="1:6">
      <c r="A1573" s="888">
        <v>351</v>
      </c>
      <c r="B1573" s="888" t="s">
        <v>2094</v>
      </c>
      <c r="C1573" s="888" t="s">
        <v>1253</v>
      </c>
      <c r="D1573" s="889">
        <v>46031</v>
      </c>
      <c r="E1573" s="888" t="s">
        <v>310</v>
      </c>
      <c r="F1573" s="888" t="s">
        <v>310</v>
      </c>
    </row>
    <row r="1574" spans="1:6">
      <c r="A1574" s="888">
        <v>351</v>
      </c>
      <c r="B1574" s="888" t="s">
        <v>2094</v>
      </c>
      <c r="C1574" s="888" t="s">
        <v>1253</v>
      </c>
      <c r="D1574" s="889">
        <v>46032</v>
      </c>
      <c r="E1574" s="888" t="s">
        <v>310</v>
      </c>
      <c r="F1574" s="888" t="s">
        <v>310</v>
      </c>
    </row>
    <row r="1575" spans="1:6">
      <c r="A1575" s="888">
        <v>351</v>
      </c>
      <c r="B1575" s="888" t="s">
        <v>2094</v>
      </c>
      <c r="C1575" s="888" t="s">
        <v>1253</v>
      </c>
      <c r="D1575" s="889">
        <v>46033</v>
      </c>
      <c r="E1575" s="888" t="s">
        <v>310</v>
      </c>
      <c r="F1575" s="888" t="s">
        <v>310</v>
      </c>
    </row>
    <row r="1576" spans="1:6">
      <c r="A1576" s="888">
        <v>351</v>
      </c>
      <c r="B1576" s="888" t="s">
        <v>2094</v>
      </c>
      <c r="C1576" s="888" t="s">
        <v>1253</v>
      </c>
      <c r="D1576" s="889">
        <v>46034</v>
      </c>
      <c r="E1576" s="888" t="s">
        <v>310</v>
      </c>
      <c r="F1576" s="888" t="s">
        <v>310</v>
      </c>
    </row>
    <row r="1577" spans="1:6">
      <c r="A1577" s="888">
        <v>351</v>
      </c>
      <c r="B1577" s="888" t="s">
        <v>2094</v>
      </c>
      <c r="C1577" s="888" t="s">
        <v>1253</v>
      </c>
      <c r="D1577" s="889">
        <v>46035</v>
      </c>
      <c r="E1577" s="888" t="s">
        <v>310</v>
      </c>
      <c r="F1577" s="888" t="s">
        <v>310</v>
      </c>
    </row>
    <row r="1578" spans="1:6">
      <c r="A1578" s="888">
        <v>351</v>
      </c>
      <c r="B1578" s="888" t="s">
        <v>2094</v>
      </c>
      <c r="C1578" s="888" t="s">
        <v>1253</v>
      </c>
      <c r="D1578" s="889">
        <v>46036</v>
      </c>
      <c r="E1578" s="888" t="s">
        <v>310</v>
      </c>
      <c r="F1578" s="888" t="s">
        <v>310</v>
      </c>
    </row>
    <row r="1579" spans="1:6">
      <c r="A1579" s="888">
        <v>351</v>
      </c>
      <c r="B1579" s="888" t="s">
        <v>2094</v>
      </c>
      <c r="C1579" s="888" t="s">
        <v>1253</v>
      </c>
      <c r="D1579" s="889">
        <v>46037</v>
      </c>
      <c r="E1579" s="888" t="s">
        <v>310</v>
      </c>
      <c r="F1579" s="888" t="s">
        <v>310</v>
      </c>
    </row>
    <row r="1580" spans="1:6">
      <c r="A1580" s="888">
        <v>351</v>
      </c>
      <c r="B1580" s="888" t="s">
        <v>2094</v>
      </c>
      <c r="C1580" s="888" t="s">
        <v>1253</v>
      </c>
      <c r="D1580" s="889">
        <v>46038</v>
      </c>
      <c r="E1580" s="888" t="s">
        <v>310</v>
      </c>
      <c r="F1580" s="888" t="s">
        <v>310</v>
      </c>
    </row>
    <row r="1581" spans="1:6">
      <c r="A1581" s="888">
        <v>351</v>
      </c>
      <c r="B1581" s="888" t="s">
        <v>2094</v>
      </c>
      <c r="C1581" s="888" t="s">
        <v>1253</v>
      </c>
      <c r="D1581" s="889">
        <v>46039</v>
      </c>
      <c r="E1581" s="888" t="s">
        <v>310</v>
      </c>
      <c r="F1581" s="888" t="s">
        <v>310</v>
      </c>
    </row>
    <row r="1582" spans="1:6">
      <c r="A1582" s="888">
        <v>351</v>
      </c>
      <c r="B1582" s="888" t="s">
        <v>2094</v>
      </c>
      <c r="C1582" s="888" t="s">
        <v>1253</v>
      </c>
      <c r="D1582" s="889">
        <v>46040</v>
      </c>
      <c r="E1582" s="888" t="s">
        <v>310</v>
      </c>
      <c r="F1582" s="888" t="s">
        <v>310</v>
      </c>
    </row>
    <row r="1583" spans="1:6">
      <c r="A1583" s="888">
        <v>351</v>
      </c>
      <c r="B1583" s="888" t="s">
        <v>2094</v>
      </c>
      <c r="C1583" s="888" t="s">
        <v>1253</v>
      </c>
      <c r="D1583" s="889">
        <v>46041</v>
      </c>
      <c r="E1583" s="888" t="s">
        <v>310</v>
      </c>
      <c r="F1583" s="888" t="s">
        <v>310</v>
      </c>
    </row>
    <row r="1584" spans="1:6">
      <c r="A1584" s="888">
        <v>351</v>
      </c>
      <c r="B1584" s="888" t="s">
        <v>2094</v>
      </c>
      <c r="C1584" s="888" t="s">
        <v>1253</v>
      </c>
      <c r="D1584" s="889">
        <v>46042</v>
      </c>
      <c r="E1584" s="888" t="s">
        <v>310</v>
      </c>
      <c r="F1584" s="888" t="s">
        <v>310</v>
      </c>
    </row>
    <row r="1585" spans="1:6">
      <c r="A1585" s="888">
        <v>351</v>
      </c>
      <c r="B1585" s="888" t="s">
        <v>2094</v>
      </c>
      <c r="C1585" s="888" t="s">
        <v>1253</v>
      </c>
      <c r="D1585" s="889">
        <v>46043</v>
      </c>
      <c r="E1585" s="888" t="s">
        <v>310</v>
      </c>
      <c r="F1585" s="888" t="s">
        <v>310</v>
      </c>
    </row>
    <row r="1586" spans="1:6">
      <c r="A1586" s="888">
        <v>351</v>
      </c>
      <c r="B1586" s="888" t="s">
        <v>2094</v>
      </c>
      <c r="C1586" s="888" t="s">
        <v>1253</v>
      </c>
      <c r="D1586" s="889">
        <v>46044</v>
      </c>
      <c r="E1586" s="888" t="s">
        <v>310</v>
      </c>
      <c r="F1586" s="888" t="s">
        <v>310</v>
      </c>
    </row>
    <row r="1587" spans="1:6">
      <c r="A1587" s="888">
        <v>351</v>
      </c>
      <c r="B1587" s="888" t="s">
        <v>2094</v>
      </c>
      <c r="C1587" s="888" t="s">
        <v>1253</v>
      </c>
      <c r="D1587" s="889">
        <v>46045</v>
      </c>
      <c r="E1587" s="888" t="s">
        <v>310</v>
      </c>
      <c r="F1587" s="888" t="s">
        <v>310</v>
      </c>
    </row>
    <row r="1588" spans="1:6">
      <c r="A1588" s="888">
        <v>351</v>
      </c>
      <c r="B1588" s="888" t="s">
        <v>2094</v>
      </c>
      <c r="C1588" s="888" t="s">
        <v>1253</v>
      </c>
      <c r="D1588" s="889">
        <v>46046</v>
      </c>
      <c r="E1588" s="888" t="s">
        <v>310</v>
      </c>
      <c r="F1588" s="888" t="s">
        <v>310</v>
      </c>
    </row>
    <row r="1589" spans="1:6">
      <c r="A1589" s="888">
        <v>351</v>
      </c>
      <c r="B1589" s="888" t="s">
        <v>2094</v>
      </c>
      <c r="C1589" s="888" t="s">
        <v>1253</v>
      </c>
      <c r="D1589" s="889">
        <v>46047</v>
      </c>
      <c r="E1589" s="888" t="s">
        <v>310</v>
      </c>
      <c r="F1589" s="888" t="s">
        <v>310</v>
      </c>
    </row>
    <row r="1590" spans="1:6">
      <c r="A1590" s="888">
        <v>351</v>
      </c>
      <c r="B1590" s="888" t="s">
        <v>2094</v>
      </c>
      <c r="C1590" s="888" t="s">
        <v>1253</v>
      </c>
      <c r="D1590" s="889">
        <v>46048</v>
      </c>
      <c r="E1590" s="888" t="s">
        <v>310</v>
      </c>
      <c r="F1590" s="888" t="s">
        <v>310</v>
      </c>
    </row>
    <row r="1591" spans="1:6">
      <c r="A1591" s="888">
        <v>351</v>
      </c>
      <c r="B1591" s="888" t="s">
        <v>2094</v>
      </c>
      <c r="C1591" s="888" t="s">
        <v>1253</v>
      </c>
      <c r="D1591" s="889">
        <v>46049</v>
      </c>
      <c r="E1591" s="888" t="s">
        <v>310</v>
      </c>
      <c r="F1591" s="888" t="s">
        <v>310</v>
      </c>
    </row>
    <row r="1592" spans="1:6">
      <c r="A1592" s="888">
        <v>351</v>
      </c>
      <c r="B1592" s="888" t="s">
        <v>2094</v>
      </c>
      <c r="C1592" s="888" t="s">
        <v>1253</v>
      </c>
      <c r="D1592" s="889">
        <v>46050</v>
      </c>
      <c r="E1592" s="888" t="s">
        <v>310</v>
      </c>
      <c r="F1592" s="888" t="s">
        <v>310</v>
      </c>
    </row>
    <row r="1593" spans="1:6">
      <c r="A1593" s="888">
        <v>351</v>
      </c>
      <c r="B1593" s="888" t="s">
        <v>2094</v>
      </c>
      <c r="C1593" s="888" t="s">
        <v>1253</v>
      </c>
      <c r="D1593" s="889">
        <v>46051</v>
      </c>
      <c r="E1593" s="888" t="s">
        <v>310</v>
      </c>
      <c r="F1593" s="888" t="s">
        <v>310</v>
      </c>
    </row>
    <row r="1594" spans="1:6">
      <c r="A1594" s="888">
        <v>351</v>
      </c>
      <c r="B1594" s="888" t="s">
        <v>2094</v>
      </c>
      <c r="C1594" s="888" t="s">
        <v>1253</v>
      </c>
      <c r="D1594" s="889">
        <v>46052</v>
      </c>
      <c r="E1594" s="888" t="s">
        <v>310</v>
      </c>
      <c r="F1594" s="888" t="s">
        <v>310</v>
      </c>
    </row>
    <row r="1595" spans="1:6">
      <c r="A1595" s="888">
        <v>351</v>
      </c>
      <c r="B1595" s="888" t="s">
        <v>2094</v>
      </c>
      <c r="C1595" s="888" t="s">
        <v>1253</v>
      </c>
      <c r="D1595" s="889">
        <v>46053</v>
      </c>
      <c r="E1595" s="888" t="s">
        <v>310</v>
      </c>
      <c r="F1595" s="888" t="s">
        <v>310</v>
      </c>
    </row>
    <row r="1596" spans="1:6">
      <c r="A1596" s="888">
        <v>351</v>
      </c>
      <c r="B1596" s="888" t="s">
        <v>2094</v>
      </c>
      <c r="C1596" s="888" t="s">
        <v>1253</v>
      </c>
      <c r="D1596" s="889">
        <v>46054</v>
      </c>
      <c r="E1596" s="888" t="s">
        <v>310</v>
      </c>
      <c r="F1596" s="888" t="s">
        <v>310</v>
      </c>
    </row>
    <row r="1597" spans="1:6">
      <c r="A1597" s="888">
        <v>353</v>
      </c>
      <c r="B1597" s="888" t="s">
        <v>1086</v>
      </c>
      <c r="C1597" s="888" t="s">
        <v>1253</v>
      </c>
      <c r="D1597" s="889">
        <v>46023</v>
      </c>
      <c r="E1597" s="888" t="s">
        <v>310</v>
      </c>
      <c r="F1597" s="888" t="s">
        <v>310</v>
      </c>
    </row>
    <row r="1598" spans="1:6">
      <c r="A1598" s="888">
        <v>353</v>
      </c>
      <c r="B1598" s="888" t="s">
        <v>1086</v>
      </c>
      <c r="C1598" s="888" t="s">
        <v>1253</v>
      </c>
      <c r="D1598" s="889">
        <v>46024</v>
      </c>
      <c r="E1598" s="888" t="s">
        <v>310</v>
      </c>
      <c r="F1598" s="888" t="s">
        <v>310</v>
      </c>
    </row>
    <row r="1599" spans="1:6">
      <c r="A1599" s="888">
        <v>353</v>
      </c>
      <c r="B1599" s="888" t="s">
        <v>1086</v>
      </c>
      <c r="C1599" s="888" t="s">
        <v>1253</v>
      </c>
      <c r="D1599" s="889">
        <v>46025</v>
      </c>
      <c r="E1599" s="888" t="s">
        <v>310</v>
      </c>
      <c r="F1599" s="888" t="s">
        <v>310</v>
      </c>
    </row>
    <row r="1600" spans="1:6">
      <c r="A1600" s="888">
        <v>353</v>
      </c>
      <c r="B1600" s="888" t="s">
        <v>1086</v>
      </c>
      <c r="C1600" s="888" t="s">
        <v>1253</v>
      </c>
      <c r="D1600" s="889">
        <v>46026</v>
      </c>
      <c r="E1600" s="888" t="s">
        <v>310</v>
      </c>
      <c r="F1600" s="888" t="s">
        <v>310</v>
      </c>
    </row>
    <row r="1601" spans="1:6">
      <c r="A1601" s="888">
        <v>353</v>
      </c>
      <c r="B1601" s="888" t="s">
        <v>1086</v>
      </c>
      <c r="C1601" s="888" t="s">
        <v>1253</v>
      </c>
      <c r="D1601" s="889">
        <v>46027</v>
      </c>
      <c r="E1601" s="888" t="s">
        <v>310</v>
      </c>
      <c r="F1601" s="888" t="s">
        <v>310</v>
      </c>
    </row>
    <row r="1602" spans="1:6">
      <c r="A1602" s="888">
        <v>353</v>
      </c>
      <c r="B1602" s="888" t="s">
        <v>1086</v>
      </c>
      <c r="C1602" s="888" t="s">
        <v>1253</v>
      </c>
      <c r="D1602" s="889">
        <v>46028</v>
      </c>
      <c r="E1602" s="888" t="s">
        <v>310</v>
      </c>
      <c r="F1602" s="888" t="s">
        <v>310</v>
      </c>
    </row>
    <row r="1603" spans="1:6">
      <c r="A1603" s="888">
        <v>353</v>
      </c>
      <c r="B1603" s="888" t="s">
        <v>1086</v>
      </c>
      <c r="C1603" s="888" t="s">
        <v>1253</v>
      </c>
      <c r="D1603" s="889">
        <v>46029</v>
      </c>
      <c r="E1603" s="888" t="s">
        <v>310</v>
      </c>
      <c r="F1603" s="888" t="s">
        <v>310</v>
      </c>
    </row>
    <row r="1604" spans="1:6">
      <c r="A1604" s="888">
        <v>353</v>
      </c>
      <c r="B1604" s="888" t="s">
        <v>1086</v>
      </c>
      <c r="C1604" s="888" t="s">
        <v>1253</v>
      </c>
      <c r="D1604" s="889">
        <v>46030</v>
      </c>
      <c r="E1604" s="888" t="s">
        <v>310</v>
      </c>
      <c r="F1604" s="888" t="s">
        <v>310</v>
      </c>
    </row>
    <row r="1605" spans="1:6">
      <c r="A1605" s="888">
        <v>353</v>
      </c>
      <c r="B1605" s="888" t="s">
        <v>1086</v>
      </c>
      <c r="C1605" s="888" t="s">
        <v>1253</v>
      </c>
      <c r="D1605" s="889">
        <v>46031</v>
      </c>
      <c r="E1605" s="888" t="s">
        <v>310</v>
      </c>
      <c r="F1605" s="888" t="s">
        <v>310</v>
      </c>
    </row>
    <row r="1606" spans="1:6">
      <c r="A1606" s="888">
        <v>353</v>
      </c>
      <c r="B1606" s="888" t="s">
        <v>1086</v>
      </c>
      <c r="C1606" s="888" t="s">
        <v>1253</v>
      </c>
      <c r="D1606" s="889">
        <v>46032</v>
      </c>
      <c r="E1606" s="888" t="s">
        <v>310</v>
      </c>
      <c r="F1606" s="888" t="s">
        <v>310</v>
      </c>
    </row>
    <row r="1607" spans="1:6">
      <c r="A1607" s="888">
        <v>353</v>
      </c>
      <c r="B1607" s="888" t="s">
        <v>1086</v>
      </c>
      <c r="C1607" s="888" t="s">
        <v>1253</v>
      </c>
      <c r="D1607" s="889">
        <v>46033</v>
      </c>
      <c r="E1607" s="888" t="s">
        <v>310</v>
      </c>
      <c r="F1607" s="888" t="s">
        <v>310</v>
      </c>
    </row>
    <row r="1608" spans="1:6">
      <c r="A1608" s="888">
        <v>353</v>
      </c>
      <c r="B1608" s="888" t="s">
        <v>1086</v>
      </c>
      <c r="C1608" s="888" t="s">
        <v>1253</v>
      </c>
      <c r="D1608" s="889">
        <v>46034</v>
      </c>
      <c r="E1608" s="888" t="s">
        <v>310</v>
      </c>
      <c r="F1608" s="888" t="s">
        <v>310</v>
      </c>
    </row>
    <row r="1609" spans="1:6">
      <c r="A1609" s="888">
        <v>353</v>
      </c>
      <c r="B1609" s="888" t="s">
        <v>1086</v>
      </c>
      <c r="C1609" s="888" t="s">
        <v>1253</v>
      </c>
      <c r="D1609" s="889">
        <v>46035</v>
      </c>
      <c r="E1609" s="888" t="s">
        <v>310</v>
      </c>
      <c r="F1609" s="888" t="s">
        <v>310</v>
      </c>
    </row>
    <row r="1610" spans="1:6">
      <c r="A1610" s="888">
        <v>353</v>
      </c>
      <c r="B1610" s="888" t="s">
        <v>1086</v>
      </c>
      <c r="C1610" s="888" t="s">
        <v>1253</v>
      </c>
      <c r="D1610" s="889">
        <v>46036</v>
      </c>
      <c r="E1610" s="888" t="s">
        <v>310</v>
      </c>
      <c r="F1610" s="888" t="s">
        <v>310</v>
      </c>
    </row>
    <row r="1611" spans="1:6">
      <c r="A1611" s="888">
        <v>353</v>
      </c>
      <c r="B1611" s="888" t="s">
        <v>1086</v>
      </c>
      <c r="C1611" s="888" t="s">
        <v>1253</v>
      </c>
      <c r="D1611" s="889">
        <v>46037</v>
      </c>
      <c r="E1611" s="888" t="s">
        <v>310</v>
      </c>
      <c r="F1611" s="888" t="s">
        <v>310</v>
      </c>
    </row>
    <row r="1612" spans="1:6">
      <c r="A1612" s="888">
        <v>353</v>
      </c>
      <c r="B1612" s="888" t="s">
        <v>1086</v>
      </c>
      <c r="C1612" s="888" t="s">
        <v>1253</v>
      </c>
      <c r="D1612" s="889">
        <v>46038</v>
      </c>
      <c r="E1612" s="888" t="s">
        <v>310</v>
      </c>
      <c r="F1612" s="888" t="s">
        <v>310</v>
      </c>
    </row>
    <row r="1613" spans="1:6">
      <c r="A1613" s="888">
        <v>353</v>
      </c>
      <c r="B1613" s="888" t="s">
        <v>1086</v>
      </c>
      <c r="C1613" s="888" t="s">
        <v>1253</v>
      </c>
      <c r="D1613" s="889">
        <v>46039</v>
      </c>
      <c r="E1613" s="888" t="s">
        <v>310</v>
      </c>
      <c r="F1613" s="888" t="s">
        <v>310</v>
      </c>
    </row>
    <row r="1614" spans="1:6">
      <c r="A1614" s="888">
        <v>353</v>
      </c>
      <c r="B1614" s="888" t="s">
        <v>1086</v>
      </c>
      <c r="C1614" s="888" t="s">
        <v>1253</v>
      </c>
      <c r="D1614" s="889">
        <v>46040</v>
      </c>
      <c r="E1614" s="888" t="s">
        <v>310</v>
      </c>
      <c r="F1614" s="888" t="s">
        <v>310</v>
      </c>
    </row>
    <row r="1615" spans="1:6">
      <c r="A1615" s="888">
        <v>353</v>
      </c>
      <c r="B1615" s="888" t="s">
        <v>1086</v>
      </c>
      <c r="C1615" s="888" t="s">
        <v>1253</v>
      </c>
      <c r="D1615" s="889">
        <v>46041</v>
      </c>
      <c r="E1615" s="888" t="s">
        <v>310</v>
      </c>
      <c r="F1615" s="888" t="s">
        <v>310</v>
      </c>
    </row>
    <row r="1616" spans="1:6">
      <c r="A1616" s="888">
        <v>353</v>
      </c>
      <c r="B1616" s="888" t="s">
        <v>1086</v>
      </c>
      <c r="C1616" s="888" t="s">
        <v>1253</v>
      </c>
      <c r="D1616" s="889">
        <v>46042</v>
      </c>
      <c r="E1616" s="888" t="s">
        <v>310</v>
      </c>
      <c r="F1616" s="888" t="s">
        <v>310</v>
      </c>
    </row>
    <row r="1617" spans="1:6">
      <c r="A1617" s="888">
        <v>353</v>
      </c>
      <c r="B1617" s="888" t="s">
        <v>1086</v>
      </c>
      <c r="C1617" s="888" t="s">
        <v>1253</v>
      </c>
      <c r="D1617" s="889">
        <v>46043</v>
      </c>
      <c r="E1617" s="888" t="s">
        <v>310</v>
      </c>
      <c r="F1617" s="888" t="s">
        <v>310</v>
      </c>
    </row>
    <row r="1618" spans="1:6">
      <c r="A1618" s="888">
        <v>353</v>
      </c>
      <c r="B1618" s="888" t="s">
        <v>1086</v>
      </c>
      <c r="C1618" s="888" t="s">
        <v>1253</v>
      </c>
      <c r="D1618" s="889">
        <v>46044</v>
      </c>
      <c r="E1618" s="888" t="s">
        <v>310</v>
      </c>
      <c r="F1618" s="888" t="s">
        <v>310</v>
      </c>
    </row>
    <row r="1619" spans="1:6">
      <c r="A1619" s="888">
        <v>353</v>
      </c>
      <c r="B1619" s="888" t="s">
        <v>1086</v>
      </c>
      <c r="C1619" s="888" t="s">
        <v>1253</v>
      </c>
      <c r="D1619" s="889">
        <v>46045</v>
      </c>
      <c r="E1619" s="888" t="s">
        <v>310</v>
      </c>
      <c r="F1619" s="888" t="s">
        <v>310</v>
      </c>
    </row>
    <row r="1620" spans="1:6">
      <c r="A1620" s="888">
        <v>353</v>
      </c>
      <c r="B1620" s="888" t="s">
        <v>1086</v>
      </c>
      <c r="C1620" s="888" t="s">
        <v>1253</v>
      </c>
      <c r="D1620" s="889">
        <v>46046</v>
      </c>
      <c r="E1620" s="888" t="s">
        <v>310</v>
      </c>
      <c r="F1620" s="888" t="s">
        <v>310</v>
      </c>
    </row>
    <row r="1621" spans="1:6">
      <c r="A1621" s="888">
        <v>353</v>
      </c>
      <c r="B1621" s="888" t="s">
        <v>1086</v>
      </c>
      <c r="C1621" s="888" t="s">
        <v>1253</v>
      </c>
      <c r="D1621" s="889">
        <v>46047</v>
      </c>
      <c r="E1621" s="888" t="s">
        <v>310</v>
      </c>
      <c r="F1621" s="888" t="s">
        <v>310</v>
      </c>
    </row>
    <row r="1622" spans="1:6">
      <c r="A1622" s="888">
        <v>353</v>
      </c>
      <c r="B1622" s="888" t="s">
        <v>1086</v>
      </c>
      <c r="C1622" s="888" t="s">
        <v>1253</v>
      </c>
      <c r="D1622" s="889">
        <v>46048</v>
      </c>
      <c r="E1622" s="888" t="s">
        <v>310</v>
      </c>
      <c r="F1622" s="888" t="s">
        <v>310</v>
      </c>
    </row>
    <row r="1623" spans="1:6">
      <c r="A1623" s="888">
        <v>353</v>
      </c>
      <c r="B1623" s="888" t="s">
        <v>1086</v>
      </c>
      <c r="C1623" s="888" t="s">
        <v>1253</v>
      </c>
      <c r="D1623" s="889">
        <v>46049</v>
      </c>
      <c r="E1623" s="888" t="s">
        <v>310</v>
      </c>
      <c r="F1623" s="888" t="s">
        <v>310</v>
      </c>
    </row>
    <row r="1624" spans="1:6">
      <c r="A1624" s="888">
        <v>353</v>
      </c>
      <c r="B1624" s="888" t="s">
        <v>1086</v>
      </c>
      <c r="C1624" s="888" t="s">
        <v>1253</v>
      </c>
      <c r="D1624" s="889">
        <v>46050</v>
      </c>
      <c r="E1624" s="888" t="s">
        <v>310</v>
      </c>
      <c r="F1624" s="888" t="s">
        <v>310</v>
      </c>
    </row>
    <row r="1625" spans="1:6">
      <c r="A1625" s="888">
        <v>353</v>
      </c>
      <c r="B1625" s="888" t="s">
        <v>1086</v>
      </c>
      <c r="C1625" s="888" t="s">
        <v>1253</v>
      </c>
      <c r="D1625" s="889">
        <v>46051</v>
      </c>
      <c r="E1625" s="888" t="s">
        <v>310</v>
      </c>
      <c r="F1625" s="888" t="s">
        <v>310</v>
      </c>
    </row>
    <row r="1626" spans="1:6">
      <c r="A1626" s="888">
        <v>353</v>
      </c>
      <c r="B1626" s="888" t="s">
        <v>1086</v>
      </c>
      <c r="C1626" s="888" t="s">
        <v>1253</v>
      </c>
      <c r="D1626" s="889">
        <v>46052</v>
      </c>
      <c r="E1626" s="888" t="s">
        <v>310</v>
      </c>
      <c r="F1626" s="888" t="s">
        <v>310</v>
      </c>
    </row>
    <row r="1627" spans="1:6">
      <c r="A1627" s="888">
        <v>353</v>
      </c>
      <c r="B1627" s="888" t="s">
        <v>1086</v>
      </c>
      <c r="C1627" s="888" t="s">
        <v>1253</v>
      </c>
      <c r="D1627" s="889">
        <v>46053</v>
      </c>
      <c r="E1627" s="888" t="s">
        <v>310</v>
      </c>
      <c r="F1627" s="888" t="s">
        <v>310</v>
      </c>
    </row>
    <row r="1628" spans="1:6">
      <c r="A1628" s="888">
        <v>353</v>
      </c>
      <c r="B1628" s="888" t="s">
        <v>1086</v>
      </c>
      <c r="C1628" s="888" t="s">
        <v>1253</v>
      </c>
      <c r="D1628" s="889">
        <v>46054</v>
      </c>
      <c r="E1628" s="888" t="s">
        <v>310</v>
      </c>
      <c r="F1628" s="888" t="s">
        <v>310</v>
      </c>
    </row>
    <row r="1629" spans="1:6">
      <c r="A1629" s="888">
        <v>354</v>
      </c>
      <c r="B1629" s="888" t="s">
        <v>1087</v>
      </c>
      <c r="C1629" s="888" t="s">
        <v>1253</v>
      </c>
      <c r="D1629" s="889">
        <v>46023</v>
      </c>
      <c r="E1629" s="888" t="s">
        <v>310</v>
      </c>
      <c r="F1629" s="888" t="s">
        <v>310</v>
      </c>
    </row>
    <row r="1630" spans="1:6">
      <c r="A1630" s="888">
        <v>354</v>
      </c>
      <c r="B1630" s="888" t="s">
        <v>1087</v>
      </c>
      <c r="C1630" s="888" t="s">
        <v>1253</v>
      </c>
      <c r="D1630" s="889">
        <v>46024</v>
      </c>
      <c r="E1630" s="888" t="s">
        <v>310</v>
      </c>
      <c r="F1630" s="888" t="s">
        <v>310</v>
      </c>
    </row>
    <row r="1631" spans="1:6">
      <c r="A1631" s="888">
        <v>354</v>
      </c>
      <c r="B1631" s="888" t="s">
        <v>1087</v>
      </c>
      <c r="C1631" s="888" t="s">
        <v>1253</v>
      </c>
      <c r="D1631" s="889">
        <v>46025</v>
      </c>
      <c r="E1631" s="888" t="s">
        <v>310</v>
      </c>
      <c r="F1631" s="888" t="s">
        <v>310</v>
      </c>
    </row>
    <row r="1632" spans="1:6">
      <c r="A1632" s="888">
        <v>354</v>
      </c>
      <c r="B1632" s="888" t="s">
        <v>1087</v>
      </c>
      <c r="C1632" s="888" t="s">
        <v>1253</v>
      </c>
      <c r="D1632" s="889">
        <v>46026</v>
      </c>
      <c r="E1632" s="888" t="s">
        <v>310</v>
      </c>
      <c r="F1632" s="888" t="s">
        <v>310</v>
      </c>
    </row>
    <row r="1633" spans="1:6">
      <c r="A1633" s="888">
        <v>354</v>
      </c>
      <c r="B1633" s="888" t="s">
        <v>1087</v>
      </c>
      <c r="C1633" s="888" t="s">
        <v>1253</v>
      </c>
      <c r="D1633" s="889">
        <v>46027</v>
      </c>
      <c r="E1633" s="888" t="s">
        <v>310</v>
      </c>
      <c r="F1633" s="888" t="s">
        <v>310</v>
      </c>
    </row>
    <row r="1634" spans="1:6">
      <c r="A1634" s="888">
        <v>354</v>
      </c>
      <c r="B1634" s="888" t="s">
        <v>1087</v>
      </c>
      <c r="C1634" s="888" t="s">
        <v>1253</v>
      </c>
      <c r="D1634" s="889">
        <v>46028</v>
      </c>
      <c r="E1634" s="888" t="s">
        <v>310</v>
      </c>
      <c r="F1634" s="888" t="s">
        <v>310</v>
      </c>
    </row>
    <row r="1635" spans="1:6">
      <c r="A1635" s="888">
        <v>354</v>
      </c>
      <c r="B1635" s="888" t="s">
        <v>1087</v>
      </c>
      <c r="C1635" s="888" t="s">
        <v>1253</v>
      </c>
      <c r="D1635" s="889">
        <v>46029</v>
      </c>
      <c r="E1635" s="888" t="s">
        <v>310</v>
      </c>
      <c r="F1635" s="888" t="s">
        <v>310</v>
      </c>
    </row>
    <row r="1636" spans="1:6">
      <c r="A1636" s="888">
        <v>354</v>
      </c>
      <c r="B1636" s="888" t="s">
        <v>1087</v>
      </c>
      <c r="C1636" s="888" t="s">
        <v>1253</v>
      </c>
      <c r="D1636" s="889">
        <v>46030</v>
      </c>
      <c r="E1636" s="888" t="s">
        <v>310</v>
      </c>
      <c r="F1636" s="888" t="s">
        <v>310</v>
      </c>
    </row>
    <row r="1637" spans="1:6">
      <c r="A1637" s="888">
        <v>354</v>
      </c>
      <c r="B1637" s="888" t="s">
        <v>1087</v>
      </c>
      <c r="C1637" s="888" t="s">
        <v>1253</v>
      </c>
      <c r="D1637" s="889">
        <v>46031</v>
      </c>
      <c r="E1637" s="888" t="s">
        <v>310</v>
      </c>
      <c r="F1637" s="888" t="s">
        <v>310</v>
      </c>
    </row>
    <row r="1638" spans="1:6">
      <c r="A1638" s="888">
        <v>354</v>
      </c>
      <c r="B1638" s="888" t="s">
        <v>1087</v>
      </c>
      <c r="C1638" s="888" t="s">
        <v>1253</v>
      </c>
      <c r="D1638" s="889">
        <v>46032</v>
      </c>
      <c r="E1638" s="888" t="s">
        <v>310</v>
      </c>
      <c r="F1638" s="888" t="s">
        <v>310</v>
      </c>
    </row>
    <row r="1639" spans="1:6">
      <c r="A1639" s="888">
        <v>354</v>
      </c>
      <c r="B1639" s="888" t="s">
        <v>1087</v>
      </c>
      <c r="C1639" s="888" t="s">
        <v>1253</v>
      </c>
      <c r="D1639" s="889">
        <v>46033</v>
      </c>
      <c r="E1639" s="888" t="s">
        <v>310</v>
      </c>
      <c r="F1639" s="888" t="s">
        <v>310</v>
      </c>
    </row>
    <row r="1640" spans="1:6">
      <c r="A1640" s="888">
        <v>354</v>
      </c>
      <c r="B1640" s="888" t="s">
        <v>1087</v>
      </c>
      <c r="C1640" s="888" t="s">
        <v>1253</v>
      </c>
      <c r="D1640" s="889">
        <v>46034</v>
      </c>
      <c r="E1640" s="888" t="s">
        <v>310</v>
      </c>
      <c r="F1640" s="888" t="s">
        <v>310</v>
      </c>
    </row>
    <row r="1641" spans="1:6">
      <c r="A1641" s="888">
        <v>354</v>
      </c>
      <c r="B1641" s="888" t="s">
        <v>1087</v>
      </c>
      <c r="C1641" s="888" t="s">
        <v>1253</v>
      </c>
      <c r="D1641" s="889">
        <v>46035</v>
      </c>
      <c r="E1641" s="888" t="s">
        <v>310</v>
      </c>
      <c r="F1641" s="888" t="s">
        <v>310</v>
      </c>
    </row>
    <row r="1642" spans="1:6">
      <c r="A1642" s="888">
        <v>354</v>
      </c>
      <c r="B1642" s="888" t="s">
        <v>1087</v>
      </c>
      <c r="C1642" s="888" t="s">
        <v>1253</v>
      </c>
      <c r="D1642" s="889">
        <v>46036</v>
      </c>
      <c r="E1642" s="888" t="s">
        <v>310</v>
      </c>
      <c r="F1642" s="888" t="s">
        <v>310</v>
      </c>
    </row>
    <row r="1643" spans="1:6">
      <c r="A1643" s="888">
        <v>354</v>
      </c>
      <c r="B1643" s="888" t="s">
        <v>1087</v>
      </c>
      <c r="C1643" s="888" t="s">
        <v>1253</v>
      </c>
      <c r="D1643" s="889">
        <v>46037</v>
      </c>
      <c r="E1643" s="888" t="s">
        <v>310</v>
      </c>
      <c r="F1643" s="888" t="s">
        <v>310</v>
      </c>
    </row>
    <row r="1644" spans="1:6">
      <c r="A1644" s="888">
        <v>354</v>
      </c>
      <c r="B1644" s="888" t="s">
        <v>1087</v>
      </c>
      <c r="C1644" s="888" t="s">
        <v>1253</v>
      </c>
      <c r="D1644" s="889">
        <v>46038</v>
      </c>
      <c r="E1644" s="888" t="s">
        <v>310</v>
      </c>
      <c r="F1644" s="888" t="s">
        <v>310</v>
      </c>
    </row>
    <row r="1645" spans="1:6">
      <c r="A1645" s="888">
        <v>354</v>
      </c>
      <c r="B1645" s="888" t="s">
        <v>1087</v>
      </c>
      <c r="C1645" s="888" t="s">
        <v>1253</v>
      </c>
      <c r="D1645" s="889">
        <v>46039</v>
      </c>
      <c r="E1645" s="888" t="s">
        <v>310</v>
      </c>
      <c r="F1645" s="888" t="s">
        <v>310</v>
      </c>
    </row>
    <row r="1646" spans="1:6">
      <c r="A1646" s="888">
        <v>354</v>
      </c>
      <c r="B1646" s="888" t="s">
        <v>1087</v>
      </c>
      <c r="C1646" s="888" t="s">
        <v>1253</v>
      </c>
      <c r="D1646" s="889">
        <v>46040</v>
      </c>
      <c r="E1646" s="888" t="s">
        <v>310</v>
      </c>
      <c r="F1646" s="888" t="s">
        <v>310</v>
      </c>
    </row>
    <row r="1647" spans="1:6">
      <c r="A1647" s="888">
        <v>354</v>
      </c>
      <c r="B1647" s="888" t="s">
        <v>1087</v>
      </c>
      <c r="C1647" s="888" t="s">
        <v>1253</v>
      </c>
      <c r="D1647" s="889">
        <v>46041</v>
      </c>
      <c r="E1647" s="888" t="s">
        <v>310</v>
      </c>
      <c r="F1647" s="888" t="s">
        <v>310</v>
      </c>
    </row>
    <row r="1648" spans="1:6">
      <c r="A1648" s="888">
        <v>354</v>
      </c>
      <c r="B1648" s="888" t="s">
        <v>1087</v>
      </c>
      <c r="C1648" s="888" t="s">
        <v>1253</v>
      </c>
      <c r="D1648" s="889">
        <v>46042</v>
      </c>
      <c r="E1648" s="888" t="s">
        <v>310</v>
      </c>
      <c r="F1648" s="888" t="s">
        <v>310</v>
      </c>
    </row>
    <row r="1649" spans="1:8">
      <c r="A1649" s="888">
        <v>354</v>
      </c>
      <c r="B1649" s="888" t="s">
        <v>1087</v>
      </c>
      <c r="C1649" s="888" t="s">
        <v>1253</v>
      </c>
      <c r="D1649" s="889">
        <v>46043</v>
      </c>
      <c r="E1649" s="888" t="s">
        <v>310</v>
      </c>
      <c r="F1649" s="888" t="s">
        <v>310</v>
      </c>
    </row>
    <row r="1650" spans="1:8">
      <c r="A1650" s="888">
        <v>354</v>
      </c>
      <c r="B1650" s="888" t="s">
        <v>1087</v>
      </c>
      <c r="C1650" s="888" t="s">
        <v>1253</v>
      </c>
      <c r="D1650" s="889">
        <v>46044</v>
      </c>
      <c r="E1650" s="888" t="s">
        <v>310</v>
      </c>
      <c r="F1650" s="888" t="s">
        <v>310</v>
      </c>
    </row>
    <row r="1651" spans="1:8">
      <c r="A1651" s="888">
        <v>354</v>
      </c>
      <c r="B1651" s="888" t="s">
        <v>1087</v>
      </c>
      <c r="C1651" s="888" t="s">
        <v>1253</v>
      </c>
      <c r="D1651" s="889">
        <v>46045</v>
      </c>
      <c r="E1651" s="888" t="s">
        <v>310</v>
      </c>
      <c r="F1651" s="888" t="s">
        <v>310</v>
      </c>
    </row>
    <row r="1652" spans="1:8">
      <c r="A1652" s="888">
        <v>354</v>
      </c>
      <c r="B1652" s="888" t="s">
        <v>1087</v>
      </c>
      <c r="C1652" s="888" t="s">
        <v>1253</v>
      </c>
      <c r="D1652" s="889">
        <v>46046</v>
      </c>
      <c r="E1652" s="888" t="s">
        <v>310</v>
      </c>
      <c r="F1652" s="888" t="s">
        <v>310</v>
      </c>
    </row>
    <row r="1653" spans="1:8">
      <c r="A1653" s="888">
        <v>354</v>
      </c>
      <c r="B1653" s="888" t="s">
        <v>1087</v>
      </c>
      <c r="C1653" s="888" t="s">
        <v>1253</v>
      </c>
      <c r="D1653" s="889">
        <v>46047</v>
      </c>
      <c r="E1653" s="888" t="s">
        <v>310</v>
      </c>
      <c r="F1653" s="888" t="s">
        <v>310</v>
      </c>
    </row>
    <row r="1654" spans="1:8">
      <c r="A1654" s="888">
        <v>354</v>
      </c>
      <c r="B1654" s="888" t="s">
        <v>1087</v>
      </c>
      <c r="C1654" s="888" t="s">
        <v>1253</v>
      </c>
      <c r="D1654" s="889">
        <v>46048</v>
      </c>
      <c r="E1654" s="888" t="s">
        <v>310</v>
      </c>
      <c r="F1654" s="888" t="s">
        <v>310</v>
      </c>
    </row>
    <row r="1655" spans="1:8">
      <c r="A1655" s="888">
        <v>354</v>
      </c>
      <c r="B1655" s="888" t="s">
        <v>1087</v>
      </c>
      <c r="C1655" s="888" t="s">
        <v>1253</v>
      </c>
      <c r="D1655" s="889">
        <v>46049</v>
      </c>
      <c r="E1655" s="888" t="s">
        <v>310</v>
      </c>
      <c r="F1655" s="888" t="s">
        <v>310</v>
      </c>
    </row>
    <row r="1656" spans="1:8">
      <c r="A1656" s="888">
        <v>354</v>
      </c>
      <c r="B1656" s="888" t="s">
        <v>1087</v>
      </c>
      <c r="C1656" s="888" t="s">
        <v>1253</v>
      </c>
      <c r="D1656" s="889">
        <v>46050</v>
      </c>
      <c r="E1656" s="888" t="s">
        <v>310</v>
      </c>
      <c r="F1656" s="888" t="s">
        <v>310</v>
      </c>
    </row>
    <row r="1657" spans="1:8">
      <c r="A1657" s="888">
        <v>354</v>
      </c>
      <c r="B1657" s="888" t="s">
        <v>1087</v>
      </c>
      <c r="C1657" s="888" t="s">
        <v>1253</v>
      </c>
      <c r="D1657" s="889">
        <v>46051</v>
      </c>
      <c r="E1657" s="888" t="s">
        <v>310</v>
      </c>
      <c r="F1657" s="888" t="s">
        <v>310</v>
      </c>
    </row>
    <row r="1658" spans="1:8">
      <c r="A1658" s="888">
        <v>354</v>
      </c>
      <c r="B1658" s="888" t="s">
        <v>1087</v>
      </c>
      <c r="C1658" s="888" t="s">
        <v>1253</v>
      </c>
      <c r="D1658" s="889">
        <v>46052</v>
      </c>
      <c r="E1658" s="888" t="s">
        <v>310</v>
      </c>
      <c r="F1658" s="888" t="s">
        <v>310</v>
      </c>
    </row>
    <row r="1659" spans="1:8">
      <c r="A1659" s="888">
        <v>354</v>
      </c>
      <c r="B1659" s="888" t="s">
        <v>1087</v>
      </c>
      <c r="C1659" s="888" t="s">
        <v>1253</v>
      </c>
      <c r="D1659" s="889">
        <v>46053</v>
      </c>
      <c r="E1659" s="888" t="s">
        <v>310</v>
      </c>
      <c r="F1659" s="888" t="s">
        <v>310</v>
      </c>
    </row>
    <row r="1660" spans="1:8">
      <c r="A1660" s="888">
        <v>354</v>
      </c>
      <c r="B1660" s="888" t="s">
        <v>1087</v>
      </c>
      <c r="C1660" s="888" t="s">
        <v>1253</v>
      </c>
      <c r="D1660" s="889">
        <v>46054</v>
      </c>
      <c r="E1660" s="888" t="s">
        <v>310</v>
      </c>
      <c r="F1660" s="888" t="s">
        <v>310</v>
      </c>
    </row>
    <row r="1661" spans="1:8">
      <c r="A1661" s="888">
        <v>355</v>
      </c>
      <c r="B1661" s="888" t="s">
        <v>1088</v>
      </c>
      <c r="C1661" s="888" t="s">
        <v>1253</v>
      </c>
      <c r="D1661" s="889">
        <v>46023</v>
      </c>
      <c r="F1661" s="888" t="s">
        <v>310</v>
      </c>
      <c r="G1661" s="888" t="s">
        <v>1039</v>
      </c>
      <c r="H1661" s="891" t="s">
        <v>2095</v>
      </c>
    </row>
    <row r="1662" spans="1:8">
      <c r="A1662" s="888">
        <v>355</v>
      </c>
      <c r="B1662" s="888" t="s">
        <v>1088</v>
      </c>
      <c r="C1662" s="888" t="s">
        <v>1253</v>
      </c>
      <c r="D1662" s="889">
        <v>46024</v>
      </c>
      <c r="E1662" s="888" t="s">
        <v>310</v>
      </c>
      <c r="F1662" s="888" t="s">
        <v>310</v>
      </c>
      <c r="G1662" s="891" t="s">
        <v>2096</v>
      </c>
    </row>
    <row r="1663" spans="1:8">
      <c r="A1663" s="888">
        <v>355</v>
      </c>
      <c r="B1663" s="888" t="s">
        <v>1088</v>
      </c>
      <c r="C1663" s="888" t="s">
        <v>1253</v>
      </c>
      <c r="D1663" s="889">
        <v>46025</v>
      </c>
      <c r="E1663" s="888" t="s">
        <v>310</v>
      </c>
      <c r="F1663" s="888" t="s">
        <v>310</v>
      </c>
    </row>
    <row r="1664" spans="1:8">
      <c r="A1664" s="888">
        <v>355</v>
      </c>
      <c r="B1664" s="888" t="s">
        <v>1088</v>
      </c>
      <c r="C1664" s="888" t="s">
        <v>1253</v>
      </c>
      <c r="D1664" s="889">
        <v>46026</v>
      </c>
      <c r="E1664" s="888" t="s">
        <v>310</v>
      </c>
      <c r="F1664" s="888" t="s">
        <v>310</v>
      </c>
    </row>
    <row r="1665" spans="1:6">
      <c r="A1665" s="888">
        <v>355</v>
      </c>
      <c r="B1665" s="888" t="s">
        <v>1088</v>
      </c>
      <c r="C1665" s="888" t="s">
        <v>1253</v>
      </c>
      <c r="D1665" s="889">
        <v>46027</v>
      </c>
      <c r="E1665" s="890">
        <v>0.36334490740740738</v>
      </c>
      <c r="F1665" s="890">
        <v>0.76082175925925921</v>
      </c>
    </row>
    <row r="1666" spans="1:6">
      <c r="A1666" s="888" t="s">
        <v>2097</v>
      </c>
      <c r="B1666" s="888" t="s">
        <v>2098</v>
      </c>
      <c r="C1666" s="888" t="s">
        <v>1514</v>
      </c>
    </row>
    <row r="1667" spans="1:6">
      <c r="A1667" s="888">
        <v>355</v>
      </c>
      <c r="B1667" s="888" t="s">
        <v>1088</v>
      </c>
      <c r="C1667" s="888" t="s">
        <v>1253</v>
      </c>
      <c r="D1667" s="889">
        <v>46028</v>
      </c>
      <c r="E1667" s="890">
        <v>0.36159722222222224</v>
      </c>
      <c r="F1667" s="890">
        <v>0.76106481481481481</v>
      </c>
    </row>
    <row r="1668" spans="1:6">
      <c r="A1668" s="888" t="s">
        <v>2099</v>
      </c>
      <c r="B1668" s="888" t="s">
        <v>2100</v>
      </c>
      <c r="C1668" s="888" t="s">
        <v>1288</v>
      </c>
    </row>
    <row r="1669" spans="1:6">
      <c r="A1669" s="888">
        <v>355</v>
      </c>
      <c r="B1669" s="888" t="s">
        <v>1088</v>
      </c>
      <c r="C1669" s="888" t="s">
        <v>1253</v>
      </c>
      <c r="D1669" s="889">
        <v>46029</v>
      </c>
      <c r="E1669" s="890">
        <v>0.36146990740740742</v>
      </c>
      <c r="F1669" s="890">
        <v>0.75890046296296299</v>
      </c>
    </row>
    <row r="1670" spans="1:6">
      <c r="A1670" s="888" t="s">
        <v>2101</v>
      </c>
      <c r="B1670" s="888" t="s">
        <v>2102</v>
      </c>
      <c r="C1670" s="888" t="s">
        <v>1514</v>
      </c>
    </row>
    <row r="1671" spans="1:6">
      <c r="A1671" s="888">
        <v>355</v>
      </c>
      <c r="B1671" s="888" t="s">
        <v>1088</v>
      </c>
      <c r="C1671" s="888" t="s">
        <v>1253</v>
      </c>
      <c r="D1671" s="889">
        <v>46030</v>
      </c>
      <c r="E1671" s="890">
        <v>0.36361111111111111</v>
      </c>
      <c r="F1671" s="890">
        <v>0.7610069444444445</v>
      </c>
    </row>
    <row r="1672" spans="1:6">
      <c r="A1672" s="888" t="s">
        <v>2103</v>
      </c>
      <c r="B1672" s="888" t="s">
        <v>2104</v>
      </c>
      <c r="C1672" s="888" t="s">
        <v>1514</v>
      </c>
    </row>
    <row r="1673" spans="1:6">
      <c r="A1673" s="888">
        <v>355</v>
      </c>
      <c r="B1673" s="888" t="s">
        <v>1088</v>
      </c>
      <c r="C1673" s="888" t="s">
        <v>1253</v>
      </c>
      <c r="D1673" s="889">
        <v>46031</v>
      </c>
      <c r="E1673" s="890">
        <v>0.3702199074074074</v>
      </c>
      <c r="F1673" s="890">
        <v>0.75619212962962967</v>
      </c>
    </row>
    <row r="1674" spans="1:6">
      <c r="A1674" s="888" t="s">
        <v>2105</v>
      </c>
      <c r="B1674" s="888" t="s">
        <v>2106</v>
      </c>
      <c r="C1674" s="888" t="s">
        <v>1598</v>
      </c>
    </row>
    <row r="1675" spans="1:6">
      <c r="A1675" s="888">
        <v>355</v>
      </c>
      <c r="B1675" s="888" t="s">
        <v>1088</v>
      </c>
      <c r="C1675" s="888" t="s">
        <v>1253</v>
      </c>
      <c r="D1675" s="889">
        <v>46032</v>
      </c>
      <c r="E1675" s="888" t="s">
        <v>310</v>
      </c>
      <c r="F1675" s="888" t="s">
        <v>310</v>
      </c>
    </row>
    <row r="1676" spans="1:6">
      <c r="A1676" s="888">
        <v>355</v>
      </c>
      <c r="B1676" s="888" t="s">
        <v>1088</v>
      </c>
      <c r="C1676" s="888" t="s">
        <v>1253</v>
      </c>
      <c r="D1676" s="889">
        <v>46033</v>
      </c>
      <c r="E1676" s="888" t="s">
        <v>310</v>
      </c>
      <c r="F1676" s="888" t="s">
        <v>310</v>
      </c>
    </row>
    <row r="1677" spans="1:6">
      <c r="A1677" s="888">
        <v>355</v>
      </c>
      <c r="B1677" s="888" t="s">
        <v>1088</v>
      </c>
      <c r="C1677" s="888" t="s">
        <v>1253</v>
      </c>
      <c r="D1677" s="889">
        <v>46034</v>
      </c>
      <c r="E1677" s="890">
        <v>0.37199074074074073</v>
      </c>
      <c r="F1677" s="890">
        <v>0.75964120370370369</v>
      </c>
    </row>
    <row r="1678" spans="1:6">
      <c r="A1678" s="888" t="s">
        <v>2107</v>
      </c>
      <c r="B1678" s="888" t="s">
        <v>2108</v>
      </c>
      <c r="C1678" s="888" t="s">
        <v>1410</v>
      </c>
    </row>
    <row r="1679" spans="1:6">
      <c r="A1679" s="888">
        <v>355</v>
      </c>
      <c r="B1679" s="888" t="s">
        <v>1088</v>
      </c>
      <c r="C1679" s="888" t="s">
        <v>1253</v>
      </c>
      <c r="D1679" s="889">
        <v>46035</v>
      </c>
      <c r="E1679" s="890">
        <v>0.35821759259259262</v>
      </c>
      <c r="F1679" s="890">
        <v>0.7585763888888889</v>
      </c>
    </row>
    <row r="1680" spans="1:6">
      <c r="A1680" s="888" t="s">
        <v>2109</v>
      </c>
      <c r="B1680" s="888" t="s">
        <v>2110</v>
      </c>
      <c r="C1680" s="888" t="s">
        <v>1378</v>
      </c>
    </row>
    <row r="1681" spans="1:6">
      <c r="A1681" s="888">
        <v>355</v>
      </c>
      <c r="B1681" s="888" t="s">
        <v>1088</v>
      </c>
      <c r="C1681" s="888" t="s">
        <v>1253</v>
      </c>
      <c r="D1681" s="889">
        <v>46036</v>
      </c>
      <c r="E1681" s="890">
        <v>0.36297453703703703</v>
      </c>
      <c r="F1681" s="890">
        <v>0.75856481481481486</v>
      </c>
    </row>
    <row r="1682" spans="1:6">
      <c r="A1682" s="888" t="s">
        <v>2111</v>
      </c>
      <c r="B1682" s="888" t="s">
        <v>2112</v>
      </c>
      <c r="C1682" s="888" t="s">
        <v>1404</v>
      </c>
    </row>
    <row r="1683" spans="1:6">
      <c r="A1683" s="888">
        <v>355</v>
      </c>
      <c r="B1683" s="888" t="s">
        <v>1088</v>
      </c>
      <c r="C1683" s="888" t="s">
        <v>1253</v>
      </c>
      <c r="D1683" s="889">
        <v>46037</v>
      </c>
      <c r="E1683" s="890">
        <v>0.35814814814814816</v>
      </c>
      <c r="F1683" s="890">
        <v>0.75989583333333333</v>
      </c>
    </row>
    <row r="1684" spans="1:6">
      <c r="A1684" s="888" t="s">
        <v>2113</v>
      </c>
      <c r="B1684" s="888" t="s">
        <v>2114</v>
      </c>
      <c r="C1684" s="888" t="s">
        <v>1538</v>
      </c>
    </row>
    <row r="1685" spans="1:6">
      <c r="A1685" s="888">
        <v>355</v>
      </c>
      <c r="B1685" s="888" t="s">
        <v>1088</v>
      </c>
      <c r="C1685" s="888" t="s">
        <v>1253</v>
      </c>
      <c r="D1685" s="889">
        <v>46038</v>
      </c>
      <c r="E1685" s="890">
        <v>0.35630787037037037</v>
      </c>
      <c r="F1685" s="890">
        <v>0.75792824074074072</v>
      </c>
    </row>
    <row r="1686" spans="1:6">
      <c r="A1686" s="888" t="s">
        <v>2115</v>
      </c>
      <c r="B1686" s="888" t="s">
        <v>2116</v>
      </c>
      <c r="C1686" s="888" t="s">
        <v>1466</v>
      </c>
    </row>
    <row r="1687" spans="1:6">
      <c r="A1687" s="888">
        <v>355</v>
      </c>
      <c r="B1687" s="888" t="s">
        <v>1088</v>
      </c>
      <c r="C1687" s="888" t="s">
        <v>1253</v>
      </c>
      <c r="D1687" s="889">
        <v>46039</v>
      </c>
      <c r="E1687" s="888" t="s">
        <v>310</v>
      </c>
      <c r="F1687" s="888" t="s">
        <v>310</v>
      </c>
    </row>
    <row r="1688" spans="1:6">
      <c r="A1688" s="888">
        <v>355</v>
      </c>
      <c r="B1688" s="888" t="s">
        <v>1088</v>
      </c>
      <c r="C1688" s="888" t="s">
        <v>1253</v>
      </c>
      <c r="D1688" s="889">
        <v>46040</v>
      </c>
      <c r="E1688" s="888" t="s">
        <v>310</v>
      </c>
      <c r="F1688" s="888" t="s">
        <v>310</v>
      </c>
    </row>
    <row r="1689" spans="1:6">
      <c r="A1689" s="888">
        <v>355</v>
      </c>
      <c r="B1689" s="888" t="s">
        <v>1088</v>
      </c>
      <c r="C1689" s="888" t="s">
        <v>1253</v>
      </c>
      <c r="D1689" s="889">
        <v>46041</v>
      </c>
      <c r="E1689" s="890">
        <v>0.36557870370370371</v>
      </c>
      <c r="F1689" s="890">
        <v>0.76078703703703698</v>
      </c>
    </row>
    <row r="1690" spans="1:6">
      <c r="A1690" s="888" t="s">
        <v>2117</v>
      </c>
      <c r="B1690" s="888" t="s">
        <v>2118</v>
      </c>
      <c r="C1690" s="888" t="s">
        <v>1413</v>
      </c>
    </row>
    <row r="1691" spans="1:6">
      <c r="A1691" s="888">
        <v>355</v>
      </c>
      <c r="B1691" s="888" t="s">
        <v>1088</v>
      </c>
      <c r="C1691" s="888" t="s">
        <v>1253</v>
      </c>
      <c r="D1691" s="889">
        <v>46042</v>
      </c>
      <c r="E1691" s="890">
        <v>0.36381944444444442</v>
      </c>
      <c r="F1691" s="890">
        <v>0.75793981481481476</v>
      </c>
    </row>
    <row r="1692" spans="1:6">
      <c r="A1692" s="888" t="s">
        <v>2119</v>
      </c>
      <c r="B1692" s="888" t="s">
        <v>2120</v>
      </c>
      <c r="C1692" s="888" t="s">
        <v>1285</v>
      </c>
    </row>
    <row r="1693" spans="1:6">
      <c r="A1693" s="888">
        <v>355</v>
      </c>
      <c r="B1693" s="888" t="s">
        <v>1088</v>
      </c>
      <c r="C1693" s="888" t="s">
        <v>1253</v>
      </c>
      <c r="D1693" s="889">
        <v>46043</v>
      </c>
      <c r="E1693" s="890">
        <v>0.3570949074074074</v>
      </c>
      <c r="F1693" s="890">
        <v>0.75662037037037033</v>
      </c>
    </row>
    <row r="1694" spans="1:6">
      <c r="A1694" s="888" t="s">
        <v>2121</v>
      </c>
      <c r="B1694" s="888" t="s">
        <v>2122</v>
      </c>
      <c r="C1694" s="888" t="s">
        <v>1288</v>
      </c>
    </row>
    <row r="1695" spans="1:6">
      <c r="A1695" s="888">
        <v>355</v>
      </c>
      <c r="B1695" s="888" t="s">
        <v>1088</v>
      </c>
      <c r="C1695" s="888" t="s">
        <v>1253</v>
      </c>
      <c r="D1695" s="889">
        <v>46044</v>
      </c>
      <c r="E1695" s="890">
        <v>0.36730324074074072</v>
      </c>
      <c r="F1695" s="890">
        <v>0.76068287037037041</v>
      </c>
    </row>
    <row r="1696" spans="1:6">
      <c r="A1696" s="888" t="s">
        <v>2123</v>
      </c>
      <c r="B1696" s="888" t="s">
        <v>2124</v>
      </c>
      <c r="C1696" s="888" t="s">
        <v>1776</v>
      </c>
    </row>
    <row r="1697" spans="1:6">
      <c r="A1697" s="888">
        <v>355</v>
      </c>
      <c r="B1697" s="888" t="s">
        <v>1088</v>
      </c>
      <c r="C1697" s="888" t="s">
        <v>1253</v>
      </c>
      <c r="D1697" s="889">
        <v>46045</v>
      </c>
      <c r="E1697" s="890">
        <v>0.36425925925925928</v>
      </c>
      <c r="F1697" s="890">
        <v>0.71469907407407407</v>
      </c>
    </row>
    <row r="1698" spans="1:6">
      <c r="A1698" s="888" t="s">
        <v>2125</v>
      </c>
      <c r="B1698" s="888" t="s">
        <v>2126</v>
      </c>
      <c r="C1698" s="888" t="s">
        <v>2127</v>
      </c>
    </row>
    <row r="1699" spans="1:6">
      <c r="A1699" s="888">
        <v>355</v>
      </c>
      <c r="B1699" s="888" t="s">
        <v>1088</v>
      </c>
      <c r="C1699" s="888" t="s">
        <v>1253</v>
      </c>
      <c r="D1699" s="889">
        <v>46046</v>
      </c>
      <c r="E1699" s="888" t="s">
        <v>310</v>
      </c>
      <c r="F1699" s="888" t="s">
        <v>310</v>
      </c>
    </row>
    <row r="1700" spans="1:6">
      <c r="A1700" s="888">
        <v>355</v>
      </c>
      <c r="B1700" s="888" t="s">
        <v>1088</v>
      </c>
      <c r="C1700" s="888" t="s">
        <v>1253</v>
      </c>
      <c r="D1700" s="889">
        <v>46047</v>
      </c>
      <c r="E1700" s="888" t="s">
        <v>310</v>
      </c>
      <c r="F1700" s="888" t="s">
        <v>310</v>
      </c>
    </row>
    <row r="1701" spans="1:6">
      <c r="A1701" s="888">
        <v>355</v>
      </c>
      <c r="B1701" s="888" t="s">
        <v>1088</v>
      </c>
      <c r="C1701" s="888" t="s">
        <v>1253</v>
      </c>
      <c r="D1701" s="889">
        <v>46048</v>
      </c>
      <c r="E1701" s="890">
        <v>0.38298611111111114</v>
      </c>
      <c r="F1701" s="890">
        <v>0.78208333333333335</v>
      </c>
    </row>
    <row r="1702" spans="1:6">
      <c r="A1702" s="888" t="s">
        <v>2128</v>
      </c>
      <c r="B1702" s="888" t="s">
        <v>2129</v>
      </c>
      <c r="C1702" s="888" t="s">
        <v>1288</v>
      </c>
    </row>
    <row r="1703" spans="1:6">
      <c r="A1703" s="888">
        <v>355</v>
      </c>
      <c r="B1703" s="888" t="s">
        <v>1088</v>
      </c>
      <c r="C1703" s="888" t="s">
        <v>1253</v>
      </c>
      <c r="D1703" s="889">
        <v>46049</v>
      </c>
      <c r="E1703" s="890">
        <v>0.36401620370370369</v>
      </c>
      <c r="F1703" s="890">
        <v>0.7681365740740741</v>
      </c>
    </row>
    <row r="1704" spans="1:6">
      <c r="A1704" s="888" t="s">
        <v>2130</v>
      </c>
      <c r="B1704" s="888" t="s">
        <v>2131</v>
      </c>
      <c r="C1704" s="888" t="s">
        <v>1266</v>
      </c>
    </row>
    <row r="1705" spans="1:6">
      <c r="A1705" s="888">
        <v>355</v>
      </c>
      <c r="B1705" s="888" t="s">
        <v>1088</v>
      </c>
      <c r="C1705" s="888" t="s">
        <v>1253</v>
      </c>
      <c r="D1705" s="889">
        <v>46050</v>
      </c>
      <c r="E1705" s="890">
        <v>0.36586805555555557</v>
      </c>
      <c r="F1705" s="890">
        <v>0.75971064814814815</v>
      </c>
    </row>
    <row r="1706" spans="1:6">
      <c r="A1706" s="888" t="s">
        <v>2132</v>
      </c>
      <c r="B1706" s="888" t="s">
        <v>2133</v>
      </c>
      <c r="C1706" s="888" t="s">
        <v>1291</v>
      </c>
    </row>
    <row r="1707" spans="1:6">
      <c r="A1707" s="888">
        <v>355</v>
      </c>
      <c r="B1707" s="888" t="s">
        <v>1088</v>
      </c>
      <c r="C1707" s="888" t="s">
        <v>1253</v>
      </c>
      <c r="D1707" s="889">
        <v>46051</v>
      </c>
      <c r="E1707" s="888" t="s">
        <v>310</v>
      </c>
      <c r="F1707" s="888" t="s">
        <v>310</v>
      </c>
    </row>
    <row r="1708" spans="1:6">
      <c r="A1708" s="888">
        <v>355</v>
      </c>
      <c r="B1708" s="888" t="s">
        <v>1088</v>
      </c>
      <c r="C1708" s="888" t="s">
        <v>1253</v>
      </c>
      <c r="D1708" s="889">
        <v>46052</v>
      </c>
      <c r="E1708" s="890">
        <v>0.36670138888888887</v>
      </c>
      <c r="F1708" s="890">
        <v>0.76196759259259261</v>
      </c>
    </row>
    <row r="1709" spans="1:6">
      <c r="A1709" s="888" t="s">
        <v>2134</v>
      </c>
      <c r="B1709" s="888" t="s">
        <v>2135</v>
      </c>
      <c r="C1709" s="888" t="s">
        <v>1413</v>
      </c>
    </row>
    <row r="1710" spans="1:6">
      <c r="A1710" s="888">
        <v>355</v>
      </c>
      <c r="B1710" s="888" t="s">
        <v>1088</v>
      </c>
      <c r="C1710" s="888" t="s">
        <v>1253</v>
      </c>
      <c r="D1710" s="889">
        <v>46053</v>
      </c>
      <c r="E1710" s="888" t="s">
        <v>310</v>
      </c>
      <c r="F1710" s="888" t="s">
        <v>310</v>
      </c>
    </row>
    <row r="1711" spans="1:6">
      <c r="A1711" s="888">
        <v>355</v>
      </c>
      <c r="B1711" s="888" t="s">
        <v>1088</v>
      </c>
      <c r="C1711" s="888" t="s">
        <v>1253</v>
      </c>
      <c r="D1711" s="889">
        <v>46054</v>
      </c>
      <c r="E1711" s="888" t="s">
        <v>310</v>
      </c>
      <c r="F1711" s="888" t="s">
        <v>310</v>
      </c>
    </row>
    <row r="1712" spans="1:6">
      <c r="A1712" s="888">
        <v>356</v>
      </c>
      <c r="B1712" s="888" t="s">
        <v>2136</v>
      </c>
      <c r="C1712" s="888" t="s">
        <v>1253</v>
      </c>
      <c r="D1712" s="889">
        <v>46023</v>
      </c>
      <c r="E1712" s="888" t="s">
        <v>310</v>
      </c>
      <c r="F1712" s="888" t="s">
        <v>310</v>
      </c>
    </row>
    <row r="1713" spans="1:6">
      <c r="A1713" s="888">
        <v>356</v>
      </c>
      <c r="B1713" s="888" t="s">
        <v>2136</v>
      </c>
      <c r="C1713" s="888" t="s">
        <v>1253</v>
      </c>
      <c r="D1713" s="889">
        <v>46024</v>
      </c>
      <c r="E1713" s="888" t="s">
        <v>310</v>
      </c>
      <c r="F1713" s="888" t="s">
        <v>310</v>
      </c>
    </row>
    <row r="1714" spans="1:6">
      <c r="A1714" s="888">
        <v>356</v>
      </c>
      <c r="B1714" s="888" t="s">
        <v>2136</v>
      </c>
      <c r="C1714" s="888" t="s">
        <v>1253</v>
      </c>
      <c r="D1714" s="889">
        <v>46025</v>
      </c>
      <c r="E1714" s="888" t="s">
        <v>310</v>
      </c>
      <c r="F1714" s="888" t="s">
        <v>310</v>
      </c>
    </row>
    <row r="1715" spans="1:6">
      <c r="A1715" s="888">
        <v>356</v>
      </c>
      <c r="B1715" s="888" t="s">
        <v>2136</v>
      </c>
      <c r="C1715" s="888" t="s">
        <v>1253</v>
      </c>
      <c r="D1715" s="889">
        <v>46026</v>
      </c>
      <c r="E1715" s="888" t="s">
        <v>310</v>
      </c>
      <c r="F1715" s="888" t="s">
        <v>310</v>
      </c>
    </row>
    <row r="1716" spans="1:6">
      <c r="A1716" s="888">
        <v>356</v>
      </c>
      <c r="B1716" s="888" t="s">
        <v>2136</v>
      </c>
      <c r="C1716" s="888" t="s">
        <v>1253</v>
      </c>
      <c r="D1716" s="889">
        <v>46027</v>
      </c>
      <c r="E1716" s="888" t="s">
        <v>310</v>
      </c>
      <c r="F1716" s="888" t="s">
        <v>310</v>
      </c>
    </row>
    <row r="1717" spans="1:6">
      <c r="A1717" s="888">
        <v>356</v>
      </c>
      <c r="B1717" s="888" t="s">
        <v>2136</v>
      </c>
      <c r="C1717" s="888" t="s">
        <v>1253</v>
      </c>
      <c r="D1717" s="889">
        <v>46028</v>
      </c>
      <c r="E1717" s="888" t="s">
        <v>310</v>
      </c>
      <c r="F1717" s="888" t="s">
        <v>310</v>
      </c>
    </row>
    <row r="1718" spans="1:6">
      <c r="A1718" s="888">
        <v>356</v>
      </c>
      <c r="B1718" s="888" t="s">
        <v>2136</v>
      </c>
      <c r="C1718" s="888" t="s">
        <v>1253</v>
      </c>
      <c r="D1718" s="889">
        <v>46029</v>
      </c>
      <c r="E1718" s="888" t="s">
        <v>310</v>
      </c>
      <c r="F1718" s="888" t="s">
        <v>310</v>
      </c>
    </row>
    <row r="1719" spans="1:6">
      <c r="A1719" s="888">
        <v>356</v>
      </c>
      <c r="B1719" s="888" t="s">
        <v>2136</v>
      </c>
      <c r="C1719" s="888" t="s">
        <v>1253</v>
      </c>
      <c r="D1719" s="889">
        <v>46030</v>
      </c>
      <c r="E1719" s="888" t="s">
        <v>310</v>
      </c>
      <c r="F1719" s="888" t="s">
        <v>310</v>
      </c>
    </row>
    <row r="1720" spans="1:6">
      <c r="A1720" s="888">
        <v>356</v>
      </c>
      <c r="B1720" s="888" t="s">
        <v>2136</v>
      </c>
      <c r="C1720" s="888" t="s">
        <v>1253</v>
      </c>
      <c r="D1720" s="889">
        <v>46031</v>
      </c>
      <c r="E1720" s="888" t="s">
        <v>310</v>
      </c>
      <c r="F1720" s="888" t="s">
        <v>310</v>
      </c>
    </row>
    <row r="1721" spans="1:6">
      <c r="A1721" s="888">
        <v>356</v>
      </c>
      <c r="B1721" s="888" t="s">
        <v>2136</v>
      </c>
      <c r="C1721" s="888" t="s">
        <v>1253</v>
      </c>
      <c r="D1721" s="889">
        <v>46032</v>
      </c>
      <c r="E1721" s="888" t="s">
        <v>310</v>
      </c>
      <c r="F1721" s="888" t="s">
        <v>310</v>
      </c>
    </row>
    <row r="1722" spans="1:6">
      <c r="A1722" s="888">
        <v>356</v>
      </c>
      <c r="B1722" s="888" t="s">
        <v>2136</v>
      </c>
      <c r="C1722" s="888" t="s">
        <v>1253</v>
      </c>
      <c r="D1722" s="889">
        <v>46033</v>
      </c>
      <c r="E1722" s="888" t="s">
        <v>310</v>
      </c>
      <c r="F1722" s="888" t="s">
        <v>310</v>
      </c>
    </row>
    <row r="1723" spans="1:6">
      <c r="A1723" s="888">
        <v>356</v>
      </c>
      <c r="B1723" s="888" t="s">
        <v>2136</v>
      </c>
      <c r="C1723" s="888" t="s">
        <v>1253</v>
      </c>
      <c r="D1723" s="889">
        <v>46034</v>
      </c>
      <c r="E1723" s="888" t="s">
        <v>310</v>
      </c>
      <c r="F1723" s="888" t="s">
        <v>310</v>
      </c>
    </row>
    <row r="1724" spans="1:6">
      <c r="A1724" s="888">
        <v>356</v>
      </c>
      <c r="B1724" s="888" t="s">
        <v>2136</v>
      </c>
      <c r="C1724" s="888" t="s">
        <v>1253</v>
      </c>
      <c r="D1724" s="889">
        <v>46035</v>
      </c>
      <c r="E1724" s="888" t="s">
        <v>310</v>
      </c>
      <c r="F1724" s="888" t="s">
        <v>310</v>
      </c>
    </row>
    <row r="1725" spans="1:6">
      <c r="A1725" s="888">
        <v>356</v>
      </c>
      <c r="B1725" s="888" t="s">
        <v>2136</v>
      </c>
      <c r="C1725" s="888" t="s">
        <v>1253</v>
      </c>
      <c r="D1725" s="889">
        <v>46036</v>
      </c>
      <c r="E1725" s="888" t="s">
        <v>310</v>
      </c>
      <c r="F1725" s="888" t="s">
        <v>310</v>
      </c>
    </row>
    <row r="1726" spans="1:6">
      <c r="A1726" s="888">
        <v>356</v>
      </c>
      <c r="B1726" s="888" t="s">
        <v>2136</v>
      </c>
      <c r="C1726" s="888" t="s">
        <v>1253</v>
      </c>
      <c r="D1726" s="889">
        <v>46037</v>
      </c>
      <c r="E1726" s="888" t="s">
        <v>310</v>
      </c>
      <c r="F1726" s="888" t="s">
        <v>310</v>
      </c>
    </row>
    <row r="1727" spans="1:6">
      <c r="A1727" s="888">
        <v>356</v>
      </c>
      <c r="B1727" s="888" t="s">
        <v>2136</v>
      </c>
      <c r="C1727" s="888" t="s">
        <v>1253</v>
      </c>
      <c r="D1727" s="889">
        <v>46038</v>
      </c>
      <c r="E1727" s="888" t="s">
        <v>310</v>
      </c>
      <c r="F1727" s="888" t="s">
        <v>310</v>
      </c>
    </row>
    <row r="1728" spans="1:6">
      <c r="A1728" s="888">
        <v>356</v>
      </c>
      <c r="B1728" s="888" t="s">
        <v>2136</v>
      </c>
      <c r="C1728" s="888" t="s">
        <v>1253</v>
      </c>
      <c r="D1728" s="889">
        <v>46039</v>
      </c>
      <c r="E1728" s="888" t="s">
        <v>310</v>
      </c>
      <c r="F1728" s="888" t="s">
        <v>310</v>
      </c>
    </row>
    <row r="1729" spans="1:6">
      <c r="A1729" s="888">
        <v>356</v>
      </c>
      <c r="B1729" s="888" t="s">
        <v>2136</v>
      </c>
      <c r="C1729" s="888" t="s">
        <v>1253</v>
      </c>
      <c r="D1729" s="889">
        <v>46040</v>
      </c>
      <c r="E1729" s="888" t="s">
        <v>310</v>
      </c>
      <c r="F1729" s="888" t="s">
        <v>310</v>
      </c>
    </row>
    <row r="1730" spans="1:6">
      <c r="A1730" s="888">
        <v>356</v>
      </c>
      <c r="B1730" s="888" t="s">
        <v>2136</v>
      </c>
      <c r="C1730" s="888" t="s">
        <v>1253</v>
      </c>
      <c r="D1730" s="889">
        <v>46041</v>
      </c>
      <c r="E1730" s="888" t="s">
        <v>310</v>
      </c>
      <c r="F1730" s="888" t="s">
        <v>310</v>
      </c>
    </row>
    <row r="1731" spans="1:6">
      <c r="A1731" s="888">
        <v>356</v>
      </c>
      <c r="B1731" s="888" t="s">
        <v>2136</v>
      </c>
      <c r="C1731" s="888" t="s">
        <v>1253</v>
      </c>
      <c r="D1731" s="889">
        <v>46042</v>
      </c>
      <c r="E1731" s="888" t="s">
        <v>310</v>
      </c>
      <c r="F1731" s="888" t="s">
        <v>310</v>
      </c>
    </row>
    <row r="1732" spans="1:6">
      <c r="A1732" s="888">
        <v>356</v>
      </c>
      <c r="B1732" s="888" t="s">
        <v>2136</v>
      </c>
      <c r="C1732" s="888" t="s">
        <v>1253</v>
      </c>
      <c r="D1732" s="889">
        <v>46043</v>
      </c>
      <c r="E1732" s="888" t="s">
        <v>310</v>
      </c>
      <c r="F1732" s="888" t="s">
        <v>310</v>
      </c>
    </row>
    <row r="1733" spans="1:6">
      <c r="A1733" s="888">
        <v>356</v>
      </c>
      <c r="B1733" s="888" t="s">
        <v>2136</v>
      </c>
      <c r="C1733" s="888" t="s">
        <v>1253</v>
      </c>
      <c r="D1733" s="889">
        <v>46044</v>
      </c>
      <c r="E1733" s="888" t="s">
        <v>310</v>
      </c>
      <c r="F1733" s="888" t="s">
        <v>310</v>
      </c>
    </row>
    <row r="1734" spans="1:6">
      <c r="A1734" s="888">
        <v>356</v>
      </c>
      <c r="B1734" s="888" t="s">
        <v>2136</v>
      </c>
      <c r="C1734" s="888" t="s">
        <v>1253</v>
      </c>
      <c r="D1734" s="889">
        <v>46045</v>
      </c>
      <c r="E1734" s="888" t="s">
        <v>310</v>
      </c>
      <c r="F1734" s="888" t="s">
        <v>310</v>
      </c>
    </row>
    <row r="1735" spans="1:6">
      <c r="A1735" s="888">
        <v>356</v>
      </c>
      <c r="B1735" s="888" t="s">
        <v>2136</v>
      </c>
      <c r="C1735" s="888" t="s">
        <v>1253</v>
      </c>
      <c r="D1735" s="889">
        <v>46046</v>
      </c>
      <c r="E1735" s="888" t="s">
        <v>310</v>
      </c>
      <c r="F1735" s="888" t="s">
        <v>310</v>
      </c>
    </row>
    <row r="1736" spans="1:6">
      <c r="A1736" s="888">
        <v>356</v>
      </c>
      <c r="B1736" s="888" t="s">
        <v>2136</v>
      </c>
      <c r="C1736" s="888" t="s">
        <v>1253</v>
      </c>
      <c r="D1736" s="889">
        <v>46047</v>
      </c>
      <c r="E1736" s="888" t="s">
        <v>310</v>
      </c>
      <c r="F1736" s="888" t="s">
        <v>310</v>
      </c>
    </row>
    <row r="1737" spans="1:6">
      <c r="A1737" s="888">
        <v>356</v>
      </c>
      <c r="B1737" s="888" t="s">
        <v>2136</v>
      </c>
      <c r="C1737" s="888" t="s">
        <v>1253</v>
      </c>
      <c r="D1737" s="889">
        <v>46048</v>
      </c>
      <c r="E1737" s="888" t="s">
        <v>310</v>
      </c>
      <c r="F1737" s="888" t="s">
        <v>310</v>
      </c>
    </row>
    <row r="1738" spans="1:6">
      <c r="A1738" s="888">
        <v>356</v>
      </c>
      <c r="B1738" s="888" t="s">
        <v>2136</v>
      </c>
      <c r="C1738" s="888" t="s">
        <v>1253</v>
      </c>
      <c r="D1738" s="889">
        <v>46049</v>
      </c>
      <c r="E1738" s="888" t="s">
        <v>310</v>
      </c>
      <c r="F1738" s="888" t="s">
        <v>310</v>
      </c>
    </row>
    <row r="1739" spans="1:6">
      <c r="A1739" s="888">
        <v>356</v>
      </c>
      <c r="B1739" s="888" t="s">
        <v>2136</v>
      </c>
      <c r="C1739" s="888" t="s">
        <v>1253</v>
      </c>
      <c r="D1739" s="889">
        <v>46050</v>
      </c>
      <c r="E1739" s="888" t="s">
        <v>310</v>
      </c>
      <c r="F1739" s="888" t="s">
        <v>310</v>
      </c>
    </row>
    <row r="1740" spans="1:6">
      <c r="A1740" s="888">
        <v>356</v>
      </c>
      <c r="B1740" s="888" t="s">
        <v>2136</v>
      </c>
      <c r="C1740" s="888" t="s">
        <v>1253</v>
      </c>
      <c r="D1740" s="889">
        <v>46051</v>
      </c>
      <c r="E1740" s="888" t="s">
        <v>310</v>
      </c>
      <c r="F1740" s="888" t="s">
        <v>310</v>
      </c>
    </row>
    <row r="1741" spans="1:6">
      <c r="A1741" s="888">
        <v>356</v>
      </c>
      <c r="B1741" s="888" t="s">
        <v>2136</v>
      </c>
      <c r="C1741" s="888" t="s">
        <v>1253</v>
      </c>
      <c r="D1741" s="889">
        <v>46052</v>
      </c>
      <c r="E1741" s="888" t="s">
        <v>310</v>
      </c>
      <c r="F1741" s="888" t="s">
        <v>310</v>
      </c>
    </row>
    <row r="1742" spans="1:6">
      <c r="A1742" s="888">
        <v>356</v>
      </c>
      <c r="B1742" s="888" t="s">
        <v>2136</v>
      </c>
      <c r="C1742" s="888" t="s">
        <v>1253</v>
      </c>
      <c r="D1742" s="889">
        <v>46053</v>
      </c>
      <c r="E1742" s="888" t="s">
        <v>310</v>
      </c>
      <c r="F1742" s="888" t="s">
        <v>310</v>
      </c>
    </row>
    <row r="1743" spans="1:6">
      <c r="A1743" s="888">
        <v>356</v>
      </c>
      <c r="B1743" s="888" t="s">
        <v>2136</v>
      </c>
      <c r="C1743" s="888" t="s">
        <v>1253</v>
      </c>
      <c r="D1743" s="889">
        <v>46054</v>
      </c>
      <c r="E1743" s="888" t="s">
        <v>310</v>
      </c>
      <c r="F1743" s="888" t="s">
        <v>310</v>
      </c>
    </row>
    <row r="1744" spans="1:6">
      <c r="A1744" s="888">
        <v>357</v>
      </c>
      <c r="B1744" s="888" t="s">
        <v>1089</v>
      </c>
      <c r="C1744" s="888" t="s">
        <v>1253</v>
      </c>
      <c r="D1744" s="889">
        <v>46023</v>
      </c>
      <c r="E1744" s="888" t="s">
        <v>310</v>
      </c>
      <c r="F1744" s="888" t="s">
        <v>310</v>
      </c>
    </row>
    <row r="1745" spans="1:6">
      <c r="A1745" s="888">
        <v>357</v>
      </c>
      <c r="B1745" s="888" t="s">
        <v>1089</v>
      </c>
      <c r="C1745" s="888" t="s">
        <v>1253</v>
      </c>
      <c r="D1745" s="889">
        <v>46024</v>
      </c>
      <c r="E1745" s="888" t="s">
        <v>310</v>
      </c>
      <c r="F1745" s="888" t="s">
        <v>310</v>
      </c>
    </row>
    <row r="1746" spans="1:6">
      <c r="A1746" s="888">
        <v>357</v>
      </c>
      <c r="B1746" s="888" t="s">
        <v>1089</v>
      </c>
      <c r="C1746" s="888" t="s">
        <v>1253</v>
      </c>
      <c r="D1746" s="889">
        <v>46025</v>
      </c>
      <c r="E1746" s="888" t="s">
        <v>310</v>
      </c>
      <c r="F1746" s="888" t="s">
        <v>310</v>
      </c>
    </row>
    <row r="1747" spans="1:6">
      <c r="A1747" s="888">
        <v>357</v>
      </c>
      <c r="B1747" s="888" t="s">
        <v>1089</v>
      </c>
      <c r="C1747" s="888" t="s">
        <v>1253</v>
      </c>
      <c r="D1747" s="889">
        <v>46026</v>
      </c>
      <c r="E1747" s="888" t="s">
        <v>310</v>
      </c>
      <c r="F1747" s="888" t="s">
        <v>310</v>
      </c>
    </row>
    <row r="1748" spans="1:6">
      <c r="A1748" s="888">
        <v>357</v>
      </c>
      <c r="B1748" s="888" t="s">
        <v>1089</v>
      </c>
      <c r="C1748" s="888" t="s">
        <v>1253</v>
      </c>
      <c r="D1748" s="889">
        <v>46027</v>
      </c>
      <c r="E1748" s="890">
        <v>0.34901620370370373</v>
      </c>
      <c r="F1748" s="890">
        <v>0.75152777777777779</v>
      </c>
    </row>
    <row r="1749" spans="1:6">
      <c r="A1749" s="888" t="s">
        <v>2137</v>
      </c>
      <c r="B1749" s="888" t="s">
        <v>2138</v>
      </c>
      <c r="C1749" s="888" t="s">
        <v>1624</v>
      </c>
    </row>
    <row r="1750" spans="1:6">
      <c r="A1750" s="888">
        <v>357</v>
      </c>
      <c r="B1750" s="888" t="s">
        <v>1089</v>
      </c>
      <c r="C1750" s="888" t="s">
        <v>1253</v>
      </c>
      <c r="D1750" s="889">
        <v>46028</v>
      </c>
      <c r="E1750" s="890">
        <v>0.3643865740740741</v>
      </c>
      <c r="F1750" s="890">
        <v>0.75565972222222222</v>
      </c>
    </row>
    <row r="1751" spans="1:6">
      <c r="A1751" s="888" t="s">
        <v>2139</v>
      </c>
      <c r="B1751" s="888" t="s">
        <v>2140</v>
      </c>
      <c r="C1751" s="888" t="s">
        <v>1437</v>
      </c>
    </row>
    <row r="1752" spans="1:6">
      <c r="A1752" s="888">
        <v>357</v>
      </c>
      <c r="B1752" s="888" t="s">
        <v>1089</v>
      </c>
      <c r="C1752" s="888" t="s">
        <v>1253</v>
      </c>
      <c r="D1752" s="889">
        <v>46029</v>
      </c>
      <c r="E1752" s="890">
        <v>0.34478009259259257</v>
      </c>
      <c r="F1752" s="890">
        <v>0.75152777777777779</v>
      </c>
    </row>
    <row r="1753" spans="1:6">
      <c r="A1753" s="888" t="s">
        <v>2141</v>
      </c>
      <c r="B1753" s="888" t="s">
        <v>2142</v>
      </c>
      <c r="C1753" s="888" t="s">
        <v>1868</v>
      </c>
    </row>
    <row r="1754" spans="1:6">
      <c r="A1754" s="888">
        <v>357</v>
      </c>
      <c r="B1754" s="888" t="s">
        <v>1089</v>
      </c>
      <c r="C1754" s="888" t="s">
        <v>1253</v>
      </c>
      <c r="D1754" s="889">
        <v>46030</v>
      </c>
      <c r="E1754" s="890">
        <v>0.35986111111111113</v>
      </c>
      <c r="F1754" s="890">
        <v>0.75211805555555555</v>
      </c>
    </row>
    <row r="1755" spans="1:6">
      <c r="A1755" s="888" t="s">
        <v>2143</v>
      </c>
      <c r="B1755" s="888" t="s">
        <v>2144</v>
      </c>
      <c r="C1755" s="888" t="s">
        <v>1724</v>
      </c>
    </row>
    <row r="1756" spans="1:6">
      <c r="A1756" s="888">
        <v>357</v>
      </c>
      <c r="B1756" s="888" t="s">
        <v>1089</v>
      </c>
      <c r="C1756" s="888" t="s">
        <v>1253</v>
      </c>
      <c r="D1756" s="889">
        <v>46031</v>
      </c>
      <c r="E1756" s="890">
        <v>0.3439814814814815</v>
      </c>
      <c r="F1756" s="890">
        <v>0.75283564814814818</v>
      </c>
    </row>
    <row r="1757" spans="1:6">
      <c r="A1757" s="888" t="s">
        <v>2145</v>
      </c>
      <c r="B1757" s="888" t="s">
        <v>2146</v>
      </c>
      <c r="C1757" s="888" t="s">
        <v>1372</v>
      </c>
    </row>
    <row r="1758" spans="1:6">
      <c r="A1758" s="888">
        <v>357</v>
      </c>
      <c r="B1758" s="888" t="s">
        <v>1089</v>
      </c>
      <c r="C1758" s="888" t="s">
        <v>1253</v>
      </c>
      <c r="D1758" s="889">
        <v>46032</v>
      </c>
      <c r="E1758" s="888" t="s">
        <v>310</v>
      </c>
      <c r="F1758" s="888" t="s">
        <v>310</v>
      </c>
    </row>
    <row r="1759" spans="1:6">
      <c r="A1759" s="888">
        <v>357</v>
      </c>
      <c r="B1759" s="888" t="s">
        <v>1089</v>
      </c>
      <c r="C1759" s="888" t="s">
        <v>1253</v>
      </c>
      <c r="D1759" s="889">
        <v>46033</v>
      </c>
      <c r="E1759" s="888" t="s">
        <v>310</v>
      </c>
      <c r="F1759" s="888" t="s">
        <v>310</v>
      </c>
    </row>
    <row r="1760" spans="1:6">
      <c r="A1760" s="888">
        <v>357</v>
      </c>
      <c r="B1760" s="888" t="s">
        <v>1089</v>
      </c>
      <c r="C1760" s="888" t="s">
        <v>1253</v>
      </c>
      <c r="D1760" s="889">
        <v>46034</v>
      </c>
      <c r="E1760" s="890">
        <v>0.33614583333333331</v>
      </c>
      <c r="F1760" s="890">
        <v>0.75214120370370374</v>
      </c>
    </row>
    <row r="1761" spans="1:6">
      <c r="A1761" s="888" t="s">
        <v>2147</v>
      </c>
      <c r="B1761" s="888" t="s">
        <v>2148</v>
      </c>
      <c r="C1761" s="888" t="s">
        <v>1422</v>
      </c>
    </row>
    <row r="1762" spans="1:6">
      <c r="A1762" s="888">
        <v>357</v>
      </c>
      <c r="B1762" s="888" t="s">
        <v>1089</v>
      </c>
      <c r="C1762" s="888" t="s">
        <v>1253</v>
      </c>
      <c r="D1762" s="889">
        <v>46035</v>
      </c>
      <c r="E1762" s="890">
        <v>0.34489583333333335</v>
      </c>
      <c r="F1762" s="890">
        <v>0.75193287037037038</v>
      </c>
    </row>
    <row r="1763" spans="1:6">
      <c r="A1763" s="888" t="s">
        <v>2149</v>
      </c>
      <c r="B1763" s="888" t="s">
        <v>2150</v>
      </c>
      <c r="C1763" s="888" t="s">
        <v>1868</v>
      </c>
    </row>
    <row r="1764" spans="1:6">
      <c r="A1764" s="888">
        <v>357</v>
      </c>
      <c r="B1764" s="888" t="s">
        <v>1089</v>
      </c>
      <c r="C1764" s="888" t="s">
        <v>1253</v>
      </c>
      <c r="D1764" s="889">
        <v>46036</v>
      </c>
      <c r="E1764" s="890">
        <v>0.3480787037037037</v>
      </c>
      <c r="F1764" s="890">
        <v>0.53653935185185186</v>
      </c>
    </row>
    <row r="1765" spans="1:6">
      <c r="A1765" s="888" t="s">
        <v>2151</v>
      </c>
      <c r="B1765" s="888" t="s">
        <v>2152</v>
      </c>
      <c r="C1765" s="888" t="s">
        <v>2153</v>
      </c>
    </row>
    <row r="1766" spans="1:6">
      <c r="A1766" s="888">
        <v>357</v>
      </c>
      <c r="B1766" s="888" t="s">
        <v>1089</v>
      </c>
      <c r="C1766" s="888" t="s">
        <v>1253</v>
      </c>
      <c r="D1766" s="889">
        <v>46037</v>
      </c>
      <c r="E1766" s="890">
        <v>0.34800925925925924</v>
      </c>
      <c r="F1766" s="890">
        <v>0.75186342592592592</v>
      </c>
    </row>
    <row r="1767" spans="1:6">
      <c r="A1767" s="888" t="s">
        <v>2154</v>
      </c>
      <c r="B1767" s="888" t="s">
        <v>2155</v>
      </c>
      <c r="C1767" s="888" t="s">
        <v>1266</v>
      </c>
    </row>
    <row r="1768" spans="1:6">
      <c r="A1768" s="888">
        <v>357</v>
      </c>
      <c r="B1768" s="888" t="s">
        <v>1089</v>
      </c>
      <c r="C1768" s="888" t="s">
        <v>1253</v>
      </c>
      <c r="D1768" s="889">
        <v>46038</v>
      </c>
      <c r="E1768" s="890">
        <v>0.34194444444444444</v>
      </c>
      <c r="F1768" s="890">
        <v>0.75190972222222219</v>
      </c>
    </row>
    <row r="1769" spans="1:6">
      <c r="A1769" s="888" t="s">
        <v>2156</v>
      </c>
      <c r="B1769" s="888" t="s">
        <v>2157</v>
      </c>
      <c r="C1769" s="888" t="s">
        <v>1874</v>
      </c>
    </row>
    <row r="1770" spans="1:6">
      <c r="A1770" s="888">
        <v>357</v>
      </c>
      <c r="B1770" s="888" t="s">
        <v>1089</v>
      </c>
      <c r="C1770" s="888" t="s">
        <v>1253</v>
      </c>
      <c r="D1770" s="889">
        <v>46039</v>
      </c>
      <c r="E1770" s="888" t="s">
        <v>310</v>
      </c>
      <c r="F1770" s="888" t="s">
        <v>310</v>
      </c>
    </row>
    <row r="1771" spans="1:6">
      <c r="A1771" s="888">
        <v>357</v>
      </c>
      <c r="B1771" s="888" t="s">
        <v>1089</v>
      </c>
      <c r="C1771" s="888" t="s">
        <v>1253</v>
      </c>
      <c r="D1771" s="889">
        <v>46040</v>
      </c>
      <c r="E1771" s="888" t="s">
        <v>310</v>
      </c>
      <c r="F1771" s="888" t="s">
        <v>310</v>
      </c>
    </row>
    <row r="1772" spans="1:6">
      <c r="A1772" s="888">
        <v>357</v>
      </c>
      <c r="B1772" s="888" t="s">
        <v>1089</v>
      </c>
      <c r="C1772" s="888" t="s">
        <v>1253</v>
      </c>
      <c r="D1772" s="889">
        <v>46041</v>
      </c>
      <c r="E1772" s="890">
        <v>0.35320601851851852</v>
      </c>
      <c r="F1772" s="890">
        <v>0.7522106481481482</v>
      </c>
    </row>
    <row r="1773" spans="1:6">
      <c r="A1773" s="888" t="s">
        <v>2158</v>
      </c>
      <c r="B1773" s="888" t="s">
        <v>2159</v>
      </c>
      <c r="C1773" s="888" t="s">
        <v>1288</v>
      </c>
    </row>
    <row r="1774" spans="1:6">
      <c r="A1774" s="888">
        <v>357</v>
      </c>
      <c r="B1774" s="888" t="s">
        <v>1089</v>
      </c>
      <c r="C1774" s="888" t="s">
        <v>1253</v>
      </c>
      <c r="D1774" s="889">
        <v>46042</v>
      </c>
      <c r="E1774" s="890">
        <v>0.34875</v>
      </c>
      <c r="F1774" s="890">
        <v>0.7558449074074074</v>
      </c>
    </row>
    <row r="1775" spans="1:6">
      <c r="A1775" s="888" t="s">
        <v>2160</v>
      </c>
      <c r="B1775" s="888" t="s">
        <v>2161</v>
      </c>
      <c r="C1775" s="888" t="s">
        <v>1868</v>
      </c>
    </row>
    <row r="1776" spans="1:6">
      <c r="A1776" s="888">
        <v>357</v>
      </c>
      <c r="B1776" s="888" t="s">
        <v>1089</v>
      </c>
      <c r="C1776" s="888" t="s">
        <v>1253</v>
      </c>
      <c r="D1776" s="889">
        <v>46043</v>
      </c>
      <c r="E1776" s="888" t="s">
        <v>310</v>
      </c>
      <c r="F1776" s="888" t="s">
        <v>310</v>
      </c>
    </row>
    <row r="1777" spans="1:6">
      <c r="A1777" s="888">
        <v>357</v>
      </c>
      <c r="B1777" s="888" t="s">
        <v>1089</v>
      </c>
      <c r="C1777" s="888" t="s">
        <v>1253</v>
      </c>
      <c r="D1777" s="889">
        <v>46044</v>
      </c>
      <c r="E1777" s="888" t="s">
        <v>310</v>
      </c>
      <c r="F1777" s="888" t="s">
        <v>310</v>
      </c>
    </row>
    <row r="1778" spans="1:6">
      <c r="A1778" s="888">
        <v>357</v>
      </c>
      <c r="B1778" s="888" t="s">
        <v>1089</v>
      </c>
      <c r="C1778" s="888" t="s">
        <v>1253</v>
      </c>
      <c r="D1778" s="889">
        <v>46045</v>
      </c>
      <c r="E1778" s="890">
        <v>0.35098379629629628</v>
      </c>
      <c r="F1778" s="890">
        <v>0.75224537037037043</v>
      </c>
    </row>
    <row r="1779" spans="1:6">
      <c r="A1779" s="888" t="s">
        <v>2162</v>
      </c>
      <c r="B1779" s="888" t="s">
        <v>2163</v>
      </c>
      <c r="C1779" s="888" t="s">
        <v>1466</v>
      </c>
    </row>
    <row r="1780" spans="1:6">
      <c r="A1780" s="888">
        <v>357</v>
      </c>
      <c r="B1780" s="888" t="s">
        <v>1089</v>
      </c>
      <c r="C1780" s="888" t="s">
        <v>1253</v>
      </c>
      <c r="D1780" s="889">
        <v>46046</v>
      </c>
      <c r="E1780" s="888" t="s">
        <v>310</v>
      </c>
      <c r="F1780" s="888" t="s">
        <v>310</v>
      </c>
    </row>
    <row r="1781" spans="1:6">
      <c r="A1781" s="888">
        <v>357</v>
      </c>
      <c r="B1781" s="888" t="s">
        <v>1089</v>
      </c>
      <c r="C1781" s="888" t="s">
        <v>1253</v>
      </c>
      <c r="D1781" s="889">
        <v>46047</v>
      </c>
      <c r="E1781" s="888" t="s">
        <v>310</v>
      </c>
      <c r="F1781" s="888" t="s">
        <v>310</v>
      </c>
    </row>
    <row r="1782" spans="1:6">
      <c r="A1782" s="888">
        <v>357</v>
      </c>
      <c r="B1782" s="888" t="s">
        <v>1089</v>
      </c>
      <c r="C1782" s="888" t="s">
        <v>1253</v>
      </c>
      <c r="D1782" s="889">
        <v>46048</v>
      </c>
      <c r="E1782" s="890">
        <v>0.35343750000000002</v>
      </c>
      <c r="F1782" s="890">
        <v>0.75332175925925926</v>
      </c>
    </row>
    <row r="1783" spans="1:6">
      <c r="A1783" s="888" t="s">
        <v>2164</v>
      </c>
      <c r="B1783" s="888" t="s">
        <v>2165</v>
      </c>
      <c r="C1783" s="888" t="s">
        <v>1526</v>
      </c>
    </row>
    <row r="1784" spans="1:6">
      <c r="A1784" s="888">
        <v>357</v>
      </c>
      <c r="B1784" s="888" t="s">
        <v>1089</v>
      </c>
      <c r="C1784" s="888" t="s">
        <v>1253</v>
      </c>
      <c r="D1784" s="889">
        <v>46049</v>
      </c>
      <c r="E1784" s="888" t="s">
        <v>310</v>
      </c>
      <c r="F1784" s="888" t="s">
        <v>310</v>
      </c>
    </row>
    <row r="1785" spans="1:6">
      <c r="A1785" s="888">
        <v>357</v>
      </c>
      <c r="B1785" s="888" t="s">
        <v>1089</v>
      </c>
      <c r="C1785" s="888" t="s">
        <v>1253</v>
      </c>
      <c r="D1785" s="889">
        <v>46050</v>
      </c>
      <c r="E1785" s="888" t="s">
        <v>310</v>
      </c>
      <c r="F1785" s="888" t="s">
        <v>310</v>
      </c>
    </row>
    <row r="1786" spans="1:6">
      <c r="A1786" s="888">
        <v>357</v>
      </c>
      <c r="B1786" s="888" t="s">
        <v>1089</v>
      </c>
      <c r="C1786" s="888" t="s">
        <v>1253</v>
      </c>
      <c r="D1786" s="889">
        <v>46051</v>
      </c>
      <c r="E1786" s="888" t="s">
        <v>310</v>
      </c>
      <c r="F1786" s="888" t="s">
        <v>310</v>
      </c>
    </row>
    <row r="1787" spans="1:6">
      <c r="A1787" s="888">
        <v>357</v>
      </c>
      <c r="B1787" s="888" t="s">
        <v>1089</v>
      </c>
      <c r="C1787" s="888" t="s">
        <v>1253</v>
      </c>
      <c r="D1787" s="889">
        <v>46052</v>
      </c>
      <c r="E1787" s="888" t="s">
        <v>310</v>
      </c>
      <c r="F1787" s="888" t="s">
        <v>310</v>
      </c>
    </row>
    <row r="1788" spans="1:6">
      <c r="A1788" s="888">
        <v>357</v>
      </c>
      <c r="B1788" s="888" t="s">
        <v>1089</v>
      </c>
      <c r="C1788" s="888" t="s">
        <v>1253</v>
      </c>
      <c r="D1788" s="889">
        <v>46053</v>
      </c>
      <c r="E1788" s="888" t="s">
        <v>310</v>
      </c>
      <c r="F1788" s="888" t="s">
        <v>310</v>
      </c>
    </row>
    <row r="1789" spans="1:6">
      <c r="A1789" s="888">
        <v>357</v>
      </c>
      <c r="B1789" s="888" t="s">
        <v>1089</v>
      </c>
      <c r="C1789" s="888" t="s">
        <v>1253</v>
      </c>
      <c r="D1789" s="889">
        <v>46054</v>
      </c>
      <c r="E1789" s="888" t="s">
        <v>310</v>
      </c>
      <c r="F1789" s="888" t="s">
        <v>310</v>
      </c>
    </row>
    <row r="1790" spans="1:6">
      <c r="A1790" s="888">
        <v>358</v>
      </c>
      <c r="B1790" s="888" t="s">
        <v>2166</v>
      </c>
      <c r="C1790" s="888" t="s">
        <v>1253</v>
      </c>
      <c r="D1790" s="889">
        <v>46023</v>
      </c>
      <c r="E1790" s="888" t="s">
        <v>310</v>
      </c>
      <c r="F1790" s="888" t="s">
        <v>310</v>
      </c>
    </row>
    <row r="1791" spans="1:6">
      <c r="A1791" s="888">
        <v>358</v>
      </c>
      <c r="B1791" s="888" t="s">
        <v>2166</v>
      </c>
      <c r="C1791" s="888" t="s">
        <v>1253</v>
      </c>
      <c r="D1791" s="889">
        <v>46024</v>
      </c>
      <c r="E1791" s="888" t="s">
        <v>310</v>
      </c>
      <c r="F1791" s="888" t="s">
        <v>310</v>
      </c>
    </row>
    <row r="1792" spans="1:6">
      <c r="A1792" s="888">
        <v>358</v>
      </c>
      <c r="B1792" s="888" t="s">
        <v>2166</v>
      </c>
      <c r="C1792" s="888" t="s">
        <v>1253</v>
      </c>
      <c r="D1792" s="889">
        <v>46025</v>
      </c>
      <c r="E1792" s="888" t="s">
        <v>310</v>
      </c>
      <c r="F1792" s="888" t="s">
        <v>310</v>
      </c>
    </row>
    <row r="1793" spans="1:6">
      <c r="A1793" s="888">
        <v>358</v>
      </c>
      <c r="B1793" s="888" t="s">
        <v>2166</v>
      </c>
      <c r="C1793" s="888" t="s">
        <v>1253</v>
      </c>
      <c r="D1793" s="889">
        <v>46026</v>
      </c>
      <c r="E1793" s="888" t="s">
        <v>310</v>
      </c>
      <c r="F1793" s="888" t="s">
        <v>310</v>
      </c>
    </row>
    <row r="1794" spans="1:6">
      <c r="A1794" s="888">
        <v>358</v>
      </c>
      <c r="B1794" s="888" t="s">
        <v>2166</v>
      </c>
      <c r="C1794" s="888" t="s">
        <v>1253</v>
      </c>
      <c r="D1794" s="889">
        <v>46027</v>
      </c>
      <c r="E1794" s="888" t="s">
        <v>310</v>
      </c>
      <c r="F1794" s="888" t="s">
        <v>310</v>
      </c>
    </row>
    <row r="1795" spans="1:6">
      <c r="A1795" s="888">
        <v>358</v>
      </c>
      <c r="B1795" s="888" t="s">
        <v>2166</v>
      </c>
      <c r="C1795" s="888" t="s">
        <v>1253</v>
      </c>
      <c r="D1795" s="889">
        <v>46028</v>
      </c>
      <c r="E1795" s="888" t="s">
        <v>310</v>
      </c>
      <c r="F1795" s="888" t="s">
        <v>310</v>
      </c>
    </row>
    <row r="1796" spans="1:6">
      <c r="A1796" s="888">
        <v>358</v>
      </c>
      <c r="B1796" s="888" t="s">
        <v>2166</v>
      </c>
      <c r="C1796" s="888" t="s">
        <v>1253</v>
      </c>
      <c r="D1796" s="889">
        <v>46029</v>
      </c>
      <c r="E1796" s="888" t="s">
        <v>310</v>
      </c>
      <c r="F1796" s="888" t="s">
        <v>310</v>
      </c>
    </row>
    <row r="1797" spans="1:6">
      <c r="A1797" s="888">
        <v>358</v>
      </c>
      <c r="B1797" s="888" t="s">
        <v>2166</v>
      </c>
      <c r="C1797" s="888" t="s">
        <v>1253</v>
      </c>
      <c r="D1797" s="889">
        <v>46030</v>
      </c>
      <c r="E1797" s="888" t="s">
        <v>310</v>
      </c>
      <c r="F1797" s="888" t="s">
        <v>310</v>
      </c>
    </row>
    <row r="1798" spans="1:6">
      <c r="A1798" s="888">
        <v>358</v>
      </c>
      <c r="B1798" s="888" t="s">
        <v>2166</v>
      </c>
      <c r="C1798" s="888" t="s">
        <v>1253</v>
      </c>
      <c r="D1798" s="889">
        <v>46031</v>
      </c>
      <c r="E1798" s="888" t="s">
        <v>310</v>
      </c>
      <c r="F1798" s="888" t="s">
        <v>310</v>
      </c>
    </row>
    <row r="1799" spans="1:6">
      <c r="A1799" s="888">
        <v>358</v>
      </c>
      <c r="B1799" s="888" t="s">
        <v>2166</v>
      </c>
      <c r="C1799" s="888" t="s">
        <v>1253</v>
      </c>
      <c r="D1799" s="889">
        <v>46032</v>
      </c>
      <c r="E1799" s="888" t="s">
        <v>310</v>
      </c>
      <c r="F1799" s="888" t="s">
        <v>310</v>
      </c>
    </row>
    <row r="1800" spans="1:6">
      <c r="A1800" s="888">
        <v>358</v>
      </c>
      <c r="B1800" s="888" t="s">
        <v>2166</v>
      </c>
      <c r="C1800" s="888" t="s">
        <v>1253</v>
      </c>
      <c r="D1800" s="889">
        <v>46033</v>
      </c>
      <c r="E1800" s="888" t="s">
        <v>310</v>
      </c>
      <c r="F1800" s="888" t="s">
        <v>310</v>
      </c>
    </row>
    <row r="1801" spans="1:6">
      <c r="A1801" s="888">
        <v>358</v>
      </c>
      <c r="B1801" s="888" t="s">
        <v>2166</v>
      </c>
      <c r="C1801" s="888" t="s">
        <v>1253</v>
      </c>
      <c r="D1801" s="889">
        <v>46034</v>
      </c>
      <c r="E1801" s="888" t="s">
        <v>310</v>
      </c>
      <c r="F1801" s="888" t="s">
        <v>310</v>
      </c>
    </row>
    <row r="1802" spans="1:6">
      <c r="A1802" s="888">
        <v>358</v>
      </c>
      <c r="B1802" s="888" t="s">
        <v>2166</v>
      </c>
      <c r="C1802" s="888" t="s">
        <v>1253</v>
      </c>
      <c r="D1802" s="889">
        <v>46035</v>
      </c>
      <c r="E1802" s="888" t="s">
        <v>310</v>
      </c>
      <c r="F1802" s="888" t="s">
        <v>310</v>
      </c>
    </row>
    <row r="1803" spans="1:6">
      <c r="A1803" s="888">
        <v>358</v>
      </c>
      <c r="B1803" s="888" t="s">
        <v>2166</v>
      </c>
      <c r="C1803" s="888" t="s">
        <v>1253</v>
      </c>
      <c r="D1803" s="889">
        <v>46036</v>
      </c>
      <c r="E1803" s="888" t="s">
        <v>310</v>
      </c>
      <c r="F1803" s="888" t="s">
        <v>310</v>
      </c>
    </row>
    <row r="1804" spans="1:6">
      <c r="A1804" s="888">
        <v>358</v>
      </c>
      <c r="B1804" s="888" t="s">
        <v>2166</v>
      </c>
      <c r="C1804" s="888" t="s">
        <v>1253</v>
      </c>
      <c r="D1804" s="889">
        <v>46037</v>
      </c>
      <c r="E1804" s="888" t="s">
        <v>310</v>
      </c>
      <c r="F1804" s="888" t="s">
        <v>310</v>
      </c>
    </row>
    <row r="1805" spans="1:6">
      <c r="A1805" s="888">
        <v>358</v>
      </c>
      <c r="B1805" s="888" t="s">
        <v>2166</v>
      </c>
      <c r="C1805" s="888" t="s">
        <v>1253</v>
      </c>
      <c r="D1805" s="889">
        <v>46038</v>
      </c>
      <c r="E1805" s="888" t="s">
        <v>310</v>
      </c>
      <c r="F1805" s="888" t="s">
        <v>310</v>
      </c>
    </row>
    <row r="1806" spans="1:6">
      <c r="A1806" s="888">
        <v>358</v>
      </c>
      <c r="B1806" s="888" t="s">
        <v>2166</v>
      </c>
      <c r="C1806" s="888" t="s">
        <v>1253</v>
      </c>
      <c r="D1806" s="889">
        <v>46039</v>
      </c>
      <c r="E1806" s="888" t="s">
        <v>310</v>
      </c>
      <c r="F1806" s="888" t="s">
        <v>310</v>
      </c>
    </row>
    <row r="1807" spans="1:6">
      <c r="A1807" s="888">
        <v>358</v>
      </c>
      <c r="B1807" s="888" t="s">
        <v>2166</v>
      </c>
      <c r="C1807" s="888" t="s">
        <v>1253</v>
      </c>
      <c r="D1807" s="889">
        <v>46040</v>
      </c>
      <c r="E1807" s="888" t="s">
        <v>310</v>
      </c>
      <c r="F1807" s="888" t="s">
        <v>310</v>
      </c>
    </row>
    <row r="1808" spans="1:6">
      <c r="A1808" s="888">
        <v>358</v>
      </c>
      <c r="B1808" s="888" t="s">
        <v>2166</v>
      </c>
      <c r="C1808" s="888" t="s">
        <v>1253</v>
      </c>
      <c r="D1808" s="889">
        <v>46041</v>
      </c>
      <c r="E1808" s="888" t="s">
        <v>310</v>
      </c>
      <c r="F1808" s="888" t="s">
        <v>310</v>
      </c>
    </row>
    <row r="1809" spans="1:6">
      <c r="A1809" s="888">
        <v>358</v>
      </c>
      <c r="B1809" s="888" t="s">
        <v>2166</v>
      </c>
      <c r="C1809" s="888" t="s">
        <v>1253</v>
      </c>
      <c r="D1809" s="889">
        <v>46042</v>
      </c>
      <c r="E1809" s="888" t="s">
        <v>310</v>
      </c>
      <c r="F1809" s="888" t="s">
        <v>310</v>
      </c>
    </row>
    <row r="1810" spans="1:6">
      <c r="A1810" s="888">
        <v>358</v>
      </c>
      <c r="B1810" s="888" t="s">
        <v>2166</v>
      </c>
      <c r="C1810" s="888" t="s">
        <v>1253</v>
      </c>
      <c r="D1810" s="889">
        <v>46043</v>
      </c>
      <c r="E1810" s="888" t="s">
        <v>310</v>
      </c>
      <c r="F1810" s="888" t="s">
        <v>310</v>
      </c>
    </row>
    <row r="1811" spans="1:6">
      <c r="A1811" s="888">
        <v>358</v>
      </c>
      <c r="B1811" s="888" t="s">
        <v>2166</v>
      </c>
      <c r="C1811" s="888" t="s">
        <v>1253</v>
      </c>
      <c r="D1811" s="889">
        <v>46044</v>
      </c>
      <c r="E1811" s="888" t="s">
        <v>310</v>
      </c>
      <c r="F1811" s="888" t="s">
        <v>310</v>
      </c>
    </row>
    <row r="1812" spans="1:6">
      <c r="A1812" s="888">
        <v>358</v>
      </c>
      <c r="B1812" s="888" t="s">
        <v>2166</v>
      </c>
      <c r="C1812" s="888" t="s">
        <v>1253</v>
      </c>
      <c r="D1812" s="889">
        <v>46045</v>
      </c>
      <c r="E1812" s="888" t="s">
        <v>310</v>
      </c>
      <c r="F1812" s="888" t="s">
        <v>310</v>
      </c>
    </row>
    <row r="1813" spans="1:6">
      <c r="A1813" s="888">
        <v>358</v>
      </c>
      <c r="B1813" s="888" t="s">
        <v>2166</v>
      </c>
      <c r="C1813" s="888" t="s">
        <v>1253</v>
      </c>
      <c r="D1813" s="889">
        <v>46046</v>
      </c>
      <c r="E1813" s="888" t="s">
        <v>310</v>
      </c>
      <c r="F1813" s="888" t="s">
        <v>310</v>
      </c>
    </row>
    <row r="1814" spans="1:6">
      <c r="A1814" s="888">
        <v>358</v>
      </c>
      <c r="B1814" s="888" t="s">
        <v>2166</v>
      </c>
      <c r="C1814" s="888" t="s">
        <v>1253</v>
      </c>
      <c r="D1814" s="889">
        <v>46047</v>
      </c>
      <c r="E1814" s="888" t="s">
        <v>310</v>
      </c>
      <c r="F1814" s="888" t="s">
        <v>310</v>
      </c>
    </row>
    <row r="1815" spans="1:6">
      <c r="A1815" s="888">
        <v>358</v>
      </c>
      <c r="B1815" s="888" t="s">
        <v>2166</v>
      </c>
      <c r="C1815" s="888" t="s">
        <v>1253</v>
      </c>
      <c r="D1815" s="889">
        <v>46048</v>
      </c>
      <c r="E1815" s="888" t="s">
        <v>310</v>
      </c>
      <c r="F1815" s="888" t="s">
        <v>310</v>
      </c>
    </row>
    <row r="1816" spans="1:6">
      <c r="A1816" s="888">
        <v>358</v>
      </c>
      <c r="B1816" s="888" t="s">
        <v>2166</v>
      </c>
      <c r="C1816" s="888" t="s">
        <v>1253</v>
      </c>
      <c r="D1816" s="889">
        <v>46049</v>
      </c>
      <c r="E1816" s="888" t="s">
        <v>310</v>
      </c>
      <c r="F1816" s="888" t="s">
        <v>310</v>
      </c>
    </row>
    <row r="1817" spans="1:6">
      <c r="A1817" s="888">
        <v>358</v>
      </c>
      <c r="B1817" s="888" t="s">
        <v>2166</v>
      </c>
      <c r="C1817" s="888" t="s">
        <v>1253</v>
      </c>
      <c r="D1817" s="889">
        <v>46050</v>
      </c>
      <c r="E1817" s="888" t="s">
        <v>310</v>
      </c>
      <c r="F1817" s="888" t="s">
        <v>310</v>
      </c>
    </row>
    <row r="1818" spans="1:6">
      <c r="A1818" s="888">
        <v>358</v>
      </c>
      <c r="B1818" s="888" t="s">
        <v>2166</v>
      </c>
      <c r="C1818" s="888" t="s">
        <v>1253</v>
      </c>
      <c r="D1818" s="889">
        <v>46051</v>
      </c>
      <c r="E1818" s="888" t="s">
        <v>310</v>
      </c>
      <c r="F1818" s="888" t="s">
        <v>310</v>
      </c>
    </row>
    <row r="1819" spans="1:6">
      <c r="A1819" s="888">
        <v>358</v>
      </c>
      <c r="B1819" s="888" t="s">
        <v>2166</v>
      </c>
      <c r="C1819" s="888" t="s">
        <v>1253</v>
      </c>
      <c r="D1819" s="889">
        <v>46052</v>
      </c>
      <c r="E1819" s="888" t="s">
        <v>310</v>
      </c>
      <c r="F1819" s="888" t="s">
        <v>310</v>
      </c>
    </row>
    <row r="1820" spans="1:6">
      <c r="A1820" s="888">
        <v>358</v>
      </c>
      <c r="B1820" s="888" t="s">
        <v>2166</v>
      </c>
      <c r="C1820" s="888" t="s">
        <v>1253</v>
      </c>
      <c r="D1820" s="889">
        <v>46053</v>
      </c>
      <c r="E1820" s="888" t="s">
        <v>310</v>
      </c>
      <c r="F1820" s="888" t="s">
        <v>310</v>
      </c>
    </row>
    <row r="1821" spans="1:6">
      <c r="A1821" s="888">
        <v>358</v>
      </c>
      <c r="B1821" s="888" t="s">
        <v>2166</v>
      </c>
      <c r="C1821" s="888" t="s">
        <v>1253</v>
      </c>
      <c r="D1821" s="889">
        <v>46054</v>
      </c>
      <c r="E1821" s="888" t="s">
        <v>310</v>
      </c>
      <c r="F1821" s="888" t="s">
        <v>310</v>
      </c>
    </row>
    <row r="1822" spans="1:6">
      <c r="A1822" s="888">
        <v>359</v>
      </c>
      <c r="B1822" s="888" t="s">
        <v>1198</v>
      </c>
      <c r="C1822" s="888" t="s">
        <v>1253</v>
      </c>
      <c r="D1822" s="889">
        <v>46023</v>
      </c>
      <c r="E1822" s="888" t="s">
        <v>310</v>
      </c>
      <c r="F1822" s="888" t="s">
        <v>310</v>
      </c>
    </row>
    <row r="1823" spans="1:6">
      <c r="A1823" s="888">
        <v>359</v>
      </c>
      <c r="B1823" s="888" t="s">
        <v>1198</v>
      </c>
      <c r="C1823" s="888" t="s">
        <v>1253</v>
      </c>
      <c r="D1823" s="889">
        <v>46024</v>
      </c>
      <c r="E1823" s="888" t="s">
        <v>310</v>
      </c>
      <c r="F1823" s="888" t="s">
        <v>310</v>
      </c>
    </row>
    <row r="1824" spans="1:6">
      <c r="A1824" s="888">
        <v>359</v>
      </c>
      <c r="B1824" s="888" t="s">
        <v>1198</v>
      </c>
      <c r="C1824" s="888" t="s">
        <v>1253</v>
      </c>
      <c r="D1824" s="889">
        <v>46025</v>
      </c>
      <c r="E1824" s="888" t="s">
        <v>310</v>
      </c>
      <c r="F1824" s="888" t="s">
        <v>310</v>
      </c>
    </row>
    <row r="1825" spans="1:6">
      <c r="A1825" s="888">
        <v>359</v>
      </c>
      <c r="B1825" s="888" t="s">
        <v>1198</v>
      </c>
      <c r="C1825" s="888" t="s">
        <v>1253</v>
      </c>
      <c r="D1825" s="889">
        <v>46026</v>
      </c>
      <c r="E1825" s="888" t="s">
        <v>310</v>
      </c>
      <c r="F1825" s="888" t="s">
        <v>310</v>
      </c>
    </row>
    <row r="1826" spans="1:6">
      <c r="A1826" s="888">
        <v>359</v>
      </c>
      <c r="B1826" s="888" t="s">
        <v>1198</v>
      </c>
      <c r="C1826" s="888" t="s">
        <v>1253</v>
      </c>
      <c r="D1826" s="889">
        <v>46027</v>
      </c>
      <c r="E1826" s="890">
        <v>0.35868055555555556</v>
      </c>
      <c r="F1826" s="890">
        <v>0.76092592592592589</v>
      </c>
    </row>
    <row r="1827" spans="1:6">
      <c r="A1827" s="888" t="s">
        <v>2167</v>
      </c>
      <c r="B1827" s="888" t="s">
        <v>2168</v>
      </c>
      <c r="C1827" s="888" t="s">
        <v>1538</v>
      </c>
    </row>
    <row r="1828" spans="1:6">
      <c r="A1828" s="888">
        <v>359</v>
      </c>
      <c r="B1828" s="888" t="s">
        <v>1198</v>
      </c>
      <c r="C1828" s="888" t="s">
        <v>1253</v>
      </c>
      <c r="D1828" s="889">
        <v>46028</v>
      </c>
      <c r="E1828" s="890">
        <v>0.36383101851851851</v>
      </c>
      <c r="F1828" s="890">
        <v>0.7611458333333333</v>
      </c>
    </row>
    <row r="1829" spans="1:6">
      <c r="A1829" s="888" t="s">
        <v>2169</v>
      </c>
      <c r="B1829" s="888" t="s">
        <v>2170</v>
      </c>
      <c r="C1829" s="888" t="s">
        <v>1514</v>
      </c>
    </row>
    <row r="1830" spans="1:6">
      <c r="A1830" s="888">
        <v>359</v>
      </c>
      <c r="B1830" s="888" t="s">
        <v>1198</v>
      </c>
      <c r="C1830" s="888" t="s">
        <v>1253</v>
      </c>
      <c r="D1830" s="889">
        <v>46029</v>
      </c>
      <c r="E1830" s="890">
        <v>0.35795138888888889</v>
      </c>
      <c r="F1830" s="890">
        <v>0.76649305555555558</v>
      </c>
    </row>
    <row r="1831" spans="1:6">
      <c r="A1831" s="888" t="s">
        <v>2171</v>
      </c>
      <c r="B1831" s="888" t="s">
        <v>2172</v>
      </c>
      <c r="C1831" s="888" t="s">
        <v>2077</v>
      </c>
    </row>
    <row r="1832" spans="1:6">
      <c r="A1832" s="888">
        <v>359</v>
      </c>
      <c r="B1832" s="888" t="s">
        <v>1198</v>
      </c>
      <c r="C1832" s="888" t="s">
        <v>1253</v>
      </c>
      <c r="D1832" s="889">
        <v>46030</v>
      </c>
      <c r="E1832" s="890">
        <v>0.36270833333333335</v>
      </c>
      <c r="F1832" s="890">
        <v>0.75950231481481478</v>
      </c>
    </row>
    <row r="1833" spans="1:6">
      <c r="A1833" s="888" t="s">
        <v>2173</v>
      </c>
      <c r="B1833" s="888" t="s">
        <v>2174</v>
      </c>
      <c r="C1833" s="888" t="s">
        <v>1452</v>
      </c>
    </row>
    <row r="1834" spans="1:6">
      <c r="A1834" s="888">
        <v>359</v>
      </c>
      <c r="B1834" s="888" t="s">
        <v>1198</v>
      </c>
      <c r="C1834" s="888" t="s">
        <v>1253</v>
      </c>
      <c r="D1834" s="889">
        <v>46031</v>
      </c>
      <c r="E1834" s="890">
        <v>0.36440972222222223</v>
      </c>
      <c r="F1834" s="890">
        <v>0.76167824074074075</v>
      </c>
    </row>
    <row r="1835" spans="1:6">
      <c r="A1835" s="888" t="s">
        <v>2175</v>
      </c>
      <c r="B1835" s="888" t="s">
        <v>2176</v>
      </c>
      <c r="C1835" s="888" t="s">
        <v>1514</v>
      </c>
    </row>
    <row r="1836" spans="1:6">
      <c r="A1836" s="888">
        <v>359</v>
      </c>
      <c r="B1836" s="888" t="s">
        <v>1198</v>
      </c>
      <c r="C1836" s="888" t="s">
        <v>1253</v>
      </c>
      <c r="D1836" s="889">
        <v>46032</v>
      </c>
      <c r="E1836" s="888" t="s">
        <v>310</v>
      </c>
      <c r="F1836" s="888" t="s">
        <v>310</v>
      </c>
    </row>
    <row r="1837" spans="1:6">
      <c r="A1837" s="888">
        <v>359</v>
      </c>
      <c r="B1837" s="888" t="s">
        <v>1198</v>
      </c>
      <c r="C1837" s="888" t="s">
        <v>1253</v>
      </c>
      <c r="D1837" s="889">
        <v>46033</v>
      </c>
      <c r="E1837" s="888" t="s">
        <v>310</v>
      </c>
      <c r="F1837" s="888" t="s">
        <v>310</v>
      </c>
    </row>
    <row r="1838" spans="1:6">
      <c r="A1838" s="888">
        <v>359</v>
      </c>
      <c r="B1838" s="888" t="s">
        <v>1198</v>
      </c>
      <c r="C1838" s="888" t="s">
        <v>1253</v>
      </c>
      <c r="D1838" s="889">
        <v>46034</v>
      </c>
      <c r="E1838" s="890">
        <v>0.35518518518518516</v>
      </c>
      <c r="F1838" s="890">
        <v>0.76600694444444439</v>
      </c>
    </row>
    <row r="1839" spans="1:6">
      <c r="A1839" s="888" t="s">
        <v>2177</v>
      </c>
      <c r="B1839" s="888" t="s">
        <v>2178</v>
      </c>
      <c r="C1839" s="888" t="s">
        <v>1613</v>
      </c>
    </row>
    <row r="1840" spans="1:6">
      <c r="A1840" s="888">
        <v>359</v>
      </c>
      <c r="B1840" s="888" t="s">
        <v>1198</v>
      </c>
      <c r="C1840" s="888" t="s">
        <v>1253</v>
      </c>
      <c r="D1840" s="889">
        <v>46035</v>
      </c>
      <c r="E1840" s="890">
        <v>0.35008101851851853</v>
      </c>
      <c r="F1840" s="890">
        <v>0.75783564814814819</v>
      </c>
    </row>
    <row r="1841" spans="1:6">
      <c r="A1841" s="888" t="s">
        <v>2179</v>
      </c>
      <c r="B1841" s="888" t="s">
        <v>2180</v>
      </c>
      <c r="C1841" s="888" t="s">
        <v>1645</v>
      </c>
    </row>
    <row r="1842" spans="1:6">
      <c r="A1842" s="888">
        <v>359</v>
      </c>
      <c r="B1842" s="888" t="s">
        <v>1198</v>
      </c>
      <c r="C1842" s="888" t="s">
        <v>1253</v>
      </c>
      <c r="D1842" s="889">
        <v>46036</v>
      </c>
      <c r="E1842" s="890">
        <v>0.34877314814814814</v>
      </c>
      <c r="F1842" s="890">
        <v>0.75864583333333335</v>
      </c>
    </row>
    <row r="1843" spans="1:6">
      <c r="A1843" s="888" t="s">
        <v>2181</v>
      </c>
      <c r="B1843" s="888" t="s">
        <v>2182</v>
      </c>
      <c r="C1843" s="888" t="s">
        <v>1874</v>
      </c>
    </row>
    <row r="1844" spans="1:6">
      <c r="A1844" s="888">
        <v>359</v>
      </c>
      <c r="B1844" s="888" t="s">
        <v>1198</v>
      </c>
      <c r="C1844" s="888" t="s">
        <v>1253</v>
      </c>
      <c r="D1844" s="889">
        <v>46037</v>
      </c>
      <c r="E1844" s="890">
        <v>0.35041666666666665</v>
      </c>
      <c r="F1844" s="890">
        <v>0.7578125</v>
      </c>
    </row>
    <row r="1845" spans="1:6">
      <c r="A1845" s="888" t="s">
        <v>2183</v>
      </c>
      <c r="B1845" s="888" t="s">
        <v>2184</v>
      </c>
      <c r="C1845" s="888" t="s">
        <v>1645</v>
      </c>
    </row>
    <row r="1846" spans="1:6">
      <c r="A1846" s="888">
        <v>359</v>
      </c>
      <c r="B1846" s="888" t="s">
        <v>1198</v>
      </c>
      <c r="C1846" s="888" t="s">
        <v>1253</v>
      </c>
      <c r="D1846" s="889">
        <v>46038</v>
      </c>
      <c r="E1846" s="890">
        <v>0.35224537037037035</v>
      </c>
      <c r="F1846" s="890">
        <v>0.76159722222222226</v>
      </c>
    </row>
    <row r="1847" spans="1:6">
      <c r="A1847" s="888" t="s">
        <v>2185</v>
      </c>
      <c r="B1847" s="888" t="s">
        <v>2186</v>
      </c>
      <c r="C1847" s="888" t="s">
        <v>1372</v>
      </c>
    </row>
    <row r="1848" spans="1:6">
      <c r="A1848" s="888">
        <v>359</v>
      </c>
      <c r="B1848" s="888" t="s">
        <v>1198</v>
      </c>
      <c r="C1848" s="888" t="s">
        <v>1253</v>
      </c>
      <c r="D1848" s="889">
        <v>46039</v>
      </c>
      <c r="E1848" s="888" t="s">
        <v>310</v>
      </c>
      <c r="F1848" s="888" t="s">
        <v>310</v>
      </c>
    </row>
    <row r="1849" spans="1:6">
      <c r="A1849" s="888">
        <v>359</v>
      </c>
      <c r="B1849" s="888" t="s">
        <v>1198</v>
      </c>
      <c r="C1849" s="888" t="s">
        <v>1253</v>
      </c>
      <c r="D1849" s="889">
        <v>46040</v>
      </c>
      <c r="E1849" s="888" t="s">
        <v>310</v>
      </c>
      <c r="F1849" s="888" t="s">
        <v>310</v>
      </c>
    </row>
    <row r="1850" spans="1:6">
      <c r="A1850" s="888">
        <v>359</v>
      </c>
      <c r="B1850" s="888" t="s">
        <v>1198</v>
      </c>
      <c r="C1850" s="888" t="s">
        <v>1253</v>
      </c>
      <c r="D1850" s="889">
        <v>46041</v>
      </c>
      <c r="E1850" s="890">
        <v>0.34979166666666667</v>
      </c>
      <c r="F1850" s="890">
        <v>0.76140046296296293</v>
      </c>
    </row>
    <row r="1851" spans="1:6">
      <c r="A1851" s="888" t="s">
        <v>2187</v>
      </c>
      <c r="B1851" s="888" t="s">
        <v>2188</v>
      </c>
      <c r="C1851" s="888" t="s">
        <v>1369</v>
      </c>
    </row>
    <row r="1852" spans="1:6">
      <c r="A1852" s="888">
        <v>359</v>
      </c>
      <c r="B1852" s="888" t="s">
        <v>1198</v>
      </c>
      <c r="C1852" s="888" t="s">
        <v>1253</v>
      </c>
      <c r="D1852" s="889">
        <v>46042</v>
      </c>
      <c r="E1852" s="890">
        <v>0.3498263888888889</v>
      </c>
      <c r="F1852" s="890">
        <v>0.75877314814814811</v>
      </c>
    </row>
    <row r="1853" spans="1:6">
      <c r="A1853" s="888" t="s">
        <v>2189</v>
      </c>
      <c r="B1853" s="888" t="s">
        <v>2190</v>
      </c>
      <c r="C1853" s="888" t="s">
        <v>1372</v>
      </c>
    </row>
    <row r="1854" spans="1:6">
      <c r="A1854" s="888">
        <v>359</v>
      </c>
      <c r="B1854" s="888" t="s">
        <v>1198</v>
      </c>
      <c r="C1854" s="888" t="s">
        <v>1253</v>
      </c>
      <c r="D1854" s="889">
        <v>46043</v>
      </c>
      <c r="E1854" s="890">
        <v>0.35039351851851852</v>
      </c>
      <c r="F1854" s="890">
        <v>0.75464120370370369</v>
      </c>
    </row>
    <row r="1855" spans="1:6">
      <c r="A1855" s="888" t="s">
        <v>2191</v>
      </c>
      <c r="B1855" s="888" t="s">
        <v>2192</v>
      </c>
      <c r="C1855" s="888" t="s">
        <v>1266</v>
      </c>
    </row>
    <row r="1856" spans="1:6">
      <c r="A1856" s="888">
        <v>359</v>
      </c>
      <c r="B1856" s="888" t="s">
        <v>1198</v>
      </c>
      <c r="C1856" s="888" t="s">
        <v>1253</v>
      </c>
      <c r="D1856" s="889">
        <v>46044</v>
      </c>
      <c r="E1856" s="890">
        <v>0.35252314814814817</v>
      </c>
      <c r="F1856" s="890">
        <v>0.75981481481481483</v>
      </c>
    </row>
    <row r="1857" spans="1:6">
      <c r="A1857" s="888" t="s">
        <v>2193</v>
      </c>
      <c r="B1857" s="888" t="s">
        <v>2194</v>
      </c>
      <c r="C1857" s="888" t="s">
        <v>1645</v>
      </c>
    </row>
    <row r="1858" spans="1:6">
      <c r="A1858" s="888">
        <v>359</v>
      </c>
      <c r="B1858" s="888" t="s">
        <v>1198</v>
      </c>
      <c r="C1858" s="888" t="s">
        <v>1253</v>
      </c>
      <c r="D1858" s="889">
        <v>46045</v>
      </c>
      <c r="E1858" s="890">
        <v>0.35003472222222221</v>
      </c>
      <c r="F1858" s="890">
        <v>0.50015046296296295</v>
      </c>
    </row>
    <row r="1859" spans="1:6">
      <c r="A1859" s="888" t="s">
        <v>2195</v>
      </c>
      <c r="B1859" s="888" t="s">
        <v>2196</v>
      </c>
      <c r="C1859" s="888" t="s">
        <v>2197</v>
      </c>
    </row>
    <row r="1860" spans="1:6">
      <c r="A1860" s="888">
        <v>359</v>
      </c>
      <c r="B1860" s="888" t="s">
        <v>1198</v>
      </c>
      <c r="C1860" s="888" t="s">
        <v>1253</v>
      </c>
      <c r="D1860" s="889">
        <v>46046</v>
      </c>
      <c r="E1860" s="888" t="s">
        <v>310</v>
      </c>
      <c r="F1860" s="888" t="s">
        <v>310</v>
      </c>
    </row>
    <row r="1861" spans="1:6">
      <c r="A1861" s="888">
        <v>359</v>
      </c>
      <c r="B1861" s="888" t="s">
        <v>1198</v>
      </c>
      <c r="C1861" s="888" t="s">
        <v>1253</v>
      </c>
      <c r="D1861" s="889">
        <v>46047</v>
      </c>
      <c r="E1861" s="888" t="s">
        <v>310</v>
      </c>
      <c r="F1861" s="888" t="s">
        <v>310</v>
      </c>
    </row>
    <row r="1862" spans="1:6">
      <c r="A1862" s="888">
        <v>359</v>
      </c>
      <c r="B1862" s="888" t="s">
        <v>1198</v>
      </c>
      <c r="C1862" s="888" t="s">
        <v>1253</v>
      </c>
      <c r="D1862" s="889">
        <v>46048</v>
      </c>
      <c r="E1862" s="888" t="s">
        <v>310</v>
      </c>
      <c r="F1862" s="888" t="s">
        <v>310</v>
      </c>
    </row>
    <row r="1863" spans="1:6">
      <c r="A1863" s="888">
        <v>359</v>
      </c>
      <c r="B1863" s="888" t="s">
        <v>1198</v>
      </c>
      <c r="C1863" s="888" t="s">
        <v>1253</v>
      </c>
      <c r="D1863" s="889">
        <v>46049</v>
      </c>
      <c r="E1863" s="888" t="s">
        <v>310</v>
      </c>
      <c r="F1863" s="888" t="s">
        <v>310</v>
      </c>
    </row>
    <row r="1864" spans="1:6">
      <c r="A1864" s="888">
        <v>359</v>
      </c>
      <c r="B1864" s="888" t="s">
        <v>1198</v>
      </c>
      <c r="C1864" s="888" t="s">
        <v>1253</v>
      </c>
      <c r="D1864" s="889">
        <v>46050</v>
      </c>
      <c r="E1864" s="890">
        <v>0.34868055555555555</v>
      </c>
      <c r="F1864" s="890">
        <v>0.75871527777777781</v>
      </c>
    </row>
    <row r="1865" spans="1:6">
      <c r="A1865" s="888" t="s">
        <v>2198</v>
      </c>
      <c r="B1865" s="888" t="s">
        <v>2199</v>
      </c>
      <c r="C1865" s="888" t="s">
        <v>1874</v>
      </c>
    </row>
    <row r="1866" spans="1:6">
      <c r="A1866" s="888">
        <v>359</v>
      </c>
      <c r="B1866" s="888" t="s">
        <v>1198</v>
      </c>
      <c r="C1866" s="888" t="s">
        <v>1253</v>
      </c>
      <c r="D1866" s="889">
        <v>46051</v>
      </c>
      <c r="E1866" s="890">
        <v>0.35105324074074074</v>
      </c>
      <c r="F1866" s="890">
        <v>0.75846064814814818</v>
      </c>
    </row>
    <row r="1867" spans="1:6">
      <c r="A1867" s="888" t="s">
        <v>2200</v>
      </c>
      <c r="B1867" s="888" t="s">
        <v>2201</v>
      </c>
      <c r="C1867" s="888" t="s">
        <v>1645</v>
      </c>
    </row>
    <row r="1868" spans="1:6">
      <c r="A1868" s="888">
        <v>359</v>
      </c>
      <c r="B1868" s="888" t="s">
        <v>1198</v>
      </c>
      <c r="C1868" s="888" t="s">
        <v>1253</v>
      </c>
      <c r="D1868" s="889">
        <v>46052</v>
      </c>
      <c r="E1868" s="890">
        <v>0.35042824074074075</v>
      </c>
      <c r="F1868" s="890">
        <v>0.7570486111111111</v>
      </c>
    </row>
    <row r="1869" spans="1:6">
      <c r="A1869" s="888" t="s">
        <v>2202</v>
      </c>
      <c r="B1869" s="888" t="s">
        <v>2203</v>
      </c>
      <c r="C1869" s="888" t="s">
        <v>1868</v>
      </c>
    </row>
    <row r="1870" spans="1:6">
      <c r="A1870" s="888">
        <v>359</v>
      </c>
      <c r="B1870" s="888" t="s">
        <v>1198</v>
      </c>
      <c r="C1870" s="888" t="s">
        <v>1253</v>
      </c>
      <c r="D1870" s="889">
        <v>46053</v>
      </c>
      <c r="E1870" s="888" t="s">
        <v>310</v>
      </c>
      <c r="F1870" s="888" t="s">
        <v>310</v>
      </c>
    </row>
    <row r="1871" spans="1:6">
      <c r="A1871" s="888">
        <v>359</v>
      </c>
      <c r="B1871" s="888" t="s">
        <v>1198</v>
      </c>
      <c r="C1871" s="888" t="s">
        <v>1253</v>
      </c>
      <c r="D1871" s="889">
        <v>46054</v>
      </c>
      <c r="E1871" s="888" t="s">
        <v>310</v>
      </c>
      <c r="F1871" s="888" t="s">
        <v>310</v>
      </c>
    </row>
    <row r="1872" spans="1:6">
      <c r="A1872" s="888">
        <v>360</v>
      </c>
      <c r="B1872" s="888" t="s">
        <v>1090</v>
      </c>
      <c r="C1872" s="888" t="s">
        <v>1253</v>
      </c>
      <c r="D1872" s="889">
        <v>46023</v>
      </c>
      <c r="E1872" s="888" t="s">
        <v>310</v>
      </c>
      <c r="F1872" s="888" t="s">
        <v>310</v>
      </c>
    </row>
    <row r="1873" spans="1:6">
      <c r="A1873" s="888">
        <v>360</v>
      </c>
      <c r="B1873" s="888" t="s">
        <v>1090</v>
      </c>
      <c r="C1873" s="888" t="s">
        <v>1253</v>
      </c>
      <c r="D1873" s="889">
        <v>46024</v>
      </c>
      <c r="E1873" s="888" t="s">
        <v>310</v>
      </c>
      <c r="F1873" s="888" t="s">
        <v>310</v>
      </c>
    </row>
    <row r="1874" spans="1:6">
      <c r="A1874" s="888">
        <v>360</v>
      </c>
      <c r="B1874" s="888" t="s">
        <v>1090</v>
      </c>
      <c r="C1874" s="888" t="s">
        <v>1253</v>
      </c>
      <c r="D1874" s="889">
        <v>46025</v>
      </c>
      <c r="E1874" s="888" t="s">
        <v>310</v>
      </c>
      <c r="F1874" s="888" t="s">
        <v>310</v>
      </c>
    </row>
    <row r="1875" spans="1:6">
      <c r="A1875" s="888">
        <v>360</v>
      </c>
      <c r="B1875" s="888" t="s">
        <v>1090</v>
      </c>
      <c r="C1875" s="888" t="s">
        <v>1253</v>
      </c>
      <c r="D1875" s="889">
        <v>46026</v>
      </c>
      <c r="E1875" s="888" t="s">
        <v>310</v>
      </c>
      <c r="F1875" s="888" t="s">
        <v>310</v>
      </c>
    </row>
    <row r="1876" spans="1:6">
      <c r="A1876" s="888">
        <v>360</v>
      </c>
      <c r="B1876" s="888" t="s">
        <v>1090</v>
      </c>
      <c r="C1876" s="888" t="s">
        <v>1253</v>
      </c>
      <c r="D1876" s="889">
        <v>46027</v>
      </c>
      <c r="E1876" s="888" t="s">
        <v>310</v>
      </c>
      <c r="F1876" s="888" t="s">
        <v>310</v>
      </c>
    </row>
    <row r="1877" spans="1:6">
      <c r="A1877" s="888">
        <v>360</v>
      </c>
      <c r="B1877" s="888" t="s">
        <v>1090</v>
      </c>
      <c r="C1877" s="888" t="s">
        <v>1253</v>
      </c>
      <c r="D1877" s="889">
        <v>46028</v>
      </c>
      <c r="E1877" s="888" t="s">
        <v>310</v>
      </c>
      <c r="F1877" s="888" t="s">
        <v>310</v>
      </c>
    </row>
    <row r="1878" spans="1:6">
      <c r="A1878" s="888">
        <v>360</v>
      </c>
      <c r="B1878" s="888" t="s">
        <v>1090</v>
      </c>
      <c r="C1878" s="888" t="s">
        <v>1253</v>
      </c>
      <c r="D1878" s="889">
        <v>46029</v>
      </c>
      <c r="E1878" s="888" t="s">
        <v>310</v>
      </c>
      <c r="F1878" s="888" t="s">
        <v>310</v>
      </c>
    </row>
    <row r="1879" spans="1:6">
      <c r="A1879" s="888">
        <v>360</v>
      </c>
      <c r="B1879" s="888" t="s">
        <v>1090</v>
      </c>
      <c r="C1879" s="888" t="s">
        <v>1253</v>
      </c>
      <c r="D1879" s="889">
        <v>46030</v>
      </c>
      <c r="E1879" s="888" t="s">
        <v>310</v>
      </c>
      <c r="F1879" s="888" t="s">
        <v>310</v>
      </c>
    </row>
    <row r="1880" spans="1:6">
      <c r="A1880" s="888">
        <v>360</v>
      </c>
      <c r="B1880" s="888" t="s">
        <v>1090</v>
      </c>
      <c r="C1880" s="888" t="s">
        <v>1253</v>
      </c>
      <c r="D1880" s="889">
        <v>46031</v>
      </c>
      <c r="E1880" s="888" t="s">
        <v>310</v>
      </c>
      <c r="F1880" s="888" t="s">
        <v>310</v>
      </c>
    </row>
    <row r="1881" spans="1:6">
      <c r="A1881" s="888">
        <v>360</v>
      </c>
      <c r="B1881" s="888" t="s">
        <v>1090</v>
      </c>
      <c r="C1881" s="888" t="s">
        <v>1253</v>
      </c>
      <c r="D1881" s="889">
        <v>46032</v>
      </c>
      <c r="E1881" s="888" t="s">
        <v>310</v>
      </c>
      <c r="F1881" s="888" t="s">
        <v>310</v>
      </c>
    </row>
    <row r="1882" spans="1:6">
      <c r="A1882" s="888">
        <v>360</v>
      </c>
      <c r="B1882" s="888" t="s">
        <v>1090</v>
      </c>
      <c r="C1882" s="888" t="s">
        <v>1253</v>
      </c>
      <c r="D1882" s="889">
        <v>46033</v>
      </c>
      <c r="E1882" s="888" t="s">
        <v>310</v>
      </c>
      <c r="F1882" s="888" t="s">
        <v>310</v>
      </c>
    </row>
    <row r="1883" spans="1:6">
      <c r="A1883" s="888">
        <v>360</v>
      </c>
      <c r="B1883" s="888" t="s">
        <v>1090</v>
      </c>
      <c r="C1883" s="888" t="s">
        <v>1253</v>
      </c>
      <c r="D1883" s="889">
        <v>46034</v>
      </c>
      <c r="E1883" s="888" t="s">
        <v>310</v>
      </c>
      <c r="F1883" s="888" t="s">
        <v>310</v>
      </c>
    </row>
    <row r="1884" spans="1:6">
      <c r="A1884" s="888">
        <v>360</v>
      </c>
      <c r="B1884" s="888" t="s">
        <v>1090</v>
      </c>
      <c r="C1884" s="888" t="s">
        <v>1253</v>
      </c>
      <c r="D1884" s="889">
        <v>46035</v>
      </c>
      <c r="E1884" s="888" t="s">
        <v>310</v>
      </c>
      <c r="F1884" s="888" t="s">
        <v>310</v>
      </c>
    </row>
    <row r="1885" spans="1:6">
      <c r="A1885" s="888">
        <v>360</v>
      </c>
      <c r="B1885" s="888" t="s">
        <v>1090</v>
      </c>
      <c r="C1885" s="888" t="s">
        <v>1253</v>
      </c>
      <c r="D1885" s="889">
        <v>46036</v>
      </c>
      <c r="E1885" s="888" t="s">
        <v>310</v>
      </c>
      <c r="F1885" s="888" t="s">
        <v>310</v>
      </c>
    </row>
    <row r="1886" spans="1:6">
      <c r="A1886" s="888">
        <v>360</v>
      </c>
      <c r="B1886" s="888" t="s">
        <v>1090</v>
      </c>
      <c r="C1886" s="888" t="s">
        <v>1253</v>
      </c>
      <c r="D1886" s="889">
        <v>46037</v>
      </c>
      <c r="E1886" s="888" t="s">
        <v>310</v>
      </c>
      <c r="F1886" s="888" t="s">
        <v>310</v>
      </c>
    </row>
    <row r="1887" spans="1:6">
      <c r="A1887" s="888">
        <v>360</v>
      </c>
      <c r="B1887" s="888" t="s">
        <v>1090</v>
      </c>
      <c r="C1887" s="888" t="s">
        <v>1253</v>
      </c>
      <c r="D1887" s="889">
        <v>46038</v>
      </c>
      <c r="E1887" s="888" t="s">
        <v>310</v>
      </c>
      <c r="F1887" s="888" t="s">
        <v>310</v>
      </c>
    </row>
    <row r="1888" spans="1:6">
      <c r="A1888" s="888">
        <v>360</v>
      </c>
      <c r="B1888" s="888" t="s">
        <v>1090</v>
      </c>
      <c r="C1888" s="888" t="s">
        <v>1253</v>
      </c>
      <c r="D1888" s="889">
        <v>46039</v>
      </c>
      <c r="E1888" s="888" t="s">
        <v>310</v>
      </c>
      <c r="F1888" s="888" t="s">
        <v>310</v>
      </c>
    </row>
    <row r="1889" spans="1:6">
      <c r="A1889" s="888">
        <v>360</v>
      </c>
      <c r="B1889" s="888" t="s">
        <v>1090</v>
      </c>
      <c r="C1889" s="888" t="s">
        <v>1253</v>
      </c>
      <c r="D1889" s="889">
        <v>46040</v>
      </c>
      <c r="E1889" s="888" t="s">
        <v>310</v>
      </c>
      <c r="F1889" s="888" t="s">
        <v>310</v>
      </c>
    </row>
    <row r="1890" spans="1:6">
      <c r="A1890" s="888">
        <v>360</v>
      </c>
      <c r="B1890" s="888" t="s">
        <v>1090</v>
      </c>
      <c r="C1890" s="888" t="s">
        <v>1253</v>
      </c>
      <c r="D1890" s="889">
        <v>46041</v>
      </c>
      <c r="E1890" s="888" t="s">
        <v>310</v>
      </c>
      <c r="F1890" s="888" t="s">
        <v>310</v>
      </c>
    </row>
    <row r="1891" spans="1:6">
      <c r="A1891" s="888">
        <v>360</v>
      </c>
      <c r="B1891" s="888" t="s">
        <v>1090</v>
      </c>
      <c r="C1891" s="888" t="s">
        <v>1253</v>
      </c>
      <c r="D1891" s="889">
        <v>46042</v>
      </c>
      <c r="E1891" s="888" t="s">
        <v>310</v>
      </c>
      <c r="F1891" s="888" t="s">
        <v>310</v>
      </c>
    </row>
    <row r="1892" spans="1:6">
      <c r="A1892" s="888">
        <v>360</v>
      </c>
      <c r="B1892" s="888" t="s">
        <v>1090</v>
      </c>
      <c r="C1892" s="888" t="s">
        <v>1253</v>
      </c>
      <c r="D1892" s="889">
        <v>46043</v>
      </c>
      <c r="E1892" s="888" t="s">
        <v>310</v>
      </c>
      <c r="F1892" s="888" t="s">
        <v>310</v>
      </c>
    </row>
    <row r="1893" spans="1:6">
      <c r="A1893" s="888">
        <v>360</v>
      </c>
      <c r="B1893" s="888" t="s">
        <v>1090</v>
      </c>
      <c r="C1893" s="888" t="s">
        <v>1253</v>
      </c>
      <c r="D1893" s="889">
        <v>46044</v>
      </c>
      <c r="E1893" s="888" t="s">
        <v>310</v>
      </c>
      <c r="F1893" s="888" t="s">
        <v>310</v>
      </c>
    </row>
    <row r="1894" spans="1:6">
      <c r="A1894" s="888">
        <v>360</v>
      </c>
      <c r="B1894" s="888" t="s">
        <v>1090</v>
      </c>
      <c r="C1894" s="888" t="s">
        <v>1253</v>
      </c>
      <c r="D1894" s="889">
        <v>46045</v>
      </c>
      <c r="E1894" s="888" t="s">
        <v>310</v>
      </c>
      <c r="F1894" s="888" t="s">
        <v>310</v>
      </c>
    </row>
    <row r="1895" spans="1:6">
      <c r="A1895" s="888">
        <v>360</v>
      </c>
      <c r="B1895" s="888" t="s">
        <v>1090</v>
      </c>
      <c r="C1895" s="888" t="s">
        <v>1253</v>
      </c>
      <c r="D1895" s="889">
        <v>46046</v>
      </c>
      <c r="E1895" s="888" t="s">
        <v>310</v>
      </c>
      <c r="F1895" s="888" t="s">
        <v>310</v>
      </c>
    </row>
    <row r="1896" spans="1:6">
      <c r="A1896" s="888">
        <v>360</v>
      </c>
      <c r="B1896" s="888" t="s">
        <v>1090</v>
      </c>
      <c r="C1896" s="888" t="s">
        <v>1253</v>
      </c>
      <c r="D1896" s="889">
        <v>46047</v>
      </c>
      <c r="E1896" s="888" t="s">
        <v>310</v>
      </c>
      <c r="F1896" s="888" t="s">
        <v>310</v>
      </c>
    </row>
    <row r="1897" spans="1:6">
      <c r="A1897" s="888">
        <v>360</v>
      </c>
      <c r="B1897" s="888" t="s">
        <v>1090</v>
      </c>
      <c r="C1897" s="888" t="s">
        <v>1253</v>
      </c>
      <c r="D1897" s="889">
        <v>46048</v>
      </c>
      <c r="E1897" s="888" t="s">
        <v>310</v>
      </c>
      <c r="F1897" s="888" t="s">
        <v>310</v>
      </c>
    </row>
    <row r="1898" spans="1:6">
      <c r="A1898" s="888">
        <v>360</v>
      </c>
      <c r="B1898" s="888" t="s">
        <v>1090</v>
      </c>
      <c r="C1898" s="888" t="s">
        <v>1253</v>
      </c>
      <c r="D1898" s="889">
        <v>46049</v>
      </c>
      <c r="E1898" s="888" t="s">
        <v>310</v>
      </c>
      <c r="F1898" s="888" t="s">
        <v>310</v>
      </c>
    </row>
    <row r="1899" spans="1:6">
      <c r="A1899" s="888">
        <v>360</v>
      </c>
      <c r="B1899" s="888" t="s">
        <v>1090</v>
      </c>
      <c r="C1899" s="888" t="s">
        <v>1253</v>
      </c>
      <c r="D1899" s="889">
        <v>46050</v>
      </c>
      <c r="E1899" s="888" t="s">
        <v>310</v>
      </c>
      <c r="F1899" s="888" t="s">
        <v>310</v>
      </c>
    </row>
    <row r="1900" spans="1:6">
      <c r="A1900" s="888">
        <v>360</v>
      </c>
      <c r="B1900" s="888" t="s">
        <v>1090</v>
      </c>
      <c r="C1900" s="888" t="s">
        <v>1253</v>
      </c>
      <c r="D1900" s="889">
        <v>46051</v>
      </c>
      <c r="E1900" s="888" t="s">
        <v>310</v>
      </c>
      <c r="F1900" s="888" t="s">
        <v>310</v>
      </c>
    </row>
    <row r="1901" spans="1:6">
      <c r="A1901" s="888">
        <v>360</v>
      </c>
      <c r="B1901" s="888" t="s">
        <v>1090</v>
      </c>
      <c r="C1901" s="888" t="s">
        <v>1253</v>
      </c>
      <c r="D1901" s="889">
        <v>46052</v>
      </c>
      <c r="E1901" s="888" t="s">
        <v>310</v>
      </c>
      <c r="F1901" s="888" t="s">
        <v>310</v>
      </c>
    </row>
    <row r="1902" spans="1:6">
      <c r="A1902" s="888">
        <v>360</v>
      </c>
      <c r="B1902" s="888" t="s">
        <v>1090</v>
      </c>
      <c r="C1902" s="888" t="s">
        <v>1253</v>
      </c>
      <c r="D1902" s="889">
        <v>46053</v>
      </c>
      <c r="E1902" s="888" t="s">
        <v>310</v>
      </c>
      <c r="F1902" s="888" t="s">
        <v>310</v>
      </c>
    </row>
    <row r="1903" spans="1:6">
      <c r="A1903" s="888">
        <v>360</v>
      </c>
      <c r="B1903" s="888" t="s">
        <v>1090</v>
      </c>
      <c r="C1903" s="888" t="s">
        <v>1253</v>
      </c>
      <c r="D1903" s="889">
        <v>46054</v>
      </c>
      <c r="E1903" s="888" t="s">
        <v>310</v>
      </c>
      <c r="F1903" s="888" t="s">
        <v>310</v>
      </c>
    </row>
    <row r="1904" spans="1:6">
      <c r="A1904" s="888">
        <v>361</v>
      </c>
      <c r="B1904" s="888" t="s">
        <v>1091</v>
      </c>
      <c r="C1904" s="888" t="s">
        <v>1253</v>
      </c>
      <c r="D1904" s="889">
        <v>46023</v>
      </c>
      <c r="E1904" s="888" t="s">
        <v>310</v>
      </c>
      <c r="F1904" s="888" t="s">
        <v>310</v>
      </c>
    </row>
    <row r="1905" spans="1:6">
      <c r="A1905" s="888">
        <v>361</v>
      </c>
      <c r="B1905" s="888" t="s">
        <v>1091</v>
      </c>
      <c r="C1905" s="888" t="s">
        <v>1253</v>
      </c>
      <c r="D1905" s="889">
        <v>46024</v>
      </c>
      <c r="E1905" s="888" t="s">
        <v>310</v>
      </c>
      <c r="F1905" s="888" t="s">
        <v>310</v>
      </c>
    </row>
    <row r="1906" spans="1:6">
      <c r="A1906" s="888">
        <v>361</v>
      </c>
      <c r="B1906" s="888" t="s">
        <v>1091</v>
      </c>
      <c r="C1906" s="888" t="s">
        <v>1253</v>
      </c>
      <c r="D1906" s="889">
        <v>46025</v>
      </c>
      <c r="E1906" s="888" t="s">
        <v>310</v>
      </c>
      <c r="F1906" s="888" t="s">
        <v>310</v>
      </c>
    </row>
    <row r="1907" spans="1:6">
      <c r="A1907" s="888">
        <v>361</v>
      </c>
      <c r="B1907" s="888" t="s">
        <v>1091</v>
      </c>
      <c r="C1907" s="888" t="s">
        <v>1253</v>
      </c>
      <c r="D1907" s="889">
        <v>46026</v>
      </c>
      <c r="E1907" s="888" t="s">
        <v>310</v>
      </c>
      <c r="F1907" s="888" t="s">
        <v>310</v>
      </c>
    </row>
    <row r="1908" spans="1:6">
      <c r="A1908" s="888">
        <v>361</v>
      </c>
      <c r="B1908" s="888" t="s">
        <v>1091</v>
      </c>
      <c r="C1908" s="888" t="s">
        <v>1253</v>
      </c>
      <c r="D1908" s="889">
        <v>46027</v>
      </c>
      <c r="E1908" s="888" t="s">
        <v>310</v>
      </c>
      <c r="F1908" s="888" t="s">
        <v>310</v>
      </c>
    </row>
    <row r="1909" spans="1:6">
      <c r="A1909" s="888">
        <v>361</v>
      </c>
      <c r="B1909" s="888" t="s">
        <v>1091</v>
      </c>
      <c r="C1909" s="888" t="s">
        <v>1253</v>
      </c>
      <c r="D1909" s="889">
        <v>46028</v>
      </c>
      <c r="E1909" s="888" t="s">
        <v>310</v>
      </c>
      <c r="F1909" s="888" t="s">
        <v>310</v>
      </c>
    </row>
    <row r="1910" spans="1:6">
      <c r="A1910" s="888">
        <v>361</v>
      </c>
      <c r="B1910" s="888" t="s">
        <v>1091</v>
      </c>
      <c r="C1910" s="888" t="s">
        <v>1253</v>
      </c>
      <c r="D1910" s="889">
        <v>46029</v>
      </c>
      <c r="E1910" s="888" t="s">
        <v>310</v>
      </c>
      <c r="F1910" s="888" t="s">
        <v>310</v>
      </c>
    </row>
    <row r="1911" spans="1:6">
      <c r="A1911" s="888">
        <v>361</v>
      </c>
      <c r="B1911" s="888" t="s">
        <v>1091</v>
      </c>
      <c r="C1911" s="888" t="s">
        <v>1253</v>
      </c>
      <c r="D1911" s="889">
        <v>46030</v>
      </c>
      <c r="E1911" s="888" t="s">
        <v>310</v>
      </c>
      <c r="F1911" s="888" t="s">
        <v>310</v>
      </c>
    </row>
    <row r="1912" spans="1:6">
      <c r="A1912" s="888">
        <v>361</v>
      </c>
      <c r="B1912" s="888" t="s">
        <v>1091</v>
      </c>
      <c r="C1912" s="888" t="s">
        <v>1253</v>
      </c>
      <c r="D1912" s="889">
        <v>46031</v>
      </c>
      <c r="E1912" s="888" t="s">
        <v>310</v>
      </c>
      <c r="F1912" s="888" t="s">
        <v>310</v>
      </c>
    </row>
    <row r="1913" spans="1:6">
      <c r="A1913" s="888">
        <v>361</v>
      </c>
      <c r="B1913" s="888" t="s">
        <v>1091</v>
      </c>
      <c r="C1913" s="888" t="s">
        <v>1253</v>
      </c>
      <c r="D1913" s="889">
        <v>46032</v>
      </c>
      <c r="E1913" s="888" t="s">
        <v>310</v>
      </c>
      <c r="F1913" s="888" t="s">
        <v>310</v>
      </c>
    </row>
    <row r="1914" spans="1:6">
      <c r="A1914" s="888">
        <v>361</v>
      </c>
      <c r="B1914" s="888" t="s">
        <v>1091</v>
      </c>
      <c r="C1914" s="888" t="s">
        <v>1253</v>
      </c>
      <c r="D1914" s="889">
        <v>46033</v>
      </c>
      <c r="E1914" s="888" t="s">
        <v>310</v>
      </c>
      <c r="F1914" s="888" t="s">
        <v>310</v>
      </c>
    </row>
    <row r="1915" spans="1:6">
      <c r="A1915" s="888">
        <v>361</v>
      </c>
      <c r="B1915" s="888" t="s">
        <v>1091</v>
      </c>
      <c r="C1915" s="888" t="s">
        <v>1253</v>
      </c>
      <c r="D1915" s="889">
        <v>46034</v>
      </c>
      <c r="E1915" s="888" t="s">
        <v>310</v>
      </c>
      <c r="F1915" s="888" t="s">
        <v>310</v>
      </c>
    </row>
    <row r="1916" spans="1:6">
      <c r="A1916" s="888">
        <v>361</v>
      </c>
      <c r="B1916" s="888" t="s">
        <v>1091</v>
      </c>
      <c r="C1916" s="888" t="s">
        <v>1253</v>
      </c>
      <c r="D1916" s="889">
        <v>46035</v>
      </c>
      <c r="E1916" s="888" t="s">
        <v>310</v>
      </c>
      <c r="F1916" s="888" t="s">
        <v>310</v>
      </c>
    </row>
    <row r="1917" spans="1:6">
      <c r="A1917" s="888">
        <v>361</v>
      </c>
      <c r="B1917" s="888" t="s">
        <v>1091</v>
      </c>
      <c r="C1917" s="888" t="s">
        <v>1253</v>
      </c>
      <c r="D1917" s="889">
        <v>46036</v>
      </c>
      <c r="E1917" s="888" t="s">
        <v>310</v>
      </c>
      <c r="F1917" s="888" t="s">
        <v>310</v>
      </c>
    </row>
    <row r="1918" spans="1:6">
      <c r="A1918" s="888">
        <v>361</v>
      </c>
      <c r="B1918" s="888" t="s">
        <v>1091</v>
      </c>
      <c r="C1918" s="888" t="s">
        <v>1253</v>
      </c>
      <c r="D1918" s="889">
        <v>46037</v>
      </c>
      <c r="E1918" s="888" t="s">
        <v>310</v>
      </c>
      <c r="F1918" s="888" t="s">
        <v>310</v>
      </c>
    </row>
    <row r="1919" spans="1:6">
      <c r="A1919" s="888">
        <v>361</v>
      </c>
      <c r="B1919" s="888" t="s">
        <v>1091</v>
      </c>
      <c r="C1919" s="888" t="s">
        <v>1253</v>
      </c>
      <c r="D1919" s="889">
        <v>46038</v>
      </c>
      <c r="E1919" s="888" t="s">
        <v>310</v>
      </c>
      <c r="F1919" s="888" t="s">
        <v>310</v>
      </c>
    </row>
    <row r="1920" spans="1:6">
      <c r="A1920" s="888">
        <v>361</v>
      </c>
      <c r="B1920" s="888" t="s">
        <v>1091</v>
      </c>
      <c r="C1920" s="888" t="s">
        <v>1253</v>
      </c>
      <c r="D1920" s="889">
        <v>46039</v>
      </c>
      <c r="E1920" s="888" t="s">
        <v>310</v>
      </c>
      <c r="F1920" s="888" t="s">
        <v>310</v>
      </c>
    </row>
    <row r="1921" spans="1:6">
      <c r="A1921" s="888">
        <v>361</v>
      </c>
      <c r="B1921" s="888" t="s">
        <v>1091</v>
      </c>
      <c r="C1921" s="888" t="s">
        <v>1253</v>
      </c>
      <c r="D1921" s="889">
        <v>46040</v>
      </c>
      <c r="E1921" s="888" t="s">
        <v>310</v>
      </c>
      <c r="F1921" s="888" t="s">
        <v>310</v>
      </c>
    </row>
    <row r="1922" spans="1:6">
      <c r="A1922" s="888">
        <v>361</v>
      </c>
      <c r="B1922" s="888" t="s">
        <v>1091</v>
      </c>
      <c r="C1922" s="888" t="s">
        <v>1253</v>
      </c>
      <c r="D1922" s="889">
        <v>46041</v>
      </c>
      <c r="E1922" s="888" t="s">
        <v>310</v>
      </c>
      <c r="F1922" s="888" t="s">
        <v>310</v>
      </c>
    </row>
    <row r="1923" spans="1:6">
      <c r="A1923" s="888">
        <v>361</v>
      </c>
      <c r="B1923" s="888" t="s">
        <v>1091</v>
      </c>
      <c r="C1923" s="888" t="s">
        <v>1253</v>
      </c>
      <c r="D1923" s="889">
        <v>46042</v>
      </c>
      <c r="E1923" s="888" t="s">
        <v>310</v>
      </c>
      <c r="F1923" s="888" t="s">
        <v>310</v>
      </c>
    </row>
    <row r="1924" spans="1:6">
      <c r="A1924" s="888">
        <v>361</v>
      </c>
      <c r="B1924" s="888" t="s">
        <v>1091</v>
      </c>
      <c r="C1924" s="888" t="s">
        <v>1253</v>
      </c>
      <c r="D1924" s="889">
        <v>46043</v>
      </c>
      <c r="E1924" s="888" t="s">
        <v>310</v>
      </c>
      <c r="F1924" s="888" t="s">
        <v>310</v>
      </c>
    </row>
    <row r="1925" spans="1:6">
      <c r="A1925" s="888">
        <v>361</v>
      </c>
      <c r="B1925" s="888" t="s">
        <v>1091</v>
      </c>
      <c r="C1925" s="888" t="s">
        <v>1253</v>
      </c>
      <c r="D1925" s="889">
        <v>46044</v>
      </c>
      <c r="E1925" s="888" t="s">
        <v>310</v>
      </c>
      <c r="F1925" s="888" t="s">
        <v>310</v>
      </c>
    </row>
    <row r="1926" spans="1:6">
      <c r="A1926" s="888">
        <v>361</v>
      </c>
      <c r="B1926" s="888" t="s">
        <v>1091</v>
      </c>
      <c r="C1926" s="888" t="s">
        <v>1253</v>
      </c>
      <c r="D1926" s="889">
        <v>46045</v>
      </c>
      <c r="E1926" s="888" t="s">
        <v>310</v>
      </c>
      <c r="F1926" s="888" t="s">
        <v>310</v>
      </c>
    </row>
    <row r="1927" spans="1:6">
      <c r="A1927" s="888">
        <v>361</v>
      </c>
      <c r="B1927" s="888" t="s">
        <v>1091</v>
      </c>
      <c r="C1927" s="888" t="s">
        <v>1253</v>
      </c>
      <c r="D1927" s="889">
        <v>46046</v>
      </c>
      <c r="E1927" s="888" t="s">
        <v>310</v>
      </c>
      <c r="F1927" s="888" t="s">
        <v>310</v>
      </c>
    </row>
    <row r="1928" spans="1:6">
      <c r="A1928" s="888">
        <v>361</v>
      </c>
      <c r="B1928" s="888" t="s">
        <v>1091</v>
      </c>
      <c r="C1928" s="888" t="s">
        <v>1253</v>
      </c>
      <c r="D1928" s="889">
        <v>46047</v>
      </c>
      <c r="E1928" s="888" t="s">
        <v>310</v>
      </c>
      <c r="F1928" s="888" t="s">
        <v>310</v>
      </c>
    </row>
    <row r="1929" spans="1:6">
      <c r="A1929" s="888">
        <v>361</v>
      </c>
      <c r="B1929" s="888" t="s">
        <v>1091</v>
      </c>
      <c r="C1929" s="888" t="s">
        <v>1253</v>
      </c>
      <c r="D1929" s="889">
        <v>46048</v>
      </c>
      <c r="E1929" s="888" t="s">
        <v>310</v>
      </c>
      <c r="F1929" s="888" t="s">
        <v>310</v>
      </c>
    </row>
    <row r="1930" spans="1:6">
      <c r="A1930" s="888">
        <v>361</v>
      </c>
      <c r="B1930" s="888" t="s">
        <v>1091</v>
      </c>
      <c r="C1930" s="888" t="s">
        <v>1253</v>
      </c>
      <c r="D1930" s="889">
        <v>46049</v>
      </c>
      <c r="E1930" s="888" t="s">
        <v>310</v>
      </c>
      <c r="F1930" s="888" t="s">
        <v>310</v>
      </c>
    </row>
    <row r="1931" spans="1:6">
      <c r="A1931" s="888">
        <v>361</v>
      </c>
      <c r="B1931" s="888" t="s">
        <v>1091</v>
      </c>
      <c r="C1931" s="888" t="s">
        <v>1253</v>
      </c>
      <c r="D1931" s="889">
        <v>46050</v>
      </c>
      <c r="E1931" s="888" t="s">
        <v>310</v>
      </c>
      <c r="F1931" s="888" t="s">
        <v>310</v>
      </c>
    </row>
    <row r="1932" spans="1:6">
      <c r="A1932" s="888">
        <v>361</v>
      </c>
      <c r="B1932" s="888" t="s">
        <v>1091</v>
      </c>
      <c r="C1932" s="888" t="s">
        <v>1253</v>
      </c>
      <c r="D1932" s="889">
        <v>46051</v>
      </c>
      <c r="E1932" s="888" t="s">
        <v>310</v>
      </c>
      <c r="F1932" s="888" t="s">
        <v>310</v>
      </c>
    </row>
    <row r="1933" spans="1:6">
      <c r="A1933" s="888">
        <v>361</v>
      </c>
      <c r="B1933" s="888" t="s">
        <v>1091</v>
      </c>
      <c r="C1933" s="888" t="s">
        <v>1253</v>
      </c>
      <c r="D1933" s="889">
        <v>46052</v>
      </c>
      <c r="E1933" s="888" t="s">
        <v>310</v>
      </c>
      <c r="F1933" s="888" t="s">
        <v>310</v>
      </c>
    </row>
    <row r="1934" spans="1:6">
      <c r="A1934" s="888">
        <v>361</v>
      </c>
      <c r="B1934" s="888" t="s">
        <v>1091</v>
      </c>
      <c r="C1934" s="888" t="s">
        <v>1253</v>
      </c>
      <c r="D1934" s="889">
        <v>46053</v>
      </c>
      <c r="E1934" s="888" t="s">
        <v>310</v>
      </c>
      <c r="F1934" s="888" t="s">
        <v>310</v>
      </c>
    </row>
    <row r="1935" spans="1:6">
      <c r="A1935" s="888">
        <v>361</v>
      </c>
      <c r="B1935" s="888" t="s">
        <v>1091</v>
      </c>
      <c r="C1935" s="888" t="s">
        <v>1253</v>
      </c>
      <c r="D1935" s="889">
        <v>46054</v>
      </c>
      <c r="E1935" s="888" t="s">
        <v>310</v>
      </c>
      <c r="F1935" s="888" t="s">
        <v>310</v>
      </c>
    </row>
    <row r="1936" spans="1:6">
      <c r="A1936" s="888">
        <v>362</v>
      </c>
      <c r="B1936" s="888" t="s">
        <v>1337</v>
      </c>
      <c r="C1936" s="888" t="s">
        <v>1253</v>
      </c>
      <c r="D1936" s="889">
        <v>46023</v>
      </c>
      <c r="E1936" s="888" t="s">
        <v>310</v>
      </c>
      <c r="F1936" s="888" t="s">
        <v>310</v>
      </c>
    </row>
    <row r="1937" spans="1:6">
      <c r="A1937" s="888">
        <v>362</v>
      </c>
      <c r="B1937" s="888" t="s">
        <v>1337</v>
      </c>
      <c r="C1937" s="888" t="s">
        <v>1253</v>
      </c>
      <c r="D1937" s="889">
        <v>46024</v>
      </c>
      <c r="E1937" s="888" t="s">
        <v>310</v>
      </c>
      <c r="F1937" s="888" t="s">
        <v>310</v>
      </c>
    </row>
    <row r="1938" spans="1:6">
      <c r="A1938" s="888">
        <v>362</v>
      </c>
      <c r="B1938" s="888" t="s">
        <v>1337</v>
      </c>
      <c r="C1938" s="888" t="s">
        <v>1253</v>
      </c>
      <c r="D1938" s="889">
        <v>46025</v>
      </c>
      <c r="E1938" s="888" t="s">
        <v>310</v>
      </c>
      <c r="F1938" s="888" t="s">
        <v>310</v>
      </c>
    </row>
    <row r="1939" spans="1:6">
      <c r="A1939" s="888">
        <v>362</v>
      </c>
      <c r="B1939" s="888" t="s">
        <v>1337</v>
      </c>
      <c r="C1939" s="888" t="s">
        <v>1253</v>
      </c>
      <c r="D1939" s="889">
        <v>46026</v>
      </c>
      <c r="E1939" s="888" t="s">
        <v>310</v>
      </c>
      <c r="F1939" s="888" t="s">
        <v>310</v>
      </c>
    </row>
    <row r="1940" spans="1:6">
      <c r="A1940" s="888">
        <v>362</v>
      </c>
      <c r="B1940" s="888" t="s">
        <v>1337</v>
      </c>
      <c r="C1940" s="888" t="s">
        <v>1253</v>
      </c>
      <c r="D1940" s="889">
        <v>46027</v>
      </c>
      <c r="E1940" s="888" t="s">
        <v>310</v>
      </c>
      <c r="F1940" s="888" t="s">
        <v>310</v>
      </c>
    </row>
    <row r="1941" spans="1:6">
      <c r="A1941" s="888">
        <v>362</v>
      </c>
      <c r="B1941" s="888" t="s">
        <v>1337</v>
      </c>
      <c r="C1941" s="888" t="s">
        <v>1253</v>
      </c>
      <c r="D1941" s="889">
        <v>46028</v>
      </c>
      <c r="E1941" s="888" t="s">
        <v>310</v>
      </c>
      <c r="F1941" s="888" t="s">
        <v>310</v>
      </c>
    </row>
    <row r="1942" spans="1:6">
      <c r="A1942" s="888">
        <v>362</v>
      </c>
      <c r="B1942" s="888" t="s">
        <v>1337</v>
      </c>
      <c r="C1942" s="888" t="s">
        <v>1253</v>
      </c>
      <c r="D1942" s="889">
        <v>46029</v>
      </c>
      <c r="E1942" s="888" t="s">
        <v>310</v>
      </c>
      <c r="F1942" s="888" t="s">
        <v>310</v>
      </c>
    </row>
    <row r="1943" spans="1:6">
      <c r="A1943" s="888">
        <v>362</v>
      </c>
      <c r="B1943" s="888" t="s">
        <v>1337</v>
      </c>
      <c r="C1943" s="888" t="s">
        <v>1253</v>
      </c>
      <c r="D1943" s="889">
        <v>46030</v>
      </c>
      <c r="E1943" s="888" t="s">
        <v>310</v>
      </c>
      <c r="F1943" s="888" t="s">
        <v>310</v>
      </c>
    </row>
    <row r="1944" spans="1:6">
      <c r="A1944" s="888">
        <v>362</v>
      </c>
      <c r="B1944" s="888" t="s">
        <v>1337</v>
      </c>
      <c r="C1944" s="888" t="s">
        <v>1253</v>
      </c>
      <c r="D1944" s="889">
        <v>46031</v>
      </c>
      <c r="E1944" s="888" t="s">
        <v>310</v>
      </c>
      <c r="F1944" s="888" t="s">
        <v>310</v>
      </c>
    </row>
    <row r="1945" spans="1:6">
      <c r="A1945" s="888">
        <v>362</v>
      </c>
      <c r="B1945" s="888" t="s">
        <v>1337</v>
      </c>
      <c r="C1945" s="888" t="s">
        <v>1253</v>
      </c>
      <c r="D1945" s="889">
        <v>46032</v>
      </c>
      <c r="E1945" s="888" t="s">
        <v>310</v>
      </c>
      <c r="F1945" s="888" t="s">
        <v>310</v>
      </c>
    </row>
    <row r="1946" spans="1:6">
      <c r="A1946" s="888">
        <v>362</v>
      </c>
      <c r="B1946" s="888" t="s">
        <v>1337</v>
      </c>
      <c r="C1946" s="888" t="s">
        <v>1253</v>
      </c>
      <c r="D1946" s="889">
        <v>46033</v>
      </c>
      <c r="E1946" s="888" t="s">
        <v>310</v>
      </c>
      <c r="F1946" s="888" t="s">
        <v>310</v>
      </c>
    </row>
    <row r="1947" spans="1:6">
      <c r="A1947" s="888">
        <v>362</v>
      </c>
      <c r="B1947" s="888" t="s">
        <v>1337</v>
      </c>
      <c r="C1947" s="888" t="s">
        <v>1253</v>
      </c>
      <c r="D1947" s="889">
        <v>46034</v>
      </c>
      <c r="E1947" s="888" t="s">
        <v>310</v>
      </c>
      <c r="F1947" s="888" t="s">
        <v>310</v>
      </c>
    </row>
    <row r="1948" spans="1:6">
      <c r="A1948" s="888">
        <v>362</v>
      </c>
      <c r="B1948" s="888" t="s">
        <v>1337</v>
      </c>
      <c r="C1948" s="888" t="s">
        <v>1253</v>
      </c>
      <c r="D1948" s="889">
        <v>46035</v>
      </c>
      <c r="E1948" s="888" t="s">
        <v>310</v>
      </c>
      <c r="F1948" s="888" t="s">
        <v>310</v>
      </c>
    </row>
    <row r="1949" spans="1:6">
      <c r="A1949" s="888">
        <v>362</v>
      </c>
      <c r="B1949" s="888" t="s">
        <v>1337</v>
      </c>
      <c r="C1949" s="888" t="s">
        <v>1253</v>
      </c>
      <c r="D1949" s="889">
        <v>46036</v>
      </c>
      <c r="E1949" s="888" t="s">
        <v>310</v>
      </c>
      <c r="F1949" s="888" t="s">
        <v>310</v>
      </c>
    </row>
    <row r="1950" spans="1:6">
      <c r="A1950" s="888">
        <v>362</v>
      </c>
      <c r="B1950" s="888" t="s">
        <v>1337</v>
      </c>
      <c r="C1950" s="888" t="s">
        <v>1253</v>
      </c>
      <c r="D1950" s="889">
        <v>46037</v>
      </c>
      <c r="E1950" s="888" t="s">
        <v>310</v>
      </c>
      <c r="F1950" s="888" t="s">
        <v>310</v>
      </c>
    </row>
    <row r="1951" spans="1:6">
      <c r="A1951" s="888">
        <v>362</v>
      </c>
      <c r="B1951" s="888" t="s">
        <v>1337</v>
      </c>
      <c r="C1951" s="888" t="s">
        <v>1253</v>
      </c>
      <c r="D1951" s="889">
        <v>46038</v>
      </c>
      <c r="E1951" s="890">
        <v>0.36432870370370368</v>
      </c>
      <c r="F1951" s="888" t="s">
        <v>310</v>
      </c>
    </row>
    <row r="1952" spans="1:6">
      <c r="A1952" s="888" t="s">
        <v>2204</v>
      </c>
      <c r="B1952" s="888" t="s">
        <v>1258</v>
      </c>
      <c r="C1952" s="888" t="s">
        <v>1259</v>
      </c>
    </row>
    <row r="1953" spans="1:6">
      <c r="A1953" s="888">
        <v>362</v>
      </c>
      <c r="B1953" s="888" t="s">
        <v>1337</v>
      </c>
      <c r="C1953" s="888" t="s">
        <v>1253</v>
      </c>
      <c r="D1953" s="889">
        <v>46039</v>
      </c>
      <c r="E1953" s="888" t="s">
        <v>310</v>
      </c>
      <c r="F1953" s="888" t="s">
        <v>310</v>
      </c>
    </row>
    <row r="1954" spans="1:6">
      <c r="A1954" s="888">
        <v>362</v>
      </c>
      <c r="B1954" s="888" t="s">
        <v>1337</v>
      </c>
      <c r="C1954" s="888" t="s">
        <v>1253</v>
      </c>
      <c r="D1954" s="889">
        <v>46040</v>
      </c>
      <c r="E1954" s="888" t="s">
        <v>310</v>
      </c>
      <c r="F1954" s="888" t="s">
        <v>310</v>
      </c>
    </row>
    <row r="1955" spans="1:6">
      <c r="A1955" s="888">
        <v>362</v>
      </c>
      <c r="B1955" s="888" t="s">
        <v>1337</v>
      </c>
      <c r="C1955" s="888" t="s">
        <v>1253</v>
      </c>
      <c r="D1955" s="889">
        <v>46041</v>
      </c>
      <c r="E1955" s="890">
        <v>0.37324074074074076</v>
      </c>
      <c r="F1955" s="890">
        <v>0.75119212962962967</v>
      </c>
    </row>
    <row r="1956" spans="1:6">
      <c r="A1956" s="888" t="s">
        <v>2205</v>
      </c>
      <c r="B1956" s="888" t="s">
        <v>2206</v>
      </c>
      <c r="C1956" s="888" t="s">
        <v>1317</v>
      </c>
    </row>
    <row r="1957" spans="1:6">
      <c r="A1957" s="888">
        <v>362</v>
      </c>
      <c r="B1957" s="888" t="s">
        <v>1337</v>
      </c>
      <c r="C1957" s="888" t="s">
        <v>1253</v>
      </c>
      <c r="D1957" s="889">
        <v>46042</v>
      </c>
      <c r="E1957" s="890">
        <v>0.36071759259259262</v>
      </c>
      <c r="F1957" s="890">
        <v>0.69930555555555551</v>
      </c>
    </row>
    <row r="1958" spans="1:6">
      <c r="A1958" s="888" t="s">
        <v>2207</v>
      </c>
      <c r="B1958" s="888" t="s">
        <v>2208</v>
      </c>
      <c r="C1958" s="888" t="s">
        <v>1504</v>
      </c>
    </row>
    <row r="1959" spans="1:6">
      <c r="A1959" s="888">
        <v>362</v>
      </c>
      <c r="B1959" s="888" t="s">
        <v>1337</v>
      </c>
      <c r="C1959" s="888" t="s">
        <v>1253</v>
      </c>
      <c r="D1959" s="889">
        <v>46043</v>
      </c>
      <c r="E1959" s="890">
        <v>0.7550810185185185</v>
      </c>
      <c r="F1959" s="888" t="s">
        <v>310</v>
      </c>
    </row>
    <row r="1960" spans="1:6">
      <c r="A1960" s="888" t="s">
        <v>2209</v>
      </c>
      <c r="B1960" s="888" t="s">
        <v>1258</v>
      </c>
      <c r="C1960" s="888" t="s">
        <v>1259</v>
      </c>
    </row>
    <row r="1961" spans="1:6">
      <c r="A1961" s="888">
        <v>362</v>
      </c>
      <c r="B1961" s="888" t="s">
        <v>1337</v>
      </c>
      <c r="C1961" s="888" t="s">
        <v>1253</v>
      </c>
      <c r="D1961" s="889">
        <v>46044</v>
      </c>
      <c r="E1961" s="890">
        <v>0.75011574074074072</v>
      </c>
      <c r="F1961" s="888" t="s">
        <v>310</v>
      </c>
    </row>
    <row r="1962" spans="1:6">
      <c r="A1962" s="888" t="s">
        <v>2210</v>
      </c>
      <c r="B1962" s="888" t="s">
        <v>1258</v>
      </c>
      <c r="C1962" s="888" t="s">
        <v>1259</v>
      </c>
    </row>
    <row r="1963" spans="1:6">
      <c r="A1963" s="888">
        <v>362</v>
      </c>
      <c r="B1963" s="888" t="s">
        <v>1337</v>
      </c>
      <c r="C1963" s="888" t="s">
        <v>1253</v>
      </c>
      <c r="D1963" s="889">
        <v>46045</v>
      </c>
      <c r="E1963" s="890">
        <v>0.36745370370370373</v>
      </c>
      <c r="F1963" s="890">
        <v>0.75016203703703699</v>
      </c>
    </row>
    <row r="1964" spans="1:6">
      <c r="A1964" s="888" t="s">
        <v>2211</v>
      </c>
      <c r="B1964" s="888" t="s">
        <v>2212</v>
      </c>
      <c r="C1964" s="888" t="s">
        <v>1314</v>
      </c>
    </row>
    <row r="1965" spans="1:6">
      <c r="A1965" s="888">
        <v>362</v>
      </c>
      <c r="B1965" s="888" t="s">
        <v>1337</v>
      </c>
      <c r="C1965" s="888" t="s">
        <v>1253</v>
      </c>
      <c r="D1965" s="889">
        <v>46046</v>
      </c>
      <c r="E1965" s="888" t="s">
        <v>310</v>
      </c>
      <c r="F1965" s="888" t="s">
        <v>310</v>
      </c>
    </row>
    <row r="1966" spans="1:6">
      <c r="A1966" s="888">
        <v>362</v>
      </c>
      <c r="B1966" s="888" t="s">
        <v>1337</v>
      </c>
      <c r="C1966" s="888" t="s">
        <v>1253</v>
      </c>
      <c r="D1966" s="889">
        <v>46047</v>
      </c>
      <c r="E1966" s="888" t="s">
        <v>310</v>
      </c>
      <c r="F1966" s="888" t="s">
        <v>310</v>
      </c>
    </row>
    <row r="1967" spans="1:6">
      <c r="A1967" s="888">
        <v>362</v>
      </c>
      <c r="B1967" s="888" t="s">
        <v>1337</v>
      </c>
      <c r="C1967" s="888" t="s">
        <v>1253</v>
      </c>
      <c r="D1967" s="889">
        <v>46048</v>
      </c>
      <c r="E1967" s="890">
        <v>0.36076388888888888</v>
      </c>
      <c r="F1967" s="890">
        <v>0.75141203703703707</v>
      </c>
    </row>
    <row r="1968" spans="1:6">
      <c r="A1968" s="888" t="s">
        <v>2213</v>
      </c>
      <c r="B1968" s="888" t="s">
        <v>2214</v>
      </c>
      <c r="C1968" s="888" t="s">
        <v>1437</v>
      </c>
    </row>
    <row r="1969" spans="1:6">
      <c r="A1969" s="888">
        <v>362</v>
      </c>
      <c r="B1969" s="888" t="s">
        <v>1337</v>
      </c>
      <c r="C1969" s="888" t="s">
        <v>1253</v>
      </c>
      <c r="D1969" s="889">
        <v>46049</v>
      </c>
      <c r="E1969" s="890">
        <v>0.36179398148148151</v>
      </c>
      <c r="F1969" s="890">
        <v>0.70915509259259257</v>
      </c>
    </row>
    <row r="1970" spans="1:6">
      <c r="A1970" s="888" t="s">
        <v>2215</v>
      </c>
      <c r="B1970" s="888" t="s">
        <v>2216</v>
      </c>
      <c r="C1970" s="888" t="s">
        <v>1988</v>
      </c>
    </row>
    <row r="1971" spans="1:6">
      <c r="A1971" s="888">
        <v>362</v>
      </c>
      <c r="B1971" s="888" t="s">
        <v>1337</v>
      </c>
      <c r="C1971" s="888" t="s">
        <v>1253</v>
      </c>
      <c r="D1971" s="889">
        <v>46050</v>
      </c>
      <c r="E1971" s="890">
        <v>0.35496527777777775</v>
      </c>
      <c r="F1971" s="890">
        <v>0.7318055555555556</v>
      </c>
    </row>
    <row r="1972" spans="1:6">
      <c r="A1972" s="888" t="s">
        <v>2217</v>
      </c>
      <c r="B1972" s="888" t="s">
        <v>2218</v>
      </c>
      <c r="C1972" s="888" t="s">
        <v>1610</v>
      </c>
    </row>
    <row r="1973" spans="1:6">
      <c r="A1973" s="888">
        <v>362</v>
      </c>
      <c r="B1973" s="888" t="s">
        <v>1337</v>
      </c>
      <c r="C1973" s="888" t="s">
        <v>1253</v>
      </c>
      <c r="D1973" s="889">
        <v>46051</v>
      </c>
      <c r="E1973" s="890">
        <v>0.3535300925925926</v>
      </c>
      <c r="F1973" s="890">
        <v>0.75199074074074079</v>
      </c>
    </row>
    <row r="1974" spans="1:6">
      <c r="A1974" s="888" t="s">
        <v>2219</v>
      </c>
      <c r="B1974" s="888" t="s">
        <v>2220</v>
      </c>
      <c r="C1974" s="888" t="s">
        <v>1383</v>
      </c>
    </row>
    <row r="1975" spans="1:6">
      <c r="A1975" s="888">
        <v>362</v>
      </c>
      <c r="B1975" s="888" t="s">
        <v>1337</v>
      </c>
      <c r="C1975" s="888" t="s">
        <v>1253</v>
      </c>
      <c r="D1975" s="889">
        <v>46052</v>
      </c>
      <c r="E1975" s="890">
        <v>0.35660879629629627</v>
      </c>
      <c r="F1975" s="890">
        <v>0.72663194444444446</v>
      </c>
    </row>
    <row r="1976" spans="1:6">
      <c r="A1976" s="888" t="s">
        <v>2221</v>
      </c>
      <c r="B1976" s="888" t="s">
        <v>2222</v>
      </c>
      <c r="C1976" s="888" t="s">
        <v>2223</v>
      </c>
    </row>
    <row r="1977" spans="1:6">
      <c r="A1977" s="888">
        <v>362</v>
      </c>
      <c r="B1977" s="888" t="s">
        <v>1337</v>
      </c>
      <c r="C1977" s="888" t="s">
        <v>1253</v>
      </c>
      <c r="D1977" s="889">
        <v>46053</v>
      </c>
      <c r="E1977" s="888" t="s">
        <v>310</v>
      </c>
      <c r="F1977" s="888" t="s">
        <v>310</v>
      </c>
    </row>
    <row r="1978" spans="1:6">
      <c r="A1978" s="888">
        <v>362</v>
      </c>
      <c r="B1978" s="888" t="s">
        <v>1337</v>
      </c>
      <c r="C1978" s="888" t="s">
        <v>1253</v>
      </c>
      <c r="D1978" s="889">
        <v>46054</v>
      </c>
      <c r="E1978" s="888" t="s">
        <v>310</v>
      </c>
      <c r="F1978" s="888" t="s">
        <v>310</v>
      </c>
    </row>
    <row r="1979" spans="1:6">
      <c r="A1979" s="888">
        <v>363</v>
      </c>
      <c r="B1979" s="888" t="s">
        <v>1199</v>
      </c>
      <c r="C1979" s="888" t="s">
        <v>1767</v>
      </c>
      <c r="D1979" s="889">
        <v>46023</v>
      </c>
      <c r="E1979" s="888" t="s">
        <v>310</v>
      </c>
      <c r="F1979" s="888" t="s">
        <v>310</v>
      </c>
    </row>
    <row r="1980" spans="1:6">
      <c r="A1980" s="888">
        <v>363</v>
      </c>
      <c r="B1980" s="888" t="s">
        <v>1199</v>
      </c>
      <c r="C1980" s="888" t="s">
        <v>1767</v>
      </c>
      <c r="D1980" s="889">
        <v>46024</v>
      </c>
      <c r="E1980" s="888" t="s">
        <v>310</v>
      </c>
      <c r="F1980" s="888" t="s">
        <v>310</v>
      </c>
    </row>
    <row r="1981" spans="1:6">
      <c r="A1981" s="888">
        <v>363</v>
      </c>
      <c r="B1981" s="888" t="s">
        <v>1199</v>
      </c>
      <c r="C1981" s="888" t="s">
        <v>1767</v>
      </c>
      <c r="D1981" s="889">
        <v>46025</v>
      </c>
      <c r="E1981" s="888" t="s">
        <v>310</v>
      </c>
      <c r="F1981" s="888" t="s">
        <v>310</v>
      </c>
    </row>
    <row r="1982" spans="1:6">
      <c r="A1982" s="888">
        <v>363</v>
      </c>
      <c r="B1982" s="888" t="s">
        <v>1199</v>
      </c>
      <c r="C1982" s="888" t="s">
        <v>1767</v>
      </c>
      <c r="D1982" s="889">
        <v>46026</v>
      </c>
      <c r="E1982" s="888" t="s">
        <v>310</v>
      </c>
      <c r="F1982" s="888" t="s">
        <v>310</v>
      </c>
    </row>
    <row r="1983" spans="1:6">
      <c r="A1983" s="888">
        <v>363</v>
      </c>
      <c r="B1983" s="888" t="s">
        <v>1199</v>
      </c>
      <c r="C1983" s="888" t="s">
        <v>1767</v>
      </c>
      <c r="D1983" s="889">
        <v>46027</v>
      </c>
      <c r="E1983" s="890">
        <v>0.35568287037037039</v>
      </c>
      <c r="F1983" s="890">
        <v>0.75964120370370369</v>
      </c>
    </row>
    <row r="1984" spans="1:6">
      <c r="A1984" s="888" t="s">
        <v>2224</v>
      </c>
      <c r="B1984" s="888" t="s">
        <v>2225</v>
      </c>
      <c r="C1984" s="888" t="s">
        <v>1266</v>
      </c>
    </row>
    <row r="1985" spans="1:6">
      <c r="A1985" s="888">
        <v>363</v>
      </c>
      <c r="B1985" s="888" t="s">
        <v>1199</v>
      </c>
      <c r="C1985" s="888" t="s">
        <v>1767</v>
      </c>
      <c r="D1985" s="889">
        <v>46028</v>
      </c>
      <c r="E1985" s="890">
        <v>0.36578703703703702</v>
      </c>
      <c r="F1985" s="890">
        <v>0.77372685185185186</v>
      </c>
    </row>
    <row r="1986" spans="1:6">
      <c r="A1986" s="888" t="s">
        <v>2226</v>
      </c>
      <c r="B1986" s="888" t="s">
        <v>2227</v>
      </c>
      <c r="C1986" s="888" t="s">
        <v>1645</v>
      </c>
    </row>
    <row r="1987" spans="1:6">
      <c r="A1987" s="888">
        <v>363</v>
      </c>
      <c r="B1987" s="888" t="s">
        <v>1199</v>
      </c>
      <c r="C1987" s="888" t="s">
        <v>1767</v>
      </c>
      <c r="D1987" s="889">
        <v>46029</v>
      </c>
      <c r="E1987" s="890">
        <v>0.36042824074074076</v>
      </c>
      <c r="F1987" s="890">
        <v>0.77479166666666666</v>
      </c>
    </row>
    <row r="1988" spans="1:6">
      <c r="A1988" s="888" t="s">
        <v>2228</v>
      </c>
      <c r="B1988" s="888" t="s">
        <v>2229</v>
      </c>
      <c r="C1988" s="888" t="s">
        <v>2009</v>
      </c>
    </row>
    <row r="1989" spans="1:6">
      <c r="A1989" s="888">
        <v>363</v>
      </c>
      <c r="B1989" s="888" t="s">
        <v>1199</v>
      </c>
      <c r="C1989" s="888" t="s">
        <v>1767</v>
      </c>
      <c r="D1989" s="889">
        <v>46030</v>
      </c>
      <c r="E1989" s="890">
        <v>0.36990740740740741</v>
      </c>
      <c r="F1989" s="890">
        <v>0.75858796296296294</v>
      </c>
    </row>
    <row r="1990" spans="1:6">
      <c r="A1990" s="888" t="s">
        <v>2230</v>
      </c>
      <c r="B1990" s="888" t="s">
        <v>2231</v>
      </c>
      <c r="C1990" s="888" t="s">
        <v>2232</v>
      </c>
    </row>
    <row r="1991" spans="1:6">
      <c r="A1991" s="888">
        <v>363</v>
      </c>
      <c r="B1991" s="888" t="s">
        <v>1199</v>
      </c>
      <c r="C1991" s="888" t="s">
        <v>1767</v>
      </c>
      <c r="D1991" s="889">
        <v>46031</v>
      </c>
      <c r="E1991" s="890">
        <v>0.35747685185185185</v>
      </c>
      <c r="F1991" s="890">
        <v>0.77667824074074077</v>
      </c>
    </row>
    <row r="1992" spans="1:6">
      <c r="A1992" s="888" t="s">
        <v>2233</v>
      </c>
      <c r="B1992" s="888" t="s">
        <v>2234</v>
      </c>
      <c r="C1992" s="888" t="s">
        <v>1773</v>
      </c>
    </row>
    <row r="1993" spans="1:6">
      <c r="A1993" s="888">
        <v>363</v>
      </c>
      <c r="B1993" s="888" t="s">
        <v>1199</v>
      </c>
      <c r="C1993" s="888" t="s">
        <v>1767</v>
      </c>
      <c r="D1993" s="889">
        <v>46032</v>
      </c>
      <c r="E1993" s="890">
        <v>0.35987268518518517</v>
      </c>
      <c r="F1993" s="890">
        <v>0.77287037037037032</v>
      </c>
    </row>
    <row r="1994" spans="1:6">
      <c r="A1994" s="888" t="s">
        <v>2235</v>
      </c>
      <c r="B1994" s="888" t="s">
        <v>2236</v>
      </c>
      <c r="C1994" s="888" t="s">
        <v>1360</v>
      </c>
    </row>
    <row r="1995" spans="1:6">
      <c r="A1995" s="888">
        <v>363</v>
      </c>
      <c r="B1995" s="888" t="s">
        <v>1199</v>
      </c>
      <c r="C1995" s="888" t="s">
        <v>1767</v>
      </c>
      <c r="D1995" s="889">
        <v>46033</v>
      </c>
      <c r="E1995" s="888" t="s">
        <v>310</v>
      </c>
      <c r="F1995" s="888" t="s">
        <v>310</v>
      </c>
    </row>
    <row r="1996" spans="1:6">
      <c r="A1996" s="888">
        <v>363</v>
      </c>
      <c r="B1996" s="888" t="s">
        <v>1199</v>
      </c>
      <c r="C1996" s="888" t="s">
        <v>1767</v>
      </c>
      <c r="D1996" s="889">
        <v>46034</v>
      </c>
      <c r="E1996" s="890">
        <v>0.35953703703703704</v>
      </c>
      <c r="F1996" s="890">
        <v>0.7605439814814815</v>
      </c>
    </row>
    <row r="1997" spans="1:6">
      <c r="A1997" s="888" t="s">
        <v>2237</v>
      </c>
      <c r="B1997" s="888" t="s">
        <v>2238</v>
      </c>
      <c r="C1997" s="888" t="s">
        <v>1378</v>
      </c>
    </row>
    <row r="1998" spans="1:6">
      <c r="A1998" s="888">
        <v>363</v>
      </c>
      <c r="B1998" s="888" t="s">
        <v>1199</v>
      </c>
      <c r="C1998" s="888" t="s">
        <v>1767</v>
      </c>
      <c r="D1998" s="889">
        <v>46035</v>
      </c>
      <c r="E1998" s="890">
        <v>0.37130787037037039</v>
      </c>
      <c r="F1998" s="890">
        <v>0.76559027777777777</v>
      </c>
    </row>
    <row r="1999" spans="1:6">
      <c r="A1999" s="888" t="s">
        <v>2239</v>
      </c>
      <c r="B1999" s="888" t="s">
        <v>2240</v>
      </c>
      <c r="C1999" s="888" t="s">
        <v>1285</v>
      </c>
    </row>
    <row r="2000" spans="1:6">
      <c r="A2000" s="888">
        <v>363</v>
      </c>
      <c r="B2000" s="888" t="s">
        <v>1199</v>
      </c>
      <c r="C2000" s="888" t="s">
        <v>1767</v>
      </c>
      <c r="D2000" s="889">
        <v>46036</v>
      </c>
      <c r="E2000" s="890">
        <v>0.35777777777777775</v>
      </c>
      <c r="F2000" s="890">
        <v>0.7564467592592593</v>
      </c>
    </row>
    <row r="2001" spans="1:6">
      <c r="A2001" s="888" t="s">
        <v>2241</v>
      </c>
      <c r="B2001" s="888" t="s">
        <v>2242</v>
      </c>
      <c r="C2001" s="888" t="s">
        <v>1383</v>
      </c>
    </row>
    <row r="2002" spans="1:6">
      <c r="A2002" s="888">
        <v>363</v>
      </c>
      <c r="B2002" s="888" t="s">
        <v>1199</v>
      </c>
      <c r="C2002" s="888" t="s">
        <v>1767</v>
      </c>
      <c r="D2002" s="889">
        <v>46037</v>
      </c>
      <c r="E2002" s="890">
        <v>0.36409722222222224</v>
      </c>
      <c r="F2002" s="890">
        <v>0.7630555555555556</v>
      </c>
    </row>
    <row r="2003" spans="1:6">
      <c r="A2003" s="888" t="s">
        <v>2243</v>
      </c>
      <c r="B2003" s="888" t="s">
        <v>2244</v>
      </c>
      <c r="C2003" s="888" t="s">
        <v>1288</v>
      </c>
    </row>
    <row r="2004" spans="1:6">
      <c r="A2004" s="888">
        <v>363</v>
      </c>
      <c r="B2004" s="888" t="s">
        <v>1199</v>
      </c>
      <c r="C2004" s="888" t="s">
        <v>1767</v>
      </c>
      <c r="D2004" s="889">
        <v>46038</v>
      </c>
      <c r="E2004" s="890">
        <v>0.36148148148148146</v>
      </c>
      <c r="F2004" s="890">
        <v>0.78114583333333332</v>
      </c>
    </row>
    <row r="2005" spans="1:6">
      <c r="A2005" s="888" t="s">
        <v>2245</v>
      </c>
      <c r="B2005" s="888" t="s">
        <v>2246</v>
      </c>
      <c r="C2005" s="888" t="s">
        <v>1773</v>
      </c>
    </row>
    <row r="2006" spans="1:6">
      <c r="A2006" s="888">
        <v>363</v>
      </c>
      <c r="B2006" s="888" t="s">
        <v>1199</v>
      </c>
      <c r="C2006" s="888" t="s">
        <v>1767</v>
      </c>
      <c r="D2006" s="889">
        <v>46039</v>
      </c>
      <c r="E2006" s="888" t="s">
        <v>310</v>
      </c>
      <c r="F2006" s="888" t="s">
        <v>310</v>
      </c>
    </row>
    <row r="2007" spans="1:6">
      <c r="A2007" s="888">
        <v>363</v>
      </c>
      <c r="B2007" s="888" t="s">
        <v>1199</v>
      </c>
      <c r="C2007" s="888" t="s">
        <v>1767</v>
      </c>
      <c r="D2007" s="889">
        <v>46040</v>
      </c>
      <c r="E2007" s="888" t="s">
        <v>310</v>
      </c>
      <c r="F2007" s="888" t="s">
        <v>310</v>
      </c>
    </row>
    <row r="2008" spans="1:6">
      <c r="A2008" s="888">
        <v>363</v>
      </c>
      <c r="B2008" s="888" t="s">
        <v>1199</v>
      </c>
      <c r="C2008" s="888" t="s">
        <v>1767</v>
      </c>
      <c r="D2008" s="889">
        <v>46041</v>
      </c>
      <c r="E2008" s="890">
        <v>0.36174768518518519</v>
      </c>
      <c r="F2008" s="890">
        <v>0.76185185185185189</v>
      </c>
    </row>
    <row r="2009" spans="1:6">
      <c r="A2009" s="888" t="s">
        <v>2247</v>
      </c>
      <c r="B2009" s="888" t="s">
        <v>2248</v>
      </c>
      <c r="C2009" s="888" t="s">
        <v>1526</v>
      </c>
    </row>
    <row r="2010" spans="1:6">
      <c r="A2010" s="888">
        <v>363</v>
      </c>
      <c r="B2010" s="888" t="s">
        <v>1199</v>
      </c>
      <c r="C2010" s="888" t="s">
        <v>1767</v>
      </c>
      <c r="D2010" s="889">
        <v>46042</v>
      </c>
      <c r="E2010" s="890">
        <v>0.35562500000000002</v>
      </c>
      <c r="F2010" s="890">
        <v>0.75667824074074075</v>
      </c>
    </row>
    <row r="2011" spans="1:6">
      <c r="A2011" s="888" t="s">
        <v>2249</v>
      </c>
      <c r="B2011" s="888" t="s">
        <v>2250</v>
      </c>
      <c r="C2011" s="888" t="s">
        <v>1466</v>
      </c>
    </row>
    <row r="2012" spans="1:6">
      <c r="A2012" s="888">
        <v>363</v>
      </c>
      <c r="B2012" s="888" t="s">
        <v>1199</v>
      </c>
      <c r="C2012" s="888" t="s">
        <v>1767</v>
      </c>
      <c r="D2012" s="889">
        <v>46043</v>
      </c>
      <c r="E2012" s="890">
        <v>0.36295138888888889</v>
      </c>
      <c r="F2012" s="890">
        <v>0.76326388888888885</v>
      </c>
    </row>
    <row r="2013" spans="1:6">
      <c r="A2013" s="888" t="s">
        <v>2251</v>
      </c>
      <c r="B2013" s="888" t="s">
        <v>2252</v>
      </c>
      <c r="C2013" s="888" t="s">
        <v>1526</v>
      </c>
    </row>
    <row r="2014" spans="1:6">
      <c r="A2014" s="888">
        <v>363</v>
      </c>
      <c r="B2014" s="888" t="s">
        <v>1199</v>
      </c>
      <c r="C2014" s="888" t="s">
        <v>1767</v>
      </c>
      <c r="D2014" s="889">
        <v>46044</v>
      </c>
      <c r="E2014" s="890">
        <v>0.35497685185185185</v>
      </c>
      <c r="F2014" s="890">
        <v>0.75715277777777779</v>
      </c>
    </row>
    <row r="2015" spans="1:6">
      <c r="A2015" s="888" t="s">
        <v>2253</v>
      </c>
      <c r="B2015" s="888" t="s">
        <v>2254</v>
      </c>
      <c r="C2015" s="888" t="s">
        <v>1538</v>
      </c>
    </row>
    <row r="2016" spans="1:6">
      <c r="A2016" s="888">
        <v>363</v>
      </c>
      <c r="B2016" s="888" t="s">
        <v>1199</v>
      </c>
      <c r="C2016" s="888" t="s">
        <v>1767</v>
      </c>
      <c r="D2016" s="889">
        <v>46045</v>
      </c>
      <c r="E2016" s="890">
        <v>0.3589236111111111</v>
      </c>
      <c r="F2016" s="890">
        <v>0.78340277777777778</v>
      </c>
    </row>
    <row r="2017" spans="1:6">
      <c r="A2017" s="888" t="s">
        <v>2255</v>
      </c>
      <c r="B2017" s="888" t="s">
        <v>2256</v>
      </c>
      <c r="C2017" s="888" t="s">
        <v>1393</v>
      </c>
    </row>
    <row r="2018" spans="1:6">
      <c r="A2018" s="888">
        <v>363</v>
      </c>
      <c r="B2018" s="888" t="s">
        <v>1199</v>
      </c>
      <c r="C2018" s="888" t="s">
        <v>1767</v>
      </c>
      <c r="D2018" s="889">
        <v>46046</v>
      </c>
      <c r="E2018" s="888" t="s">
        <v>310</v>
      </c>
      <c r="F2018" s="888" t="s">
        <v>310</v>
      </c>
    </row>
    <row r="2019" spans="1:6">
      <c r="A2019" s="888">
        <v>363</v>
      </c>
      <c r="B2019" s="888" t="s">
        <v>1199</v>
      </c>
      <c r="C2019" s="888" t="s">
        <v>1767</v>
      </c>
      <c r="D2019" s="889">
        <v>46047</v>
      </c>
      <c r="E2019" s="888" t="s">
        <v>310</v>
      </c>
      <c r="F2019" s="888" t="s">
        <v>310</v>
      </c>
    </row>
    <row r="2020" spans="1:6">
      <c r="A2020" s="888">
        <v>363</v>
      </c>
      <c r="B2020" s="888" t="s">
        <v>1199</v>
      </c>
      <c r="C2020" s="888" t="s">
        <v>1767</v>
      </c>
      <c r="D2020" s="889">
        <v>46048</v>
      </c>
      <c r="E2020" s="890">
        <v>0.35689814814814813</v>
      </c>
      <c r="F2020" s="890">
        <v>0.76482638888888888</v>
      </c>
    </row>
    <row r="2021" spans="1:6">
      <c r="A2021" s="888" t="s">
        <v>2257</v>
      </c>
      <c r="B2021" s="888" t="s">
        <v>2258</v>
      </c>
      <c r="C2021" s="888" t="s">
        <v>1645</v>
      </c>
    </row>
    <row r="2022" spans="1:6">
      <c r="A2022" s="888">
        <v>363</v>
      </c>
      <c r="B2022" s="888" t="s">
        <v>1199</v>
      </c>
      <c r="C2022" s="888" t="s">
        <v>1767</v>
      </c>
      <c r="D2022" s="889">
        <v>46049</v>
      </c>
      <c r="E2022" s="890">
        <v>0.36196759259259259</v>
      </c>
      <c r="F2022" s="890">
        <v>0.80997685185185186</v>
      </c>
    </row>
    <row r="2023" spans="1:6">
      <c r="A2023" s="888" t="s">
        <v>2259</v>
      </c>
      <c r="B2023" s="888" t="s">
        <v>2260</v>
      </c>
      <c r="C2023" s="888" t="s">
        <v>2261</v>
      </c>
    </row>
    <row r="2024" spans="1:6">
      <c r="A2024" s="888">
        <v>363</v>
      </c>
      <c r="B2024" s="888" t="s">
        <v>1199</v>
      </c>
      <c r="C2024" s="888" t="s">
        <v>1767</v>
      </c>
      <c r="D2024" s="889">
        <v>46050</v>
      </c>
      <c r="E2024" s="890">
        <v>0.3574074074074074</v>
      </c>
      <c r="F2024" s="890">
        <v>0.75761574074074078</v>
      </c>
    </row>
    <row r="2025" spans="1:6">
      <c r="A2025" s="888" t="s">
        <v>2262</v>
      </c>
      <c r="B2025" s="888" t="s">
        <v>2263</v>
      </c>
      <c r="C2025" s="888" t="s">
        <v>1526</v>
      </c>
    </row>
    <row r="2026" spans="1:6">
      <c r="A2026" s="888">
        <v>363</v>
      </c>
      <c r="B2026" s="888" t="s">
        <v>1199</v>
      </c>
      <c r="C2026" s="888" t="s">
        <v>1767</v>
      </c>
      <c r="D2026" s="889">
        <v>46051</v>
      </c>
      <c r="E2026" s="890">
        <v>0.3634027777777778</v>
      </c>
      <c r="F2026" s="890">
        <v>0.77556712962962959</v>
      </c>
    </row>
    <row r="2027" spans="1:6">
      <c r="A2027" s="888" t="s">
        <v>2264</v>
      </c>
      <c r="B2027" s="888" t="s">
        <v>2265</v>
      </c>
      <c r="C2027" s="888" t="s">
        <v>1816</v>
      </c>
    </row>
    <row r="2028" spans="1:6">
      <c r="A2028" s="888">
        <v>363</v>
      </c>
      <c r="B2028" s="888" t="s">
        <v>1199</v>
      </c>
      <c r="C2028" s="888" t="s">
        <v>1767</v>
      </c>
      <c r="D2028" s="889">
        <v>46052</v>
      </c>
      <c r="E2028" s="890">
        <v>0.35929398148148151</v>
      </c>
      <c r="F2028" s="890">
        <v>0.7952893518518519</v>
      </c>
    </row>
    <row r="2029" spans="1:6">
      <c r="A2029" s="888" t="s">
        <v>2266</v>
      </c>
      <c r="B2029" s="888" t="s">
        <v>2267</v>
      </c>
      <c r="C2029" s="888" t="s">
        <v>2268</v>
      </c>
    </row>
    <row r="2030" spans="1:6">
      <c r="A2030" s="888">
        <v>363</v>
      </c>
      <c r="B2030" s="888" t="s">
        <v>1199</v>
      </c>
      <c r="C2030" s="888" t="s">
        <v>1767</v>
      </c>
      <c r="D2030" s="889">
        <v>46053</v>
      </c>
      <c r="E2030" s="888" t="s">
        <v>310</v>
      </c>
      <c r="F2030" s="888" t="s">
        <v>310</v>
      </c>
    </row>
    <row r="2031" spans="1:6">
      <c r="A2031" s="888">
        <v>363</v>
      </c>
      <c r="B2031" s="888" t="s">
        <v>1199</v>
      </c>
      <c r="C2031" s="888" t="s">
        <v>1767</v>
      </c>
      <c r="D2031" s="889">
        <v>46054</v>
      </c>
      <c r="E2031" s="888" t="s">
        <v>310</v>
      </c>
      <c r="F2031" s="888" t="s">
        <v>310</v>
      </c>
    </row>
    <row r="2032" spans="1:6">
      <c r="A2032" s="888">
        <v>364</v>
      </c>
      <c r="B2032" s="888" t="s">
        <v>1138</v>
      </c>
      <c r="C2032" s="888" t="s">
        <v>1107</v>
      </c>
      <c r="D2032" s="889">
        <v>46023</v>
      </c>
      <c r="E2032" s="888" t="s">
        <v>310</v>
      </c>
      <c r="F2032" s="888" t="s">
        <v>310</v>
      </c>
    </row>
    <row r="2033" spans="1:6">
      <c r="A2033" s="888">
        <v>364</v>
      </c>
      <c r="B2033" s="888" t="s">
        <v>1138</v>
      </c>
      <c r="C2033" s="888" t="s">
        <v>1107</v>
      </c>
      <c r="D2033" s="889">
        <v>46024</v>
      </c>
      <c r="E2033" s="888" t="s">
        <v>310</v>
      </c>
      <c r="F2033" s="888" t="s">
        <v>310</v>
      </c>
    </row>
    <row r="2034" spans="1:6">
      <c r="A2034" s="888">
        <v>364</v>
      </c>
      <c r="B2034" s="888" t="s">
        <v>1138</v>
      </c>
      <c r="C2034" s="888" t="s">
        <v>1107</v>
      </c>
      <c r="D2034" s="889">
        <v>46025</v>
      </c>
      <c r="E2034" s="888" t="s">
        <v>310</v>
      </c>
      <c r="F2034" s="888" t="s">
        <v>310</v>
      </c>
    </row>
    <row r="2035" spans="1:6">
      <c r="A2035" s="888">
        <v>364</v>
      </c>
      <c r="B2035" s="888" t="s">
        <v>1138</v>
      </c>
      <c r="C2035" s="888" t="s">
        <v>1107</v>
      </c>
      <c r="D2035" s="889">
        <v>46026</v>
      </c>
      <c r="E2035" s="888" t="s">
        <v>310</v>
      </c>
      <c r="F2035" s="888" t="s">
        <v>310</v>
      </c>
    </row>
    <row r="2036" spans="1:6">
      <c r="A2036" s="888">
        <v>364</v>
      </c>
      <c r="B2036" s="888" t="s">
        <v>1138</v>
      </c>
      <c r="C2036" s="888" t="s">
        <v>1107</v>
      </c>
      <c r="D2036" s="889">
        <v>46027</v>
      </c>
      <c r="E2036" s="888" t="s">
        <v>310</v>
      </c>
      <c r="F2036" s="888" t="s">
        <v>310</v>
      </c>
    </row>
    <row r="2037" spans="1:6">
      <c r="A2037" s="888">
        <v>364</v>
      </c>
      <c r="B2037" s="888" t="s">
        <v>1138</v>
      </c>
      <c r="C2037" s="888" t="s">
        <v>1107</v>
      </c>
      <c r="D2037" s="889">
        <v>46028</v>
      </c>
      <c r="E2037" s="888" t="s">
        <v>310</v>
      </c>
      <c r="F2037" s="888" t="s">
        <v>310</v>
      </c>
    </row>
    <row r="2038" spans="1:6">
      <c r="A2038" s="888">
        <v>364</v>
      </c>
      <c r="B2038" s="888" t="s">
        <v>1138</v>
      </c>
      <c r="C2038" s="888" t="s">
        <v>1107</v>
      </c>
      <c r="D2038" s="889">
        <v>46029</v>
      </c>
      <c r="E2038" s="888" t="s">
        <v>310</v>
      </c>
      <c r="F2038" s="888" t="s">
        <v>310</v>
      </c>
    </row>
    <row r="2039" spans="1:6">
      <c r="A2039" s="888">
        <v>364</v>
      </c>
      <c r="B2039" s="888" t="s">
        <v>1138</v>
      </c>
      <c r="C2039" s="888" t="s">
        <v>1107</v>
      </c>
      <c r="D2039" s="889">
        <v>46030</v>
      </c>
      <c r="E2039" s="888" t="s">
        <v>310</v>
      </c>
      <c r="F2039" s="888" t="s">
        <v>310</v>
      </c>
    </row>
    <row r="2040" spans="1:6">
      <c r="A2040" s="888">
        <v>364</v>
      </c>
      <c r="B2040" s="888" t="s">
        <v>1138</v>
      </c>
      <c r="C2040" s="888" t="s">
        <v>1107</v>
      </c>
      <c r="D2040" s="889">
        <v>46031</v>
      </c>
      <c r="E2040" s="888" t="s">
        <v>310</v>
      </c>
      <c r="F2040" s="888" t="s">
        <v>310</v>
      </c>
    </row>
    <row r="2041" spans="1:6">
      <c r="A2041" s="888">
        <v>364</v>
      </c>
      <c r="B2041" s="888" t="s">
        <v>1138</v>
      </c>
      <c r="C2041" s="888" t="s">
        <v>1107</v>
      </c>
      <c r="D2041" s="889">
        <v>46032</v>
      </c>
      <c r="E2041" s="888" t="s">
        <v>310</v>
      </c>
      <c r="F2041" s="888" t="s">
        <v>310</v>
      </c>
    </row>
    <row r="2042" spans="1:6">
      <c r="A2042" s="888">
        <v>364</v>
      </c>
      <c r="B2042" s="888" t="s">
        <v>1138</v>
      </c>
      <c r="C2042" s="888" t="s">
        <v>1107</v>
      </c>
      <c r="D2042" s="889">
        <v>46033</v>
      </c>
      <c r="E2042" s="888" t="s">
        <v>310</v>
      </c>
      <c r="F2042" s="888" t="s">
        <v>310</v>
      </c>
    </row>
    <row r="2043" spans="1:6">
      <c r="A2043" s="888">
        <v>364</v>
      </c>
      <c r="B2043" s="888" t="s">
        <v>1138</v>
      </c>
      <c r="C2043" s="888" t="s">
        <v>1107</v>
      </c>
      <c r="D2043" s="889">
        <v>46034</v>
      </c>
      <c r="E2043" s="888" t="s">
        <v>310</v>
      </c>
      <c r="F2043" s="888" t="s">
        <v>310</v>
      </c>
    </row>
    <row r="2044" spans="1:6">
      <c r="A2044" s="888">
        <v>364</v>
      </c>
      <c r="B2044" s="888" t="s">
        <v>1138</v>
      </c>
      <c r="C2044" s="888" t="s">
        <v>1107</v>
      </c>
      <c r="D2044" s="889">
        <v>46035</v>
      </c>
      <c r="E2044" s="888" t="s">
        <v>310</v>
      </c>
      <c r="F2044" s="888" t="s">
        <v>310</v>
      </c>
    </row>
    <row r="2045" spans="1:6">
      <c r="A2045" s="888">
        <v>364</v>
      </c>
      <c r="B2045" s="888" t="s">
        <v>1138</v>
      </c>
      <c r="C2045" s="888" t="s">
        <v>1107</v>
      </c>
      <c r="D2045" s="889">
        <v>46036</v>
      </c>
      <c r="E2045" s="888" t="s">
        <v>310</v>
      </c>
      <c r="F2045" s="888" t="s">
        <v>310</v>
      </c>
    </row>
    <row r="2046" spans="1:6">
      <c r="A2046" s="888">
        <v>364</v>
      </c>
      <c r="B2046" s="888" t="s">
        <v>1138</v>
      </c>
      <c r="C2046" s="888" t="s">
        <v>1107</v>
      </c>
      <c r="D2046" s="889">
        <v>46037</v>
      </c>
      <c r="E2046" s="888" t="s">
        <v>310</v>
      </c>
      <c r="F2046" s="888" t="s">
        <v>310</v>
      </c>
    </row>
    <row r="2047" spans="1:6">
      <c r="A2047" s="888">
        <v>364</v>
      </c>
      <c r="B2047" s="888" t="s">
        <v>1138</v>
      </c>
      <c r="C2047" s="888" t="s">
        <v>1107</v>
      </c>
      <c r="D2047" s="889">
        <v>46038</v>
      </c>
      <c r="E2047" s="888" t="s">
        <v>310</v>
      </c>
      <c r="F2047" s="888" t="s">
        <v>310</v>
      </c>
    </row>
    <row r="2048" spans="1:6">
      <c r="A2048" s="888">
        <v>364</v>
      </c>
      <c r="B2048" s="888" t="s">
        <v>1138</v>
      </c>
      <c r="C2048" s="888" t="s">
        <v>1107</v>
      </c>
      <c r="D2048" s="889">
        <v>46039</v>
      </c>
      <c r="E2048" s="888" t="s">
        <v>310</v>
      </c>
      <c r="F2048" s="888" t="s">
        <v>310</v>
      </c>
    </row>
    <row r="2049" spans="1:6">
      <c r="A2049" s="888">
        <v>364</v>
      </c>
      <c r="B2049" s="888" t="s">
        <v>1138</v>
      </c>
      <c r="C2049" s="888" t="s">
        <v>1107</v>
      </c>
      <c r="D2049" s="889">
        <v>46040</v>
      </c>
      <c r="E2049" s="888" t="s">
        <v>310</v>
      </c>
      <c r="F2049" s="888" t="s">
        <v>310</v>
      </c>
    </row>
    <row r="2050" spans="1:6">
      <c r="A2050" s="888">
        <v>364</v>
      </c>
      <c r="B2050" s="888" t="s">
        <v>1138</v>
      </c>
      <c r="C2050" s="888" t="s">
        <v>1107</v>
      </c>
      <c r="D2050" s="889">
        <v>46041</v>
      </c>
      <c r="E2050" s="888" t="s">
        <v>310</v>
      </c>
      <c r="F2050" s="888" t="s">
        <v>310</v>
      </c>
    </row>
    <row r="2051" spans="1:6">
      <c r="A2051" s="888">
        <v>364</v>
      </c>
      <c r="B2051" s="888" t="s">
        <v>1138</v>
      </c>
      <c r="C2051" s="888" t="s">
        <v>1107</v>
      </c>
      <c r="D2051" s="889">
        <v>46042</v>
      </c>
      <c r="E2051" s="888" t="s">
        <v>310</v>
      </c>
      <c r="F2051" s="888" t="s">
        <v>310</v>
      </c>
    </row>
    <row r="2052" spans="1:6">
      <c r="A2052" s="888">
        <v>364</v>
      </c>
      <c r="B2052" s="888" t="s">
        <v>1138</v>
      </c>
      <c r="C2052" s="888" t="s">
        <v>1107</v>
      </c>
      <c r="D2052" s="889">
        <v>46043</v>
      </c>
      <c r="E2052" s="888" t="s">
        <v>310</v>
      </c>
      <c r="F2052" s="888" t="s">
        <v>310</v>
      </c>
    </row>
    <row r="2053" spans="1:6">
      <c r="A2053" s="888">
        <v>364</v>
      </c>
      <c r="B2053" s="888" t="s">
        <v>1138</v>
      </c>
      <c r="C2053" s="888" t="s">
        <v>1107</v>
      </c>
      <c r="D2053" s="889">
        <v>46044</v>
      </c>
      <c r="E2053" s="888" t="s">
        <v>310</v>
      </c>
      <c r="F2053" s="888" t="s">
        <v>310</v>
      </c>
    </row>
    <row r="2054" spans="1:6">
      <c r="A2054" s="888">
        <v>364</v>
      </c>
      <c r="B2054" s="888" t="s">
        <v>1138</v>
      </c>
      <c r="C2054" s="888" t="s">
        <v>1107</v>
      </c>
      <c r="D2054" s="889">
        <v>46045</v>
      </c>
      <c r="E2054" s="888" t="s">
        <v>310</v>
      </c>
      <c r="F2054" s="888" t="s">
        <v>310</v>
      </c>
    </row>
    <row r="2055" spans="1:6">
      <c r="A2055" s="888">
        <v>364</v>
      </c>
      <c r="B2055" s="888" t="s">
        <v>1138</v>
      </c>
      <c r="C2055" s="888" t="s">
        <v>1107</v>
      </c>
      <c r="D2055" s="889">
        <v>46046</v>
      </c>
      <c r="E2055" s="888" t="s">
        <v>310</v>
      </c>
      <c r="F2055" s="888" t="s">
        <v>310</v>
      </c>
    </row>
    <row r="2056" spans="1:6">
      <c r="A2056" s="888">
        <v>364</v>
      </c>
      <c r="B2056" s="888" t="s">
        <v>1138</v>
      </c>
      <c r="C2056" s="888" t="s">
        <v>1107</v>
      </c>
      <c r="D2056" s="889">
        <v>46047</v>
      </c>
      <c r="E2056" s="888" t="s">
        <v>310</v>
      </c>
      <c r="F2056" s="888" t="s">
        <v>310</v>
      </c>
    </row>
    <row r="2057" spans="1:6">
      <c r="A2057" s="888">
        <v>364</v>
      </c>
      <c r="B2057" s="888" t="s">
        <v>1138</v>
      </c>
      <c r="C2057" s="888" t="s">
        <v>1107</v>
      </c>
      <c r="D2057" s="889">
        <v>46048</v>
      </c>
      <c r="E2057" s="888" t="s">
        <v>310</v>
      </c>
      <c r="F2057" s="888" t="s">
        <v>310</v>
      </c>
    </row>
    <row r="2058" spans="1:6">
      <c r="A2058" s="888">
        <v>364</v>
      </c>
      <c r="B2058" s="888" t="s">
        <v>1138</v>
      </c>
      <c r="C2058" s="888" t="s">
        <v>1107</v>
      </c>
      <c r="D2058" s="889">
        <v>46049</v>
      </c>
      <c r="E2058" s="888" t="s">
        <v>310</v>
      </c>
      <c r="F2058" s="888" t="s">
        <v>310</v>
      </c>
    </row>
    <row r="2059" spans="1:6">
      <c r="A2059" s="888">
        <v>364</v>
      </c>
      <c r="B2059" s="888" t="s">
        <v>1138</v>
      </c>
      <c r="C2059" s="888" t="s">
        <v>1107</v>
      </c>
      <c r="D2059" s="889">
        <v>46050</v>
      </c>
      <c r="E2059" s="888" t="s">
        <v>310</v>
      </c>
      <c r="F2059" s="888" t="s">
        <v>310</v>
      </c>
    </row>
    <row r="2060" spans="1:6">
      <c r="A2060" s="888">
        <v>364</v>
      </c>
      <c r="B2060" s="888" t="s">
        <v>1138</v>
      </c>
      <c r="C2060" s="888" t="s">
        <v>1107</v>
      </c>
      <c r="D2060" s="889">
        <v>46051</v>
      </c>
      <c r="E2060" s="888" t="s">
        <v>310</v>
      </c>
      <c r="F2060" s="888" t="s">
        <v>310</v>
      </c>
    </row>
    <row r="2061" spans="1:6">
      <c r="A2061" s="888">
        <v>364</v>
      </c>
      <c r="B2061" s="888" t="s">
        <v>1138</v>
      </c>
      <c r="C2061" s="888" t="s">
        <v>1107</v>
      </c>
      <c r="D2061" s="889">
        <v>46052</v>
      </c>
      <c r="E2061" s="888" t="s">
        <v>310</v>
      </c>
      <c r="F2061" s="888" t="s">
        <v>310</v>
      </c>
    </row>
    <row r="2062" spans="1:6">
      <c r="A2062" s="888">
        <v>364</v>
      </c>
      <c r="B2062" s="888" t="s">
        <v>1138</v>
      </c>
      <c r="C2062" s="888" t="s">
        <v>1107</v>
      </c>
      <c r="D2062" s="889">
        <v>46053</v>
      </c>
      <c r="E2062" s="888" t="s">
        <v>310</v>
      </c>
      <c r="F2062" s="888" t="s">
        <v>310</v>
      </c>
    </row>
    <row r="2063" spans="1:6">
      <c r="A2063" s="888">
        <v>364</v>
      </c>
      <c r="B2063" s="888" t="s">
        <v>1138</v>
      </c>
      <c r="C2063" s="888" t="s">
        <v>1107</v>
      </c>
      <c r="D2063" s="889">
        <v>46054</v>
      </c>
      <c r="E2063" s="888" t="s">
        <v>310</v>
      </c>
      <c r="F2063" s="888" t="s">
        <v>310</v>
      </c>
    </row>
    <row r="2064" spans="1:6">
      <c r="A2064" s="888">
        <v>365</v>
      </c>
      <c r="B2064" s="888" t="s">
        <v>2269</v>
      </c>
      <c r="C2064" s="888" t="s">
        <v>1107</v>
      </c>
      <c r="D2064" s="889">
        <v>46023</v>
      </c>
      <c r="E2064" s="888" t="s">
        <v>310</v>
      </c>
      <c r="F2064" s="888" t="s">
        <v>310</v>
      </c>
    </row>
    <row r="2065" spans="1:6">
      <c r="A2065" s="888">
        <v>365</v>
      </c>
      <c r="B2065" s="888" t="s">
        <v>2269</v>
      </c>
      <c r="C2065" s="888" t="s">
        <v>1107</v>
      </c>
      <c r="D2065" s="889">
        <v>46024</v>
      </c>
      <c r="E2065" s="888" t="s">
        <v>310</v>
      </c>
      <c r="F2065" s="888" t="s">
        <v>310</v>
      </c>
    </row>
    <row r="2066" spans="1:6">
      <c r="A2066" s="888">
        <v>365</v>
      </c>
      <c r="B2066" s="888" t="s">
        <v>2269</v>
      </c>
      <c r="C2066" s="888" t="s">
        <v>1107</v>
      </c>
      <c r="D2066" s="889">
        <v>46025</v>
      </c>
      <c r="E2066" s="888" t="s">
        <v>310</v>
      </c>
      <c r="F2066" s="888" t="s">
        <v>310</v>
      </c>
    </row>
    <row r="2067" spans="1:6">
      <c r="A2067" s="888">
        <v>365</v>
      </c>
      <c r="B2067" s="888" t="s">
        <v>2269</v>
      </c>
      <c r="C2067" s="888" t="s">
        <v>1107</v>
      </c>
      <c r="D2067" s="889">
        <v>46026</v>
      </c>
      <c r="E2067" s="888" t="s">
        <v>310</v>
      </c>
      <c r="F2067" s="888" t="s">
        <v>310</v>
      </c>
    </row>
    <row r="2068" spans="1:6">
      <c r="A2068" s="888">
        <v>365</v>
      </c>
      <c r="B2068" s="888" t="s">
        <v>2269</v>
      </c>
      <c r="C2068" s="888" t="s">
        <v>1107</v>
      </c>
      <c r="D2068" s="889">
        <v>46027</v>
      </c>
      <c r="E2068" s="888" t="s">
        <v>310</v>
      </c>
      <c r="F2068" s="888" t="s">
        <v>310</v>
      </c>
    </row>
    <row r="2069" spans="1:6">
      <c r="A2069" s="888">
        <v>365</v>
      </c>
      <c r="B2069" s="888" t="s">
        <v>2269</v>
      </c>
      <c r="C2069" s="888" t="s">
        <v>1107</v>
      </c>
      <c r="D2069" s="889">
        <v>46028</v>
      </c>
      <c r="E2069" s="888" t="s">
        <v>310</v>
      </c>
      <c r="F2069" s="888" t="s">
        <v>310</v>
      </c>
    </row>
    <row r="2070" spans="1:6">
      <c r="A2070" s="888">
        <v>365</v>
      </c>
      <c r="B2070" s="888" t="s">
        <v>2269</v>
      </c>
      <c r="C2070" s="888" t="s">
        <v>1107</v>
      </c>
      <c r="D2070" s="889">
        <v>46029</v>
      </c>
      <c r="E2070" s="888" t="s">
        <v>310</v>
      </c>
      <c r="F2070" s="888" t="s">
        <v>310</v>
      </c>
    </row>
    <row r="2071" spans="1:6">
      <c r="A2071" s="888">
        <v>365</v>
      </c>
      <c r="B2071" s="888" t="s">
        <v>2269</v>
      </c>
      <c r="C2071" s="888" t="s">
        <v>1107</v>
      </c>
      <c r="D2071" s="889">
        <v>46030</v>
      </c>
      <c r="E2071" s="888" t="s">
        <v>310</v>
      </c>
      <c r="F2071" s="888" t="s">
        <v>310</v>
      </c>
    </row>
    <row r="2072" spans="1:6">
      <c r="A2072" s="888">
        <v>365</v>
      </c>
      <c r="B2072" s="888" t="s">
        <v>2269</v>
      </c>
      <c r="C2072" s="888" t="s">
        <v>1107</v>
      </c>
      <c r="D2072" s="889">
        <v>46031</v>
      </c>
      <c r="E2072" s="888" t="s">
        <v>310</v>
      </c>
      <c r="F2072" s="888" t="s">
        <v>310</v>
      </c>
    </row>
    <row r="2073" spans="1:6">
      <c r="A2073" s="888">
        <v>365</v>
      </c>
      <c r="B2073" s="888" t="s">
        <v>2269</v>
      </c>
      <c r="C2073" s="888" t="s">
        <v>1107</v>
      </c>
      <c r="D2073" s="889">
        <v>46032</v>
      </c>
      <c r="E2073" s="888" t="s">
        <v>310</v>
      </c>
      <c r="F2073" s="888" t="s">
        <v>310</v>
      </c>
    </row>
    <row r="2074" spans="1:6">
      <c r="A2074" s="888">
        <v>365</v>
      </c>
      <c r="B2074" s="888" t="s">
        <v>2269</v>
      </c>
      <c r="C2074" s="888" t="s">
        <v>1107</v>
      </c>
      <c r="D2074" s="889">
        <v>46033</v>
      </c>
      <c r="E2074" s="888" t="s">
        <v>310</v>
      </c>
      <c r="F2074" s="888" t="s">
        <v>310</v>
      </c>
    </row>
    <row r="2075" spans="1:6">
      <c r="A2075" s="888">
        <v>365</v>
      </c>
      <c r="B2075" s="888" t="s">
        <v>2269</v>
      </c>
      <c r="C2075" s="888" t="s">
        <v>1107</v>
      </c>
      <c r="D2075" s="889">
        <v>46034</v>
      </c>
      <c r="E2075" s="888" t="s">
        <v>310</v>
      </c>
      <c r="F2075" s="888" t="s">
        <v>310</v>
      </c>
    </row>
    <row r="2076" spans="1:6">
      <c r="A2076" s="888">
        <v>365</v>
      </c>
      <c r="B2076" s="888" t="s">
        <v>2269</v>
      </c>
      <c r="C2076" s="888" t="s">
        <v>1107</v>
      </c>
      <c r="D2076" s="889">
        <v>46035</v>
      </c>
      <c r="E2076" s="888" t="s">
        <v>310</v>
      </c>
      <c r="F2076" s="888" t="s">
        <v>310</v>
      </c>
    </row>
    <row r="2077" spans="1:6">
      <c r="A2077" s="888">
        <v>365</v>
      </c>
      <c r="B2077" s="888" t="s">
        <v>2269</v>
      </c>
      <c r="C2077" s="888" t="s">
        <v>1107</v>
      </c>
      <c r="D2077" s="889">
        <v>46036</v>
      </c>
      <c r="E2077" s="888" t="s">
        <v>310</v>
      </c>
      <c r="F2077" s="888" t="s">
        <v>310</v>
      </c>
    </row>
    <row r="2078" spans="1:6">
      <c r="A2078" s="888">
        <v>365</v>
      </c>
      <c r="B2078" s="888" t="s">
        <v>2269</v>
      </c>
      <c r="C2078" s="888" t="s">
        <v>1107</v>
      </c>
      <c r="D2078" s="889">
        <v>46037</v>
      </c>
      <c r="E2078" s="888" t="s">
        <v>310</v>
      </c>
      <c r="F2078" s="888" t="s">
        <v>310</v>
      </c>
    </row>
    <row r="2079" spans="1:6">
      <c r="A2079" s="888">
        <v>365</v>
      </c>
      <c r="B2079" s="888" t="s">
        <v>2269</v>
      </c>
      <c r="C2079" s="888" t="s">
        <v>1107</v>
      </c>
      <c r="D2079" s="889">
        <v>46038</v>
      </c>
      <c r="E2079" s="888" t="s">
        <v>310</v>
      </c>
      <c r="F2079" s="888" t="s">
        <v>310</v>
      </c>
    </row>
    <row r="2080" spans="1:6">
      <c r="A2080" s="888">
        <v>365</v>
      </c>
      <c r="B2080" s="888" t="s">
        <v>2269</v>
      </c>
      <c r="C2080" s="888" t="s">
        <v>1107</v>
      </c>
      <c r="D2080" s="889">
        <v>46039</v>
      </c>
      <c r="E2080" s="888" t="s">
        <v>310</v>
      </c>
      <c r="F2080" s="888" t="s">
        <v>310</v>
      </c>
    </row>
    <row r="2081" spans="1:6">
      <c r="A2081" s="888">
        <v>365</v>
      </c>
      <c r="B2081" s="888" t="s">
        <v>2269</v>
      </c>
      <c r="C2081" s="888" t="s">
        <v>1107</v>
      </c>
      <c r="D2081" s="889">
        <v>46040</v>
      </c>
      <c r="E2081" s="888" t="s">
        <v>310</v>
      </c>
      <c r="F2081" s="888" t="s">
        <v>310</v>
      </c>
    </row>
    <row r="2082" spans="1:6">
      <c r="A2082" s="888">
        <v>365</v>
      </c>
      <c r="B2082" s="888" t="s">
        <v>2269</v>
      </c>
      <c r="C2082" s="888" t="s">
        <v>1107</v>
      </c>
      <c r="D2082" s="889">
        <v>46041</v>
      </c>
      <c r="E2082" s="888" t="s">
        <v>310</v>
      </c>
      <c r="F2082" s="888" t="s">
        <v>310</v>
      </c>
    </row>
    <row r="2083" spans="1:6">
      <c r="A2083" s="888">
        <v>365</v>
      </c>
      <c r="B2083" s="888" t="s">
        <v>2269</v>
      </c>
      <c r="C2083" s="888" t="s">
        <v>1107</v>
      </c>
      <c r="D2083" s="889">
        <v>46042</v>
      </c>
      <c r="E2083" s="888" t="s">
        <v>310</v>
      </c>
      <c r="F2083" s="888" t="s">
        <v>310</v>
      </c>
    </row>
    <row r="2084" spans="1:6">
      <c r="A2084" s="888">
        <v>365</v>
      </c>
      <c r="B2084" s="888" t="s">
        <v>2269</v>
      </c>
      <c r="C2084" s="888" t="s">
        <v>1107</v>
      </c>
      <c r="D2084" s="889">
        <v>46043</v>
      </c>
      <c r="E2084" s="888" t="s">
        <v>310</v>
      </c>
      <c r="F2084" s="888" t="s">
        <v>310</v>
      </c>
    </row>
    <row r="2085" spans="1:6">
      <c r="A2085" s="888">
        <v>365</v>
      </c>
      <c r="B2085" s="888" t="s">
        <v>2269</v>
      </c>
      <c r="C2085" s="888" t="s">
        <v>1107</v>
      </c>
      <c r="D2085" s="889">
        <v>46044</v>
      </c>
      <c r="E2085" s="888" t="s">
        <v>310</v>
      </c>
      <c r="F2085" s="888" t="s">
        <v>310</v>
      </c>
    </row>
    <row r="2086" spans="1:6">
      <c r="A2086" s="888">
        <v>365</v>
      </c>
      <c r="B2086" s="888" t="s">
        <v>2269</v>
      </c>
      <c r="C2086" s="888" t="s">
        <v>1107</v>
      </c>
      <c r="D2086" s="889">
        <v>46045</v>
      </c>
      <c r="E2086" s="888" t="s">
        <v>310</v>
      </c>
      <c r="F2086" s="888" t="s">
        <v>310</v>
      </c>
    </row>
    <row r="2087" spans="1:6">
      <c r="A2087" s="888">
        <v>365</v>
      </c>
      <c r="B2087" s="888" t="s">
        <v>2269</v>
      </c>
      <c r="C2087" s="888" t="s">
        <v>1107</v>
      </c>
      <c r="D2087" s="889">
        <v>46046</v>
      </c>
      <c r="E2087" s="888" t="s">
        <v>310</v>
      </c>
      <c r="F2087" s="888" t="s">
        <v>310</v>
      </c>
    </row>
    <row r="2088" spans="1:6">
      <c r="A2088" s="888">
        <v>365</v>
      </c>
      <c r="B2088" s="888" t="s">
        <v>2269</v>
      </c>
      <c r="C2088" s="888" t="s">
        <v>1107</v>
      </c>
      <c r="D2088" s="889">
        <v>46047</v>
      </c>
      <c r="E2088" s="888" t="s">
        <v>310</v>
      </c>
      <c r="F2088" s="888" t="s">
        <v>310</v>
      </c>
    </row>
    <row r="2089" spans="1:6">
      <c r="A2089" s="888">
        <v>365</v>
      </c>
      <c r="B2089" s="888" t="s">
        <v>2269</v>
      </c>
      <c r="C2089" s="888" t="s">
        <v>1107</v>
      </c>
      <c r="D2089" s="889">
        <v>46048</v>
      </c>
      <c r="E2089" s="888" t="s">
        <v>310</v>
      </c>
      <c r="F2089" s="888" t="s">
        <v>310</v>
      </c>
    </row>
    <row r="2090" spans="1:6">
      <c r="A2090" s="888">
        <v>365</v>
      </c>
      <c r="B2090" s="888" t="s">
        <v>2269</v>
      </c>
      <c r="C2090" s="888" t="s">
        <v>1107</v>
      </c>
      <c r="D2090" s="889">
        <v>46049</v>
      </c>
      <c r="E2090" s="888" t="s">
        <v>310</v>
      </c>
      <c r="F2090" s="888" t="s">
        <v>310</v>
      </c>
    </row>
    <row r="2091" spans="1:6">
      <c r="A2091" s="888">
        <v>365</v>
      </c>
      <c r="B2091" s="888" t="s">
        <v>2269</v>
      </c>
      <c r="C2091" s="888" t="s">
        <v>1107</v>
      </c>
      <c r="D2091" s="889">
        <v>46050</v>
      </c>
      <c r="E2091" s="888" t="s">
        <v>310</v>
      </c>
      <c r="F2091" s="888" t="s">
        <v>310</v>
      </c>
    </row>
    <row r="2092" spans="1:6">
      <c r="A2092" s="888">
        <v>365</v>
      </c>
      <c r="B2092" s="888" t="s">
        <v>2269</v>
      </c>
      <c r="C2092" s="888" t="s">
        <v>1107</v>
      </c>
      <c r="D2092" s="889">
        <v>46051</v>
      </c>
      <c r="E2092" s="888" t="s">
        <v>310</v>
      </c>
      <c r="F2092" s="888" t="s">
        <v>310</v>
      </c>
    </row>
    <row r="2093" spans="1:6">
      <c r="A2093" s="888">
        <v>365</v>
      </c>
      <c r="B2093" s="888" t="s">
        <v>2269</v>
      </c>
      <c r="C2093" s="888" t="s">
        <v>1107</v>
      </c>
      <c r="D2093" s="889">
        <v>46052</v>
      </c>
      <c r="E2093" s="888" t="s">
        <v>310</v>
      </c>
      <c r="F2093" s="888" t="s">
        <v>310</v>
      </c>
    </row>
    <row r="2094" spans="1:6">
      <c r="A2094" s="888">
        <v>365</v>
      </c>
      <c r="B2094" s="888" t="s">
        <v>2269</v>
      </c>
      <c r="C2094" s="888" t="s">
        <v>1107</v>
      </c>
      <c r="D2094" s="889">
        <v>46053</v>
      </c>
      <c r="E2094" s="888" t="s">
        <v>310</v>
      </c>
      <c r="F2094" s="888" t="s">
        <v>310</v>
      </c>
    </row>
    <row r="2095" spans="1:6">
      <c r="A2095" s="888">
        <v>365</v>
      </c>
      <c r="B2095" s="888" t="s">
        <v>2269</v>
      </c>
      <c r="C2095" s="888" t="s">
        <v>1107</v>
      </c>
      <c r="D2095" s="889">
        <v>46054</v>
      </c>
      <c r="E2095" s="888" t="s">
        <v>310</v>
      </c>
      <c r="F2095" s="888" t="s">
        <v>310</v>
      </c>
    </row>
    <row r="2096" spans="1:6">
      <c r="A2096" s="888">
        <v>370</v>
      </c>
      <c r="B2096" s="888" t="s">
        <v>1200</v>
      </c>
      <c r="C2096" s="888" t="s">
        <v>1107</v>
      </c>
      <c r="D2096" s="889">
        <v>46023</v>
      </c>
      <c r="E2096" s="888" t="s">
        <v>310</v>
      </c>
      <c r="F2096" s="888" t="s">
        <v>310</v>
      </c>
    </row>
    <row r="2097" spans="1:6">
      <c r="A2097" s="888">
        <v>370</v>
      </c>
      <c r="B2097" s="888" t="s">
        <v>1200</v>
      </c>
      <c r="C2097" s="888" t="s">
        <v>1107</v>
      </c>
      <c r="D2097" s="889">
        <v>46024</v>
      </c>
      <c r="E2097" s="888" t="s">
        <v>310</v>
      </c>
      <c r="F2097" s="888" t="s">
        <v>310</v>
      </c>
    </row>
    <row r="2098" spans="1:6">
      <c r="A2098" s="888">
        <v>370</v>
      </c>
      <c r="B2098" s="888" t="s">
        <v>1200</v>
      </c>
      <c r="C2098" s="888" t="s">
        <v>1107</v>
      </c>
      <c r="D2098" s="889">
        <v>46025</v>
      </c>
      <c r="E2098" s="888" t="s">
        <v>310</v>
      </c>
      <c r="F2098" s="888" t="s">
        <v>310</v>
      </c>
    </row>
    <row r="2099" spans="1:6">
      <c r="A2099" s="888">
        <v>370</v>
      </c>
      <c r="B2099" s="888" t="s">
        <v>1200</v>
      </c>
      <c r="C2099" s="888" t="s">
        <v>1107</v>
      </c>
      <c r="D2099" s="889">
        <v>46026</v>
      </c>
      <c r="E2099" s="888" t="s">
        <v>310</v>
      </c>
      <c r="F2099" s="888" t="s">
        <v>310</v>
      </c>
    </row>
    <row r="2100" spans="1:6">
      <c r="A2100" s="888">
        <v>370</v>
      </c>
      <c r="B2100" s="888" t="s">
        <v>1200</v>
      </c>
      <c r="C2100" s="888" t="s">
        <v>1107</v>
      </c>
      <c r="D2100" s="889">
        <v>46027</v>
      </c>
      <c r="E2100" s="888" t="s">
        <v>310</v>
      </c>
      <c r="F2100" s="888" t="s">
        <v>310</v>
      </c>
    </row>
    <row r="2101" spans="1:6">
      <c r="A2101" s="888">
        <v>370</v>
      </c>
      <c r="B2101" s="888" t="s">
        <v>1200</v>
      </c>
      <c r="C2101" s="888" t="s">
        <v>1107</v>
      </c>
      <c r="D2101" s="889">
        <v>46028</v>
      </c>
      <c r="E2101" s="888" t="s">
        <v>310</v>
      </c>
      <c r="F2101" s="888" t="s">
        <v>310</v>
      </c>
    </row>
    <row r="2102" spans="1:6">
      <c r="A2102" s="888">
        <v>370</v>
      </c>
      <c r="B2102" s="888" t="s">
        <v>1200</v>
      </c>
      <c r="C2102" s="888" t="s">
        <v>1107</v>
      </c>
      <c r="D2102" s="889">
        <v>46029</v>
      </c>
      <c r="E2102" s="888" t="s">
        <v>310</v>
      </c>
      <c r="F2102" s="888" t="s">
        <v>310</v>
      </c>
    </row>
    <row r="2103" spans="1:6">
      <c r="A2103" s="888">
        <v>370</v>
      </c>
      <c r="B2103" s="888" t="s">
        <v>1200</v>
      </c>
      <c r="C2103" s="888" t="s">
        <v>1107</v>
      </c>
      <c r="D2103" s="889">
        <v>46030</v>
      </c>
      <c r="E2103" s="888" t="s">
        <v>310</v>
      </c>
      <c r="F2103" s="888" t="s">
        <v>310</v>
      </c>
    </row>
    <row r="2104" spans="1:6">
      <c r="A2104" s="888">
        <v>370</v>
      </c>
      <c r="B2104" s="888" t="s">
        <v>1200</v>
      </c>
      <c r="C2104" s="888" t="s">
        <v>1107</v>
      </c>
      <c r="D2104" s="889">
        <v>46031</v>
      </c>
      <c r="E2104" s="888" t="s">
        <v>310</v>
      </c>
      <c r="F2104" s="888" t="s">
        <v>310</v>
      </c>
    </row>
    <row r="2105" spans="1:6">
      <c r="A2105" s="888">
        <v>370</v>
      </c>
      <c r="B2105" s="888" t="s">
        <v>1200</v>
      </c>
      <c r="C2105" s="888" t="s">
        <v>1107</v>
      </c>
      <c r="D2105" s="889">
        <v>46032</v>
      </c>
      <c r="E2105" s="888" t="s">
        <v>310</v>
      </c>
      <c r="F2105" s="888" t="s">
        <v>310</v>
      </c>
    </row>
    <row r="2106" spans="1:6">
      <c r="A2106" s="888">
        <v>370</v>
      </c>
      <c r="B2106" s="888" t="s">
        <v>1200</v>
      </c>
      <c r="C2106" s="888" t="s">
        <v>1107</v>
      </c>
      <c r="D2106" s="889">
        <v>46033</v>
      </c>
      <c r="E2106" s="888" t="s">
        <v>310</v>
      </c>
      <c r="F2106" s="888" t="s">
        <v>310</v>
      </c>
    </row>
    <row r="2107" spans="1:6">
      <c r="A2107" s="888">
        <v>370</v>
      </c>
      <c r="B2107" s="888" t="s">
        <v>1200</v>
      </c>
      <c r="C2107" s="888" t="s">
        <v>1107</v>
      </c>
      <c r="D2107" s="889">
        <v>46034</v>
      </c>
      <c r="E2107" s="888" t="s">
        <v>310</v>
      </c>
      <c r="F2107" s="888" t="s">
        <v>310</v>
      </c>
    </row>
    <row r="2108" spans="1:6">
      <c r="A2108" s="888">
        <v>370</v>
      </c>
      <c r="B2108" s="888" t="s">
        <v>1200</v>
      </c>
      <c r="C2108" s="888" t="s">
        <v>1107</v>
      </c>
      <c r="D2108" s="889">
        <v>46035</v>
      </c>
      <c r="E2108" s="888" t="s">
        <v>310</v>
      </c>
      <c r="F2108" s="888" t="s">
        <v>310</v>
      </c>
    </row>
    <row r="2109" spans="1:6">
      <c r="A2109" s="888">
        <v>370</v>
      </c>
      <c r="B2109" s="888" t="s">
        <v>1200</v>
      </c>
      <c r="C2109" s="888" t="s">
        <v>1107</v>
      </c>
      <c r="D2109" s="889">
        <v>46036</v>
      </c>
      <c r="E2109" s="888" t="s">
        <v>310</v>
      </c>
      <c r="F2109" s="888" t="s">
        <v>310</v>
      </c>
    </row>
    <row r="2110" spans="1:6">
      <c r="A2110" s="888">
        <v>370</v>
      </c>
      <c r="B2110" s="888" t="s">
        <v>1200</v>
      </c>
      <c r="C2110" s="888" t="s">
        <v>1107</v>
      </c>
      <c r="D2110" s="889">
        <v>46037</v>
      </c>
      <c r="E2110" s="888" t="s">
        <v>310</v>
      </c>
      <c r="F2110" s="888" t="s">
        <v>310</v>
      </c>
    </row>
    <row r="2111" spans="1:6">
      <c r="A2111" s="888">
        <v>370</v>
      </c>
      <c r="B2111" s="888" t="s">
        <v>1200</v>
      </c>
      <c r="C2111" s="888" t="s">
        <v>1107</v>
      </c>
      <c r="D2111" s="889">
        <v>46038</v>
      </c>
      <c r="E2111" s="888" t="s">
        <v>310</v>
      </c>
      <c r="F2111" s="888" t="s">
        <v>310</v>
      </c>
    </row>
    <row r="2112" spans="1:6">
      <c r="A2112" s="888">
        <v>370</v>
      </c>
      <c r="B2112" s="888" t="s">
        <v>1200</v>
      </c>
      <c r="C2112" s="888" t="s">
        <v>1107</v>
      </c>
      <c r="D2112" s="889">
        <v>46039</v>
      </c>
      <c r="E2112" s="888" t="s">
        <v>310</v>
      </c>
      <c r="F2112" s="888" t="s">
        <v>310</v>
      </c>
    </row>
    <row r="2113" spans="1:6">
      <c r="A2113" s="888">
        <v>370</v>
      </c>
      <c r="B2113" s="888" t="s">
        <v>1200</v>
      </c>
      <c r="C2113" s="888" t="s">
        <v>1107</v>
      </c>
      <c r="D2113" s="889">
        <v>46040</v>
      </c>
      <c r="E2113" s="888" t="s">
        <v>310</v>
      </c>
      <c r="F2113" s="888" t="s">
        <v>310</v>
      </c>
    </row>
    <row r="2114" spans="1:6">
      <c r="A2114" s="888">
        <v>370</v>
      </c>
      <c r="B2114" s="888" t="s">
        <v>1200</v>
      </c>
      <c r="C2114" s="888" t="s">
        <v>1107</v>
      </c>
      <c r="D2114" s="889">
        <v>46041</v>
      </c>
      <c r="E2114" s="888" t="s">
        <v>310</v>
      </c>
      <c r="F2114" s="888" t="s">
        <v>310</v>
      </c>
    </row>
    <row r="2115" spans="1:6">
      <c r="A2115" s="888">
        <v>370</v>
      </c>
      <c r="B2115" s="888" t="s">
        <v>1200</v>
      </c>
      <c r="C2115" s="888" t="s">
        <v>1107</v>
      </c>
      <c r="D2115" s="889">
        <v>46042</v>
      </c>
      <c r="E2115" s="888" t="s">
        <v>310</v>
      </c>
      <c r="F2115" s="888" t="s">
        <v>310</v>
      </c>
    </row>
    <row r="2116" spans="1:6">
      <c r="A2116" s="888">
        <v>370</v>
      </c>
      <c r="B2116" s="888" t="s">
        <v>1200</v>
      </c>
      <c r="C2116" s="888" t="s">
        <v>1107</v>
      </c>
      <c r="D2116" s="889">
        <v>46043</v>
      </c>
      <c r="E2116" s="888" t="s">
        <v>310</v>
      </c>
      <c r="F2116" s="888" t="s">
        <v>310</v>
      </c>
    </row>
    <row r="2117" spans="1:6">
      <c r="A2117" s="888">
        <v>370</v>
      </c>
      <c r="B2117" s="888" t="s">
        <v>1200</v>
      </c>
      <c r="C2117" s="888" t="s">
        <v>1107</v>
      </c>
      <c r="D2117" s="889">
        <v>46044</v>
      </c>
      <c r="E2117" s="888" t="s">
        <v>310</v>
      </c>
      <c r="F2117" s="888" t="s">
        <v>310</v>
      </c>
    </row>
    <row r="2118" spans="1:6">
      <c r="A2118" s="888">
        <v>370</v>
      </c>
      <c r="B2118" s="888" t="s">
        <v>1200</v>
      </c>
      <c r="C2118" s="888" t="s">
        <v>1107</v>
      </c>
      <c r="D2118" s="889">
        <v>46045</v>
      </c>
      <c r="E2118" s="888" t="s">
        <v>310</v>
      </c>
      <c r="F2118" s="888" t="s">
        <v>310</v>
      </c>
    </row>
    <row r="2119" spans="1:6">
      <c r="A2119" s="888">
        <v>370</v>
      </c>
      <c r="B2119" s="888" t="s">
        <v>1200</v>
      </c>
      <c r="C2119" s="888" t="s">
        <v>1107</v>
      </c>
      <c r="D2119" s="889">
        <v>46046</v>
      </c>
      <c r="E2119" s="888" t="s">
        <v>310</v>
      </c>
      <c r="F2119" s="888" t="s">
        <v>310</v>
      </c>
    </row>
    <row r="2120" spans="1:6">
      <c r="A2120" s="888">
        <v>370</v>
      </c>
      <c r="B2120" s="888" t="s">
        <v>1200</v>
      </c>
      <c r="C2120" s="888" t="s">
        <v>1107</v>
      </c>
      <c r="D2120" s="889">
        <v>46047</v>
      </c>
      <c r="E2120" s="888" t="s">
        <v>310</v>
      </c>
      <c r="F2120" s="888" t="s">
        <v>310</v>
      </c>
    </row>
    <row r="2121" spans="1:6">
      <c r="A2121" s="888">
        <v>370</v>
      </c>
      <c r="B2121" s="888" t="s">
        <v>1200</v>
      </c>
      <c r="C2121" s="888" t="s">
        <v>1107</v>
      </c>
      <c r="D2121" s="889">
        <v>46048</v>
      </c>
      <c r="E2121" s="888" t="s">
        <v>310</v>
      </c>
      <c r="F2121" s="888" t="s">
        <v>310</v>
      </c>
    </row>
    <row r="2122" spans="1:6">
      <c r="A2122" s="888">
        <v>370</v>
      </c>
      <c r="B2122" s="888" t="s">
        <v>1200</v>
      </c>
      <c r="C2122" s="888" t="s">
        <v>1107</v>
      </c>
      <c r="D2122" s="889">
        <v>46049</v>
      </c>
      <c r="E2122" s="888" t="s">
        <v>310</v>
      </c>
      <c r="F2122" s="888" t="s">
        <v>310</v>
      </c>
    </row>
    <row r="2123" spans="1:6">
      <c r="A2123" s="888">
        <v>370</v>
      </c>
      <c r="B2123" s="888" t="s">
        <v>1200</v>
      </c>
      <c r="C2123" s="888" t="s">
        <v>1107</v>
      </c>
      <c r="D2123" s="889">
        <v>46050</v>
      </c>
      <c r="E2123" s="888" t="s">
        <v>310</v>
      </c>
      <c r="F2123" s="888" t="s">
        <v>310</v>
      </c>
    </row>
    <row r="2124" spans="1:6">
      <c r="A2124" s="888">
        <v>370</v>
      </c>
      <c r="B2124" s="888" t="s">
        <v>1200</v>
      </c>
      <c r="C2124" s="888" t="s">
        <v>1107</v>
      </c>
      <c r="D2124" s="889">
        <v>46051</v>
      </c>
      <c r="E2124" s="888" t="s">
        <v>310</v>
      </c>
      <c r="F2124" s="888" t="s">
        <v>310</v>
      </c>
    </row>
    <row r="2125" spans="1:6">
      <c r="A2125" s="888">
        <v>370</v>
      </c>
      <c r="B2125" s="888" t="s">
        <v>1200</v>
      </c>
      <c r="C2125" s="888" t="s">
        <v>1107</v>
      </c>
      <c r="D2125" s="889">
        <v>46052</v>
      </c>
      <c r="E2125" s="888" t="s">
        <v>310</v>
      </c>
      <c r="F2125" s="888" t="s">
        <v>310</v>
      </c>
    </row>
    <row r="2126" spans="1:6">
      <c r="A2126" s="888">
        <v>370</v>
      </c>
      <c r="B2126" s="888" t="s">
        <v>1200</v>
      </c>
      <c r="C2126" s="888" t="s">
        <v>1107</v>
      </c>
      <c r="D2126" s="889">
        <v>46053</v>
      </c>
      <c r="E2126" s="888" t="s">
        <v>310</v>
      </c>
      <c r="F2126" s="888" t="s">
        <v>310</v>
      </c>
    </row>
    <row r="2127" spans="1:6">
      <c r="A2127" s="888">
        <v>370</v>
      </c>
      <c r="B2127" s="888" t="s">
        <v>1200</v>
      </c>
      <c r="C2127" s="888" t="s">
        <v>1107</v>
      </c>
      <c r="D2127" s="889">
        <v>46054</v>
      </c>
      <c r="E2127" s="888" t="s">
        <v>310</v>
      </c>
      <c r="F2127" s="888" t="s">
        <v>310</v>
      </c>
    </row>
    <row r="2128" spans="1:6">
      <c r="A2128" s="888">
        <v>564</v>
      </c>
      <c r="B2128" s="888" t="s">
        <v>2270</v>
      </c>
      <c r="C2128" s="888" t="s">
        <v>1767</v>
      </c>
      <c r="D2128" s="889">
        <v>46023</v>
      </c>
      <c r="E2128" s="888" t="s">
        <v>310</v>
      </c>
      <c r="F2128" s="888" t="s">
        <v>310</v>
      </c>
    </row>
    <row r="2129" spans="1:6">
      <c r="A2129" s="888">
        <v>564</v>
      </c>
      <c r="B2129" s="888" t="s">
        <v>2270</v>
      </c>
      <c r="C2129" s="888" t="s">
        <v>1767</v>
      </c>
      <c r="D2129" s="889">
        <v>46024</v>
      </c>
      <c r="E2129" s="888" t="s">
        <v>310</v>
      </c>
      <c r="F2129" s="888" t="s">
        <v>310</v>
      </c>
    </row>
    <row r="2130" spans="1:6">
      <c r="A2130" s="888">
        <v>564</v>
      </c>
      <c r="B2130" s="888" t="s">
        <v>2270</v>
      </c>
      <c r="C2130" s="888" t="s">
        <v>1767</v>
      </c>
      <c r="D2130" s="889">
        <v>46025</v>
      </c>
      <c r="E2130" s="888" t="s">
        <v>310</v>
      </c>
      <c r="F2130" s="888" t="s">
        <v>310</v>
      </c>
    </row>
    <row r="2131" spans="1:6">
      <c r="A2131" s="888">
        <v>564</v>
      </c>
      <c r="B2131" s="888" t="s">
        <v>2270</v>
      </c>
      <c r="C2131" s="888" t="s">
        <v>1767</v>
      </c>
      <c r="D2131" s="889">
        <v>46026</v>
      </c>
      <c r="E2131" s="888" t="s">
        <v>310</v>
      </c>
      <c r="F2131" s="888" t="s">
        <v>310</v>
      </c>
    </row>
    <row r="2132" spans="1:6">
      <c r="A2132" s="888">
        <v>564</v>
      </c>
      <c r="B2132" s="888" t="s">
        <v>2270</v>
      </c>
      <c r="C2132" s="888" t="s">
        <v>1767</v>
      </c>
      <c r="D2132" s="889">
        <v>46027</v>
      </c>
      <c r="E2132" s="888" t="s">
        <v>310</v>
      </c>
      <c r="F2132" s="888" t="s">
        <v>310</v>
      </c>
    </row>
    <row r="2133" spans="1:6">
      <c r="A2133" s="888">
        <v>564</v>
      </c>
      <c r="B2133" s="888" t="s">
        <v>2270</v>
      </c>
      <c r="C2133" s="888" t="s">
        <v>1767</v>
      </c>
      <c r="D2133" s="889">
        <v>46028</v>
      </c>
      <c r="E2133" s="888" t="s">
        <v>310</v>
      </c>
      <c r="F2133" s="888" t="s">
        <v>310</v>
      </c>
    </row>
    <row r="2134" spans="1:6">
      <c r="A2134" s="888">
        <v>564</v>
      </c>
      <c r="B2134" s="888" t="s">
        <v>2270</v>
      </c>
      <c r="C2134" s="888" t="s">
        <v>1767</v>
      </c>
      <c r="D2134" s="889">
        <v>46029</v>
      </c>
      <c r="E2134" s="888" t="s">
        <v>310</v>
      </c>
      <c r="F2134" s="888" t="s">
        <v>310</v>
      </c>
    </row>
    <row r="2135" spans="1:6">
      <c r="A2135" s="888">
        <v>564</v>
      </c>
      <c r="B2135" s="888" t="s">
        <v>2270</v>
      </c>
      <c r="C2135" s="888" t="s">
        <v>1767</v>
      </c>
      <c r="D2135" s="889">
        <v>46030</v>
      </c>
      <c r="E2135" s="890">
        <v>0.73796296296296293</v>
      </c>
      <c r="F2135" s="890">
        <v>0.80877314814814816</v>
      </c>
    </row>
    <row r="2136" spans="1:6">
      <c r="A2136" s="888" t="s">
        <v>2271</v>
      </c>
      <c r="B2136" s="888" t="s">
        <v>2272</v>
      </c>
      <c r="C2136" s="888" t="s">
        <v>2273</v>
      </c>
    </row>
    <row r="2137" spans="1:6">
      <c r="A2137" s="888">
        <v>564</v>
      </c>
      <c r="B2137" s="888" t="s">
        <v>2270</v>
      </c>
      <c r="C2137" s="888" t="s">
        <v>1767</v>
      </c>
      <c r="D2137" s="889">
        <v>46031</v>
      </c>
      <c r="E2137" s="890">
        <v>0.30778935185185186</v>
      </c>
      <c r="F2137" s="890">
        <v>0.80081018518518521</v>
      </c>
    </row>
    <row r="2138" spans="1:6">
      <c r="A2138" s="888" t="s">
        <v>2274</v>
      </c>
      <c r="B2138" s="888" t="s">
        <v>2275</v>
      </c>
      <c r="C2138" s="888" t="s">
        <v>2276</v>
      </c>
    </row>
    <row r="2139" spans="1:6">
      <c r="A2139" s="888">
        <v>564</v>
      </c>
      <c r="B2139" s="888" t="s">
        <v>2270</v>
      </c>
      <c r="C2139" s="888" t="s">
        <v>1767</v>
      </c>
      <c r="D2139" s="889">
        <v>46032</v>
      </c>
      <c r="E2139" s="890">
        <v>0.37100694444444443</v>
      </c>
      <c r="F2139" s="890">
        <v>0.79006944444444449</v>
      </c>
    </row>
    <row r="2140" spans="1:6">
      <c r="A2140" s="888" t="s">
        <v>2277</v>
      </c>
      <c r="B2140" s="888" t="s">
        <v>2278</v>
      </c>
      <c r="C2140" s="888" t="s">
        <v>2030</v>
      </c>
    </row>
    <row r="2141" spans="1:6">
      <c r="A2141" s="888">
        <v>564</v>
      </c>
      <c r="B2141" s="888" t="s">
        <v>2270</v>
      </c>
      <c r="C2141" s="888" t="s">
        <v>1767</v>
      </c>
      <c r="D2141" s="889">
        <v>46033</v>
      </c>
      <c r="E2141" s="888" t="s">
        <v>310</v>
      </c>
      <c r="F2141" s="888" t="s">
        <v>310</v>
      </c>
    </row>
    <row r="2142" spans="1:6">
      <c r="A2142" s="888">
        <v>564</v>
      </c>
      <c r="B2142" s="888" t="s">
        <v>2270</v>
      </c>
      <c r="C2142" s="888" t="s">
        <v>1767</v>
      </c>
      <c r="D2142" s="889">
        <v>46034</v>
      </c>
      <c r="E2142" s="890">
        <v>0.37394675925925924</v>
      </c>
      <c r="F2142" s="890">
        <v>0.81980324074074074</v>
      </c>
    </row>
    <row r="2143" spans="1:6">
      <c r="A2143" s="888" t="s">
        <v>2279</v>
      </c>
      <c r="B2143" s="888" t="s">
        <v>2280</v>
      </c>
      <c r="C2143" s="888" t="s">
        <v>2281</v>
      </c>
    </row>
    <row r="2144" spans="1:6">
      <c r="A2144" s="888">
        <v>564</v>
      </c>
      <c r="B2144" s="888" t="s">
        <v>2270</v>
      </c>
      <c r="C2144" s="888" t="s">
        <v>1767</v>
      </c>
      <c r="D2144" s="889">
        <v>46035</v>
      </c>
      <c r="E2144" s="890">
        <v>0.36311342592592594</v>
      </c>
      <c r="F2144" s="890">
        <v>0.78773148148148153</v>
      </c>
    </row>
    <row r="2145" spans="1:6">
      <c r="A2145" s="888" t="s">
        <v>2282</v>
      </c>
      <c r="B2145" s="888" t="s">
        <v>2283</v>
      </c>
      <c r="C2145" s="888" t="s">
        <v>1393</v>
      </c>
    </row>
    <row r="2146" spans="1:6">
      <c r="A2146" s="888">
        <v>564</v>
      </c>
      <c r="B2146" s="888" t="s">
        <v>2270</v>
      </c>
      <c r="C2146" s="888" t="s">
        <v>1767</v>
      </c>
      <c r="D2146" s="889">
        <v>46036</v>
      </c>
      <c r="E2146" s="890">
        <v>0.36641203703703706</v>
      </c>
      <c r="F2146" s="890">
        <v>0.78003472222222225</v>
      </c>
    </row>
    <row r="2147" spans="1:6">
      <c r="A2147" s="888" t="s">
        <v>2284</v>
      </c>
      <c r="B2147" s="888" t="s">
        <v>2285</v>
      </c>
      <c r="C2147" s="888" t="s">
        <v>1407</v>
      </c>
    </row>
    <row r="2148" spans="1:6">
      <c r="A2148" s="888">
        <v>564</v>
      </c>
      <c r="B2148" s="888" t="s">
        <v>2270</v>
      </c>
      <c r="C2148" s="888" t="s">
        <v>1767</v>
      </c>
      <c r="D2148" s="889">
        <v>46037</v>
      </c>
      <c r="E2148" s="890">
        <v>0.36832175925925925</v>
      </c>
      <c r="F2148" s="890">
        <v>0.79451388888888885</v>
      </c>
    </row>
    <row r="2149" spans="1:6">
      <c r="A2149" s="888" t="s">
        <v>2286</v>
      </c>
      <c r="B2149" s="888" t="s">
        <v>2287</v>
      </c>
      <c r="C2149" s="888" t="s">
        <v>2288</v>
      </c>
    </row>
    <row r="2150" spans="1:6">
      <c r="A2150" s="888">
        <v>564</v>
      </c>
      <c r="B2150" s="888" t="s">
        <v>2270</v>
      </c>
      <c r="C2150" s="888" t="s">
        <v>1767</v>
      </c>
      <c r="D2150" s="889">
        <v>46038</v>
      </c>
      <c r="E2150" s="890">
        <v>0.56961805555555556</v>
      </c>
      <c r="F2150" s="890">
        <v>0.76027777777777783</v>
      </c>
    </row>
    <row r="2151" spans="1:6">
      <c r="A2151" s="888" t="s">
        <v>2289</v>
      </c>
      <c r="B2151" s="888" t="s">
        <v>2290</v>
      </c>
      <c r="C2151" s="888" t="s">
        <v>1833</v>
      </c>
    </row>
    <row r="2152" spans="1:6">
      <c r="A2152" s="888">
        <v>564</v>
      </c>
      <c r="B2152" s="888" t="s">
        <v>2270</v>
      </c>
      <c r="C2152" s="888" t="s">
        <v>1767</v>
      </c>
      <c r="D2152" s="889">
        <v>46039</v>
      </c>
      <c r="E2152" s="888" t="s">
        <v>310</v>
      </c>
      <c r="F2152" s="888" t="s">
        <v>310</v>
      </c>
    </row>
    <row r="2153" spans="1:6">
      <c r="A2153" s="888">
        <v>564</v>
      </c>
      <c r="B2153" s="888" t="s">
        <v>2270</v>
      </c>
      <c r="C2153" s="888" t="s">
        <v>1767</v>
      </c>
      <c r="D2153" s="889">
        <v>46040</v>
      </c>
      <c r="E2153" s="888" t="s">
        <v>310</v>
      </c>
      <c r="F2153" s="888" t="s">
        <v>310</v>
      </c>
    </row>
    <row r="2154" spans="1:6">
      <c r="A2154" s="888">
        <v>564</v>
      </c>
      <c r="B2154" s="888" t="s">
        <v>2270</v>
      </c>
      <c r="C2154" s="888" t="s">
        <v>1767</v>
      </c>
      <c r="D2154" s="889">
        <v>46041</v>
      </c>
      <c r="E2154" s="890">
        <v>0.36493055555555554</v>
      </c>
      <c r="F2154" s="890">
        <v>0.52864583333333337</v>
      </c>
    </row>
    <row r="2155" spans="1:6">
      <c r="A2155" s="888" t="s">
        <v>2291</v>
      </c>
      <c r="B2155" s="888" t="s">
        <v>2292</v>
      </c>
      <c r="C2155" s="888" t="s">
        <v>2293</v>
      </c>
    </row>
    <row r="2156" spans="1:6">
      <c r="A2156" s="888">
        <v>564</v>
      </c>
      <c r="B2156" s="888" t="s">
        <v>2270</v>
      </c>
      <c r="C2156" s="888" t="s">
        <v>1767</v>
      </c>
      <c r="D2156" s="889">
        <v>46042</v>
      </c>
      <c r="E2156" s="890">
        <v>0.36571759259259257</v>
      </c>
      <c r="F2156" s="890">
        <v>0.82913194444444449</v>
      </c>
    </row>
    <row r="2157" spans="1:6">
      <c r="A2157" s="888" t="s">
        <v>2294</v>
      </c>
      <c r="B2157" s="888" t="s">
        <v>2295</v>
      </c>
      <c r="C2157" s="888" t="s">
        <v>1695</v>
      </c>
    </row>
    <row r="2158" spans="1:6">
      <c r="A2158" s="888">
        <v>564</v>
      </c>
      <c r="B2158" s="888" t="s">
        <v>2270</v>
      </c>
      <c r="C2158" s="888" t="s">
        <v>1767</v>
      </c>
      <c r="D2158" s="889">
        <v>46043</v>
      </c>
      <c r="E2158" s="890">
        <v>0.36474537037037036</v>
      </c>
      <c r="F2158" s="890">
        <v>0.80313657407407413</v>
      </c>
    </row>
    <row r="2159" spans="1:6">
      <c r="A2159" s="888" t="s">
        <v>2296</v>
      </c>
      <c r="B2159" s="888" t="s">
        <v>2297</v>
      </c>
      <c r="C2159" s="888" t="s">
        <v>1787</v>
      </c>
    </row>
    <row r="2160" spans="1:6">
      <c r="A2160" s="888">
        <v>564</v>
      </c>
      <c r="B2160" s="888" t="s">
        <v>2270</v>
      </c>
      <c r="C2160" s="888" t="s">
        <v>1767</v>
      </c>
      <c r="D2160" s="889">
        <v>46044</v>
      </c>
      <c r="E2160" s="888" t="s">
        <v>310</v>
      </c>
      <c r="F2160" s="888" t="s">
        <v>310</v>
      </c>
    </row>
    <row r="2161" spans="1:6">
      <c r="A2161" s="888">
        <v>564</v>
      </c>
      <c r="B2161" s="888" t="s">
        <v>2270</v>
      </c>
      <c r="C2161" s="888" t="s">
        <v>1767</v>
      </c>
      <c r="D2161" s="889">
        <v>46045</v>
      </c>
      <c r="E2161" s="888" t="s">
        <v>310</v>
      </c>
      <c r="F2161" s="888" t="s">
        <v>310</v>
      </c>
    </row>
    <row r="2162" spans="1:6">
      <c r="A2162" s="888">
        <v>564</v>
      </c>
      <c r="B2162" s="888" t="s">
        <v>2270</v>
      </c>
      <c r="C2162" s="888" t="s">
        <v>1767</v>
      </c>
      <c r="D2162" s="889">
        <v>46046</v>
      </c>
      <c r="E2162" s="888" t="s">
        <v>310</v>
      </c>
      <c r="F2162" s="888" t="s">
        <v>310</v>
      </c>
    </row>
    <row r="2163" spans="1:6">
      <c r="A2163" s="888">
        <v>564</v>
      </c>
      <c r="B2163" s="888" t="s">
        <v>2270</v>
      </c>
      <c r="C2163" s="888" t="s">
        <v>1767</v>
      </c>
      <c r="D2163" s="889">
        <v>46047</v>
      </c>
      <c r="E2163" s="888" t="s">
        <v>310</v>
      </c>
      <c r="F2163" s="888" t="s">
        <v>310</v>
      </c>
    </row>
    <row r="2164" spans="1:6">
      <c r="A2164" s="888">
        <v>564</v>
      </c>
      <c r="B2164" s="888" t="s">
        <v>2270</v>
      </c>
      <c r="C2164" s="888" t="s">
        <v>1767</v>
      </c>
      <c r="D2164" s="889">
        <v>46048</v>
      </c>
      <c r="E2164" s="890">
        <v>0.36636574074074074</v>
      </c>
      <c r="F2164" s="890">
        <v>0.772974537037037</v>
      </c>
    </row>
    <row r="2165" spans="1:6">
      <c r="A2165" s="888" t="s">
        <v>2298</v>
      </c>
      <c r="B2165" s="888" t="s">
        <v>2299</v>
      </c>
      <c r="C2165" s="888" t="s">
        <v>1868</v>
      </c>
    </row>
    <row r="2166" spans="1:6">
      <c r="A2166" s="888">
        <v>564</v>
      </c>
      <c r="B2166" s="888" t="s">
        <v>2270</v>
      </c>
      <c r="C2166" s="888" t="s">
        <v>1767</v>
      </c>
      <c r="D2166" s="889">
        <v>46049</v>
      </c>
      <c r="E2166" s="890">
        <v>0.37054398148148149</v>
      </c>
      <c r="F2166" s="890">
        <v>0.86136574074074079</v>
      </c>
    </row>
    <row r="2167" spans="1:6">
      <c r="A2167" s="888" t="s">
        <v>2300</v>
      </c>
      <c r="B2167" s="888" t="s">
        <v>2301</v>
      </c>
      <c r="C2167" s="888" t="s">
        <v>2302</v>
      </c>
    </row>
    <row r="2168" spans="1:6">
      <c r="A2168" s="888">
        <v>564</v>
      </c>
      <c r="B2168" s="888" t="s">
        <v>2270</v>
      </c>
      <c r="C2168" s="888" t="s">
        <v>1767</v>
      </c>
      <c r="D2168" s="889">
        <v>46050</v>
      </c>
      <c r="E2168" s="890">
        <v>0.37225694444444446</v>
      </c>
      <c r="F2168" s="890">
        <v>0.76521990740740742</v>
      </c>
    </row>
    <row r="2169" spans="1:6">
      <c r="A2169" s="888" t="s">
        <v>2303</v>
      </c>
      <c r="B2169" s="888" t="s">
        <v>2304</v>
      </c>
      <c r="C2169" s="888" t="s">
        <v>1776</v>
      </c>
    </row>
    <row r="2170" spans="1:6">
      <c r="A2170" s="888">
        <v>564</v>
      </c>
      <c r="B2170" s="888" t="s">
        <v>2270</v>
      </c>
      <c r="C2170" s="888" t="s">
        <v>1767</v>
      </c>
      <c r="D2170" s="889">
        <v>46051</v>
      </c>
      <c r="E2170" s="890">
        <v>0.37256944444444445</v>
      </c>
      <c r="F2170" s="890">
        <v>0.78626157407407404</v>
      </c>
    </row>
    <row r="2171" spans="1:6">
      <c r="A2171" s="888" t="s">
        <v>2305</v>
      </c>
      <c r="B2171" s="888" t="s">
        <v>2306</v>
      </c>
      <c r="C2171" s="888" t="s">
        <v>1407</v>
      </c>
    </row>
    <row r="2172" spans="1:6">
      <c r="A2172" s="888">
        <v>564</v>
      </c>
      <c r="B2172" s="888" t="s">
        <v>2270</v>
      </c>
      <c r="C2172" s="888" t="s">
        <v>1767</v>
      </c>
      <c r="D2172" s="889">
        <v>46052</v>
      </c>
      <c r="E2172" s="890">
        <v>0.37263888888888891</v>
      </c>
      <c r="F2172" s="890">
        <v>0.79708333333333337</v>
      </c>
    </row>
    <row r="2173" spans="1:6">
      <c r="A2173" s="888" t="s">
        <v>2307</v>
      </c>
      <c r="B2173" s="888" t="s">
        <v>2308</v>
      </c>
      <c r="C2173" s="888" t="s">
        <v>1393</v>
      </c>
    </row>
    <row r="2174" spans="1:6">
      <c r="A2174" s="888">
        <v>564</v>
      </c>
      <c r="B2174" s="888" t="s">
        <v>2270</v>
      </c>
      <c r="C2174" s="888" t="s">
        <v>1767</v>
      </c>
      <c r="D2174" s="889">
        <v>46053</v>
      </c>
      <c r="E2174" s="888" t="s">
        <v>310</v>
      </c>
      <c r="F2174" s="888" t="s">
        <v>310</v>
      </c>
    </row>
    <row r="2175" spans="1:6">
      <c r="A2175" s="888">
        <v>564</v>
      </c>
      <c r="B2175" s="888" t="s">
        <v>2270</v>
      </c>
      <c r="C2175" s="888" t="s">
        <v>1767</v>
      </c>
      <c r="D2175" s="889">
        <v>46054</v>
      </c>
      <c r="E2175" s="888" t="s">
        <v>310</v>
      </c>
      <c r="F2175" s="888" t="s">
        <v>310</v>
      </c>
    </row>
    <row r="2176" spans="1:6">
      <c r="A2176" s="888">
        <v>604</v>
      </c>
      <c r="B2176" s="888" t="s">
        <v>2309</v>
      </c>
      <c r="C2176" s="888" t="s">
        <v>2310</v>
      </c>
      <c r="D2176" s="889">
        <v>46023</v>
      </c>
      <c r="E2176" s="888" t="s">
        <v>310</v>
      </c>
      <c r="F2176" s="888" t="s">
        <v>310</v>
      </c>
    </row>
    <row r="2177" spans="1:6">
      <c r="A2177" s="888">
        <v>604</v>
      </c>
      <c r="B2177" s="888" t="s">
        <v>2309</v>
      </c>
      <c r="C2177" s="888" t="s">
        <v>2310</v>
      </c>
      <c r="D2177" s="889">
        <v>46024</v>
      </c>
      <c r="E2177" s="888" t="s">
        <v>310</v>
      </c>
      <c r="F2177" s="888" t="s">
        <v>310</v>
      </c>
    </row>
    <row r="2178" spans="1:6">
      <c r="A2178" s="888">
        <v>604</v>
      </c>
      <c r="B2178" s="888" t="s">
        <v>2309</v>
      </c>
      <c r="C2178" s="888" t="s">
        <v>2310</v>
      </c>
      <c r="D2178" s="889">
        <v>46025</v>
      </c>
      <c r="E2178" s="888" t="s">
        <v>310</v>
      </c>
      <c r="F2178" s="888" t="s">
        <v>310</v>
      </c>
    </row>
    <row r="2179" spans="1:6">
      <c r="A2179" s="888">
        <v>604</v>
      </c>
      <c r="B2179" s="888" t="s">
        <v>2309</v>
      </c>
      <c r="C2179" s="888" t="s">
        <v>2310</v>
      </c>
      <c r="D2179" s="889">
        <v>46026</v>
      </c>
      <c r="E2179" s="888" t="s">
        <v>310</v>
      </c>
      <c r="F2179" s="888" t="s">
        <v>310</v>
      </c>
    </row>
    <row r="2180" spans="1:6">
      <c r="A2180" s="888">
        <v>604</v>
      </c>
      <c r="B2180" s="888" t="s">
        <v>2309</v>
      </c>
      <c r="C2180" s="888" t="s">
        <v>2310</v>
      </c>
      <c r="D2180" s="889">
        <v>46027</v>
      </c>
      <c r="E2180" s="888" t="s">
        <v>310</v>
      </c>
      <c r="F2180" s="888" t="s">
        <v>310</v>
      </c>
    </row>
    <row r="2181" spans="1:6">
      <c r="A2181" s="888">
        <v>604</v>
      </c>
      <c r="B2181" s="888" t="s">
        <v>2309</v>
      </c>
      <c r="C2181" s="888" t="s">
        <v>2310</v>
      </c>
      <c r="D2181" s="889">
        <v>46028</v>
      </c>
      <c r="E2181" s="888" t="s">
        <v>310</v>
      </c>
      <c r="F2181" s="888" t="s">
        <v>310</v>
      </c>
    </row>
    <row r="2182" spans="1:6">
      <c r="A2182" s="888">
        <v>604</v>
      </c>
      <c r="B2182" s="888" t="s">
        <v>2309</v>
      </c>
      <c r="C2182" s="888" t="s">
        <v>2310</v>
      </c>
      <c r="D2182" s="889">
        <v>46029</v>
      </c>
      <c r="E2182" s="888" t="s">
        <v>310</v>
      </c>
      <c r="F2182" s="888" t="s">
        <v>310</v>
      </c>
    </row>
    <row r="2183" spans="1:6">
      <c r="A2183" s="888">
        <v>604</v>
      </c>
      <c r="B2183" s="888" t="s">
        <v>2309</v>
      </c>
      <c r="C2183" s="888" t="s">
        <v>2310</v>
      </c>
      <c r="D2183" s="889">
        <v>46030</v>
      </c>
      <c r="E2183" s="890">
        <v>0.6810532407407407</v>
      </c>
      <c r="F2183" s="888" t="s">
        <v>310</v>
      </c>
    </row>
    <row r="2184" spans="1:6">
      <c r="A2184" s="888" t="s">
        <v>2311</v>
      </c>
      <c r="B2184" s="888" t="s">
        <v>1258</v>
      </c>
      <c r="C2184" s="888" t="s">
        <v>1259</v>
      </c>
    </row>
    <row r="2185" spans="1:6">
      <c r="A2185" s="888">
        <v>604</v>
      </c>
      <c r="B2185" s="888" t="s">
        <v>2309</v>
      </c>
      <c r="C2185" s="888" t="s">
        <v>2310</v>
      </c>
      <c r="D2185" s="889">
        <v>46031</v>
      </c>
      <c r="E2185" s="890">
        <v>0.35313657407407406</v>
      </c>
      <c r="F2185" s="890">
        <v>0.87042824074074077</v>
      </c>
    </row>
    <row r="2186" spans="1:6">
      <c r="A2186" s="888" t="s">
        <v>2312</v>
      </c>
      <c r="B2186" s="888" t="s">
        <v>2313</v>
      </c>
      <c r="C2186" s="888" t="s">
        <v>2314</v>
      </c>
    </row>
    <row r="2187" spans="1:6">
      <c r="A2187" s="888">
        <v>604</v>
      </c>
      <c r="B2187" s="888" t="s">
        <v>2309</v>
      </c>
      <c r="C2187" s="888" t="s">
        <v>2310</v>
      </c>
      <c r="D2187" s="889">
        <v>46032</v>
      </c>
      <c r="E2187" s="888" t="s">
        <v>310</v>
      </c>
      <c r="F2187" s="888" t="s">
        <v>310</v>
      </c>
    </row>
    <row r="2188" spans="1:6">
      <c r="A2188" s="888">
        <v>604</v>
      </c>
      <c r="B2188" s="888" t="s">
        <v>2309</v>
      </c>
      <c r="C2188" s="888" t="s">
        <v>2310</v>
      </c>
      <c r="D2188" s="889">
        <v>46033</v>
      </c>
      <c r="E2188" s="888" t="s">
        <v>310</v>
      </c>
      <c r="F2188" s="888" t="s">
        <v>310</v>
      </c>
    </row>
    <row r="2189" spans="1:6">
      <c r="A2189" s="888">
        <v>604</v>
      </c>
      <c r="B2189" s="888" t="s">
        <v>2309</v>
      </c>
      <c r="C2189" s="888" t="s">
        <v>2310</v>
      </c>
      <c r="D2189" s="889">
        <v>46034</v>
      </c>
      <c r="E2189" s="890">
        <v>0.35246527777777775</v>
      </c>
      <c r="F2189" s="890">
        <v>0.78937500000000005</v>
      </c>
    </row>
    <row r="2190" spans="1:6">
      <c r="A2190" s="888" t="s">
        <v>2315</v>
      </c>
      <c r="B2190" s="888" t="s">
        <v>2316</v>
      </c>
      <c r="C2190" s="888" t="s">
        <v>1273</v>
      </c>
    </row>
    <row r="2191" spans="1:6">
      <c r="A2191" s="888">
        <v>604</v>
      </c>
      <c r="B2191" s="888" t="s">
        <v>2309</v>
      </c>
      <c r="C2191" s="888" t="s">
        <v>2310</v>
      </c>
      <c r="D2191" s="889">
        <v>46035</v>
      </c>
      <c r="E2191" s="890">
        <v>0.35473379629629631</v>
      </c>
      <c r="F2191" s="890">
        <v>0.78322916666666664</v>
      </c>
    </row>
    <row r="2192" spans="1:6">
      <c r="A2192" s="888" t="s">
        <v>2317</v>
      </c>
      <c r="B2192" s="888" t="s">
        <v>2318</v>
      </c>
      <c r="C2192" s="888" t="s">
        <v>2319</v>
      </c>
    </row>
    <row r="2193" spans="1:6">
      <c r="A2193" s="888">
        <v>604</v>
      </c>
      <c r="B2193" s="888" t="s">
        <v>2309</v>
      </c>
      <c r="C2193" s="888" t="s">
        <v>2310</v>
      </c>
      <c r="D2193" s="889">
        <v>46036</v>
      </c>
      <c r="E2193" s="890">
        <v>0.35318287037037038</v>
      </c>
      <c r="F2193" s="890">
        <v>0.81612268518518516</v>
      </c>
    </row>
    <row r="2194" spans="1:6">
      <c r="A2194" s="888" t="s">
        <v>2320</v>
      </c>
      <c r="B2194" s="888" t="s">
        <v>2321</v>
      </c>
      <c r="C2194" s="888" t="s">
        <v>1695</v>
      </c>
    </row>
    <row r="2195" spans="1:6">
      <c r="A2195" s="888">
        <v>604</v>
      </c>
      <c r="B2195" s="888" t="s">
        <v>2309</v>
      </c>
      <c r="C2195" s="888" t="s">
        <v>2310</v>
      </c>
      <c r="D2195" s="889">
        <v>46037</v>
      </c>
      <c r="E2195" s="890">
        <v>0.35829861111111111</v>
      </c>
      <c r="F2195" s="890">
        <v>0.91159722222222217</v>
      </c>
    </row>
    <row r="2196" spans="1:6">
      <c r="A2196" s="888" t="s">
        <v>2322</v>
      </c>
      <c r="B2196" s="888" t="s">
        <v>2323</v>
      </c>
      <c r="C2196" s="888" t="s">
        <v>2324</v>
      </c>
    </row>
    <row r="2197" spans="1:6">
      <c r="A2197" s="888">
        <v>604</v>
      </c>
      <c r="B2197" s="888" t="s">
        <v>2309</v>
      </c>
      <c r="C2197" s="888" t="s">
        <v>2310</v>
      </c>
      <c r="D2197" s="889">
        <v>46038</v>
      </c>
      <c r="E2197" s="890">
        <v>0.35215277777777776</v>
      </c>
      <c r="F2197" s="890">
        <v>0.5247222222222222</v>
      </c>
    </row>
    <row r="2198" spans="1:6">
      <c r="A2198" s="888" t="s">
        <v>2325</v>
      </c>
      <c r="B2198" s="888" t="s">
        <v>2326</v>
      </c>
      <c r="C2198" s="888" t="s">
        <v>2327</v>
      </c>
    </row>
    <row r="2199" spans="1:6">
      <c r="A2199" s="888">
        <v>604</v>
      </c>
      <c r="B2199" s="888" t="s">
        <v>2309</v>
      </c>
      <c r="C2199" s="888" t="s">
        <v>2310</v>
      </c>
      <c r="D2199" s="889">
        <v>46039</v>
      </c>
      <c r="E2199" s="888" t="s">
        <v>310</v>
      </c>
      <c r="F2199" s="888" t="s">
        <v>310</v>
      </c>
    </row>
    <row r="2200" spans="1:6">
      <c r="A2200" s="888">
        <v>604</v>
      </c>
      <c r="B2200" s="888" t="s">
        <v>2309</v>
      </c>
      <c r="C2200" s="888" t="s">
        <v>2310</v>
      </c>
      <c r="D2200" s="889">
        <v>46040</v>
      </c>
      <c r="E2200" s="888" t="s">
        <v>310</v>
      </c>
      <c r="F2200" s="888" t="s">
        <v>310</v>
      </c>
    </row>
    <row r="2201" spans="1:6">
      <c r="A2201" s="888">
        <v>604</v>
      </c>
      <c r="B2201" s="888" t="s">
        <v>2309</v>
      </c>
      <c r="C2201" s="888" t="s">
        <v>2310</v>
      </c>
      <c r="D2201" s="889">
        <v>46041</v>
      </c>
      <c r="E2201" s="890">
        <v>0.36343750000000002</v>
      </c>
      <c r="F2201" s="890">
        <v>0.76056712962962958</v>
      </c>
    </row>
    <row r="2202" spans="1:6">
      <c r="A2202" s="888" t="s">
        <v>2328</v>
      </c>
      <c r="B2202" s="888" t="s">
        <v>2329</v>
      </c>
      <c r="C2202" s="888" t="s">
        <v>1514</v>
      </c>
    </row>
    <row r="2203" spans="1:6">
      <c r="A2203" s="888">
        <v>604</v>
      </c>
      <c r="B2203" s="888" t="s">
        <v>2309</v>
      </c>
      <c r="C2203" s="888" t="s">
        <v>2310</v>
      </c>
      <c r="D2203" s="889">
        <v>46042</v>
      </c>
      <c r="E2203" s="890">
        <v>0.35327546296296297</v>
      </c>
      <c r="F2203" s="890">
        <v>0.75563657407407403</v>
      </c>
    </row>
    <row r="2204" spans="1:6">
      <c r="A2204" s="888" t="s">
        <v>2330</v>
      </c>
      <c r="B2204" s="888" t="s">
        <v>2331</v>
      </c>
      <c r="C2204" s="888" t="s">
        <v>1538</v>
      </c>
    </row>
    <row r="2205" spans="1:6">
      <c r="A2205" s="888">
        <v>604</v>
      </c>
      <c r="B2205" s="888" t="s">
        <v>2309</v>
      </c>
      <c r="C2205" s="888" t="s">
        <v>2310</v>
      </c>
      <c r="D2205" s="889">
        <v>46043</v>
      </c>
      <c r="E2205" s="890">
        <v>0.35325231481481484</v>
      </c>
      <c r="F2205" s="890">
        <v>0.7543171296296296</v>
      </c>
    </row>
    <row r="2206" spans="1:6">
      <c r="A2206" s="888" t="s">
        <v>2332</v>
      </c>
      <c r="B2206" s="888" t="s">
        <v>2333</v>
      </c>
      <c r="C2206" s="888" t="s">
        <v>1466</v>
      </c>
    </row>
    <row r="2207" spans="1:6">
      <c r="A2207" s="888">
        <v>604</v>
      </c>
      <c r="B2207" s="888" t="s">
        <v>2309</v>
      </c>
      <c r="C2207" s="888" t="s">
        <v>2310</v>
      </c>
      <c r="D2207" s="889">
        <v>46044</v>
      </c>
      <c r="E2207" s="890">
        <v>0.35506944444444444</v>
      </c>
      <c r="F2207" s="890">
        <v>0.75638888888888889</v>
      </c>
    </row>
    <row r="2208" spans="1:6">
      <c r="A2208" s="888" t="s">
        <v>2334</v>
      </c>
      <c r="B2208" s="888" t="s">
        <v>2335</v>
      </c>
      <c r="C2208" s="888" t="s">
        <v>1466</v>
      </c>
    </row>
    <row r="2209" spans="1:6">
      <c r="A2209" s="888">
        <v>604</v>
      </c>
      <c r="B2209" s="888" t="s">
        <v>2309</v>
      </c>
      <c r="C2209" s="888" t="s">
        <v>2310</v>
      </c>
      <c r="D2209" s="889">
        <v>46045</v>
      </c>
      <c r="E2209" s="890">
        <v>0.35145833333333332</v>
      </c>
      <c r="F2209" s="890">
        <v>0.75370370370370365</v>
      </c>
    </row>
    <row r="2210" spans="1:6">
      <c r="A2210" s="888" t="s">
        <v>2336</v>
      </c>
      <c r="B2210" s="888" t="s">
        <v>2337</v>
      </c>
      <c r="C2210" s="888" t="s">
        <v>1538</v>
      </c>
    </row>
    <row r="2211" spans="1:6">
      <c r="A2211" s="888">
        <v>604</v>
      </c>
      <c r="B2211" s="888" t="s">
        <v>2309</v>
      </c>
      <c r="C2211" s="888" t="s">
        <v>2310</v>
      </c>
      <c r="D2211" s="889">
        <v>46046</v>
      </c>
      <c r="E2211" s="888" t="s">
        <v>310</v>
      </c>
      <c r="F2211" s="888" t="s">
        <v>310</v>
      </c>
    </row>
    <row r="2212" spans="1:6">
      <c r="A2212" s="888">
        <v>604</v>
      </c>
      <c r="B2212" s="888" t="s">
        <v>2309</v>
      </c>
      <c r="C2212" s="888" t="s">
        <v>2310</v>
      </c>
      <c r="D2212" s="889">
        <v>46047</v>
      </c>
      <c r="E2212" s="888" t="s">
        <v>310</v>
      </c>
      <c r="F2212" s="888" t="s">
        <v>310</v>
      </c>
    </row>
    <row r="2213" spans="1:6">
      <c r="A2213" s="888">
        <v>604</v>
      </c>
      <c r="B2213" s="888" t="s">
        <v>2309</v>
      </c>
      <c r="C2213" s="888" t="s">
        <v>2310</v>
      </c>
      <c r="D2213" s="889">
        <v>46048</v>
      </c>
      <c r="E2213" s="890">
        <v>0.35723379629629631</v>
      </c>
      <c r="F2213" s="890">
        <v>0.76307870370370368</v>
      </c>
    </row>
    <row r="2214" spans="1:6">
      <c r="A2214" s="888" t="s">
        <v>2338</v>
      </c>
      <c r="B2214" s="888" t="s">
        <v>2339</v>
      </c>
      <c r="C2214" s="888" t="s">
        <v>2340</v>
      </c>
    </row>
    <row r="2215" spans="1:6">
      <c r="A2215" s="888">
        <v>604</v>
      </c>
      <c r="B2215" s="888" t="s">
        <v>2309</v>
      </c>
      <c r="C2215" s="888" t="s">
        <v>2310</v>
      </c>
      <c r="D2215" s="889">
        <v>46049</v>
      </c>
      <c r="E2215" s="890">
        <v>0.3543634259259259</v>
      </c>
      <c r="F2215" s="890">
        <v>0.73379629629629628</v>
      </c>
    </row>
    <row r="2216" spans="1:6">
      <c r="A2216" s="888" t="s">
        <v>2341</v>
      </c>
      <c r="B2216" s="888" t="s">
        <v>2342</v>
      </c>
      <c r="C2216" s="888" t="s">
        <v>1323</v>
      </c>
    </row>
    <row r="2217" spans="1:6">
      <c r="A2217" s="888">
        <v>604</v>
      </c>
      <c r="B2217" s="888" t="s">
        <v>2309</v>
      </c>
      <c r="C2217" s="888" t="s">
        <v>2310</v>
      </c>
      <c r="D2217" s="889">
        <v>46050</v>
      </c>
      <c r="E2217" s="890">
        <v>0.35319444444444442</v>
      </c>
      <c r="F2217" s="890">
        <v>0.73938657407407404</v>
      </c>
    </row>
    <row r="2218" spans="1:6">
      <c r="A2218" s="888" t="s">
        <v>2343</v>
      </c>
      <c r="B2218" s="888" t="s">
        <v>2344</v>
      </c>
      <c r="C2218" s="888" t="s">
        <v>1598</v>
      </c>
    </row>
    <row r="2219" spans="1:6">
      <c r="A2219" s="888">
        <v>604</v>
      </c>
      <c r="B2219" s="888" t="s">
        <v>2309</v>
      </c>
      <c r="C2219" s="888" t="s">
        <v>2310</v>
      </c>
      <c r="D2219" s="889">
        <v>46051</v>
      </c>
      <c r="E2219" s="890">
        <v>0.35108796296296296</v>
      </c>
      <c r="F2219" s="890">
        <v>0.74086805555555557</v>
      </c>
    </row>
    <row r="2220" spans="1:6">
      <c r="A2220" s="888" t="s">
        <v>2345</v>
      </c>
      <c r="B2220" s="888" t="s">
        <v>2346</v>
      </c>
      <c r="C2220" s="888" t="s">
        <v>1737</v>
      </c>
    </row>
    <row r="2221" spans="1:6">
      <c r="A2221" s="888">
        <v>604</v>
      </c>
      <c r="B2221" s="888" t="s">
        <v>2309</v>
      </c>
      <c r="C2221" s="888" t="s">
        <v>2310</v>
      </c>
      <c r="D2221" s="889">
        <v>46052</v>
      </c>
      <c r="E2221" s="890">
        <v>0.35460648148148149</v>
      </c>
      <c r="F2221" s="890">
        <v>0.77034722222222218</v>
      </c>
    </row>
    <row r="2222" spans="1:6">
      <c r="A2222" s="888" t="s">
        <v>2347</v>
      </c>
      <c r="B2222" s="888" t="s">
        <v>2348</v>
      </c>
      <c r="C2222" s="888" t="s">
        <v>1422</v>
      </c>
    </row>
    <row r="2223" spans="1:6">
      <c r="A2223" s="888">
        <v>604</v>
      </c>
      <c r="B2223" s="888" t="s">
        <v>2309</v>
      </c>
      <c r="C2223" s="888" t="s">
        <v>2310</v>
      </c>
      <c r="D2223" s="889">
        <v>46053</v>
      </c>
      <c r="E2223" s="888" t="s">
        <v>310</v>
      </c>
      <c r="F2223" s="888" t="s">
        <v>310</v>
      </c>
    </row>
    <row r="2224" spans="1:6">
      <c r="A2224" s="888">
        <v>604</v>
      </c>
      <c r="B2224" s="888" t="s">
        <v>2309</v>
      </c>
      <c r="C2224" s="888" t="s">
        <v>2310</v>
      </c>
      <c r="D2224" s="889">
        <v>46054</v>
      </c>
      <c r="E2224" s="888" t="s">
        <v>310</v>
      </c>
      <c r="F2224" s="888" t="s">
        <v>310</v>
      </c>
    </row>
    <row r="2225" spans="1:6">
      <c r="A2225" s="888">
        <v>605</v>
      </c>
      <c r="B2225" s="888" t="s">
        <v>2349</v>
      </c>
      <c r="C2225" s="888" t="s">
        <v>1767</v>
      </c>
      <c r="D2225" s="889">
        <v>46023</v>
      </c>
      <c r="E2225" s="888" t="s">
        <v>310</v>
      </c>
      <c r="F2225" s="888" t="s">
        <v>310</v>
      </c>
    </row>
    <row r="2226" spans="1:6">
      <c r="A2226" s="888">
        <v>605</v>
      </c>
      <c r="B2226" s="888" t="s">
        <v>2349</v>
      </c>
      <c r="C2226" s="888" t="s">
        <v>1767</v>
      </c>
      <c r="D2226" s="889">
        <v>46024</v>
      </c>
      <c r="E2226" s="888" t="s">
        <v>310</v>
      </c>
      <c r="F2226" s="888" t="s">
        <v>310</v>
      </c>
    </row>
    <row r="2227" spans="1:6">
      <c r="A2227" s="888">
        <v>605</v>
      </c>
      <c r="B2227" s="888" t="s">
        <v>2349</v>
      </c>
      <c r="C2227" s="888" t="s">
        <v>1767</v>
      </c>
      <c r="D2227" s="889">
        <v>46025</v>
      </c>
      <c r="E2227" s="888" t="s">
        <v>310</v>
      </c>
      <c r="F2227" s="888" t="s">
        <v>310</v>
      </c>
    </row>
    <row r="2228" spans="1:6">
      <c r="A2228" s="888">
        <v>605</v>
      </c>
      <c r="B2228" s="888" t="s">
        <v>2349</v>
      </c>
      <c r="C2228" s="888" t="s">
        <v>1767</v>
      </c>
      <c r="D2228" s="889">
        <v>46026</v>
      </c>
      <c r="E2228" s="888" t="s">
        <v>310</v>
      </c>
      <c r="F2228" s="888" t="s">
        <v>310</v>
      </c>
    </row>
    <row r="2229" spans="1:6">
      <c r="A2229" s="888">
        <v>605</v>
      </c>
      <c r="B2229" s="888" t="s">
        <v>2349</v>
      </c>
      <c r="C2229" s="888" t="s">
        <v>1767</v>
      </c>
      <c r="D2229" s="889">
        <v>46027</v>
      </c>
      <c r="E2229" s="888" t="s">
        <v>310</v>
      </c>
      <c r="F2229" s="888" t="s">
        <v>310</v>
      </c>
    </row>
    <row r="2230" spans="1:6">
      <c r="A2230" s="888">
        <v>605</v>
      </c>
      <c r="B2230" s="888" t="s">
        <v>2349</v>
      </c>
      <c r="C2230" s="888" t="s">
        <v>1767</v>
      </c>
      <c r="D2230" s="889">
        <v>46028</v>
      </c>
      <c r="E2230" s="888" t="s">
        <v>310</v>
      </c>
      <c r="F2230" s="888" t="s">
        <v>310</v>
      </c>
    </row>
    <row r="2231" spans="1:6">
      <c r="A2231" s="888">
        <v>605</v>
      </c>
      <c r="B2231" s="888" t="s">
        <v>2349</v>
      </c>
      <c r="C2231" s="888" t="s">
        <v>1767</v>
      </c>
      <c r="D2231" s="889">
        <v>46029</v>
      </c>
      <c r="E2231" s="888" t="s">
        <v>310</v>
      </c>
      <c r="F2231" s="888" t="s">
        <v>310</v>
      </c>
    </row>
    <row r="2232" spans="1:6">
      <c r="A2232" s="888">
        <v>605</v>
      </c>
      <c r="B2232" s="888" t="s">
        <v>2349</v>
      </c>
      <c r="C2232" s="888" t="s">
        <v>1767</v>
      </c>
      <c r="D2232" s="889">
        <v>46030</v>
      </c>
      <c r="E2232" s="890">
        <v>0.67785879629629631</v>
      </c>
      <c r="F2232" s="890">
        <v>0.80885416666666665</v>
      </c>
    </row>
    <row r="2233" spans="1:6">
      <c r="A2233" s="888" t="s">
        <v>2350</v>
      </c>
      <c r="B2233" s="888" t="s">
        <v>2351</v>
      </c>
      <c r="C2233" s="888" t="s">
        <v>2352</v>
      </c>
    </row>
    <row r="2234" spans="1:6">
      <c r="A2234" s="888">
        <v>605</v>
      </c>
      <c r="B2234" s="888" t="s">
        <v>2349</v>
      </c>
      <c r="C2234" s="888" t="s">
        <v>1767</v>
      </c>
      <c r="D2234" s="889">
        <v>46031</v>
      </c>
      <c r="E2234" s="890">
        <v>0.38740740740740742</v>
      </c>
      <c r="F2234" s="890">
        <v>0.80405092592592597</v>
      </c>
    </row>
    <row r="2235" spans="1:6">
      <c r="A2235" s="888" t="s">
        <v>2353</v>
      </c>
      <c r="B2235" s="888" t="s">
        <v>2354</v>
      </c>
      <c r="C2235" s="888" t="s">
        <v>1303</v>
      </c>
    </row>
    <row r="2236" spans="1:6">
      <c r="A2236" s="888">
        <v>605</v>
      </c>
      <c r="B2236" s="888" t="s">
        <v>2349</v>
      </c>
      <c r="C2236" s="888" t="s">
        <v>1767</v>
      </c>
      <c r="D2236" s="889">
        <v>46032</v>
      </c>
      <c r="E2236" s="890">
        <v>0.36712962962962964</v>
      </c>
      <c r="F2236" s="890">
        <v>0.82704861111111116</v>
      </c>
    </row>
    <row r="2237" spans="1:6">
      <c r="A2237" s="888" t="s">
        <v>2355</v>
      </c>
      <c r="B2237" s="888" t="s">
        <v>2356</v>
      </c>
      <c r="C2237" s="888" t="s">
        <v>2357</v>
      </c>
    </row>
    <row r="2238" spans="1:6">
      <c r="A2238" s="888">
        <v>605</v>
      </c>
      <c r="B2238" s="888" t="s">
        <v>2349</v>
      </c>
      <c r="C2238" s="888" t="s">
        <v>1767</v>
      </c>
      <c r="D2238" s="889">
        <v>46033</v>
      </c>
      <c r="E2238" s="888" t="s">
        <v>310</v>
      </c>
      <c r="F2238" s="888" t="s">
        <v>310</v>
      </c>
    </row>
    <row r="2239" spans="1:6">
      <c r="A2239" s="888">
        <v>605</v>
      </c>
      <c r="B2239" s="888" t="s">
        <v>2349</v>
      </c>
      <c r="C2239" s="888" t="s">
        <v>1767</v>
      </c>
      <c r="D2239" s="889">
        <v>46034</v>
      </c>
      <c r="E2239" s="890">
        <v>0.37229166666666669</v>
      </c>
      <c r="F2239" s="890">
        <v>0.81658564814814816</v>
      </c>
    </row>
    <row r="2240" spans="1:6">
      <c r="A2240" s="888" t="s">
        <v>2358</v>
      </c>
      <c r="B2240" s="888" t="s">
        <v>2359</v>
      </c>
      <c r="C2240" s="888" t="s">
        <v>1955</v>
      </c>
    </row>
    <row r="2241" spans="1:6">
      <c r="A2241" s="888">
        <v>605</v>
      </c>
      <c r="B2241" s="888" t="s">
        <v>2349</v>
      </c>
      <c r="C2241" s="888" t="s">
        <v>1767</v>
      </c>
      <c r="D2241" s="889">
        <v>46035</v>
      </c>
      <c r="E2241" s="890">
        <v>0.38090277777777776</v>
      </c>
      <c r="F2241" s="890">
        <v>0.78623842592592597</v>
      </c>
    </row>
    <row r="2242" spans="1:6">
      <c r="A2242" s="888" t="s">
        <v>2360</v>
      </c>
      <c r="B2242" s="888" t="s">
        <v>2361</v>
      </c>
      <c r="C2242" s="888" t="s">
        <v>2340</v>
      </c>
    </row>
    <row r="2243" spans="1:6">
      <c r="A2243" s="888">
        <v>605</v>
      </c>
      <c r="B2243" s="888" t="s">
        <v>2349</v>
      </c>
      <c r="C2243" s="888" t="s">
        <v>1767</v>
      </c>
      <c r="D2243" s="889">
        <v>46036</v>
      </c>
      <c r="E2243" s="888" t="s">
        <v>310</v>
      </c>
      <c r="F2243" s="888" t="s">
        <v>310</v>
      </c>
    </row>
    <row r="2244" spans="1:6">
      <c r="A2244" s="888">
        <v>605</v>
      </c>
      <c r="B2244" s="888" t="s">
        <v>2349</v>
      </c>
      <c r="C2244" s="888" t="s">
        <v>1767</v>
      </c>
      <c r="D2244" s="889">
        <v>46037</v>
      </c>
      <c r="E2244" s="890">
        <v>0.3694675925925926</v>
      </c>
      <c r="F2244" s="890">
        <v>0.78849537037037032</v>
      </c>
    </row>
    <row r="2245" spans="1:6">
      <c r="A2245" s="888" t="s">
        <v>2362</v>
      </c>
      <c r="B2245" s="888" t="s">
        <v>2363</v>
      </c>
      <c r="C2245" s="888" t="s">
        <v>2030</v>
      </c>
    </row>
    <row r="2246" spans="1:6">
      <c r="A2246" s="888">
        <v>605</v>
      </c>
      <c r="B2246" s="888" t="s">
        <v>2349</v>
      </c>
      <c r="C2246" s="888" t="s">
        <v>1767</v>
      </c>
      <c r="D2246" s="889">
        <v>46038</v>
      </c>
      <c r="E2246" s="890">
        <v>0.60798611111111112</v>
      </c>
      <c r="F2246" s="890">
        <v>0.76370370370370366</v>
      </c>
    </row>
    <row r="2247" spans="1:6">
      <c r="A2247" s="888" t="s">
        <v>2364</v>
      </c>
      <c r="B2247" s="888" t="s">
        <v>2365</v>
      </c>
      <c r="C2247" s="888" t="s">
        <v>2366</v>
      </c>
    </row>
    <row r="2248" spans="1:6">
      <c r="A2248" s="888">
        <v>605</v>
      </c>
      <c r="B2248" s="888" t="s">
        <v>2349</v>
      </c>
      <c r="C2248" s="888" t="s">
        <v>1767</v>
      </c>
      <c r="D2248" s="889">
        <v>46039</v>
      </c>
      <c r="E2248" s="888" t="s">
        <v>310</v>
      </c>
      <c r="F2248" s="888" t="s">
        <v>310</v>
      </c>
    </row>
    <row r="2249" spans="1:6">
      <c r="A2249" s="888">
        <v>605</v>
      </c>
      <c r="B2249" s="888" t="s">
        <v>2349</v>
      </c>
      <c r="C2249" s="888" t="s">
        <v>1767</v>
      </c>
      <c r="D2249" s="889">
        <v>46040</v>
      </c>
      <c r="E2249" s="888" t="s">
        <v>310</v>
      </c>
      <c r="F2249" s="888" t="s">
        <v>310</v>
      </c>
    </row>
    <row r="2250" spans="1:6">
      <c r="A2250" s="888">
        <v>605</v>
      </c>
      <c r="B2250" s="888" t="s">
        <v>2349</v>
      </c>
      <c r="C2250" s="888" t="s">
        <v>1767</v>
      </c>
      <c r="D2250" s="889">
        <v>46041</v>
      </c>
      <c r="E2250" s="890">
        <v>0.37494212962962964</v>
      </c>
      <c r="F2250" s="890">
        <v>0.7721527777777778</v>
      </c>
    </row>
    <row r="2251" spans="1:6">
      <c r="A2251" s="888" t="s">
        <v>2367</v>
      </c>
      <c r="B2251" s="888" t="s">
        <v>2368</v>
      </c>
      <c r="C2251" s="888" t="s">
        <v>1514</v>
      </c>
    </row>
    <row r="2252" spans="1:6">
      <c r="A2252" s="888">
        <v>605</v>
      </c>
      <c r="B2252" s="888" t="s">
        <v>2349</v>
      </c>
      <c r="C2252" s="888" t="s">
        <v>1767</v>
      </c>
      <c r="D2252" s="889">
        <v>46042</v>
      </c>
      <c r="E2252" s="890">
        <v>0.36633101851851851</v>
      </c>
      <c r="F2252" s="890">
        <v>0.76993055555555556</v>
      </c>
    </row>
    <row r="2253" spans="1:6">
      <c r="A2253" s="888" t="s">
        <v>2369</v>
      </c>
      <c r="B2253" s="888" t="s">
        <v>2370</v>
      </c>
      <c r="C2253" s="888" t="s">
        <v>1363</v>
      </c>
    </row>
    <row r="2254" spans="1:6">
      <c r="A2254" s="888">
        <v>605</v>
      </c>
      <c r="B2254" s="888" t="s">
        <v>2349</v>
      </c>
      <c r="C2254" s="888" t="s">
        <v>1767</v>
      </c>
      <c r="D2254" s="889">
        <v>46043</v>
      </c>
      <c r="E2254" s="890">
        <v>0.37052083333333335</v>
      </c>
      <c r="F2254" s="890">
        <v>0.7527314814814815</v>
      </c>
    </row>
    <row r="2255" spans="1:6">
      <c r="A2255" s="888" t="s">
        <v>2371</v>
      </c>
      <c r="B2255" s="888" t="s">
        <v>2372</v>
      </c>
      <c r="C2255" s="888" t="s">
        <v>1580</v>
      </c>
    </row>
    <row r="2256" spans="1:6">
      <c r="A2256" s="888">
        <v>605</v>
      </c>
      <c r="B2256" s="888" t="s">
        <v>2349</v>
      </c>
      <c r="C2256" s="888" t="s">
        <v>1767</v>
      </c>
      <c r="D2256" s="889">
        <v>46044</v>
      </c>
      <c r="E2256" s="890">
        <v>0.37145833333333333</v>
      </c>
      <c r="F2256" s="890">
        <v>0.75464120370370369</v>
      </c>
    </row>
    <row r="2257" spans="1:6">
      <c r="A2257" s="888" t="s">
        <v>2373</v>
      </c>
      <c r="B2257" s="888" t="s">
        <v>2374</v>
      </c>
      <c r="C2257" s="888" t="s">
        <v>1576</v>
      </c>
    </row>
    <row r="2258" spans="1:6">
      <c r="A2258" s="888">
        <v>605</v>
      </c>
      <c r="B2258" s="888" t="s">
        <v>2349</v>
      </c>
      <c r="C2258" s="888" t="s">
        <v>1767</v>
      </c>
      <c r="D2258" s="889">
        <v>46045</v>
      </c>
      <c r="E2258" s="890">
        <v>0.37270833333333331</v>
      </c>
      <c r="F2258" s="890">
        <v>0.78612268518518513</v>
      </c>
    </row>
    <row r="2259" spans="1:6">
      <c r="A2259" s="888" t="s">
        <v>2375</v>
      </c>
      <c r="B2259" s="888" t="s">
        <v>2376</v>
      </c>
      <c r="C2259" s="888" t="s">
        <v>1360</v>
      </c>
    </row>
    <row r="2260" spans="1:6">
      <c r="A2260" s="888">
        <v>605</v>
      </c>
      <c r="B2260" s="888" t="s">
        <v>2349</v>
      </c>
      <c r="C2260" s="888" t="s">
        <v>1767</v>
      </c>
      <c r="D2260" s="889">
        <v>46046</v>
      </c>
      <c r="E2260" s="888" t="s">
        <v>310</v>
      </c>
      <c r="F2260" s="888" t="s">
        <v>310</v>
      </c>
    </row>
    <row r="2261" spans="1:6">
      <c r="A2261" s="888">
        <v>605</v>
      </c>
      <c r="B2261" s="888" t="s">
        <v>2349</v>
      </c>
      <c r="C2261" s="888" t="s">
        <v>1767</v>
      </c>
      <c r="D2261" s="889">
        <v>46047</v>
      </c>
      <c r="E2261" s="888" t="s">
        <v>310</v>
      </c>
      <c r="F2261" s="888" t="s">
        <v>310</v>
      </c>
    </row>
    <row r="2262" spans="1:6">
      <c r="A2262" s="888">
        <v>605</v>
      </c>
      <c r="B2262" s="888" t="s">
        <v>2349</v>
      </c>
      <c r="C2262" s="888" t="s">
        <v>1767</v>
      </c>
      <c r="D2262" s="889">
        <v>46048</v>
      </c>
      <c r="E2262" s="890">
        <v>0.37495370370370368</v>
      </c>
      <c r="F2262" s="890">
        <v>0.75708333333333333</v>
      </c>
    </row>
    <row r="2263" spans="1:6">
      <c r="A2263" s="888" t="s">
        <v>2377</v>
      </c>
      <c r="B2263" s="888" t="s">
        <v>2378</v>
      </c>
      <c r="C2263" s="888" t="s">
        <v>1580</v>
      </c>
    </row>
    <row r="2264" spans="1:6">
      <c r="A2264" s="888">
        <v>605</v>
      </c>
      <c r="B2264" s="888" t="s">
        <v>2349</v>
      </c>
      <c r="C2264" s="888" t="s">
        <v>1767</v>
      </c>
      <c r="D2264" s="889">
        <v>46049</v>
      </c>
      <c r="E2264" s="890">
        <v>0.37399305555555556</v>
      </c>
      <c r="F2264" s="890">
        <v>0.75747685185185187</v>
      </c>
    </row>
    <row r="2265" spans="1:6">
      <c r="A2265" s="888" t="s">
        <v>2379</v>
      </c>
      <c r="B2265" s="888" t="s">
        <v>2380</v>
      </c>
      <c r="C2265" s="888" t="s">
        <v>1576</v>
      </c>
    </row>
    <row r="2266" spans="1:6">
      <c r="A2266" s="888">
        <v>605</v>
      </c>
      <c r="B2266" s="888" t="s">
        <v>2349</v>
      </c>
      <c r="C2266" s="888" t="s">
        <v>1767</v>
      </c>
      <c r="D2266" s="889">
        <v>46050</v>
      </c>
      <c r="E2266" s="890">
        <v>0.37568287037037035</v>
      </c>
      <c r="F2266" s="890">
        <v>0.76449074074074075</v>
      </c>
    </row>
    <row r="2267" spans="1:6">
      <c r="A2267" s="888" t="s">
        <v>2381</v>
      </c>
      <c r="B2267" s="888" t="s">
        <v>2382</v>
      </c>
      <c r="C2267" s="888" t="s">
        <v>2232</v>
      </c>
    </row>
    <row r="2268" spans="1:6">
      <c r="A2268" s="888">
        <v>605</v>
      </c>
      <c r="B2268" s="888" t="s">
        <v>2349</v>
      </c>
      <c r="C2268" s="888" t="s">
        <v>1767</v>
      </c>
      <c r="D2268" s="889">
        <v>46051</v>
      </c>
      <c r="E2268" s="888" t="s">
        <v>310</v>
      </c>
      <c r="F2268" s="888" t="s">
        <v>310</v>
      </c>
    </row>
    <row r="2269" spans="1:6">
      <c r="A2269" s="888">
        <v>605</v>
      </c>
      <c r="B2269" s="888" t="s">
        <v>2349</v>
      </c>
      <c r="C2269" s="888" t="s">
        <v>1767</v>
      </c>
      <c r="D2269" s="889">
        <v>46052</v>
      </c>
      <c r="E2269" s="890">
        <v>0.3755324074074074</v>
      </c>
      <c r="F2269" s="890">
        <v>0.75168981481481478</v>
      </c>
    </row>
    <row r="2270" spans="1:6">
      <c r="A2270" s="888" t="s">
        <v>2383</v>
      </c>
      <c r="B2270" s="888" t="s">
        <v>2384</v>
      </c>
      <c r="C2270" s="888" t="s">
        <v>1308</v>
      </c>
    </row>
    <row r="2271" spans="1:6">
      <c r="A2271" s="888">
        <v>605</v>
      </c>
      <c r="B2271" s="888" t="s">
        <v>2349</v>
      </c>
      <c r="C2271" s="888" t="s">
        <v>1767</v>
      </c>
      <c r="D2271" s="889">
        <v>46053</v>
      </c>
      <c r="E2271" s="888" t="s">
        <v>310</v>
      </c>
      <c r="F2271" s="888" t="s">
        <v>310</v>
      </c>
    </row>
    <row r="2272" spans="1:6">
      <c r="A2272" s="888">
        <v>605</v>
      </c>
      <c r="B2272" s="888" t="s">
        <v>2349</v>
      </c>
      <c r="C2272" s="888" t="s">
        <v>1767</v>
      </c>
      <c r="D2272" s="889">
        <v>46054</v>
      </c>
      <c r="E2272" s="888" t="s">
        <v>310</v>
      </c>
      <c r="F2272" s="888" t="s">
        <v>310</v>
      </c>
    </row>
    <row r="2273" spans="1:6">
      <c r="A2273" s="888">
        <v>606</v>
      </c>
      <c r="B2273" s="888" t="s">
        <v>2385</v>
      </c>
      <c r="C2273" s="888" t="s">
        <v>2310</v>
      </c>
      <c r="D2273" s="889">
        <v>46023</v>
      </c>
      <c r="E2273" s="888" t="s">
        <v>310</v>
      </c>
      <c r="F2273" s="888" t="s">
        <v>310</v>
      </c>
    </row>
    <row r="2274" spans="1:6">
      <c r="A2274" s="888">
        <v>606</v>
      </c>
      <c r="B2274" s="888" t="s">
        <v>2385</v>
      </c>
      <c r="C2274" s="888" t="s">
        <v>2310</v>
      </c>
      <c r="D2274" s="889">
        <v>46024</v>
      </c>
      <c r="E2274" s="888" t="s">
        <v>310</v>
      </c>
      <c r="F2274" s="888" t="s">
        <v>310</v>
      </c>
    </row>
    <row r="2275" spans="1:6">
      <c r="A2275" s="888">
        <v>606</v>
      </c>
      <c r="B2275" s="888" t="s">
        <v>2385</v>
      </c>
      <c r="C2275" s="888" t="s">
        <v>2310</v>
      </c>
      <c r="D2275" s="889">
        <v>46025</v>
      </c>
      <c r="E2275" s="888" t="s">
        <v>310</v>
      </c>
      <c r="F2275" s="888" t="s">
        <v>310</v>
      </c>
    </row>
    <row r="2276" spans="1:6">
      <c r="A2276" s="888">
        <v>606</v>
      </c>
      <c r="B2276" s="888" t="s">
        <v>2385</v>
      </c>
      <c r="C2276" s="888" t="s">
        <v>2310</v>
      </c>
      <c r="D2276" s="889">
        <v>46026</v>
      </c>
      <c r="E2276" s="888" t="s">
        <v>310</v>
      </c>
      <c r="F2276" s="888" t="s">
        <v>310</v>
      </c>
    </row>
    <row r="2277" spans="1:6">
      <c r="A2277" s="888">
        <v>606</v>
      </c>
      <c r="B2277" s="888" t="s">
        <v>2385</v>
      </c>
      <c r="C2277" s="888" t="s">
        <v>2310</v>
      </c>
      <c r="D2277" s="889">
        <v>46027</v>
      </c>
      <c r="E2277" s="888" t="s">
        <v>310</v>
      </c>
      <c r="F2277" s="888" t="s">
        <v>310</v>
      </c>
    </row>
    <row r="2278" spans="1:6">
      <c r="A2278" s="888">
        <v>606</v>
      </c>
      <c r="B2278" s="888" t="s">
        <v>2385</v>
      </c>
      <c r="C2278" s="888" t="s">
        <v>2310</v>
      </c>
      <c r="D2278" s="889">
        <v>46028</v>
      </c>
      <c r="E2278" s="888" t="s">
        <v>310</v>
      </c>
      <c r="F2278" s="888" t="s">
        <v>310</v>
      </c>
    </row>
    <row r="2279" spans="1:6">
      <c r="A2279" s="888">
        <v>606</v>
      </c>
      <c r="B2279" s="888" t="s">
        <v>2385</v>
      </c>
      <c r="C2279" s="888" t="s">
        <v>2310</v>
      </c>
      <c r="D2279" s="889">
        <v>46029</v>
      </c>
      <c r="E2279" s="888" t="s">
        <v>310</v>
      </c>
      <c r="F2279" s="888" t="s">
        <v>310</v>
      </c>
    </row>
    <row r="2280" spans="1:6">
      <c r="A2280" s="888">
        <v>606</v>
      </c>
      <c r="B2280" s="888" t="s">
        <v>2385</v>
      </c>
      <c r="C2280" s="888" t="s">
        <v>2310</v>
      </c>
      <c r="D2280" s="889">
        <v>46030</v>
      </c>
      <c r="E2280" s="890">
        <v>0.68585648148148148</v>
      </c>
      <c r="F2280" s="890">
        <v>0.76454861111111116</v>
      </c>
    </row>
    <row r="2281" spans="1:6">
      <c r="A2281" s="888" t="s">
        <v>2386</v>
      </c>
      <c r="B2281" s="888" t="s">
        <v>2387</v>
      </c>
      <c r="C2281" s="888" t="s">
        <v>2388</v>
      </c>
    </row>
    <row r="2282" spans="1:6">
      <c r="A2282" s="888">
        <v>606</v>
      </c>
      <c r="B2282" s="888" t="s">
        <v>2385</v>
      </c>
      <c r="C2282" s="888" t="s">
        <v>2310</v>
      </c>
      <c r="D2282" s="889">
        <v>46031</v>
      </c>
      <c r="E2282" s="890">
        <v>0.35370370370370369</v>
      </c>
      <c r="F2282" s="890">
        <v>0.75707175925925929</v>
      </c>
    </row>
    <row r="2283" spans="1:6">
      <c r="A2283" s="888" t="s">
        <v>2389</v>
      </c>
      <c r="B2283" s="888" t="s">
        <v>2390</v>
      </c>
      <c r="C2283" s="888" t="s">
        <v>1363</v>
      </c>
    </row>
    <row r="2284" spans="1:6">
      <c r="A2284" s="888">
        <v>606</v>
      </c>
      <c r="B2284" s="888" t="s">
        <v>2385</v>
      </c>
      <c r="C2284" s="888" t="s">
        <v>2310</v>
      </c>
      <c r="D2284" s="889">
        <v>46032</v>
      </c>
      <c r="E2284" s="888" t="s">
        <v>310</v>
      </c>
      <c r="F2284" s="888" t="s">
        <v>310</v>
      </c>
    </row>
    <row r="2285" spans="1:6">
      <c r="A2285" s="888">
        <v>606</v>
      </c>
      <c r="B2285" s="888" t="s">
        <v>2385</v>
      </c>
      <c r="C2285" s="888" t="s">
        <v>2310</v>
      </c>
      <c r="D2285" s="889">
        <v>46033</v>
      </c>
      <c r="E2285" s="888" t="s">
        <v>310</v>
      </c>
      <c r="F2285" s="888" t="s">
        <v>310</v>
      </c>
    </row>
    <row r="2286" spans="1:6">
      <c r="A2286" s="888">
        <v>606</v>
      </c>
      <c r="B2286" s="888" t="s">
        <v>2385</v>
      </c>
      <c r="C2286" s="888" t="s">
        <v>2310</v>
      </c>
      <c r="D2286" s="889">
        <v>46034</v>
      </c>
      <c r="E2286" s="890">
        <v>0.35202546296296294</v>
      </c>
      <c r="F2286" s="890">
        <v>0.75344907407407402</v>
      </c>
    </row>
    <row r="2287" spans="1:6">
      <c r="A2287" s="888" t="s">
        <v>2391</v>
      </c>
      <c r="B2287" s="888" t="s">
        <v>2392</v>
      </c>
      <c r="C2287" s="888" t="s">
        <v>1466</v>
      </c>
    </row>
    <row r="2288" spans="1:6">
      <c r="A2288" s="888">
        <v>606</v>
      </c>
      <c r="B2288" s="888" t="s">
        <v>2385</v>
      </c>
      <c r="C2288" s="888" t="s">
        <v>2310</v>
      </c>
      <c r="D2288" s="889">
        <v>46035</v>
      </c>
      <c r="E2288" s="890">
        <v>0.35181712962962963</v>
      </c>
      <c r="F2288" s="890">
        <v>0.7537152777777778</v>
      </c>
    </row>
    <row r="2289" spans="1:6">
      <c r="A2289" s="888" t="s">
        <v>2393</v>
      </c>
      <c r="B2289" s="888" t="s">
        <v>2394</v>
      </c>
      <c r="C2289" s="888" t="s">
        <v>1538</v>
      </c>
    </row>
    <row r="2290" spans="1:6">
      <c r="A2290" s="888">
        <v>606</v>
      </c>
      <c r="B2290" s="888" t="s">
        <v>2385</v>
      </c>
      <c r="C2290" s="888" t="s">
        <v>2310</v>
      </c>
      <c r="D2290" s="889">
        <v>46036</v>
      </c>
      <c r="E2290" s="890">
        <v>0.54001157407407407</v>
      </c>
      <c r="F2290" s="890">
        <v>0.9236805555555555</v>
      </c>
    </row>
    <row r="2291" spans="1:6">
      <c r="A2291" s="888" t="s">
        <v>2395</v>
      </c>
      <c r="B2291" s="888" t="s">
        <v>2396</v>
      </c>
      <c r="C2291" s="888" t="s">
        <v>1576</v>
      </c>
    </row>
    <row r="2292" spans="1:6">
      <c r="A2292" s="888">
        <v>606</v>
      </c>
      <c r="B2292" s="888" t="s">
        <v>2385</v>
      </c>
      <c r="C2292" s="888" t="s">
        <v>2310</v>
      </c>
      <c r="D2292" s="889">
        <v>46037</v>
      </c>
      <c r="E2292" s="890">
        <v>0.3558912037037037</v>
      </c>
      <c r="F2292" s="890">
        <v>0.52003472222222225</v>
      </c>
    </row>
    <row r="2293" spans="1:6">
      <c r="A2293" s="888" t="s">
        <v>2397</v>
      </c>
      <c r="B2293" s="888" t="s">
        <v>2398</v>
      </c>
      <c r="C2293" s="888" t="s">
        <v>2293</v>
      </c>
    </row>
    <row r="2294" spans="1:6">
      <c r="A2294" s="888">
        <v>606</v>
      </c>
      <c r="B2294" s="888" t="s">
        <v>2385</v>
      </c>
      <c r="C2294" s="888" t="s">
        <v>2310</v>
      </c>
      <c r="D2294" s="889">
        <v>46038</v>
      </c>
      <c r="E2294" s="890">
        <v>1.1296296296296296E-2</v>
      </c>
      <c r="F2294" s="890">
        <v>0.69163194444444442</v>
      </c>
    </row>
    <row r="2295" spans="1:6">
      <c r="A2295" s="888" t="s">
        <v>2399</v>
      </c>
      <c r="B2295" s="888" t="s">
        <v>2400</v>
      </c>
      <c r="C2295" s="888" t="s">
        <v>2401</v>
      </c>
    </row>
    <row r="2296" spans="1:6">
      <c r="A2296" s="888">
        <v>606</v>
      </c>
      <c r="B2296" s="888" t="s">
        <v>2385</v>
      </c>
      <c r="C2296" s="888" t="s">
        <v>2310</v>
      </c>
      <c r="D2296" s="889">
        <v>46039</v>
      </c>
      <c r="E2296" s="888" t="s">
        <v>310</v>
      </c>
      <c r="F2296" s="888" t="s">
        <v>310</v>
      </c>
    </row>
    <row r="2297" spans="1:6">
      <c r="A2297" s="888">
        <v>606</v>
      </c>
      <c r="B2297" s="888" t="s">
        <v>2385</v>
      </c>
      <c r="C2297" s="888" t="s">
        <v>2310</v>
      </c>
      <c r="D2297" s="889">
        <v>46040</v>
      </c>
      <c r="E2297" s="888" t="s">
        <v>310</v>
      </c>
      <c r="F2297" s="888" t="s">
        <v>310</v>
      </c>
    </row>
    <row r="2298" spans="1:6">
      <c r="A2298" s="888">
        <v>606</v>
      </c>
      <c r="B2298" s="888" t="s">
        <v>2385</v>
      </c>
      <c r="C2298" s="888" t="s">
        <v>2310</v>
      </c>
      <c r="D2298" s="889">
        <v>46041</v>
      </c>
      <c r="E2298" s="890">
        <v>0.35377314814814814</v>
      </c>
      <c r="F2298" s="890">
        <v>0.75211805555555555</v>
      </c>
    </row>
    <row r="2299" spans="1:6">
      <c r="A2299" s="888" t="s">
        <v>2402</v>
      </c>
      <c r="B2299" s="888" t="s">
        <v>2403</v>
      </c>
      <c r="C2299" s="888" t="s">
        <v>1383</v>
      </c>
    </row>
    <row r="2300" spans="1:6">
      <c r="A2300" s="888">
        <v>606</v>
      </c>
      <c r="B2300" s="888" t="s">
        <v>2385</v>
      </c>
      <c r="C2300" s="888" t="s">
        <v>2310</v>
      </c>
      <c r="D2300" s="889">
        <v>46042</v>
      </c>
      <c r="E2300" s="890">
        <v>0.35157407407407409</v>
      </c>
      <c r="F2300" s="890">
        <v>0.75296296296296295</v>
      </c>
    </row>
    <row r="2301" spans="1:6">
      <c r="A2301" s="888" t="s">
        <v>2404</v>
      </c>
      <c r="B2301" s="888" t="s">
        <v>2405</v>
      </c>
      <c r="C2301" s="888" t="s">
        <v>1466</v>
      </c>
    </row>
    <row r="2302" spans="1:6">
      <c r="A2302" s="888">
        <v>606</v>
      </c>
      <c r="B2302" s="888" t="s">
        <v>2385</v>
      </c>
      <c r="C2302" s="888" t="s">
        <v>2310</v>
      </c>
      <c r="D2302" s="889">
        <v>46043</v>
      </c>
      <c r="E2302" s="890">
        <v>0.34901620370370373</v>
      </c>
      <c r="F2302" s="888" t="s">
        <v>310</v>
      </c>
    </row>
    <row r="2303" spans="1:6">
      <c r="A2303" s="888" t="s">
        <v>2406</v>
      </c>
      <c r="B2303" s="888" t="s">
        <v>1258</v>
      </c>
      <c r="C2303" s="888" t="s">
        <v>1259</v>
      </c>
    </row>
    <row r="2304" spans="1:6">
      <c r="A2304" s="888">
        <v>606</v>
      </c>
      <c r="B2304" s="888" t="s">
        <v>2385</v>
      </c>
      <c r="C2304" s="888" t="s">
        <v>2310</v>
      </c>
      <c r="D2304" s="889">
        <v>46044</v>
      </c>
      <c r="E2304" s="890">
        <v>0.3535300925925926</v>
      </c>
      <c r="F2304" s="890">
        <v>0.75259259259259259</v>
      </c>
    </row>
    <row r="2305" spans="1:6">
      <c r="A2305" s="888" t="s">
        <v>2407</v>
      </c>
      <c r="B2305" s="888" t="s">
        <v>2408</v>
      </c>
      <c r="C2305" s="888" t="s">
        <v>1288</v>
      </c>
    </row>
    <row r="2306" spans="1:6">
      <c r="A2306" s="888">
        <v>606</v>
      </c>
      <c r="B2306" s="888" t="s">
        <v>2385</v>
      </c>
      <c r="C2306" s="888" t="s">
        <v>2310</v>
      </c>
      <c r="D2306" s="889">
        <v>46045</v>
      </c>
      <c r="E2306" s="890">
        <v>0.35375000000000001</v>
      </c>
      <c r="F2306" s="890">
        <v>0.8744791666666667</v>
      </c>
    </row>
    <row r="2307" spans="1:6">
      <c r="A2307" s="888" t="s">
        <v>2409</v>
      </c>
      <c r="B2307" s="888" t="s">
        <v>2410</v>
      </c>
      <c r="C2307" s="888" t="s">
        <v>2411</v>
      </c>
    </row>
    <row r="2308" spans="1:6">
      <c r="A2308" s="888">
        <v>606</v>
      </c>
      <c r="B2308" s="888" t="s">
        <v>2385</v>
      </c>
      <c r="C2308" s="888" t="s">
        <v>2310</v>
      </c>
      <c r="D2308" s="889">
        <v>46046</v>
      </c>
      <c r="E2308" s="888" t="s">
        <v>310</v>
      </c>
      <c r="F2308" s="888" t="s">
        <v>310</v>
      </c>
    </row>
    <row r="2309" spans="1:6">
      <c r="A2309" s="888">
        <v>606</v>
      </c>
      <c r="B2309" s="888" t="s">
        <v>2385</v>
      </c>
      <c r="C2309" s="888" t="s">
        <v>2310</v>
      </c>
      <c r="D2309" s="889">
        <v>46047</v>
      </c>
      <c r="E2309" s="888" t="s">
        <v>310</v>
      </c>
      <c r="F2309" s="888" t="s">
        <v>310</v>
      </c>
    </row>
    <row r="2310" spans="1:6">
      <c r="A2310" s="888">
        <v>606</v>
      </c>
      <c r="B2310" s="888" t="s">
        <v>2385</v>
      </c>
      <c r="C2310" s="888" t="s">
        <v>2310</v>
      </c>
      <c r="D2310" s="889">
        <v>46048</v>
      </c>
      <c r="E2310" s="890">
        <v>0.55553240740740739</v>
      </c>
      <c r="F2310" s="890">
        <v>0.79090277777777773</v>
      </c>
    </row>
    <row r="2311" spans="1:6">
      <c r="A2311" s="888" t="s">
        <v>2412</v>
      </c>
      <c r="B2311" s="888" t="s">
        <v>2413</v>
      </c>
      <c r="C2311" s="888" t="s">
        <v>2414</v>
      </c>
    </row>
    <row r="2312" spans="1:6">
      <c r="A2312" s="888">
        <v>606</v>
      </c>
      <c r="B2312" s="888" t="s">
        <v>2385</v>
      </c>
      <c r="C2312" s="888" t="s">
        <v>2310</v>
      </c>
      <c r="D2312" s="889">
        <v>46049</v>
      </c>
      <c r="E2312" s="890">
        <v>0.35988425925925926</v>
      </c>
      <c r="F2312" s="888" t="s">
        <v>310</v>
      </c>
    </row>
    <row r="2313" spans="1:6">
      <c r="A2313" s="888" t="s">
        <v>2415</v>
      </c>
      <c r="B2313" s="888" t="s">
        <v>1258</v>
      </c>
      <c r="C2313" s="888" t="s">
        <v>1259</v>
      </c>
    </row>
    <row r="2314" spans="1:6">
      <c r="A2314" s="888">
        <v>606</v>
      </c>
      <c r="B2314" s="888" t="s">
        <v>2385</v>
      </c>
      <c r="C2314" s="888" t="s">
        <v>2310</v>
      </c>
      <c r="D2314" s="889">
        <v>46050</v>
      </c>
      <c r="E2314" s="890">
        <v>0.44045138888888891</v>
      </c>
      <c r="F2314" s="890">
        <v>0.78469907407407402</v>
      </c>
    </row>
    <row r="2315" spans="1:6">
      <c r="A2315" s="888" t="s">
        <v>2416</v>
      </c>
      <c r="B2315" s="888" t="s">
        <v>2417</v>
      </c>
      <c r="C2315" s="888" t="s">
        <v>2418</v>
      </c>
    </row>
    <row r="2316" spans="1:6">
      <c r="A2316" s="888">
        <v>606</v>
      </c>
      <c r="B2316" s="888" t="s">
        <v>2385</v>
      </c>
      <c r="C2316" s="888" t="s">
        <v>2310</v>
      </c>
      <c r="D2316" s="889">
        <v>46051</v>
      </c>
      <c r="E2316" s="890">
        <v>0.35273148148148148</v>
      </c>
      <c r="F2316" s="890">
        <v>0.75969907407407411</v>
      </c>
    </row>
    <row r="2317" spans="1:6">
      <c r="A2317" s="888" t="s">
        <v>2419</v>
      </c>
      <c r="B2317" s="888" t="s">
        <v>2420</v>
      </c>
      <c r="C2317" s="888" t="s">
        <v>1868</v>
      </c>
    </row>
    <row r="2318" spans="1:6">
      <c r="A2318" s="888">
        <v>606</v>
      </c>
      <c r="B2318" s="888" t="s">
        <v>2385</v>
      </c>
      <c r="C2318" s="888" t="s">
        <v>2310</v>
      </c>
      <c r="D2318" s="889">
        <v>46052</v>
      </c>
      <c r="E2318" s="890">
        <v>0.3510300925925926</v>
      </c>
      <c r="F2318" s="890">
        <v>0.78606481481481483</v>
      </c>
    </row>
    <row r="2319" spans="1:6">
      <c r="A2319" s="888" t="s">
        <v>2421</v>
      </c>
      <c r="B2319" s="888" t="s">
        <v>2422</v>
      </c>
      <c r="C2319" s="888" t="s">
        <v>1895</v>
      </c>
    </row>
    <row r="2320" spans="1:6">
      <c r="A2320" s="888">
        <v>606</v>
      </c>
      <c r="B2320" s="888" t="s">
        <v>2385</v>
      </c>
      <c r="C2320" s="888" t="s">
        <v>2310</v>
      </c>
      <c r="D2320" s="889">
        <v>46053</v>
      </c>
      <c r="E2320" s="888" t="s">
        <v>310</v>
      </c>
      <c r="F2320" s="888" t="s">
        <v>310</v>
      </c>
    </row>
    <row r="2321" spans="1:6">
      <c r="A2321" s="888">
        <v>606</v>
      </c>
      <c r="B2321" s="888" t="s">
        <v>2385</v>
      </c>
      <c r="C2321" s="888" t="s">
        <v>2310</v>
      </c>
      <c r="D2321" s="889">
        <v>46054</v>
      </c>
      <c r="E2321" s="890">
        <v>0.58854166666666663</v>
      </c>
      <c r="F2321" s="888" t="s">
        <v>310</v>
      </c>
    </row>
    <row r="2322" spans="1:6">
      <c r="A2322" s="888" t="s">
        <v>2423</v>
      </c>
      <c r="B2322" s="888" t="s">
        <v>1258</v>
      </c>
      <c r="C2322" s="888" t="s">
        <v>1259</v>
      </c>
    </row>
    <row r="2323" spans="1:6">
      <c r="A2323" s="888">
        <v>608</v>
      </c>
      <c r="B2323" s="888" t="s">
        <v>2424</v>
      </c>
      <c r="C2323" s="888" t="s">
        <v>2310</v>
      </c>
      <c r="D2323" s="889">
        <v>46023</v>
      </c>
      <c r="E2323" s="888" t="s">
        <v>310</v>
      </c>
      <c r="F2323" s="888" t="s">
        <v>310</v>
      </c>
    </row>
    <row r="2324" spans="1:6">
      <c r="A2324" s="888">
        <v>608</v>
      </c>
      <c r="B2324" s="888" t="s">
        <v>2424</v>
      </c>
      <c r="C2324" s="888" t="s">
        <v>2310</v>
      </c>
      <c r="D2324" s="889">
        <v>46024</v>
      </c>
      <c r="E2324" s="888" t="s">
        <v>310</v>
      </c>
      <c r="F2324" s="888" t="s">
        <v>310</v>
      </c>
    </row>
    <row r="2325" spans="1:6">
      <c r="A2325" s="888">
        <v>608</v>
      </c>
      <c r="B2325" s="888" t="s">
        <v>2424</v>
      </c>
      <c r="C2325" s="888" t="s">
        <v>2310</v>
      </c>
      <c r="D2325" s="889">
        <v>46025</v>
      </c>
      <c r="E2325" s="888" t="s">
        <v>310</v>
      </c>
      <c r="F2325" s="888" t="s">
        <v>310</v>
      </c>
    </row>
    <row r="2326" spans="1:6">
      <c r="A2326" s="888">
        <v>608</v>
      </c>
      <c r="B2326" s="888" t="s">
        <v>2424</v>
      </c>
      <c r="C2326" s="888" t="s">
        <v>2310</v>
      </c>
      <c r="D2326" s="889">
        <v>46026</v>
      </c>
      <c r="E2326" s="888" t="s">
        <v>310</v>
      </c>
      <c r="F2326" s="888" t="s">
        <v>310</v>
      </c>
    </row>
    <row r="2327" spans="1:6">
      <c r="A2327" s="888">
        <v>608</v>
      </c>
      <c r="B2327" s="888" t="s">
        <v>2424</v>
      </c>
      <c r="C2327" s="888" t="s">
        <v>2310</v>
      </c>
      <c r="D2327" s="889">
        <v>46027</v>
      </c>
      <c r="E2327" s="888" t="s">
        <v>310</v>
      </c>
      <c r="F2327" s="888" t="s">
        <v>310</v>
      </c>
    </row>
    <row r="2328" spans="1:6">
      <c r="A2328" s="888">
        <v>608</v>
      </c>
      <c r="B2328" s="888" t="s">
        <v>2424</v>
      </c>
      <c r="C2328" s="888" t="s">
        <v>2310</v>
      </c>
      <c r="D2328" s="889">
        <v>46028</v>
      </c>
      <c r="E2328" s="888" t="s">
        <v>310</v>
      </c>
      <c r="F2328" s="888" t="s">
        <v>310</v>
      </c>
    </row>
    <row r="2329" spans="1:6">
      <c r="A2329" s="888">
        <v>608</v>
      </c>
      <c r="B2329" s="888" t="s">
        <v>2424</v>
      </c>
      <c r="C2329" s="888" t="s">
        <v>2310</v>
      </c>
      <c r="D2329" s="889">
        <v>46029</v>
      </c>
      <c r="E2329" s="888" t="s">
        <v>310</v>
      </c>
      <c r="F2329" s="888" t="s">
        <v>310</v>
      </c>
    </row>
    <row r="2330" spans="1:6">
      <c r="A2330" s="888">
        <v>608</v>
      </c>
      <c r="B2330" s="888" t="s">
        <v>2424</v>
      </c>
      <c r="C2330" s="888" t="s">
        <v>2310</v>
      </c>
      <c r="D2330" s="889">
        <v>46030</v>
      </c>
      <c r="E2330" s="888" t="s">
        <v>310</v>
      </c>
      <c r="F2330" s="888" t="s">
        <v>310</v>
      </c>
    </row>
    <row r="2331" spans="1:6">
      <c r="A2331" s="888">
        <v>608</v>
      </c>
      <c r="B2331" s="888" t="s">
        <v>2424</v>
      </c>
      <c r="C2331" s="888" t="s">
        <v>2310</v>
      </c>
      <c r="D2331" s="889">
        <v>46031</v>
      </c>
      <c r="E2331" s="888" t="s">
        <v>310</v>
      </c>
      <c r="F2331" s="888" t="s">
        <v>310</v>
      </c>
    </row>
    <row r="2332" spans="1:6">
      <c r="A2332" s="888">
        <v>608</v>
      </c>
      <c r="B2332" s="888" t="s">
        <v>2424</v>
      </c>
      <c r="C2332" s="888" t="s">
        <v>2310</v>
      </c>
      <c r="D2332" s="889">
        <v>46032</v>
      </c>
      <c r="E2332" s="888" t="s">
        <v>310</v>
      </c>
      <c r="F2332" s="888" t="s">
        <v>310</v>
      </c>
    </row>
    <row r="2333" spans="1:6">
      <c r="A2333" s="888">
        <v>608</v>
      </c>
      <c r="B2333" s="888" t="s">
        <v>2424</v>
      </c>
      <c r="C2333" s="888" t="s">
        <v>2310</v>
      </c>
      <c r="D2333" s="889">
        <v>46033</v>
      </c>
      <c r="E2333" s="888" t="s">
        <v>310</v>
      </c>
      <c r="F2333" s="888" t="s">
        <v>310</v>
      </c>
    </row>
    <row r="2334" spans="1:6">
      <c r="A2334" s="888">
        <v>608</v>
      </c>
      <c r="B2334" s="888" t="s">
        <v>2424</v>
      </c>
      <c r="C2334" s="888" t="s">
        <v>2310</v>
      </c>
      <c r="D2334" s="889">
        <v>46034</v>
      </c>
      <c r="E2334" s="888" t="s">
        <v>310</v>
      </c>
      <c r="F2334" s="888" t="s">
        <v>310</v>
      </c>
    </row>
    <row r="2335" spans="1:6">
      <c r="A2335" s="888">
        <v>608</v>
      </c>
      <c r="B2335" s="888" t="s">
        <v>2424</v>
      </c>
      <c r="C2335" s="888" t="s">
        <v>2310</v>
      </c>
      <c r="D2335" s="889">
        <v>46035</v>
      </c>
      <c r="E2335" s="888" t="s">
        <v>310</v>
      </c>
      <c r="F2335" s="888" t="s">
        <v>310</v>
      </c>
    </row>
    <row r="2336" spans="1:6">
      <c r="A2336" s="888">
        <v>608</v>
      </c>
      <c r="B2336" s="888" t="s">
        <v>2424</v>
      </c>
      <c r="C2336" s="888" t="s">
        <v>2310</v>
      </c>
      <c r="D2336" s="889">
        <v>46036</v>
      </c>
      <c r="E2336" s="888" t="s">
        <v>310</v>
      </c>
      <c r="F2336" s="888" t="s">
        <v>310</v>
      </c>
    </row>
    <row r="2337" spans="1:6">
      <c r="A2337" s="888">
        <v>608</v>
      </c>
      <c r="B2337" s="888" t="s">
        <v>2424</v>
      </c>
      <c r="C2337" s="888" t="s">
        <v>2310</v>
      </c>
      <c r="D2337" s="889">
        <v>46037</v>
      </c>
      <c r="E2337" s="888" t="s">
        <v>310</v>
      </c>
      <c r="F2337" s="888" t="s">
        <v>310</v>
      </c>
    </row>
    <row r="2338" spans="1:6">
      <c r="A2338" s="888">
        <v>608</v>
      </c>
      <c r="B2338" s="888" t="s">
        <v>2424</v>
      </c>
      <c r="C2338" s="888" t="s">
        <v>2310</v>
      </c>
      <c r="D2338" s="889">
        <v>46038</v>
      </c>
      <c r="E2338" s="888" t="s">
        <v>310</v>
      </c>
      <c r="F2338" s="888" t="s">
        <v>310</v>
      </c>
    </row>
    <row r="2339" spans="1:6">
      <c r="A2339" s="888">
        <v>608</v>
      </c>
      <c r="B2339" s="888" t="s">
        <v>2424</v>
      </c>
      <c r="C2339" s="888" t="s">
        <v>2310</v>
      </c>
      <c r="D2339" s="889">
        <v>46039</v>
      </c>
      <c r="E2339" s="888" t="s">
        <v>310</v>
      </c>
      <c r="F2339" s="888" t="s">
        <v>310</v>
      </c>
    </row>
    <row r="2340" spans="1:6">
      <c r="A2340" s="888">
        <v>608</v>
      </c>
      <c r="B2340" s="888" t="s">
        <v>2424</v>
      </c>
      <c r="C2340" s="888" t="s">
        <v>2310</v>
      </c>
      <c r="D2340" s="889">
        <v>46040</v>
      </c>
      <c r="E2340" s="888" t="s">
        <v>310</v>
      </c>
      <c r="F2340" s="888" t="s">
        <v>310</v>
      </c>
    </row>
    <row r="2341" spans="1:6">
      <c r="A2341" s="888">
        <v>608</v>
      </c>
      <c r="B2341" s="888" t="s">
        <v>2424</v>
      </c>
      <c r="C2341" s="888" t="s">
        <v>2310</v>
      </c>
      <c r="D2341" s="889">
        <v>46041</v>
      </c>
      <c r="E2341" s="888" t="s">
        <v>310</v>
      </c>
      <c r="F2341" s="888" t="s">
        <v>310</v>
      </c>
    </row>
    <row r="2342" spans="1:6">
      <c r="A2342" s="888">
        <v>608</v>
      </c>
      <c r="B2342" s="888" t="s">
        <v>2424</v>
      </c>
      <c r="C2342" s="888" t="s">
        <v>2310</v>
      </c>
      <c r="D2342" s="889">
        <v>46042</v>
      </c>
      <c r="E2342" s="888" t="s">
        <v>310</v>
      </c>
      <c r="F2342" s="888" t="s">
        <v>310</v>
      </c>
    </row>
    <row r="2343" spans="1:6">
      <c r="A2343" s="888">
        <v>608</v>
      </c>
      <c r="B2343" s="888" t="s">
        <v>2424</v>
      </c>
      <c r="C2343" s="888" t="s">
        <v>2310</v>
      </c>
      <c r="D2343" s="889">
        <v>46043</v>
      </c>
      <c r="E2343" s="888" t="s">
        <v>310</v>
      </c>
      <c r="F2343" s="888" t="s">
        <v>310</v>
      </c>
    </row>
    <row r="2344" spans="1:6">
      <c r="A2344" s="888">
        <v>608</v>
      </c>
      <c r="B2344" s="888" t="s">
        <v>2424</v>
      </c>
      <c r="C2344" s="888" t="s">
        <v>2310</v>
      </c>
      <c r="D2344" s="889">
        <v>46044</v>
      </c>
      <c r="E2344" s="888" t="s">
        <v>310</v>
      </c>
      <c r="F2344" s="888" t="s">
        <v>310</v>
      </c>
    </row>
    <row r="2345" spans="1:6">
      <c r="A2345" s="888">
        <v>608</v>
      </c>
      <c r="B2345" s="888" t="s">
        <v>2424</v>
      </c>
      <c r="C2345" s="888" t="s">
        <v>2310</v>
      </c>
      <c r="D2345" s="889">
        <v>46045</v>
      </c>
      <c r="E2345" s="888" t="s">
        <v>310</v>
      </c>
      <c r="F2345" s="888" t="s">
        <v>310</v>
      </c>
    </row>
    <row r="2346" spans="1:6">
      <c r="A2346" s="888">
        <v>608</v>
      </c>
      <c r="B2346" s="888" t="s">
        <v>2424</v>
      </c>
      <c r="C2346" s="888" t="s">
        <v>2310</v>
      </c>
      <c r="D2346" s="889">
        <v>46046</v>
      </c>
      <c r="E2346" s="888" t="s">
        <v>310</v>
      </c>
      <c r="F2346" s="888" t="s">
        <v>310</v>
      </c>
    </row>
    <row r="2347" spans="1:6">
      <c r="A2347" s="888">
        <v>608</v>
      </c>
      <c r="B2347" s="888" t="s">
        <v>2424</v>
      </c>
      <c r="C2347" s="888" t="s">
        <v>2310</v>
      </c>
      <c r="D2347" s="889">
        <v>46047</v>
      </c>
      <c r="E2347" s="888" t="s">
        <v>310</v>
      </c>
      <c r="F2347" s="888" t="s">
        <v>310</v>
      </c>
    </row>
    <row r="2348" spans="1:6">
      <c r="A2348" s="888">
        <v>608</v>
      </c>
      <c r="B2348" s="888" t="s">
        <v>2424</v>
      </c>
      <c r="C2348" s="888" t="s">
        <v>2310</v>
      </c>
      <c r="D2348" s="889">
        <v>46048</v>
      </c>
      <c r="E2348" s="890">
        <v>0.73831018518518521</v>
      </c>
      <c r="F2348" s="890">
        <v>0.77438657407407407</v>
      </c>
    </row>
    <row r="2349" spans="1:6">
      <c r="A2349" s="888" t="s">
        <v>2425</v>
      </c>
      <c r="B2349" s="888" t="s">
        <v>2426</v>
      </c>
      <c r="C2349" s="888" t="s">
        <v>2427</v>
      </c>
    </row>
    <row r="2350" spans="1:6">
      <c r="A2350" s="888">
        <v>608</v>
      </c>
      <c r="B2350" s="888" t="s">
        <v>2424</v>
      </c>
      <c r="C2350" s="888" t="s">
        <v>2310</v>
      </c>
      <c r="D2350" s="889">
        <v>46049</v>
      </c>
      <c r="E2350" s="890">
        <v>0.35723379629629631</v>
      </c>
      <c r="F2350" s="890">
        <v>0.77156250000000004</v>
      </c>
    </row>
    <row r="2351" spans="1:6">
      <c r="A2351" s="888" t="s">
        <v>2428</v>
      </c>
      <c r="B2351" s="888" t="s">
        <v>2429</v>
      </c>
      <c r="C2351" s="888" t="s">
        <v>2009</v>
      </c>
    </row>
    <row r="2352" spans="1:6">
      <c r="A2352" s="888">
        <v>608</v>
      </c>
      <c r="B2352" s="888" t="s">
        <v>2424</v>
      </c>
      <c r="C2352" s="888" t="s">
        <v>2310</v>
      </c>
      <c r="D2352" s="889">
        <v>46050</v>
      </c>
      <c r="E2352" s="890">
        <v>0.35506944444444444</v>
      </c>
      <c r="F2352" s="890">
        <v>0.93795138888888885</v>
      </c>
    </row>
    <row r="2353" spans="1:6">
      <c r="A2353" s="888" t="s">
        <v>2430</v>
      </c>
      <c r="B2353" s="888" t="s">
        <v>2431</v>
      </c>
      <c r="C2353" s="888" t="s">
        <v>2432</v>
      </c>
    </row>
    <row r="2354" spans="1:6">
      <c r="A2354" s="888">
        <v>608</v>
      </c>
      <c r="B2354" s="888" t="s">
        <v>2424</v>
      </c>
      <c r="C2354" s="888" t="s">
        <v>2310</v>
      </c>
      <c r="D2354" s="889">
        <v>46051</v>
      </c>
      <c r="E2354" s="890">
        <v>0.3790972222222222</v>
      </c>
      <c r="F2354" s="890">
        <v>0.93341435185185184</v>
      </c>
    </row>
    <row r="2355" spans="1:6">
      <c r="A2355" s="888" t="s">
        <v>2433</v>
      </c>
      <c r="B2355" s="888" t="s">
        <v>2434</v>
      </c>
      <c r="C2355" s="888" t="s">
        <v>2435</v>
      </c>
    </row>
    <row r="2356" spans="1:6">
      <c r="A2356" s="888">
        <v>608</v>
      </c>
      <c r="B2356" s="888" t="s">
        <v>2424</v>
      </c>
      <c r="C2356" s="888" t="s">
        <v>2310</v>
      </c>
      <c r="D2356" s="889">
        <v>46052</v>
      </c>
      <c r="E2356" s="890">
        <v>0.40892361111111108</v>
      </c>
      <c r="F2356" s="890">
        <v>0.8295717592592593</v>
      </c>
    </row>
    <row r="2357" spans="1:6">
      <c r="A2357" s="888" t="s">
        <v>2436</v>
      </c>
      <c r="B2357" s="888" t="s">
        <v>2437</v>
      </c>
      <c r="C2357" s="888" t="s">
        <v>1871</v>
      </c>
    </row>
    <row r="2358" spans="1:6">
      <c r="A2358" s="888">
        <v>608</v>
      </c>
      <c r="B2358" s="888" t="s">
        <v>2424</v>
      </c>
      <c r="C2358" s="888" t="s">
        <v>2310</v>
      </c>
      <c r="D2358" s="889">
        <v>46053</v>
      </c>
      <c r="E2358" s="888" t="s">
        <v>310</v>
      </c>
      <c r="F2358" s="888" t="s">
        <v>310</v>
      </c>
    </row>
    <row r="2359" spans="1:6">
      <c r="A2359" s="888">
        <v>608</v>
      </c>
      <c r="B2359" s="888" t="s">
        <v>2424</v>
      </c>
      <c r="C2359" s="888" t="s">
        <v>2310</v>
      </c>
      <c r="D2359" s="889">
        <v>46054</v>
      </c>
      <c r="E2359" s="890">
        <v>0.45027777777777778</v>
      </c>
      <c r="F2359" s="890">
        <v>0.4503240740740741</v>
      </c>
    </row>
    <row r="2360" spans="1:6">
      <c r="A2360" s="888" t="s">
        <v>2438</v>
      </c>
      <c r="B2360" s="888" t="s">
        <v>2439</v>
      </c>
      <c r="C2360" s="888" t="s">
        <v>1259</v>
      </c>
    </row>
    <row r="2361" spans="1:6">
      <c r="A2361" s="888">
        <v>611</v>
      </c>
      <c r="B2361" s="888" t="s">
        <v>2440</v>
      </c>
      <c r="C2361" s="888" t="s">
        <v>2441</v>
      </c>
      <c r="D2361" s="889">
        <v>46023</v>
      </c>
      <c r="E2361" s="888" t="s">
        <v>310</v>
      </c>
      <c r="F2361" s="888" t="s">
        <v>310</v>
      </c>
    </row>
    <row r="2362" spans="1:6">
      <c r="A2362" s="888">
        <v>611</v>
      </c>
      <c r="B2362" s="888" t="s">
        <v>2440</v>
      </c>
      <c r="C2362" s="888" t="s">
        <v>2441</v>
      </c>
      <c r="D2362" s="889">
        <v>46024</v>
      </c>
      <c r="E2362" s="888" t="s">
        <v>310</v>
      </c>
      <c r="F2362" s="888" t="s">
        <v>310</v>
      </c>
    </row>
    <row r="2363" spans="1:6">
      <c r="A2363" s="888">
        <v>611</v>
      </c>
      <c r="B2363" s="888" t="s">
        <v>2440</v>
      </c>
      <c r="C2363" s="888" t="s">
        <v>2441</v>
      </c>
      <c r="D2363" s="889">
        <v>46025</v>
      </c>
      <c r="E2363" s="888" t="s">
        <v>310</v>
      </c>
      <c r="F2363" s="888" t="s">
        <v>310</v>
      </c>
    </row>
    <row r="2364" spans="1:6">
      <c r="A2364" s="888">
        <v>611</v>
      </c>
      <c r="B2364" s="888" t="s">
        <v>2440</v>
      </c>
      <c r="C2364" s="888" t="s">
        <v>2441</v>
      </c>
      <c r="D2364" s="889">
        <v>46026</v>
      </c>
      <c r="E2364" s="888" t="s">
        <v>310</v>
      </c>
      <c r="F2364" s="888" t="s">
        <v>310</v>
      </c>
    </row>
    <row r="2365" spans="1:6">
      <c r="A2365" s="888">
        <v>611</v>
      </c>
      <c r="B2365" s="888" t="s">
        <v>2440</v>
      </c>
      <c r="C2365" s="888" t="s">
        <v>2441</v>
      </c>
      <c r="D2365" s="889">
        <v>46027</v>
      </c>
      <c r="E2365" s="888" t="s">
        <v>310</v>
      </c>
      <c r="F2365" s="888" t="s">
        <v>310</v>
      </c>
    </row>
    <row r="2366" spans="1:6">
      <c r="A2366" s="888">
        <v>611</v>
      </c>
      <c r="B2366" s="888" t="s">
        <v>2440</v>
      </c>
      <c r="C2366" s="888" t="s">
        <v>2441</v>
      </c>
      <c r="D2366" s="889">
        <v>46028</v>
      </c>
      <c r="E2366" s="888" t="s">
        <v>310</v>
      </c>
      <c r="F2366" s="888" t="s">
        <v>310</v>
      </c>
    </row>
    <row r="2367" spans="1:6">
      <c r="A2367" s="888">
        <v>611</v>
      </c>
      <c r="B2367" s="888" t="s">
        <v>2440</v>
      </c>
      <c r="C2367" s="888" t="s">
        <v>2441</v>
      </c>
      <c r="D2367" s="889">
        <v>46029</v>
      </c>
      <c r="E2367" s="888" t="s">
        <v>310</v>
      </c>
      <c r="F2367" s="888" t="s">
        <v>310</v>
      </c>
    </row>
    <row r="2368" spans="1:6">
      <c r="A2368" s="888">
        <v>611</v>
      </c>
      <c r="B2368" s="888" t="s">
        <v>2440</v>
      </c>
      <c r="C2368" s="888" t="s">
        <v>2441</v>
      </c>
      <c r="D2368" s="889">
        <v>46030</v>
      </c>
      <c r="E2368" s="888" t="s">
        <v>310</v>
      </c>
      <c r="F2368" s="888" t="s">
        <v>310</v>
      </c>
    </row>
    <row r="2369" spans="1:6">
      <c r="A2369" s="888">
        <v>611</v>
      </c>
      <c r="B2369" s="888" t="s">
        <v>2440</v>
      </c>
      <c r="C2369" s="888" t="s">
        <v>2441</v>
      </c>
      <c r="D2369" s="889">
        <v>46031</v>
      </c>
      <c r="E2369" s="888" t="s">
        <v>310</v>
      </c>
      <c r="F2369" s="888" t="s">
        <v>310</v>
      </c>
    </row>
    <row r="2370" spans="1:6">
      <c r="A2370" s="888">
        <v>611</v>
      </c>
      <c r="B2370" s="888" t="s">
        <v>2440</v>
      </c>
      <c r="C2370" s="888" t="s">
        <v>2441</v>
      </c>
      <c r="D2370" s="889">
        <v>46032</v>
      </c>
      <c r="E2370" s="888" t="s">
        <v>310</v>
      </c>
      <c r="F2370" s="888" t="s">
        <v>310</v>
      </c>
    </row>
    <row r="2371" spans="1:6">
      <c r="A2371" s="888">
        <v>611</v>
      </c>
      <c r="B2371" s="888" t="s">
        <v>2440</v>
      </c>
      <c r="C2371" s="888" t="s">
        <v>2441</v>
      </c>
      <c r="D2371" s="889">
        <v>46033</v>
      </c>
      <c r="E2371" s="888" t="s">
        <v>310</v>
      </c>
      <c r="F2371" s="888" t="s">
        <v>310</v>
      </c>
    </row>
    <row r="2372" spans="1:6">
      <c r="A2372" s="888">
        <v>611</v>
      </c>
      <c r="B2372" s="888" t="s">
        <v>2440</v>
      </c>
      <c r="C2372" s="888" t="s">
        <v>2441</v>
      </c>
      <c r="D2372" s="889">
        <v>46034</v>
      </c>
      <c r="E2372" s="888" t="s">
        <v>310</v>
      </c>
      <c r="F2372" s="888" t="s">
        <v>310</v>
      </c>
    </row>
    <row r="2373" spans="1:6">
      <c r="A2373" s="888">
        <v>611</v>
      </c>
      <c r="B2373" s="888" t="s">
        <v>2440</v>
      </c>
      <c r="C2373" s="888" t="s">
        <v>2441</v>
      </c>
      <c r="D2373" s="889">
        <v>46035</v>
      </c>
      <c r="E2373" s="888" t="s">
        <v>310</v>
      </c>
      <c r="F2373" s="888" t="s">
        <v>310</v>
      </c>
    </row>
    <row r="2374" spans="1:6">
      <c r="A2374" s="888">
        <v>611</v>
      </c>
      <c r="B2374" s="888" t="s">
        <v>2440</v>
      </c>
      <c r="C2374" s="888" t="s">
        <v>2441</v>
      </c>
      <c r="D2374" s="889">
        <v>46036</v>
      </c>
      <c r="E2374" s="888" t="s">
        <v>310</v>
      </c>
      <c r="F2374" s="888" t="s">
        <v>310</v>
      </c>
    </row>
    <row r="2375" spans="1:6">
      <c r="A2375" s="888">
        <v>611</v>
      </c>
      <c r="B2375" s="888" t="s">
        <v>2440</v>
      </c>
      <c r="C2375" s="888" t="s">
        <v>2441</v>
      </c>
      <c r="D2375" s="889">
        <v>46037</v>
      </c>
      <c r="E2375" s="888" t="s">
        <v>310</v>
      </c>
      <c r="F2375" s="888" t="s">
        <v>310</v>
      </c>
    </row>
    <row r="2376" spans="1:6">
      <c r="A2376" s="888">
        <v>611</v>
      </c>
      <c r="B2376" s="888" t="s">
        <v>2440</v>
      </c>
      <c r="C2376" s="888" t="s">
        <v>2441</v>
      </c>
      <c r="D2376" s="889">
        <v>46038</v>
      </c>
      <c r="E2376" s="888" t="s">
        <v>310</v>
      </c>
      <c r="F2376" s="888" t="s">
        <v>310</v>
      </c>
    </row>
    <row r="2377" spans="1:6">
      <c r="A2377" s="888">
        <v>611</v>
      </c>
      <c r="B2377" s="888" t="s">
        <v>2440</v>
      </c>
      <c r="C2377" s="888" t="s">
        <v>2441</v>
      </c>
      <c r="D2377" s="889">
        <v>46039</v>
      </c>
      <c r="E2377" s="888" t="s">
        <v>310</v>
      </c>
      <c r="F2377" s="888" t="s">
        <v>310</v>
      </c>
    </row>
    <row r="2378" spans="1:6">
      <c r="A2378" s="888">
        <v>611</v>
      </c>
      <c r="B2378" s="888" t="s">
        <v>2440</v>
      </c>
      <c r="C2378" s="888" t="s">
        <v>2441</v>
      </c>
      <c r="D2378" s="889">
        <v>46040</v>
      </c>
      <c r="E2378" s="888" t="s">
        <v>310</v>
      </c>
      <c r="F2378" s="888" t="s">
        <v>310</v>
      </c>
    </row>
    <row r="2379" spans="1:6">
      <c r="A2379" s="888">
        <v>611</v>
      </c>
      <c r="B2379" s="888" t="s">
        <v>2440</v>
      </c>
      <c r="C2379" s="888" t="s">
        <v>2441</v>
      </c>
      <c r="D2379" s="889">
        <v>46041</v>
      </c>
      <c r="E2379" s="888" t="s">
        <v>310</v>
      </c>
      <c r="F2379" s="888" t="s">
        <v>310</v>
      </c>
    </row>
    <row r="2380" spans="1:6">
      <c r="A2380" s="888">
        <v>611</v>
      </c>
      <c r="B2380" s="888" t="s">
        <v>2440</v>
      </c>
      <c r="C2380" s="888" t="s">
        <v>2441</v>
      </c>
      <c r="D2380" s="889">
        <v>46042</v>
      </c>
      <c r="E2380" s="888" t="s">
        <v>310</v>
      </c>
      <c r="F2380" s="888" t="s">
        <v>310</v>
      </c>
    </row>
    <row r="2381" spans="1:6">
      <c r="A2381" s="888">
        <v>611</v>
      </c>
      <c r="B2381" s="888" t="s">
        <v>2440</v>
      </c>
      <c r="C2381" s="888" t="s">
        <v>2441</v>
      </c>
      <c r="D2381" s="889">
        <v>46043</v>
      </c>
      <c r="E2381" s="888" t="s">
        <v>310</v>
      </c>
      <c r="F2381" s="888" t="s">
        <v>310</v>
      </c>
    </row>
    <row r="2382" spans="1:6">
      <c r="A2382" s="888">
        <v>611</v>
      </c>
      <c r="B2382" s="888" t="s">
        <v>2440</v>
      </c>
      <c r="C2382" s="888" t="s">
        <v>2441</v>
      </c>
      <c r="D2382" s="889">
        <v>46044</v>
      </c>
      <c r="E2382" s="888" t="s">
        <v>310</v>
      </c>
      <c r="F2382" s="888" t="s">
        <v>310</v>
      </c>
    </row>
    <row r="2383" spans="1:6">
      <c r="A2383" s="888">
        <v>611</v>
      </c>
      <c r="B2383" s="888" t="s">
        <v>2440</v>
      </c>
      <c r="C2383" s="888" t="s">
        <v>2441</v>
      </c>
      <c r="D2383" s="889">
        <v>46045</v>
      </c>
      <c r="E2383" s="888" t="s">
        <v>310</v>
      </c>
      <c r="F2383" s="888" t="s">
        <v>310</v>
      </c>
    </row>
    <row r="2384" spans="1:6">
      <c r="A2384" s="888">
        <v>611</v>
      </c>
      <c r="B2384" s="888" t="s">
        <v>2440</v>
      </c>
      <c r="C2384" s="888" t="s">
        <v>2441</v>
      </c>
      <c r="D2384" s="889">
        <v>46046</v>
      </c>
      <c r="E2384" s="888" t="s">
        <v>310</v>
      </c>
      <c r="F2384" s="888" t="s">
        <v>310</v>
      </c>
    </row>
    <row r="2385" spans="1:6">
      <c r="A2385" s="888">
        <v>611</v>
      </c>
      <c r="B2385" s="888" t="s">
        <v>2440</v>
      </c>
      <c r="C2385" s="888" t="s">
        <v>2441</v>
      </c>
      <c r="D2385" s="889">
        <v>46047</v>
      </c>
      <c r="E2385" s="888" t="s">
        <v>310</v>
      </c>
      <c r="F2385" s="888" t="s">
        <v>310</v>
      </c>
    </row>
    <row r="2386" spans="1:6">
      <c r="A2386" s="888">
        <v>611</v>
      </c>
      <c r="B2386" s="888" t="s">
        <v>2440</v>
      </c>
      <c r="C2386" s="888" t="s">
        <v>2441</v>
      </c>
      <c r="D2386" s="889">
        <v>46048</v>
      </c>
      <c r="E2386" s="888" t="s">
        <v>310</v>
      </c>
      <c r="F2386" s="888" t="s">
        <v>310</v>
      </c>
    </row>
    <row r="2387" spans="1:6">
      <c r="A2387" s="888">
        <v>611</v>
      </c>
      <c r="B2387" s="888" t="s">
        <v>2440</v>
      </c>
      <c r="C2387" s="888" t="s">
        <v>2441</v>
      </c>
      <c r="D2387" s="889">
        <v>46049</v>
      </c>
      <c r="E2387" s="888" t="s">
        <v>310</v>
      </c>
      <c r="F2387" s="888" t="s">
        <v>310</v>
      </c>
    </row>
    <row r="2388" spans="1:6">
      <c r="A2388" s="888">
        <v>611</v>
      </c>
      <c r="B2388" s="888" t="s">
        <v>2440</v>
      </c>
      <c r="C2388" s="888" t="s">
        <v>2441</v>
      </c>
      <c r="D2388" s="889">
        <v>46050</v>
      </c>
      <c r="E2388" s="888" t="s">
        <v>310</v>
      </c>
      <c r="F2388" s="888" t="s">
        <v>310</v>
      </c>
    </row>
    <row r="2389" spans="1:6">
      <c r="A2389" s="888">
        <v>611</v>
      </c>
      <c r="B2389" s="888" t="s">
        <v>2440</v>
      </c>
      <c r="C2389" s="888" t="s">
        <v>2441</v>
      </c>
      <c r="D2389" s="889">
        <v>46051</v>
      </c>
      <c r="E2389" s="890">
        <v>0.65809027777777773</v>
      </c>
      <c r="F2389" s="890">
        <v>0.76508101851851851</v>
      </c>
    </row>
    <row r="2390" spans="1:6">
      <c r="A2390" s="888" t="s">
        <v>2442</v>
      </c>
      <c r="B2390" s="888" t="s">
        <v>2443</v>
      </c>
      <c r="C2390" s="888" t="s">
        <v>2444</v>
      </c>
    </row>
    <row r="2391" spans="1:6">
      <c r="A2391" s="888">
        <v>611</v>
      </c>
      <c r="B2391" s="888" t="s">
        <v>2440</v>
      </c>
      <c r="C2391" s="888" t="s">
        <v>2441</v>
      </c>
      <c r="D2391" s="889">
        <v>46052</v>
      </c>
      <c r="E2391" s="890">
        <v>0.34719907407407408</v>
      </c>
      <c r="F2391" s="890">
        <v>0.76576388888888891</v>
      </c>
    </row>
    <row r="2392" spans="1:6">
      <c r="A2392" s="888" t="s">
        <v>2445</v>
      </c>
      <c r="B2392" s="888" t="s">
        <v>2446</v>
      </c>
      <c r="C2392" s="888" t="s">
        <v>2030</v>
      </c>
    </row>
    <row r="2393" spans="1:6">
      <c r="A2393" s="888">
        <v>611</v>
      </c>
      <c r="B2393" s="888" t="s">
        <v>2440</v>
      </c>
      <c r="C2393" s="888" t="s">
        <v>2441</v>
      </c>
      <c r="D2393" s="889">
        <v>46053</v>
      </c>
      <c r="E2393" s="888" t="s">
        <v>310</v>
      </c>
      <c r="F2393" s="888" t="s">
        <v>310</v>
      </c>
    </row>
    <row r="2394" spans="1:6">
      <c r="A2394" s="888">
        <v>611</v>
      </c>
      <c r="B2394" s="888" t="s">
        <v>2440</v>
      </c>
      <c r="C2394" s="888" t="s">
        <v>2441</v>
      </c>
      <c r="D2394" s="889">
        <v>46054</v>
      </c>
      <c r="E2394" s="888" t="s">
        <v>310</v>
      </c>
      <c r="F2394" s="888" t="s">
        <v>310</v>
      </c>
    </row>
    <row r="2395" spans="1:6">
      <c r="A2395" s="888">
        <v>1</v>
      </c>
      <c r="B2395" s="888" t="s">
        <v>2447</v>
      </c>
      <c r="C2395" s="888" t="s">
        <v>2310</v>
      </c>
      <c r="D2395" s="889">
        <v>46023</v>
      </c>
      <c r="E2395" s="888" t="s">
        <v>310</v>
      </c>
      <c r="F2395" s="888" t="s">
        <v>310</v>
      </c>
    </row>
    <row r="2396" spans="1:6">
      <c r="A2396" s="888">
        <v>1</v>
      </c>
      <c r="B2396" s="888" t="s">
        <v>2447</v>
      </c>
      <c r="C2396" s="888" t="s">
        <v>2310</v>
      </c>
      <c r="D2396" s="889">
        <v>46024</v>
      </c>
      <c r="E2396" s="888" t="s">
        <v>310</v>
      </c>
      <c r="F2396" s="888" t="s">
        <v>310</v>
      </c>
    </row>
    <row r="2397" spans="1:6">
      <c r="A2397" s="888">
        <v>1</v>
      </c>
      <c r="B2397" s="888" t="s">
        <v>2447</v>
      </c>
      <c r="C2397" s="888" t="s">
        <v>2310</v>
      </c>
      <c r="D2397" s="889">
        <v>46025</v>
      </c>
      <c r="E2397" s="888" t="s">
        <v>310</v>
      </c>
      <c r="F2397" s="888" t="s">
        <v>310</v>
      </c>
    </row>
    <row r="2398" spans="1:6">
      <c r="A2398" s="888">
        <v>1</v>
      </c>
      <c r="B2398" s="888" t="s">
        <v>2447</v>
      </c>
      <c r="C2398" s="888" t="s">
        <v>2310</v>
      </c>
      <c r="D2398" s="889">
        <v>46026</v>
      </c>
      <c r="E2398" s="888" t="s">
        <v>310</v>
      </c>
      <c r="F2398" s="888" t="s">
        <v>310</v>
      </c>
    </row>
    <row r="2399" spans="1:6">
      <c r="A2399" s="888">
        <v>1</v>
      </c>
      <c r="B2399" s="888" t="s">
        <v>2447</v>
      </c>
      <c r="C2399" s="888" t="s">
        <v>2310</v>
      </c>
      <c r="D2399" s="889">
        <v>46027</v>
      </c>
      <c r="E2399" s="888" t="s">
        <v>310</v>
      </c>
      <c r="F2399" s="888" t="s">
        <v>310</v>
      </c>
    </row>
    <row r="2400" spans="1:6">
      <c r="A2400" s="888">
        <v>1</v>
      </c>
      <c r="B2400" s="888" t="s">
        <v>2447</v>
      </c>
      <c r="C2400" s="888" t="s">
        <v>2310</v>
      </c>
      <c r="D2400" s="889">
        <v>46028</v>
      </c>
      <c r="E2400" s="888" t="s">
        <v>310</v>
      </c>
      <c r="F2400" s="888" t="s">
        <v>310</v>
      </c>
    </row>
    <row r="2401" spans="1:6">
      <c r="A2401" s="888">
        <v>1</v>
      </c>
      <c r="B2401" s="888" t="s">
        <v>2447</v>
      </c>
      <c r="C2401" s="888" t="s">
        <v>2310</v>
      </c>
      <c r="D2401" s="889">
        <v>46029</v>
      </c>
      <c r="E2401" s="888" t="s">
        <v>310</v>
      </c>
      <c r="F2401" s="888" t="s">
        <v>310</v>
      </c>
    </row>
    <row r="2402" spans="1:6">
      <c r="A2402" s="888">
        <v>1</v>
      </c>
      <c r="B2402" s="888" t="s">
        <v>2447</v>
      </c>
      <c r="C2402" s="888" t="s">
        <v>2310</v>
      </c>
      <c r="D2402" s="889">
        <v>46030</v>
      </c>
      <c r="E2402" s="888" t="s">
        <v>310</v>
      </c>
      <c r="F2402" s="888" t="s">
        <v>310</v>
      </c>
    </row>
    <row r="2403" spans="1:6">
      <c r="A2403" s="888">
        <v>1</v>
      </c>
      <c r="B2403" s="888" t="s">
        <v>2447</v>
      </c>
      <c r="C2403" s="888" t="s">
        <v>2310</v>
      </c>
      <c r="D2403" s="889">
        <v>46031</v>
      </c>
      <c r="E2403" s="888" t="s">
        <v>310</v>
      </c>
      <c r="F2403" s="888" t="s">
        <v>310</v>
      </c>
    </row>
    <row r="2404" spans="1:6">
      <c r="A2404" s="888">
        <v>1</v>
      </c>
      <c r="B2404" s="888" t="s">
        <v>2447</v>
      </c>
      <c r="C2404" s="888" t="s">
        <v>2310</v>
      </c>
      <c r="D2404" s="889">
        <v>46032</v>
      </c>
      <c r="E2404" s="888" t="s">
        <v>310</v>
      </c>
      <c r="F2404" s="888" t="s">
        <v>310</v>
      </c>
    </row>
    <row r="2405" spans="1:6">
      <c r="A2405" s="888">
        <v>1</v>
      </c>
      <c r="B2405" s="888" t="s">
        <v>2447</v>
      </c>
      <c r="C2405" s="888" t="s">
        <v>2310</v>
      </c>
      <c r="D2405" s="889">
        <v>46033</v>
      </c>
      <c r="E2405" s="888" t="s">
        <v>310</v>
      </c>
      <c r="F2405" s="888" t="s">
        <v>310</v>
      </c>
    </row>
    <row r="2406" spans="1:6">
      <c r="A2406" s="888">
        <v>1</v>
      </c>
      <c r="B2406" s="888" t="s">
        <v>2447</v>
      </c>
      <c r="C2406" s="888" t="s">
        <v>2310</v>
      </c>
      <c r="D2406" s="889">
        <v>46034</v>
      </c>
      <c r="E2406" s="888" t="s">
        <v>310</v>
      </c>
      <c r="F2406" s="888" t="s">
        <v>310</v>
      </c>
    </row>
    <row r="2407" spans="1:6">
      <c r="A2407" s="888">
        <v>1</v>
      </c>
      <c r="B2407" s="888" t="s">
        <v>2447</v>
      </c>
      <c r="C2407" s="888" t="s">
        <v>2310</v>
      </c>
      <c r="D2407" s="889">
        <v>46035</v>
      </c>
      <c r="E2407" s="888" t="s">
        <v>310</v>
      </c>
      <c r="F2407" s="888" t="s">
        <v>310</v>
      </c>
    </row>
    <row r="2408" spans="1:6">
      <c r="A2408" s="888">
        <v>1</v>
      </c>
      <c r="B2408" s="888" t="s">
        <v>2447</v>
      </c>
      <c r="C2408" s="888" t="s">
        <v>2310</v>
      </c>
      <c r="D2408" s="889">
        <v>46036</v>
      </c>
      <c r="E2408" s="888" t="s">
        <v>310</v>
      </c>
      <c r="F2408" s="888" t="s">
        <v>310</v>
      </c>
    </row>
    <row r="2409" spans="1:6">
      <c r="A2409" s="888">
        <v>1</v>
      </c>
      <c r="B2409" s="888" t="s">
        <v>2447</v>
      </c>
      <c r="C2409" s="888" t="s">
        <v>2310</v>
      </c>
      <c r="D2409" s="889">
        <v>46037</v>
      </c>
      <c r="E2409" s="888" t="s">
        <v>310</v>
      </c>
      <c r="F2409" s="888" t="s">
        <v>310</v>
      </c>
    </row>
    <row r="2410" spans="1:6">
      <c r="A2410" s="888">
        <v>1</v>
      </c>
      <c r="B2410" s="888" t="s">
        <v>2447</v>
      </c>
      <c r="C2410" s="888" t="s">
        <v>2310</v>
      </c>
      <c r="D2410" s="889">
        <v>46038</v>
      </c>
      <c r="E2410" s="888" t="s">
        <v>310</v>
      </c>
      <c r="F2410" s="888" t="s">
        <v>310</v>
      </c>
    </row>
    <row r="2411" spans="1:6">
      <c r="A2411" s="888">
        <v>1</v>
      </c>
      <c r="B2411" s="888" t="s">
        <v>2447</v>
      </c>
      <c r="C2411" s="888" t="s">
        <v>2310</v>
      </c>
      <c r="D2411" s="889">
        <v>46039</v>
      </c>
      <c r="E2411" s="888" t="s">
        <v>310</v>
      </c>
      <c r="F2411" s="888" t="s">
        <v>310</v>
      </c>
    </row>
    <row r="2412" spans="1:6">
      <c r="A2412" s="888">
        <v>1</v>
      </c>
      <c r="B2412" s="888" t="s">
        <v>2447</v>
      </c>
      <c r="C2412" s="888" t="s">
        <v>2310</v>
      </c>
      <c r="D2412" s="889">
        <v>46040</v>
      </c>
      <c r="E2412" s="888" t="s">
        <v>310</v>
      </c>
      <c r="F2412" s="888" t="s">
        <v>310</v>
      </c>
    </row>
    <row r="2413" spans="1:6">
      <c r="A2413" s="888">
        <v>1</v>
      </c>
      <c r="B2413" s="888" t="s">
        <v>2447</v>
      </c>
      <c r="C2413" s="888" t="s">
        <v>2310</v>
      </c>
      <c r="D2413" s="889">
        <v>46041</v>
      </c>
      <c r="E2413" s="888" t="s">
        <v>310</v>
      </c>
      <c r="F2413" s="888" t="s">
        <v>310</v>
      </c>
    </row>
    <row r="2414" spans="1:6">
      <c r="A2414" s="888">
        <v>1</v>
      </c>
      <c r="B2414" s="888" t="s">
        <v>2447</v>
      </c>
      <c r="C2414" s="888" t="s">
        <v>2310</v>
      </c>
      <c r="D2414" s="889">
        <v>46042</v>
      </c>
      <c r="E2414" s="888" t="s">
        <v>310</v>
      </c>
      <c r="F2414" s="888" t="s">
        <v>310</v>
      </c>
    </row>
    <row r="2415" spans="1:6">
      <c r="A2415" s="888">
        <v>1</v>
      </c>
      <c r="B2415" s="888" t="s">
        <v>2447</v>
      </c>
      <c r="C2415" s="888" t="s">
        <v>2310</v>
      </c>
      <c r="D2415" s="889">
        <v>46043</v>
      </c>
      <c r="E2415" s="888" t="s">
        <v>310</v>
      </c>
      <c r="F2415" s="888" t="s">
        <v>310</v>
      </c>
    </row>
    <row r="2416" spans="1:6">
      <c r="A2416" s="888">
        <v>1</v>
      </c>
      <c r="B2416" s="888" t="s">
        <v>2447</v>
      </c>
      <c r="C2416" s="888" t="s">
        <v>2310</v>
      </c>
      <c r="D2416" s="889">
        <v>46044</v>
      </c>
      <c r="E2416" s="888" t="s">
        <v>310</v>
      </c>
      <c r="F2416" s="888" t="s">
        <v>310</v>
      </c>
    </row>
    <row r="2417" spans="1:6">
      <c r="A2417" s="888">
        <v>1</v>
      </c>
      <c r="B2417" s="888" t="s">
        <v>2447</v>
      </c>
      <c r="C2417" s="888" t="s">
        <v>2310</v>
      </c>
      <c r="D2417" s="889">
        <v>46045</v>
      </c>
      <c r="E2417" s="888" t="s">
        <v>310</v>
      </c>
      <c r="F2417" s="888" t="s">
        <v>310</v>
      </c>
    </row>
    <row r="2418" spans="1:6">
      <c r="A2418" s="888">
        <v>1</v>
      </c>
      <c r="B2418" s="888" t="s">
        <v>2447</v>
      </c>
      <c r="C2418" s="888" t="s">
        <v>2310</v>
      </c>
      <c r="D2418" s="889">
        <v>46046</v>
      </c>
      <c r="E2418" s="888" t="s">
        <v>310</v>
      </c>
      <c r="F2418" s="888" t="s">
        <v>310</v>
      </c>
    </row>
    <row r="2419" spans="1:6">
      <c r="A2419" s="888">
        <v>1</v>
      </c>
      <c r="B2419" s="888" t="s">
        <v>2447</v>
      </c>
      <c r="C2419" s="888" t="s">
        <v>2310</v>
      </c>
      <c r="D2419" s="889">
        <v>46047</v>
      </c>
      <c r="E2419" s="888" t="s">
        <v>310</v>
      </c>
      <c r="F2419" s="888" t="s">
        <v>310</v>
      </c>
    </row>
    <row r="2420" spans="1:6">
      <c r="A2420" s="888">
        <v>1</v>
      </c>
      <c r="B2420" s="888" t="s">
        <v>2447</v>
      </c>
      <c r="C2420" s="888" t="s">
        <v>2310</v>
      </c>
      <c r="D2420" s="889">
        <v>46048</v>
      </c>
      <c r="E2420" s="888" t="s">
        <v>310</v>
      </c>
      <c r="F2420" s="888" t="s">
        <v>310</v>
      </c>
    </row>
    <row r="2421" spans="1:6">
      <c r="A2421" s="888">
        <v>1</v>
      </c>
      <c r="B2421" s="888" t="s">
        <v>2447</v>
      </c>
      <c r="C2421" s="888" t="s">
        <v>2310</v>
      </c>
      <c r="D2421" s="889">
        <v>46049</v>
      </c>
      <c r="E2421" s="888" t="s">
        <v>310</v>
      </c>
      <c r="F2421" s="888" t="s">
        <v>310</v>
      </c>
    </row>
    <row r="2422" spans="1:6">
      <c r="A2422" s="888">
        <v>1</v>
      </c>
      <c r="B2422" s="888" t="s">
        <v>2447</v>
      </c>
      <c r="C2422" s="888" t="s">
        <v>2310</v>
      </c>
      <c r="D2422" s="889">
        <v>46050</v>
      </c>
      <c r="E2422" s="888" t="s">
        <v>310</v>
      </c>
      <c r="F2422" s="888" t="s">
        <v>310</v>
      </c>
    </row>
    <row r="2423" spans="1:6">
      <c r="A2423" s="888">
        <v>1</v>
      </c>
      <c r="B2423" s="888" t="s">
        <v>2447</v>
      </c>
      <c r="C2423" s="888" t="s">
        <v>2310</v>
      </c>
      <c r="D2423" s="889">
        <v>46051</v>
      </c>
      <c r="E2423" s="888" t="s">
        <v>310</v>
      </c>
      <c r="F2423" s="888" t="s">
        <v>310</v>
      </c>
    </row>
    <row r="2424" spans="1:6">
      <c r="A2424" s="888">
        <v>1</v>
      </c>
      <c r="B2424" s="888" t="s">
        <v>2447</v>
      </c>
      <c r="C2424" s="888" t="s">
        <v>2310</v>
      </c>
      <c r="D2424" s="889">
        <v>46052</v>
      </c>
      <c r="E2424" s="888" t="s">
        <v>310</v>
      </c>
      <c r="F2424" s="888" t="s">
        <v>310</v>
      </c>
    </row>
    <row r="2425" spans="1:6">
      <c r="A2425" s="888">
        <v>1</v>
      </c>
      <c r="B2425" s="888" t="s">
        <v>2447</v>
      </c>
      <c r="C2425" s="888" t="s">
        <v>2310</v>
      </c>
      <c r="D2425" s="889">
        <v>46053</v>
      </c>
      <c r="E2425" s="888" t="s">
        <v>310</v>
      </c>
      <c r="F2425" s="888" t="s">
        <v>310</v>
      </c>
    </row>
    <row r="2426" spans="1:6">
      <c r="A2426" s="888">
        <v>1</v>
      </c>
      <c r="B2426" s="888" t="s">
        <v>2447</v>
      </c>
      <c r="C2426" s="888" t="s">
        <v>2310</v>
      </c>
      <c r="D2426" s="889">
        <v>46054</v>
      </c>
      <c r="E2426" s="888" t="s">
        <v>310</v>
      </c>
      <c r="F2426" s="888" t="s">
        <v>310</v>
      </c>
    </row>
    <row r="2427" spans="1:6">
      <c r="A2427" s="888">
        <v>10</v>
      </c>
      <c r="B2427" s="888" t="s">
        <v>2448</v>
      </c>
      <c r="C2427" s="888" t="s">
        <v>2310</v>
      </c>
      <c r="D2427" s="889">
        <v>46023</v>
      </c>
      <c r="E2427" s="888" t="s">
        <v>310</v>
      </c>
      <c r="F2427" s="888" t="s">
        <v>310</v>
      </c>
    </row>
    <row r="2428" spans="1:6">
      <c r="A2428" s="888">
        <v>10</v>
      </c>
      <c r="B2428" s="888" t="s">
        <v>2448</v>
      </c>
      <c r="C2428" s="888" t="s">
        <v>2310</v>
      </c>
      <c r="D2428" s="889">
        <v>46024</v>
      </c>
      <c r="E2428" s="888" t="s">
        <v>310</v>
      </c>
      <c r="F2428" s="888" t="s">
        <v>310</v>
      </c>
    </row>
    <row r="2429" spans="1:6">
      <c r="A2429" s="888">
        <v>10</v>
      </c>
      <c r="B2429" s="888" t="s">
        <v>2448</v>
      </c>
      <c r="C2429" s="888" t="s">
        <v>2310</v>
      </c>
      <c r="D2429" s="889">
        <v>46025</v>
      </c>
      <c r="E2429" s="888" t="s">
        <v>310</v>
      </c>
      <c r="F2429" s="888" t="s">
        <v>310</v>
      </c>
    </row>
    <row r="2430" spans="1:6">
      <c r="A2430" s="888">
        <v>10</v>
      </c>
      <c r="B2430" s="888" t="s">
        <v>2448</v>
      </c>
      <c r="C2430" s="888" t="s">
        <v>2310</v>
      </c>
      <c r="D2430" s="889">
        <v>46026</v>
      </c>
      <c r="E2430" s="888" t="s">
        <v>310</v>
      </c>
      <c r="F2430" s="888" t="s">
        <v>310</v>
      </c>
    </row>
    <row r="2431" spans="1:6">
      <c r="A2431" s="888">
        <v>10</v>
      </c>
      <c r="B2431" s="888" t="s">
        <v>2448</v>
      </c>
      <c r="C2431" s="888" t="s">
        <v>2310</v>
      </c>
      <c r="D2431" s="889">
        <v>46027</v>
      </c>
      <c r="E2431" s="888" t="s">
        <v>310</v>
      </c>
      <c r="F2431" s="888" t="s">
        <v>310</v>
      </c>
    </row>
    <row r="2432" spans="1:6">
      <c r="A2432" s="888">
        <v>10</v>
      </c>
      <c r="B2432" s="888" t="s">
        <v>2448</v>
      </c>
      <c r="C2432" s="888" t="s">
        <v>2310</v>
      </c>
      <c r="D2432" s="889">
        <v>46028</v>
      </c>
      <c r="E2432" s="888" t="s">
        <v>310</v>
      </c>
      <c r="F2432" s="888" t="s">
        <v>310</v>
      </c>
    </row>
    <row r="2433" spans="1:6">
      <c r="A2433" s="888">
        <v>10</v>
      </c>
      <c r="B2433" s="888" t="s">
        <v>2448</v>
      </c>
      <c r="C2433" s="888" t="s">
        <v>2310</v>
      </c>
      <c r="D2433" s="889">
        <v>46029</v>
      </c>
      <c r="E2433" s="888" t="s">
        <v>310</v>
      </c>
      <c r="F2433" s="888" t="s">
        <v>310</v>
      </c>
    </row>
    <row r="2434" spans="1:6">
      <c r="A2434" s="888">
        <v>10</v>
      </c>
      <c r="B2434" s="888" t="s">
        <v>2448</v>
      </c>
      <c r="C2434" s="888" t="s">
        <v>2310</v>
      </c>
      <c r="D2434" s="889">
        <v>46030</v>
      </c>
      <c r="E2434" s="888" t="s">
        <v>310</v>
      </c>
      <c r="F2434" s="888" t="s">
        <v>310</v>
      </c>
    </row>
    <row r="2435" spans="1:6">
      <c r="A2435" s="888">
        <v>10</v>
      </c>
      <c r="B2435" s="888" t="s">
        <v>2448</v>
      </c>
      <c r="C2435" s="888" t="s">
        <v>2310</v>
      </c>
      <c r="D2435" s="889">
        <v>46031</v>
      </c>
      <c r="E2435" s="888" t="s">
        <v>310</v>
      </c>
      <c r="F2435" s="888" t="s">
        <v>310</v>
      </c>
    </row>
    <row r="2436" spans="1:6">
      <c r="A2436" s="888">
        <v>10</v>
      </c>
      <c r="B2436" s="888" t="s">
        <v>2448</v>
      </c>
      <c r="C2436" s="888" t="s">
        <v>2310</v>
      </c>
      <c r="D2436" s="889">
        <v>46032</v>
      </c>
      <c r="E2436" s="888" t="s">
        <v>310</v>
      </c>
      <c r="F2436" s="888" t="s">
        <v>310</v>
      </c>
    </row>
    <row r="2437" spans="1:6">
      <c r="A2437" s="888">
        <v>10</v>
      </c>
      <c r="B2437" s="888" t="s">
        <v>2448</v>
      </c>
      <c r="C2437" s="888" t="s">
        <v>2310</v>
      </c>
      <c r="D2437" s="889">
        <v>46033</v>
      </c>
      <c r="E2437" s="888" t="s">
        <v>310</v>
      </c>
      <c r="F2437" s="888" t="s">
        <v>310</v>
      </c>
    </row>
    <row r="2438" spans="1:6">
      <c r="A2438" s="888">
        <v>10</v>
      </c>
      <c r="B2438" s="888" t="s">
        <v>2448</v>
      </c>
      <c r="C2438" s="888" t="s">
        <v>2310</v>
      </c>
      <c r="D2438" s="889">
        <v>46034</v>
      </c>
      <c r="E2438" s="888" t="s">
        <v>310</v>
      </c>
      <c r="F2438" s="888" t="s">
        <v>310</v>
      </c>
    </row>
    <row r="2439" spans="1:6">
      <c r="A2439" s="888">
        <v>10</v>
      </c>
      <c r="B2439" s="888" t="s">
        <v>2448</v>
      </c>
      <c r="C2439" s="888" t="s">
        <v>2310</v>
      </c>
      <c r="D2439" s="889">
        <v>46035</v>
      </c>
      <c r="E2439" s="888" t="s">
        <v>310</v>
      </c>
      <c r="F2439" s="888" t="s">
        <v>310</v>
      </c>
    </row>
    <row r="2440" spans="1:6">
      <c r="A2440" s="888">
        <v>10</v>
      </c>
      <c r="B2440" s="888" t="s">
        <v>2448</v>
      </c>
      <c r="C2440" s="888" t="s">
        <v>2310</v>
      </c>
      <c r="D2440" s="889">
        <v>46036</v>
      </c>
      <c r="E2440" s="888" t="s">
        <v>310</v>
      </c>
      <c r="F2440" s="888" t="s">
        <v>310</v>
      </c>
    </row>
    <row r="2441" spans="1:6">
      <c r="A2441" s="888">
        <v>10</v>
      </c>
      <c r="B2441" s="888" t="s">
        <v>2448</v>
      </c>
      <c r="C2441" s="888" t="s">
        <v>2310</v>
      </c>
      <c r="D2441" s="889">
        <v>46037</v>
      </c>
      <c r="E2441" s="888" t="s">
        <v>310</v>
      </c>
      <c r="F2441" s="888" t="s">
        <v>310</v>
      </c>
    </row>
    <row r="2442" spans="1:6">
      <c r="A2442" s="888">
        <v>10</v>
      </c>
      <c r="B2442" s="888" t="s">
        <v>2448</v>
      </c>
      <c r="C2442" s="888" t="s">
        <v>2310</v>
      </c>
      <c r="D2442" s="889">
        <v>46038</v>
      </c>
      <c r="E2442" s="888" t="s">
        <v>310</v>
      </c>
      <c r="F2442" s="888" t="s">
        <v>310</v>
      </c>
    </row>
    <row r="2443" spans="1:6">
      <c r="A2443" s="888">
        <v>10</v>
      </c>
      <c r="B2443" s="888" t="s">
        <v>2448</v>
      </c>
      <c r="C2443" s="888" t="s">
        <v>2310</v>
      </c>
      <c r="D2443" s="889">
        <v>46039</v>
      </c>
      <c r="E2443" s="888" t="s">
        <v>310</v>
      </c>
      <c r="F2443" s="888" t="s">
        <v>310</v>
      </c>
    </row>
    <row r="2444" spans="1:6">
      <c r="A2444" s="888">
        <v>10</v>
      </c>
      <c r="B2444" s="888" t="s">
        <v>2448</v>
      </c>
      <c r="C2444" s="888" t="s">
        <v>2310</v>
      </c>
      <c r="D2444" s="889">
        <v>46040</v>
      </c>
      <c r="E2444" s="888" t="s">
        <v>310</v>
      </c>
      <c r="F2444" s="888" t="s">
        <v>310</v>
      </c>
    </row>
    <row r="2445" spans="1:6">
      <c r="A2445" s="888">
        <v>10</v>
      </c>
      <c r="B2445" s="888" t="s">
        <v>2448</v>
      </c>
      <c r="C2445" s="888" t="s">
        <v>2310</v>
      </c>
      <c r="D2445" s="889">
        <v>46041</v>
      </c>
      <c r="E2445" s="888" t="s">
        <v>310</v>
      </c>
      <c r="F2445" s="888" t="s">
        <v>310</v>
      </c>
    </row>
    <row r="2446" spans="1:6">
      <c r="A2446" s="888">
        <v>10</v>
      </c>
      <c r="B2446" s="888" t="s">
        <v>2448</v>
      </c>
      <c r="C2446" s="888" t="s">
        <v>2310</v>
      </c>
      <c r="D2446" s="889">
        <v>46042</v>
      </c>
      <c r="E2446" s="888" t="s">
        <v>310</v>
      </c>
      <c r="F2446" s="888" t="s">
        <v>310</v>
      </c>
    </row>
    <row r="2447" spans="1:6">
      <c r="A2447" s="888">
        <v>10</v>
      </c>
      <c r="B2447" s="888" t="s">
        <v>2448</v>
      </c>
      <c r="C2447" s="888" t="s">
        <v>2310</v>
      </c>
      <c r="D2447" s="889">
        <v>46043</v>
      </c>
      <c r="E2447" s="888" t="s">
        <v>310</v>
      </c>
      <c r="F2447" s="888" t="s">
        <v>310</v>
      </c>
    </row>
    <row r="2448" spans="1:6">
      <c r="A2448" s="888">
        <v>10</v>
      </c>
      <c r="B2448" s="888" t="s">
        <v>2448</v>
      </c>
      <c r="C2448" s="888" t="s">
        <v>2310</v>
      </c>
      <c r="D2448" s="889">
        <v>46044</v>
      </c>
      <c r="E2448" s="888" t="s">
        <v>310</v>
      </c>
      <c r="F2448" s="888" t="s">
        <v>310</v>
      </c>
    </row>
    <row r="2449" spans="1:10">
      <c r="A2449" s="888">
        <v>10</v>
      </c>
      <c r="B2449" s="888" t="s">
        <v>2448</v>
      </c>
      <c r="C2449" s="888" t="s">
        <v>2310</v>
      </c>
      <c r="D2449" s="889">
        <v>46045</v>
      </c>
      <c r="E2449" s="888" t="s">
        <v>310</v>
      </c>
      <c r="F2449" s="888" t="s">
        <v>310</v>
      </c>
    </row>
    <row r="2450" spans="1:10">
      <c r="A2450" s="888">
        <v>10</v>
      </c>
      <c r="B2450" s="888" t="s">
        <v>2448</v>
      </c>
      <c r="C2450" s="888" t="s">
        <v>2310</v>
      </c>
      <c r="D2450" s="889">
        <v>46046</v>
      </c>
      <c r="E2450" s="888" t="s">
        <v>310</v>
      </c>
      <c r="F2450" s="888" t="s">
        <v>310</v>
      </c>
    </row>
    <row r="2451" spans="1:10">
      <c r="A2451" s="888">
        <v>10</v>
      </c>
      <c r="B2451" s="888" t="s">
        <v>2448</v>
      </c>
      <c r="C2451" s="888" t="s">
        <v>2310</v>
      </c>
      <c r="D2451" s="889">
        <v>46047</v>
      </c>
      <c r="E2451" s="888" t="s">
        <v>310</v>
      </c>
      <c r="F2451" s="888" t="s">
        <v>310</v>
      </c>
    </row>
    <row r="2452" spans="1:10">
      <c r="A2452" s="888">
        <v>10</v>
      </c>
      <c r="B2452" s="888" t="s">
        <v>2448</v>
      </c>
      <c r="C2452" s="888" t="s">
        <v>2310</v>
      </c>
      <c r="D2452" s="889">
        <v>46048</v>
      </c>
      <c r="E2452" s="888" t="s">
        <v>310</v>
      </c>
      <c r="F2452" s="888" t="s">
        <v>310</v>
      </c>
    </row>
    <row r="2453" spans="1:10">
      <c r="A2453" s="888">
        <v>10</v>
      </c>
      <c r="B2453" s="888" t="s">
        <v>2448</v>
      </c>
      <c r="C2453" s="888" t="s">
        <v>2310</v>
      </c>
      <c r="D2453" s="889">
        <v>46049</v>
      </c>
      <c r="E2453" s="888" t="s">
        <v>310</v>
      </c>
      <c r="F2453" s="888" t="s">
        <v>310</v>
      </c>
    </row>
    <row r="2454" spans="1:10">
      <c r="A2454" s="888">
        <v>10</v>
      </c>
      <c r="B2454" s="888" t="s">
        <v>2448</v>
      </c>
      <c r="C2454" s="888" t="s">
        <v>2310</v>
      </c>
      <c r="D2454" s="889">
        <v>46050</v>
      </c>
      <c r="E2454" s="888" t="s">
        <v>310</v>
      </c>
      <c r="F2454" s="888" t="s">
        <v>310</v>
      </c>
    </row>
    <row r="2455" spans="1:10">
      <c r="A2455" s="888">
        <v>10</v>
      </c>
      <c r="B2455" s="888" t="s">
        <v>2448</v>
      </c>
      <c r="C2455" s="888" t="s">
        <v>2310</v>
      </c>
      <c r="D2455" s="889">
        <v>46051</v>
      </c>
      <c r="E2455" s="888" t="s">
        <v>310</v>
      </c>
      <c r="F2455" s="888" t="s">
        <v>310</v>
      </c>
    </row>
    <row r="2456" spans="1:10">
      <c r="A2456" s="888">
        <v>10</v>
      </c>
      <c r="B2456" s="888" t="s">
        <v>2448</v>
      </c>
      <c r="C2456" s="888" t="s">
        <v>2310</v>
      </c>
      <c r="D2456" s="889">
        <v>46052</v>
      </c>
      <c r="E2456" s="888" t="s">
        <v>310</v>
      </c>
      <c r="F2456" s="888" t="s">
        <v>310</v>
      </c>
    </row>
    <row r="2457" spans="1:10">
      <c r="A2457" s="888">
        <v>10</v>
      </c>
      <c r="B2457" s="888" t="s">
        <v>2448</v>
      </c>
      <c r="C2457" s="888" t="s">
        <v>2310</v>
      </c>
      <c r="D2457" s="889">
        <v>46053</v>
      </c>
      <c r="E2457" s="888" t="s">
        <v>310</v>
      </c>
      <c r="F2457" s="888" t="s">
        <v>310</v>
      </c>
    </row>
    <row r="2458" spans="1:10">
      <c r="A2458" s="888">
        <v>10</v>
      </c>
      <c r="B2458" s="888" t="s">
        <v>2448</v>
      </c>
      <c r="C2458" s="888" t="s">
        <v>2310</v>
      </c>
      <c r="D2458" s="889">
        <v>46054</v>
      </c>
      <c r="E2458" s="888" t="s">
        <v>310</v>
      </c>
      <c r="F2458" s="888" t="s">
        <v>310</v>
      </c>
    </row>
    <row r="2459" spans="1:10">
      <c r="A2459" s="888">
        <v>11</v>
      </c>
      <c r="B2459" s="888" t="s">
        <v>2449</v>
      </c>
      <c r="C2459" s="888" t="s">
        <v>1253</v>
      </c>
      <c r="D2459" s="889">
        <v>46023</v>
      </c>
      <c r="E2459" s="888" t="s">
        <v>310</v>
      </c>
      <c r="F2459" s="888" t="s">
        <v>310</v>
      </c>
      <c r="G2459" s="891" t="s">
        <v>1040</v>
      </c>
      <c r="H2459" s="891" t="s">
        <v>2450</v>
      </c>
      <c r="I2459" s="891" t="s">
        <v>1040</v>
      </c>
      <c r="J2459" s="891" t="s">
        <v>2450</v>
      </c>
    </row>
    <row r="2460" spans="1:10">
      <c r="A2460" s="888">
        <v>11</v>
      </c>
      <c r="B2460" s="888" t="s">
        <v>2449</v>
      </c>
      <c r="C2460" s="888" t="s">
        <v>1253</v>
      </c>
      <c r="D2460" s="889">
        <v>46024</v>
      </c>
      <c r="E2460" s="888" t="s">
        <v>310</v>
      </c>
      <c r="F2460" s="888" t="s">
        <v>310</v>
      </c>
      <c r="G2460" s="891" t="s">
        <v>1040</v>
      </c>
      <c r="H2460" s="891" t="s">
        <v>1048</v>
      </c>
      <c r="I2460" s="891" t="s">
        <v>1040</v>
      </c>
      <c r="J2460" s="891" t="s">
        <v>1048</v>
      </c>
    </row>
    <row r="2461" spans="1:10">
      <c r="A2461" s="888">
        <v>11</v>
      </c>
      <c r="B2461" s="888" t="s">
        <v>2449</v>
      </c>
      <c r="C2461" s="888" t="s">
        <v>1253</v>
      </c>
      <c r="D2461" s="889">
        <v>46025</v>
      </c>
      <c r="E2461" s="888" t="s">
        <v>310</v>
      </c>
      <c r="F2461" s="888" t="s">
        <v>310</v>
      </c>
      <c r="G2461" s="891" t="s">
        <v>1040</v>
      </c>
      <c r="H2461" s="891" t="s">
        <v>2451</v>
      </c>
      <c r="I2461" s="891" t="s">
        <v>1040</v>
      </c>
      <c r="J2461" s="891" t="s">
        <v>2451</v>
      </c>
    </row>
    <row r="2462" spans="1:10">
      <c r="A2462" s="888">
        <v>11</v>
      </c>
      <c r="B2462" s="888" t="s">
        <v>2449</v>
      </c>
      <c r="C2462" s="888" t="s">
        <v>1253</v>
      </c>
      <c r="D2462" s="889">
        <v>46026</v>
      </c>
      <c r="E2462" s="888" t="s">
        <v>310</v>
      </c>
      <c r="F2462" s="888" t="s">
        <v>310</v>
      </c>
      <c r="G2462" s="891" t="s">
        <v>1040</v>
      </c>
      <c r="H2462" s="891" t="s">
        <v>2451</v>
      </c>
      <c r="I2462" s="891" t="s">
        <v>1040</v>
      </c>
      <c r="J2462" s="891" t="s">
        <v>2451</v>
      </c>
    </row>
    <row r="2463" spans="1:10">
      <c r="A2463" s="888">
        <v>11</v>
      </c>
      <c r="B2463" s="888" t="s">
        <v>2449</v>
      </c>
      <c r="C2463" s="888" t="s">
        <v>1253</v>
      </c>
      <c r="D2463" s="889">
        <v>46027</v>
      </c>
      <c r="E2463" s="890">
        <v>0.3523148148148148</v>
      </c>
      <c r="F2463" s="890">
        <v>0.7690393518518519</v>
      </c>
    </row>
    <row r="2464" spans="1:10">
      <c r="A2464" s="888" t="s">
        <v>2452</v>
      </c>
      <c r="B2464" s="888" t="s">
        <v>2453</v>
      </c>
      <c r="C2464" s="888" t="s">
        <v>1303</v>
      </c>
    </row>
    <row r="2465" spans="1:10" ht="27.6">
      <c r="A2465" s="888">
        <v>11</v>
      </c>
      <c r="B2465" s="888" t="s">
        <v>2449</v>
      </c>
      <c r="C2465" s="888" t="s">
        <v>1253</v>
      </c>
      <c r="D2465" s="889">
        <v>46028</v>
      </c>
      <c r="E2465" s="890">
        <v>0.765625</v>
      </c>
      <c r="F2465" s="888" t="s">
        <v>310</v>
      </c>
      <c r="G2465" s="891" t="s">
        <v>1040</v>
      </c>
      <c r="H2465" s="896" t="s">
        <v>2454</v>
      </c>
    </row>
    <row r="2466" spans="1:10">
      <c r="A2466" s="888" t="s">
        <v>2455</v>
      </c>
      <c r="B2466" s="888" t="s">
        <v>1258</v>
      </c>
      <c r="C2466" s="888" t="s">
        <v>1259</v>
      </c>
    </row>
    <row r="2467" spans="1:10">
      <c r="A2467" s="888">
        <v>11</v>
      </c>
      <c r="B2467" s="888" t="s">
        <v>2449</v>
      </c>
      <c r="C2467" s="888" t="s">
        <v>1253</v>
      </c>
      <c r="D2467" s="889">
        <v>46029</v>
      </c>
      <c r="E2467" s="890">
        <v>0.33953703703703703</v>
      </c>
      <c r="F2467" s="890">
        <v>0.75138888888888888</v>
      </c>
    </row>
    <row r="2468" spans="1:10">
      <c r="A2468" s="888" t="s">
        <v>2456</v>
      </c>
      <c r="B2468" s="888" t="s">
        <v>2457</v>
      </c>
      <c r="C2468" s="888" t="s">
        <v>1369</v>
      </c>
    </row>
    <row r="2469" spans="1:10">
      <c r="A2469" s="888">
        <v>11</v>
      </c>
      <c r="B2469" s="888" t="s">
        <v>2449</v>
      </c>
      <c r="C2469" s="888" t="s">
        <v>1253</v>
      </c>
      <c r="D2469" s="889">
        <v>46030</v>
      </c>
      <c r="E2469" s="890">
        <v>0.3490509259259259</v>
      </c>
      <c r="F2469" s="890">
        <v>0.77063657407407404</v>
      </c>
    </row>
    <row r="2470" spans="1:10">
      <c r="A2470" s="888" t="s">
        <v>2458</v>
      </c>
      <c r="B2470" s="888" t="s">
        <v>2459</v>
      </c>
      <c r="C2470" s="888" t="s">
        <v>1390</v>
      </c>
    </row>
    <row r="2471" spans="1:10">
      <c r="A2471" s="888">
        <v>11</v>
      </c>
      <c r="B2471" s="888" t="s">
        <v>2449</v>
      </c>
      <c r="C2471" s="888" t="s">
        <v>1253</v>
      </c>
      <c r="D2471" s="889">
        <v>46031</v>
      </c>
      <c r="E2471" s="890">
        <v>0.35046296296296298</v>
      </c>
      <c r="F2471" s="890">
        <v>0.51377314814814812</v>
      </c>
      <c r="I2471" s="891" t="s">
        <v>1040</v>
      </c>
      <c r="J2471" s="891" t="s">
        <v>2460</v>
      </c>
    </row>
    <row r="2472" spans="1:10">
      <c r="A2472" s="888" t="s">
        <v>2461</v>
      </c>
      <c r="B2472" s="888" t="s">
        <v>2462</v>
      </c>
      <c r="C2472" s="888" t="s">
        <v>1493</v>
      </c>
    </row>
    <row r="2473" spans="1:10">
      <c r="A2473" s="888">
        <v>11</v>
      </c>
      <c r="B2473" s="888" t="s">
        <v>2449</v>
      </c>
      <c r="C2473" s="888" t="s">
        <v>1253</v>
      </c>
      <c r="D2473" s="889">
        <v>46032</v>
      </c>
      <c r="E2473" s="888" t="s">
        <v>310</v>
      </c>
      <c r="F2473" s="888" t="s">
        <v>310</v>
      </c>
      <c r="G2473" s="891" t="s">
        <v>1040</v>
      </c>
      <c r="H2473" s="891" t="s">
        <v>2451</v>
      </c>
      <c r="I2473" s="891" t="s">
        <v>1040</v>
      </c>
      <c r="J2473" s="891" t="s">
        <v>2451</v>
      </c>
    </row>
    <row r="2474" spans="1:10">
      <c r="A2474" s="888">
        <v>11</v>
      </c>
      <c r="B2474" s="888" t="s">
        <v>2449</v>
      </c>
      <c r="C2474" s="888" t="s">
        <v>1253</v>
      </c>
      <c r="D2474" s="889">
        <v>46033</v>
      </c>
      <c r="E2474" s="888" t="s">
        <v>310</v>
      </c>
      <c r="F2474" s="888" t="s">
        <v>310</v>
      </c>
      <c r="G2474" s="891" t="s">
        <v>1040</v>
      </c>
      <c r="H2474" s="891" t="s">
        <v>2451</v>
      </c>
      <c r="I2474" s="891" t="s">
        <v>1040</v>
      </c>
      <c r="J2474" s="891" t="s">
        <v>2451</v>
      </c>
    </row>
    <row r="2475" spans="1:10">
      <c r="A2475" s="897">
        <v>11</v>
      </c>
      <c r="B2475" s="897" t="s">
        <v>2449</v>
      </c>
      <c r="C2475" s="897" t="s">
        <v>1253</v>
      </c>
      <c r="D2475" s="898">
        <v>46034</v>
      </c>
      <c r="E2475" s="897" t="s">
        <v>310</v>
      </c>
      <c r="F2475" s="897" t="s">
        <v>310</v>
      </c>
      <c r="G2475" s="899" t="s">
        <v>1040</v>
      </c>
      <c r="H2475" s="899" t="s">
        <v>2463</v>
      </c>
      <c r="I2475" s="899" t="s">
        <v>1040</v>
      </c>
      <c r="J2475" s="899" t="s">
        <v>2463</v>
      </c>
    </row>
    <row r="2476" spans="1:10">
      <c r="A2476" s="897">
        <v>11</v>
      </c>
      <c r="B2476" s="897" t="s">
        <v>2449</v>
      </c>
      <c r="C2476" s="897" t="s">
        <v>1253</v>
      </c>
      <c r="D2476" s="898">
        <v>46035</v>
      </c>
      <c r="E2476" s="900">
        <v>0.34635416666666669</v>
      </c>
      <c r="F2476" s="897" t="s">
        <v>310</v>
      </c>
      <c r="G2476" s="899"/>
      <c r="H2476" s="899"/>
      <c r="I2476" s="899" t="s">
        <v>1040</v>
      </c>
      <c r="J2476" s="899" t="s">
        <v>2464</v>
      </c>
    </row>
    <row r="2477" spans="1:10">
      <c r="A2477" s="888" t="s">
        <v>2465</v>
      </c>
      <c r="B2477" s="888" t="s">
        <v>1258</v>
      </c>
      <c r="C2477" s="888" t="s">
        <v>1259</v>
      </c>
    </row>
    <row r="2478" spans="1:10">
      <c r="A2478" s="888">
        <v>11</v>
      </c>
      <c r="B2478" s="888" t="s">
        <v>2449</v>
      </c>
      <c r="C2478" s="888" t="s">
        <v>1253</v>
      </c>
      <c r="D2478" s="889">
        <v>46036</v>
      </c>
      <c r="E2478" s="890">
        <v>0.3464814814814815</v>
      </c>
      <c r="F2478" s="890">
        <v>0.76060185185185181</v>
      </c>
    </row>
    <row r="2479" spans="1:10">
      <c r="A2479" s="888" t="s">
        <v>2466</v>
      </c>
      <c r="B2479" s="888" t="s">
        <v>2467</v>
      </c>
      <c r="C2479" s="888" t="s">
        <v>1407</v>
      </c>
    </row>
    <row r="2480" spans="1:10">
      <c r="A2480" s="888">
        <v>11</v>
      </c>
      <c r="B2480" s="888" t="s">
        <v>2449</v>
      </c>
      <c r="C2480" s="888" t="s">
        <v>1253</v>
      </c>
      <c r="D2480" s="889">
        <v>46037</v>
      </c>
      <c r="E2480" s="890">
        <v>0.76414351851851847</v>
      </c>
      <c r="F2480" s="888" t="s">
        <v>310</v>
      </c>
      <c r="I2480" s="899" t="s">
        <v>1040</v>
      </c>
      <c r="J2480" s="899" t="s">
        <v>2464</v>
      </c>
    </row>
    <row r="2481" spans="1:10">
      <c r="A2481" s="888" t="s">
        <v>2468</v>
      </c>
      <c r="B2481" s="888" t="s">
        <v>1258</v>
      </c>
      <c r="C2481" s="888" t="s">
        <v>1259</v>
      </c>
    </row>
    <row r="2482" spans="1:10">
      <c r="A2482" s="888">
        <v>11</v>
      </c>
      <c r="B2482" s="888" t="s">
        <v>2449</v>
      </c>
      <c r="C2482" s="888" t="s">
        <v>1253</v>
      </c>
      <c r="D2482" s="889">
        <v>46038</v>
      </c>
      <c r="E2482" s="890">
        <v>0.3457175925925926</v>
      </c>
      <c r="F2482" s="890">
        <v>0.53009259259259256</v>
      </c>
      <c r="I2482" s="891" t="s">
        <v>1040</v>
      </c>
      <c r="J2482" s="891" t="s">
        <v>2469</v>
      </c>
    </row>
    <row r="2483" spans="1:10">
      <c r="A2483" s="888" t="s">
        <v>2470</v>
      </c>
      <c r="B2483" s="888" t="s">
        <v>2471</v>
      </c>
      <c r="C2483" s="888" t="s">
        <v>2472</v>
      </c>
    </row>
    <row r="2484" spans="1:10">
      <c r="A2484" s="888">
        <v>11</v>
      </c>
      <c r="B2484" s="888" t="s">
        <v>2449</v>
      </c>
      <c r="C2484" s="888" t="s">
        <v>1253</v>
      </c>
      <c r="D2484" s="889">
        <v>46039</v>
      </c>
      <c r="E2484" s="888" t="s">
        <v>310</v>
      </c>
      <c r="F2484" s="888" t="s">
        <v>310</v>
      </c>
      <c r="G2484" s="891" t="s">
        <v>1040</v>
      </c>
      <c r="H2484" s="891" t="s">
        <v>2451</v>
      </c>
      <c r="I2484" s="891" t="s">
        <v>1040</v>
      </c>
      <c r="J2484" s="891" t="s">
        <v>2451</v>
      </c>
    </row>
    <row r="2485" spans="1:10">
      <c r="A2485" s="888">
        <v>11</v>
      </c>
      <c r="B2485" s="888" t="s">
        <v>2449</v>
      </c>
      <c r="C2485" s="888" t="s">
        <v>1253</v>
      </c>
      <c r="D2485" s="889">
        <v>46040</v>
      </c>
      <c r="E2485" s="888" t="s">
        <v>310</v>
      </c>
      <c r="F2485" s="888" t="s">
        <v>310</v>
      </c>
      <c r="G2485" s="891" t="s">
        <v>1040</v>
      </c>
      <c r="H2485" s="891" t="s">
        <v>2451</v>
      </c>
      <c r="I2485" s="891" t="s">
        <v>1040</v>
      </c>
      <c r="J2485" s="891" t="s">
        <v>2451</v>
      </c>
    </row>
    <row r="2486" spans="1:10">
      <c r="A2486" s="888">
        <v>11</v>
      </c>
      <c r="B2486" s="888" t="s">
        <v>2449</v>
      </c>
      <c r="C2486" s="888" t="s">
        <v>1253</v>
      </c>
      <c r="D2486" s="889">
        <v>46041</v>
      </c>
      <c r="E2486" s="890">
        <v>0.35259259259259257</v>
      </c>
      <c r="F2486" s="890">
        <v>0.70423611111111106</v>
      </c>
    </row>
    <row r="2487" spans="1:10">
      <c r="A2487" s="888" t="s">
        <v>2473</v>
      </c>
      <c r="B2487" s="888" t="s">
        <v>2474</v>
      </c>
      <c r="C2487" s="888" t="s">
        <v>1531</v>
      </c>
    </row>
    <row r="2488" spans="1:10">
      <c r="A2488" s="888">
        <v>11</v>
      </c>
      <c r="B2488" s="888" t="s">
        <v>2449</v>
      </c>
      <c r="C2488" s="888" t="s">
        <v>1253</v>
      </c>
      <c r="D2488" s="889">
        <v>46042</v>
      </c>
      <c r="E2488" s="890">
        <v>0.76466435185185189</v>
      </c>
      <c r="F2488" s="888" t="s">
        <v>310</v>
      </c>
      <c r="G2488" s="891" t="s">
        <v>1040</v>
      </c>
      <c r="H2488" s="891" t="s">
        <v>2475</v>
      </c>
    </row>
    <row r="2489" spans="1:10">
      <c r="A2489" s="888" t="s">
        <v>2476</v>
      </c>
      <c r="B2489" s="888" t="s">
        <v>1258</v>
      </c>
      <c r="C2489" s="888" t="s">
        <v>1259</v>
      </c>
    </row>
    <row r="2490" spans="1:10">
      <c r="A2490" s="888">
        <v>11</v>
      </c>
      <c r="B2490" s="888" t="s">
        <v>2449</v>
      </c>
      <c r="C2490" s="888" t="s">
        <v>1253</v>
      </c>
      <c r="D2490" s="889">
        <v>46043</v>
      </c>
      <c r="E2490" s="890">
        <v>0.35061342592592593</v>
      </c>
      <c r="F2490" s="890">
        <v>0.7635763888888889</v>
      </c>
    </row>
    <row r="2491" spans="1:10">
      <c r="A2491" s="888" t="s">
        <v>2477</v>
      </c>
      <c r="B2491" s="888" t="s">
        <v>2478</v>
      </c>
      <c r="C2491" s="888" t="s">
        <v>1360</v>
      </c>
    </row>
    <row r="2492" spans="1:10">
      <c r="A2492" s="888">
        <v>11</v>
      </c>
      <c r="B2492" s="888" t="s">
        <v>2449</v>
      </c>
      <c r="C2492" s="888" t="s">
        <v>1253</v>
      </c>
      <c r="D2492" s="889">
        <v>46044</v>
      </c>
      <c r="E2492" s="888" t="s">
        <v>310</v>
      </c>
      <c r="F2492" s="888" t="s">
        <v>310</v>
      </c>
      <c r="G2492" s="899" t="s">
        <v>1040</v>
      </c>
      <c r="H2492" s="899" t="s">
        <v>2463</v>
      </c>
      <c r="I2492" s="899" t="s">
        <v>1040</v>
      </c>
      <c r="J2492" s="899" t="s">
        <v>2463</v>
      </c>
    </row>
    <row r="2493" spans="1:10">
      <c r="A2493" s="888">
        <v>11</v>
      </c>
      <c r="B2493" s="888" t="s">
        <v>2449</v>
      </c>
      <c r="C2493" s="888" t="s">
        <v>1253</v>
      </c>
      <c r="D2493" s="889">
        <v>46045</v>
      </c>
      <c r="E2493" s="890">
        <v>0.35158564814814813</v>
      </c>
      <c r="F2493" s="890">
        <v>0.56482638888888892</v>
      </c>
      <c r="I2493" s="891" t="s">
        <v>2479</v>
      </c>
      <c r="J2493" s="891" t="s">
        <v>996</v>
      </c>
    </row>
    <row r="2494" spans="1:10">
      <c r="A2494" s="888" t="s">
        <v>2480</v>
      </c>
      <c r="B2494" s="888" t="s">
        <v>2481</v>
      </c>
      <c r="C2494" s="888" t="s">
        <v>2482</v>
      </c>
    </row>
    <row r="2495" spans="1:10">
      <c r="A2495" s="888">
        <v>11</v>
      </c>
      <c r="B2495" s="888" t="s">
        <v>2449</v>
      </c>
      <c r="C2495" s="888" t="s">
        <v>1253</v>
      </c>
      <c r="D2495" s="889">
        <v>46046</v>
      </c>
      <c r="E2495" s="888" t="s">
        <v>310</v>
      </c>
      <c r="F2495" s="888" t="s">
        <v>310</v>
      </c>
      <c r="G2495" s="891" t="s">
        <v>1040</v>
      </c>
      <c r="H2495" s="891" t="s">
        <v>2451</v>
      </c>
      <c r="I2495" s="891" t="s">
        <v>1040</v>
      </c>
      <c r="J2495" s="891" t="s">
        <v>2451</v>
      </c>
    </row>
    <row r="2496" spans="1:10">
      <c r="A2496" s="888">
        <v>11</v>
      </c>
      <c r="B2496" s="888" t="s">
        <v>2449</v>
      </c>
      <c r="C2496" s="888" t="s">
        <v>1253</v>
      </c>
      <c r="D2496" s="889">
        <v>46047</v>
      </c>
      <c r="E2496" s="888" t="s">
        <v>310</v>
      </c>
      <c r="F2496" s="888" t="s">
        <v>310</v>
      </c>
      <c r="G2496" s="891" t="s">
        <v>1040</v>
      </c>
      <c r="H2496" s="891" t="s">
        <v>2451</v>
      </c>
      <c r="I2496" s="891" t="s">
        <v>1040</v>
      </c>
      <c r="J2496" s="891" t="s">
        <v>2451</v>
      </c>
    </row>
    <row r="2497" spans="1:10">
      <c r="A2497" s="888">
        <v>11</v>
      </c>
      <c r="B2497" s="888" t="s">
        <v>2449</v>
      </c>
      <c r="C2497" s="888" t="s">
        <v>1253</v>
      </c>
      <c r="D2497" s="889">
        <v>46048</v>
      </c>
      <c r="E2497" s="890">
        <v>0.35269675925925925</v>
      </c>
      <c r="F2497" s="888" t="s">
        <v>310</v>
      </c>
      <c r="I2497" s="899" t="s">
        <v>1040</v>
      </c>
      <c r="J2497" s="899" t="s">
        <v>2463</v>
      </c>
    </row>
    <row r="2498" spans="1:10">
      <c r="A2498" s="888" t="s">
        <v>2483</v>
      </c>
      <c r="B2498" s="888" t="s">
        <v>1258</v>
      </c>
      <c r="C2498" s="888" t="s">
        <v>1259</v>
      </c>
    </row>
    <row r="2499" spans="1:10">
      <c r="A2499" s="888">
        <v>11</v>
      </c>
      <c r="B2499" s="888" t="s">
        <v>2449</v>
      </c>
      <c r="C2499" s="888" t="s">
        <v>1253</v>
      </c>
      <c r="D2499" s="889">
        <v>46049</v>
      </c>
      <c r="E2499" s="888" t="s">
        <v>310</v>
      </c>
      <c r="F2499" s="888" t="s">
        <v>310</v>
      </c>
      <c r="G2499" s="899" t="s">
        <v>1040</v>
      </c>
      <c r="H2499" s="899" t="s">
        <v>2463</v>
      </c>
      <c r="I2499" s="899" t="s">
        <v>1040</v>
      </c>
      <c r="J2499" s="899" t="s">
        <v>2463</v>
      </c>
    </row>
    <row r="2500" spans="1:10">
      <c r="A2500" s="888">
        <v>11</v>
      </c>
      <c r="B2500" s="888" t="s">
        <v>2449</v>
      </c>
      <c r="C2500" s="888" t="s">
        <v>1253</v>
      </c>
      <c r="D2500" s="889">
        <v>46050</v>
      </c>
      <c r="E2500" s="890">
        <v>0.35150462962962964</v>
      </c>
      <c r="F2500" s="888" t="s">
        <v>310</v>
      </c>
      <c r="I2500" s="899" t="s">
        <v>1040</v>
      </c>
      <c r="J2500" s="899" t="s">
        <v>2463</v>
      </c>
    </row>
    <row r="2501" spans="1:10">
      <c r="A2501" s="888" t="s">
        <v>2484</v>
      </c>
      <c r="B2501" s="888" t="s">
        <v>1258</v>
      </c>
      <c r="C2501" s="888" t="s">
        <v>1259</v>
      </c>
    </row>
    <row r="2502" spans="1:10">
      <c r="A2502" s="888">
        <v>11</v>
      </c>
      <c r="B2502" s="888" t="s">
        <v>2449</v>
      </c>
      <c r="C2502" s="888" t="s">
        <v>1253</v>
      </c>
      <c r="D2502" s="889">
        <v>46051</v>
      </c>
      <c r="E2502" s="890">
        <v>0.34914351851851849</v>
      </c>
      <c r="F2502" s="888" t="s">
        <v>310</v>
      </c>
      <c r="I2502" s="899" t="s">
        <v>1040</v>
      </c>
      <c r="J2502" s="899" t="s">
        <v>2463</v>
      </c>
    </row>
    <row r="2503" spans="1:10">
      <c r="A2503" s="888" t="s">
        <v>2485</v>
      </c>
      <c r="B2503" s="888" t="s">
        <v>1258</v>
      </c>
      <c r="C2503" s="888" t="s">
        <v>1259</v>
      </c>
    </row>
    <row r="2504" spans="1:10">
      <c r="A2504" s="888">
        <v>11</v>
      </c>
      <c r="B2504" s="888" t="s">
        <v>2449</v>
      </c>
      <c r="C2504" s="888" t="s">
        <v>1253</v>
      </c>
      <c r="D2504" s="889">
        <v>46052</v>
      </c>
      <c r="E2504" s="890">
        <v>0.35491898148148149</v>
      </c>
      <c r="F2504" s="890">
        <v>0.7356597222222222</v>
      </c>
    </row>
    <row r="2505" spans="1:10">
      <c r="A2505" s="888" t="s">
        <v>2486</v>
      </c>
      <c r="B2505" s="888" t="s">
        <v>2487</v>
      </c>
      <c r="C2505" s="888" t="s">
        <v>1311</v>
      </c>
    </row>
    <row r="2506" spans="1:10">
      <c r="A2506" s="888">
        <v>11</v>
      </c>
      <c r="B2506" s="888" t="s">
        <v>2449</v>
      </c>
      <c r="C2506" s="888" t="s">
        <v>1253</v>
      </c>
      <c r="D2506" s="889">
        <v>46053</v>
      </c>
      <c r="E2506" s="888" t="s">
        <v>310</v>
      </c>
      <c r="F2506" s="888" t="s">
        <v>310</v>
      </c>
      <c r="G2506" s="891" t="s">
        <v>1040</v>
      </c>
      <c r="H2506" s="891" t="s">
        <v>2451</v>
      </c>
      <c r="I2506" s="891" t="s">
        <v>1040</v>
      </c>
      <c r="J2506" s="891" t="s">
        <v>2451</v>
      </c>
    </row>
    <row r="2507" spans="1:10">
      <c r="A2507" s="888">
        <v>121</v>
      </c>
      <c r="B2507" s="888" t="s">
        <v>1136</v>
      </c>
      <c r="C2507" s="888" t="s">
        <v>2488</v>
      </c>
      <c r="D2507" s="889">
        <v>46023</v>
      </c>
      <c r="E2507" s="888" t="s">
        <v>310</v>
      </c>
      <c r="F2507" s="888" t="s">
        <v>310</v>
      </c>
    </row>
    <row r="2508" spans="1:10">
      <c r="A2508" s="888">
        <v>121</v>
      </c>
      <c r="B2508" s="888" t="s">
        <v>1136</v>
      </c>
      <c r="C2508" s="888" t="s">
        <v>2488</v>
      </c>
      <c r="D2508" s="889">
        <v>46024</v>
      </c>
      <c r="E2508" s="888" t="s">
        <v>310</v>
      </c>
      <c r="F2508" s="888" t="s">
        <v>310</v>
      </c>
    </row>
    <row r="2509" spans="1:10">
      <c r="A2509" s="888">
        <v>121</v>
      </c>
      <c r="B2509" s="888" t="s">
        <v>1136</v>
      </c>
      <c r="C2509" s="888" t="s">
        <v>2488</v>
      </c>
      <c r="D2509" s="889">
        <v>46025</v>
      </c>
      <c r="E2509" s="888" t="s">
        <v>310</v>
      </c>
      <c r="F2509" s="888" t="s">
        <v>310</v>
      </c>
    </row>
    <row r="2510" spans="1:10">
      <c r="A2510" s="888">
        <v>121</v>
      </c>
      <c r="B2510" s="888" t="s">
        <v>1136</v>
      </c>
      <c r="C2510" s="888" t="s">
        <v>2488</v>
      </c>
      <c r="D2510" s="889">
        <v>46026</v>
      </c>
      <c r="E2510" s="888" t="s">
        <v>310</v>
      </c>
      <c r="F2510" s="888" t="s">
        <v>310</v>
      </c>
    </row>
    <row r="2511" spans="1:10">
      <c r="A2511" s="888">
        <v>121</v>
      </c>
      <c r="B2511" s="888" t="s">
        <v>1136</v>
      </c>
      <c r="C2511" s="888" t="s">
        <v>2488</v>
      </c>
      <c r="D2511" s="889">
        <v>46027</v>
      </c>
      <c r="E2511" s="890">
        <v>0.35827546296296298</v>
      </c>
      <c r="F2511" s="890">
        <v>0.76126157407407402</v>
      </c>
    </row>
    <row r="2512" spans="1:10">
      <c r="A2512" s="888" t="s">
        <v>2489</v>
      </c>
      <c r="B2512" s="888" t="s">
        <v>2490</v>
      </c>
      <c r="C2512" s="888" t="s">
        <v>1624</v>
      </c>
    </row>
    <row r="2513" spans="1:6">
      <c r="A2513" s="888">
        <v>121</v>
      </c>
      <c r="B2513" s="888" t="s">
        <v>1136</v>
      </c>
      <c r="C2513" s="888" t="s">
        <v>2488</v>
      </c>
      <c r="D2513" s="889">
        <v>46028</v>
      </c>
      <c r="E2513" s="890">
        <v>0.36472222222222223</v>
      </c>
      <c r="F2513" s="890">
        <v>0.76428240740740738</v>
      </c>
    </row>
    <row r="2514" spans="1:6">
      <c r="A2514" s="888" t="s">
        <v>2491</v>
      </c>
      <c r="B2514" s="888" t="s">
        <v>2492</v>
      </c>
      <c r="C2514" s="888" t="s">
        <v>1288</v>
      </c>
    </row>
    <row r="2515" spans="1:6">
      <c r="A2515" s="888">
        <v>121</v>
      </c>
      <c r="B2515" s="888" t="s">
        <v>1136</v>
      </c>
      <c r="C2515" s="888" t="s">
        <v>2488</v>
      </c>
      <c r="D2515" s="889">
        <v>46029</v>
      </c>
      <c r="E2515" s="890">
        <v>0.36883101851851852</v>
      </c>
      <c r="F2515" s="890">
        <v>0.77049768518518513</v>
      </c>
    </row>
    <row r="2516" spans="1:6">
      <c r="A2516" s="888" t="s">
        <v>2493</v>
      </c>
      <c r="B2516" s="888" t="s">
        <v>2494</v>
      </c>
      <c r="C2516" s="888" t="s">
        <v>1466</v>
      </c>
    </row>
    <row r="2517" spans="1:6">
      <c r="A2517" s="888">
        <v>121</v>
      </c>
      <c r="B2517" s="888" t="s">
        <v>1136</v>
      </c>
      <c r="C2517" s="888" t="s">
        <v>2488</v>
      </c>
      <c r="D2517" s="889">
        <v>46030</v>
      </c>
      <c r="E2517" s="890">
        <v>0.44729166666666664</v>
      </c>
      <c r="F2517" s="890">
        <v>0.7826967592592593</v>
      </c>
    </row>
    <row r="2518" spans="1:6">
      <c r="A2518" s="888" t="s">
        <v>2495</v>
      </c>
      <c r="B2518" s="888" t="s">
        <v>2496</v>
      </c>
      <c r="C2518" s="888" t="s">
        <v>2497</v>
      </c>
    </row>
    <row r="2519" spans="1:6">
      <c r="A2519" s="888">
        <v>121</v>
      </c>
      <c r="B2519" s="888" t="s">
        <v>1136</v>
      </c>
      <c r="C2519" s="888" t="s">
        <v>2488</v>
      </c>
      <c r="D2519" s="889">
        <v>46031</v>
      </c>
      <c r="E2519" s="890">
        <v>0.37258101851851849</v>
      </c>
      <c r="F2519" s="890">
        <v>0.71553240740740742</v>
      </c>
    </row>
    <row r="2520" spans="1:6">
      <c r="A2520" s="888" t="s">
        <v>2498</v>
      </c>
      <c r="B2520" s="888" t="s">
        <v>2499</v>
      </c>
      <c r="C2520" s="888" t="s">
        <v>1732</v>
      </c>
    </row>
    <row r="2521" spans="1:6">
      <c r="A2521" s="888">
        <v>121</v>
      </c>
      <c r="B2521" s="888" t="s">
        <v>1136</v>
      </c>
      <c r="C2521" s="888" t="s">
        <v>2488</v>
      </c>
      <c r="D2521" s="889">
        <v>46032</v>
      </c>
      <c r="E2521" s="890">
        <v>0.36305555555555558</v>
      </c>
      <c r="F2521" s="890">
        <v>0.75414351851851846</v>
      </c>
    </row>
    <row r="2522" spans="1:6">
      <c r="A2522" s="888" t="s">
        <v>2500</v>
      </c>
      <c r="B2522" s="888" t="s">
        <v>2501</v>
      </c>
      <c r="C2522" s="888" t="s">
        <v>1437</v>
      </c>
    </row>
    <row r="2523" spans="1:6">
      <c r="A2523" s="888">
        <v>121</v>
      </c>
      <c r="B2523" s="888" t="s">
        <v>1136</v>
      </c>
      <c r="C2523" s="888" t="s">
        <v>2488</v>
      </c>
      <c r="D2523" s="889">
        <v>46033</v>
      </c>
      <c r="E2523" s="888" t="s">
        <v>310</v>
      </c>
      <c r="F2523" s="888" t="s">
        <v>310</v>
      </c>
    </row>
    <row r="2524" spans="1:6">
      <c r="A2524" s="888">
        <v>121</v>
      </c>
      <c r="B2524" s="888" t="s">
        <v>1136</v>
      </c>
      <c r="C2524" s="888" t="s">
        <v>2488</v>
      </c>
      <c r="D2524" s="889">
        <v>46034</v>
      </c>
      <c r="E2524" s="888" t="s">
        <v>310</v>
      </c>
      <c r="F2524" s="888" t="s">
        <v>310</v>
      </c>
    </row>
    <row r="2525" spans="1:6">
      <c r="A2525" s="888">
        <v>121</v>
      </c>
      <c r="B2525" s="888" t="s">
        <v>1136</v>
      </c>
      <c r="C2525" s="888" t="s">
        <v>2488</v>
      </c>
      <c r="D2525" s="889">
        <v>46035</v>
      </c>
      <c r="E2525" s="890">
        <v>0.36627314814814815</v>
      </c>
      <c r="F2525" s="890">
        <v>0.75868055555555558</v>
      </c>
    </row>
    <row r="2526" spans="1:6">
      <c r="A2526" s="888" t="s">
        <v>2502</v>
      </c>
      <c r="B2526" s="888" t="s">
        <v>2503</v>
      </c>
      <c r="C2526" s="888" t="s">
        <v>1724</v>
      </c>
    </row>
    <row r="2527" spans="1:6">
      <c r="A2527" s="888">
        <v>121</v>
      </c>
      <c r="B2527" s="888" t="s">
        <v>1136</v>
      </c>
      <c r="C2527" s="888" t="s">
        <v>2488</v>
      </c>
      <c r="D2527" s="889">
        <v>46036</v>
      </c>
      <c r="E2527" s="890">
        <v>0.56901620370370365</v>
      </c>
      <c r="F2527" s="890">
        <v>0.56912037037037033</v>
      </c>
    </row>
    <row r="2528" spans="1:6">
      <c r="A2528" s="888" t="s">
        <v>2504</v>
      </c>
      <c r="B2528" s="888" t="s">
        <v>2505</v>
      </c>
      <c r="C2528" s="888" t="s">
        <v>1259</v>
      </c>
    </row>
    <row r="2529" spans="1:6">
      <c r="A2529" s="888">
        <v>121</v>
      </c>
      <c r="B2529" s="888" t="s">
        <v>1136</v>
      </c>
      <c r="C2529" s="888" t="s">
        <v>2488</v>
      </c>
      <c r="D2529" s="889">
        <v>46037</v>
      </c>
      <c r="E2529" s="888" t="s">
        <v>310</v>
      </c>
      <c r="F2529" s="888" t="s">
        <v>310</v>
      </c>
    </row>
    <row r="2530" spans="1:6">
      <c r="A2530" s="888">
        <v>121</v>
      </c>
      <c r="B2530" s="888" t="s">
        <v>1136</v>
      </c>
      <c r="C2530" s="888" t="s">
        <v>2488</v>
      </c>
      <c r="D2530" s="889">
        <v>46038</v>
      </c>
      <c r="E2530" s="890">
        <v>0.41314814814814815</v>
      </c>
      <c r="F2530" s="890">
        <v>0.77965277777777775</v>
      </c>
    </row>
    <row r="2531" spans="1:6">
      <c r="A2531" s="888" t="s">
        <v>2506</v>
      </c>
      <c r="B2531" s="888" t="s">
        <v>2507</v>
      </c>
      <c r="C2531" s="888" t="s">
        <v>2508</v>
      </c>
    </row>
    <row r="2532" spans="1:6">
      <c r="A2532" s="888">
        <v>121</v>
      </c>
      <c r="B2532" s="888" t="s">
        <v>1136</v>
      </c>
      <c r="C2532" s="888" t="s">
        <v>2488</v>
      </c>
      <c r="D2532" s="889">
        <v>46039</v>
      </c>
      <c r="E2532" s="888" t="s">
        <v>310</v>
      </c>
      <c r="F2532" s="888" t="s">
        <v>310</v>
      </c>
    </row>
    <row r="2533" spans="1:6">
      <c r="A2533" s="888">
        <v>121</v>
      </c>
      <c r="B2533" s="888" t="s">
        <v>1136</v>
      </c>
      <c r="C2533" s="888" t="s">
        <v>2488</v>
      </c>
      <c r="D2533" s="889">
        <v>46040</v>
      </c>
      <c r="E2533" s="888" t="s">
        <v>310</v>
      </c>
      <c r="F2533" s="888" t="s">
        <v>310</v>
      </c>
    </row>
    <row r="2534" spans="1:6">
      <c r="A2534" s="888">
        <v>121</v>
      </c>
      <c r="B2534" s="888" t="s">
        <v>1136</v>
      </c>
      <c r="C2534" s="888" t="s">
        <v>2488</v>
      </c>
      <c r="D2534" s="889">
        <v>46041</v>
      </c>
      <c r="E2534" s="890">
        <v>0.35987268518518517</v>
      </c>
      <c r="F2534" s="890">
        <v>0.76021990740740741</v>
      </c>
    </row>
    <row r="2535" spans="1:6">
      <c r="A2535" s="888" t="s">
        <v>2509</v>
      </c>
      <c r="B2535" s="888" t="s">
        <v>2510</v>
      </c>
      <c r="C2535" s="888" t="s">
        <v>1378</v>
      </c>
    </row>
    <row r="2536" spans="1:6">
      <c r="A2536" s="888">
        <v>121</v>
      </c>
      <c r="B2536" s="888" t="s">
        <v>1136</v>
      </c>
      <c r="C2536" s="888" t="s">
        <v>2488</v>
      </c>
      <c r="D2536" s="889">
        <v>46042</v>
      </c>
      <c r="E2536" s="890">
        <v>0.34038194444444442</v>
      </c>
      <c r="F2536" s="890">
        <v>0.7553009259259259</v>
      </c>
    </row>
    <row r="2537" spans="1:6">
      <c r="A2537" s="888" t="s">
        <v>2511</v>
      </c>
      <c r="B2537" s="888" t="s">
        <v>2512</v>
      </c>
      <c r="C2537" s="888" t="s">
        <v>2009</v>
      </c>
    </row>
    <row r="2538" spans="1:6">
      <c r="A2538" s="888">
        <v>121</v>
      </c>
      <c r="B2538" s="888" t="s">
        <v>1136</v>
      </c>
      <c r="C2538" s="888" t="s">
        <v>2488</v>
      </c>
      <c r="D2538" s="889">
        <v>46043</v>
      </c>
      <c r="E2538" s="890">
        <v>0.36096064814814816</v>
      </c>
      <c r="F2538" s="890">
        <v>0.75793981481481476</v>
      </c>
    </row>
    <row r="2539" spans="1:6">
      <c r="A2539" s="888" t="s">
        <v>2513</v>
      </c>
      <c r="B2539" s="888" t="s">
        <v>2514</v>
      </c>
      <c r="C2539" s="888" t="s">
        <v>1514</v>
      </c>
    </row>
    <row r="2540" spans="1:6">
      <c r="A2540" s="888">
        <v>121</v>
      </c>
      <c r="B2540" s="888" t="s">
        <v>1136</v>
      </c>
      <c r="C2540" s="888" t="s">
        <v>2488</v>
      </c>
      <c r="D2540" s="889">
        <v>46044</v>
      </c>
      <c r="E2540" s="890">
        <v>0.35347222222222224</v>
      </c>
      <c r="F2540" s="890">
        <v>0.77798611111111116</v>
      </c>
    </row>
    <row r="2541" spans="1:6">
      <c r="A2541" s="888" t="s">
        <v>2515</v>
      </c>
      <c r="B2541" s="888" t="s">
        <v>2516</v>
      </c>
      <c r="C2541" s="888" t="s">
        <v>1393</v>
      </c>
    </row>
    <row r="2542" spans="1:6">
      <c r="A2542" s="888">
        <v>121</v>
      </c>
      <c r="B2542" s="888" t="s">
        <v>1136</v>
      </c>
      <c r="C2542" s="888" t="s">
        <v>2488</v>
      </c>
      <c r="D2542" s="889">
        <v>46045</v>
      </c>
      <c r="E2542" s="888" t="s">
        <v>310</v>
      </c>
      <c r="F2542" s="888" t="s">
        <v>310</v>
      </c>
    </row>
    <row r="2543" spans="1:6">
      <c r="A2543" s="888">
        <v>121</v>
      </c>
      <c r="B2543" s="888" t="s">
        <v>1136</v>
      </c>
      <c r="C2543" s="888" t="s">
        <v>2488</v>
      </c>
      <c r="D2543" s="889">
        <v>46046</v>
      </c>
      <c r="E2543" s="888" t="s">
        <v>310</v>
      </c>
      <c r="F2543" s="888" t="s">
        <v>310</v>
      </c>
    </row>
    <row r="2544" spans="1:6">
      <c r="A2544" s="888">
        <v>121</v>
      </c>
      <c r="B2544" s="888" t="s">
        <v>1136</v>
      </c>
      <c r="C2544" s="888" t="s">
        <v>2488</v>
      </c>
      <c r="D2544" s="889">
        <v>46047</v>
      </c>
      <c r="E2544" s="888" t="s">
        <v>310</v>
      </c>
      <c r="F2544" s="888" t="s">
        <v>310</v>
      </c>
    </row>
    <row r="2545" spans="1:6">
      <c r="A2545" s="888">
        <v>121</v>
      </c>
      <c r="B2545" s="888" t="s">
        <v>1136</v>
      </c>
      <c r="C2545" s="888" t="s">
        <v>2488</v>
      </c>
      <c r="D2545" s="889">
        <v>46048</v>
      </c>
      <c r="E2545" s="890">
        <v>0.37950231481481483</v>
      </c>
      <c r="F2545" s="890">
        <v>0.59439814814814818</v>
      </c>
    </row>
    <row r="2546" spans="1:6">
      <c r="A2546" s="888" t="s">
        <v>2517</v>
      </c>
      <c r="B2546" s="888" t="s">
        <v>2518</v>
      </c>
      <c r="C2546" s="888" t="s">
        <v>2519</v>
      </c>
    </row>
    <row r="2547" spans="1:6">
      <c r="A2547" s="888">
        <v>121</v>
      </c>
      <c r="B2547" s="888" t="s">
        <v>1136</v>
      </c>
      <c r="C2547" s="888" t="s">
        <v>2488</v>
      </c>
      <c r="D2547" s="889">
        <v>46049</v>
      </c>
      <c r="E2547" s="890">
        <v>0.36116898148148147</v>
      </c>
      <c r="F2547" s="890">
        <v>0.75728009259259255</v>
      </c>
    </row>
    <row r="2548" spans="1:6">
      <c r="A2548" s="888" t="s">
        <v>2520</v>
      </c>
      <c r="B2548" s="888" t="s">
        <v>2521</v>
      </c>
      <c r="C2548" s="888" t="s">
        <v>1404</v>
      </c>
    </row>
    <row r="2549" spans="1:6">
      <c r="A2549" s="888">
        <v>121</v>
      </c>
      <c r="B2549" s="888" t="s">
        <v>1136</v>
      </c>
      <c r="C2549" s="888" t="s">
        <v>2488</v>
      </c>
      <c r="D2549" s="889">
        <v>46050</v>
      </c>
      <c r="E2549" s="888" t="s">
        <v>310</v>
      </c>
      <c r="F2549" s="888" t="s">
        <v>310</v>
      </c>
    </row>
    <row r="2550" spans="1:6">
      <c r="A2550" s="888">
        <v>121</v>
      </c>
      <c r="B2550" s="888" t="s">
        <v>1136</v>
      </c>
      <c r="C2550" s="888" t="s">
        <v>2488</v>
      </c>
      <c r="D2550" s="889">
        <v>46051</v>
      </c>
      <c r="E2550" s="888" t="s">
        <v>310</v>
      </c>
      <c r="F2550" s="888" t="s">
        <v>310</v>
      </c>
    </row>
    <row r="2551" spans="1:6">
      <c r="A2551" s="888">
        <v>121</v>
      </c>
      <c r="B2551" s="888" t="s">
        <v>1136</v>
      </c>
      <c r="C2551" s="888" t="s">
        <v>2488</v>
      </c>
      <c r="D2551" s="889">
        <v>46052</v>
      </c>
      <c r="E2551" s="888" t="s">
        <v>310</v>
      </c>
      <c r="F2551" s="888" t="s">
        <v>310</v>
      </c>
    </row>
    <row r="2552" spans="1:6">
      <c r="A2552" s="888">
        <v>121</v>
      </c>
      <c r="B2552" s="888" t="s">
        <v>1136</v>
      </c>
      <c r="C2552" s="888" t="s">
        <v>2488</v>
      </c>
      <c r="D2552" s="889">
        <v>46053</v>
      </c>
      <c r="E2552" s="888" t="s">
        <v>310</v>
      </c>
      <c r="F2552" s="888" t="s">
        <v>310</v>
      </c>
    </row>
    <row r="2553" spans="1:6">
      <c r="A2553" s="888">
        <v>121</v>
      </c>
      <c r="B2553" s="888" t="s">
        <v>1136</v>
      </c>
      <c r="C2553" s="888" t="s">
        <v>2488</v>
      </c>
      <c r="D2553" s="889">
        <v>46054</v>
      </c>
      <c r="E2553" s="888" t="s">
        <v>310</v>
      </c>
      <c r="F2553" s="888" t="s">
        <v>310</v>
      </c>
    </row>
    <row r="2554" spans="1:6">
      <c r="A2554" s="888">
        <v>122</v>
      </c>
      <c r="B2554" s="888" t="s">
        <v>2522</v>
      </c>
      <c r="C2554" s="888" t="s">
        <v>1387</v>
      </c>
      <c r="D2554" s="889">
        <v>46023</v>
      </c>
      <c r="E2554" s="888" t="s">
        <v>310</v>
      </c>
      <c r="F2554" s="888" t="s">
        <v>310</v>
      </c>
    </row>
    <row r="2555" spans="1:6">
      <c r="A2555" s="888">
        <v>122</v>
      </c>
      <c r="B2555" s="888" t="s">
        <v>2522</v>
      </c>
      <c r="C2555" s="888" t="s">
        <v>1387</v>
      </c>
      <c r="D2555" s="889">
        <v>46024</v>
      </c>
      <c r="E2555" s="888" t="s">
        <v>310</v>
      </c>
      <c r="F2555" s="888" t="s">
        <v>310</v>
      </c>
    </row>
    <row r="2556" spans="1:6">
      <c r="A2556" s="888">
        <v>122</v>
      </c>
      <c r="B2556" s="888" t="s">
        <v>2522</v>
      </c>
      <c r="C2556" s="888" t="s">
        <v>1387</v>
      </c>
      <c r="D2556" s="889">
        <v>46025</v>
      </c>
      <c r="E2556" s="888" t="s">
        <v>310</v>
      </c>
      <c r="F2556" s="888" t="s">
        <v>310</v>
      </c>
    </row>
    <row r="2557" spans="1:6">
      <c r="A2557" s="888">
        <v>122</v>
      </c>
      <c r="B2557" s="888" t="s">
        <v>2522</v>
      </c>
      <c r="C2557" s="888" t="s">
        <v>1387</v>
      </c>
      <c r="D2557" s="889">
        <v>46026</v>
      </c>
      <c r="E2557" s="888" t="s">
        <v>310</v>
      </c>
      <c r="F2557" s="888" t="s">
        <v>310</v>
      </c>
    </row>
    <row r="2558" spans="1:6">
      <c r="A2558" s="888">
        <v>122</v>
      </c>
      <c r="B2558" s="888" t="s">
        <v>2522</v>
      </c>
      <c r="C2558" s="888" t="s">
        <v>1387</v>
      </c>
      <c r="D2558" s="889">
        <v>46027</v>
      </c>
      <c r="E2558" s="888" t="s">
        <v>310</v>
      </c>
      <c r="F2558" s="888" t="s">
        <v>310</v>
      </c>
    </row>
    <row r="2559" spans="1:6">
      <c r="A2559" s="888">
        <v>122</v>
      </c>
      <c r="B2559" s="888" t="s">
        <v>2522</v>
      </c>
      <c r="C2559" s="888" t="s">
        <v>1387</v>
      </c>
      <c r="D2559" s="889">
        <v>46028</v>
      </c>
      <c r="E2559" s="888" t="s">
        <v>310</v>
      </c>
      <c r="F2559" s="888" t="s">
        <v>310</v>
      </c>
    </row>
    <row r="2560" spans="1:6">
      <c r="A2560" s="888">
        <v>122</v>
      </c>
      <c r="B2560" s="888" t="s">
        <v>2522</v>
      </c>
      <c r="C2560" s="888" t="s">
        <v>1387</v>
      </c>
      <c r="D2560" s="889">
        <v>46029</v>
      </c>
      <c r="E2560" s="888" t="s">
        <v>310</v>
      </c>
      <c r="F2560" s="888" t="s">
        <v>310</v>
      </c>
    </row>
    <row r="2561" spans="1:6">
      <c r="A2561" s="888">
        <v>122</v>
      </c>
      <c r="B2561" s="888" t="s">
        <v>2522</v>
      </c>
      <c r="C2561" s="888" t="s">
        <v>1387</v>
      </c>
      <c r="D2561" s="889">
        <v>46030</v>
      </c>
      <c r="E2561" s="888" t="s">
        <v>310</v>
      </c>
      <c r="F2561" s="888" t="s">
        <v>310</v>
      </c>
    </row>
    <row r="2562" spans="1:6">
      <c r="A2562" s="888">
        <v>122</v>
      </c>
      <c r="B2562" s="888" t="s">
        <v>2522</v>
      </c>
      <c r="C2562" s="888" t="s">
        <v>1387</v>
      </c>
      <c r="D2562" s="889">
        <v>46031</v>
      </c>
      <c r="E2562" s="888" t="s">
        <v>310</v>
      </c>
      <c r="F2562" s="888" t="s">
        <v>310</v>
      </c>
    </row>
    <row r="2563" spans="1:6">
      <c r="A2563" s="888">
        <v>122</v>
      </c>
      <c r="B2563" s="888" t="s">
        <v>2522</v>
      </c>
      <c r="C2563" s="888" t="s">
        <v>1387</v>
      </c>
      <c r="D2563" s="889">
        <v>46032</v>
      </c>
      <c r="E2563" s="888" t="s">
        <v>310</v>
      </c>
      <c r="F2563" s="888" t="s">
        <v>310</v>
      </c>
    </row>
    <row r="2564" spans="1:6">
      <c r="A2564" s="888">
        <v>122</v>
      </c>
      <c r="B2564" s="888" t="s">
        <v>2522</v>
      </c>
      <c r="C2564" s="888" t="s">
        <v>1387</v>
      </c>
      <c r="D2564" s="889">
        <v>46033</v>
      </c>
      <c r="E2564" s="888" t="s">
        <v>310</v>
      </c>
      <c r="F2564" s="888" t="s">
        <v>310</v>
      </c>
    </row>
    <row r="2565" spans="1:6">
      <c r="A2565" s="888">
        <v>122</v>
      </c>
      <c r="B2565" s="888" t="s">
        <v>2522</v>
      </c>
      <c r="C2565" s="888" t="s">
        <v>1387</v>
      </c>
      <c r="D2565" s="889">
        <v>46034</v>
      </c>
      <c r="E2565" s="888" t="s">
        <v>310</v>
      </c>
      <c r="F2565" s="888" t="s">
        <v>310</v>
      </c>
    </row>
    <row r="2566" spans="1:6">
      <c r="A2566" s="888">
        <v>122</v>
      </c>
      <c r="B2566" s="888" t="s">
        <v>2522</v>
      </c>
      <c r="C2566" s="888" t="s">
        <v>1387</v>
      </c>
      <c r="D2566" s="889">
        <v>46035</v>
      </c>
      <c r="E2566" s="888" t="s">
        <v>310</v>
      </c>
      <c r="F2566" s="888" t="s">
        <v>310</v>
      </c>
    </row>
    <row r="2567" spans="1:6">
      <c r="A2567" s="888">
        <v>122</v>
      </c>
      <c r="B2567" s="888" t="s">
        <v>2522</v>
      </c>
      <c r="C2567" s="888" t="s">
        <v>1387</v>
      </c>
      <c r="D2567" s="889">
        <v>46036</v>
      </c>
      <c r="E2567" s="888" t="s">
        <v>310</v>
      </c>
      <c r="F2567" s="888" t="s">
        <v>310</v>
      </c>
    </row>
    <row r="2568" spans="1:6">
      <c r="A2568" s="888">
        <v>122</v>
      </c>
      <c r="B2568" s="888" t="s">
        <v>2522</v>
      </c>
      <c r="C2568" s="888" t="s">
        <v>1387</v>
      </c>
      <c r="D2568" s="889">
        <v>46037</v>
      </c>
      <c r="E2568" s="888" t="s">
        <v>310</v>
      </c>
      <c r="F2568" s="888" t="s">
        <v>310</v>
      </c>
    </row>
    <row r="2569" spans="1:6">
      <c r="A2569" s="888">
        <v>122</v>
      </c>
      <c r="B2569" s="888" t="s">
        <v>2522</v>
      </c>
      <c r="C2569" s="888" t="s">
        <v>1387</v>
      </c>
      <c r="D2569" s="889">
        <v>46038</v>
      </c>
      <c r="E2569" s="888" t="s">
        <v>310</v>
      </c>
      <c r="F2569" s="888" t="s">
        <v>310</v>
      </c>
    </row>
    <row r="2570" spans="1:6">
      <c r="A2570" s="888">
        <v>122</v>
      </c>
      <c r="B2570" s="888" t="s">
        <v>2522</v>
      </c>
      <c r="C2570" s="888" t="s">
        <v>1387</v>
      </c>
      <c r="D2570" s="889">
        <v>46039</v>
      </c>
      <c r="E2570" s="888" t="s">
        <v>310</v>
      </c>
      <c r="F2570" s="888" t="s">
        <v>310</v>
      </c>
    </row>
    <row r="2571" spans="1:6">
      <c r="A2571" s="888">
        <v>122</v>
      </c>
      <c r="B2571" s="888" t="s">
        <v>2522</v>
      </c>
      <c r="C2571" s="888" t="s">
        <v>1387</v>
      </c>
      <c r="D2571" s="889">
        <v>46040</v>
      </c>
      <c r="E2571" s="888" t="s">
        <v>310</v>
      </c>
      <c r="F2571" s="888" t="s">
        <v>310</v>
      </c>
    </row>
    <row r="2572" spans="1:6">
      <c r="A2572" s="888">
        <v>122</v>
      </c>
      <c r="B2572" s="888" t="s">
        <v>2522</v>
      </c>
      <c r="C2572" s="888" t="s">
        <v>1387</v>
      </c>
      <c r="D2572" s="889">
        <v>46041</v>
      </c>
      <c r="E2572" s="888" t="s">
        <v>310</v>
      </c>
      <c r="F2572" s="888" t="s">
        <v>310</v>
      </c>
    </row>
    <row r="2573" spans="1:6">
      <c r="A2573" s="888">
        <v>122</v>
      </c>
      <c r="B2573" s="888" t="s">
        <v>2522</v>
      </c>
      <c r="C2573" s="888" t="s">
        <v>1387</v>
      </c>
      <c r="D2573" s="889">
        <v>46042</v>
      </c>
      <c r="E2573" s="888" t="s">
        <v>310</v>
      </c>
      <c r="F2573" s="888" t="s">
        <v>310</v>
      </c>
    </row>
    <row r="2574" spans="1:6">
      <c r="A2574" s="888">
        <v>122</v>
      </c>
      <c r="B2574" s="888" t="s">
        <v>2522</v>
      </c>
      <c r="C2574" s="888" t="s">
        <v>1387</v>
      </c>
      <c r="D2574" s="889">
        <v>46043</v>
      </c>
      <c r="E2574" s="888" t="s">
        <v>310</v>
      </c>
      <c r="F2574" s="888" t="s">
        <v>310</v>
      </c>
    </row>
    <row r="2575" spans="1:6">
      <c r="A2575" s="888">
        <v>122</v>
      </c>
      <c r="B2575" s="888" t="s">
        <v>2522</v>
      </c>
      <c r="C2575" s="888" t="s">
        <v>1387</v>
      </c>
      <c r="D2575" s="889">
        <v>46044</v>
      </c>
      <c r="E2575" s="888" t="s">
        <v>310</v>
      </c>
      <c r="F2575" s="888" t="s">
        <v>310</v>
      </c>
    </row>
    <row r="2576" spans="1:6">
      <c r="A2576" s="888">
        <v>122</v>
      </c>
      <c r="B2576" s="888" t="s">
        <v>2522</v>
      </c>
      <c r="C2576" s="888" t="s">
        <v>1387</v>
      </c>
      <c r="D2576" s="889">
        <v>46045</v>
      </c>
      <c r="E2576" s="888" t="s">
        <v>310</v>
      </c>
      <c r="F2576" s="888" t="s">
        <v>310</v>
      </c>
    </row>
    <row r="2577" spans="1:6">
      <c r="A2577" s="888">
        <v>122</v>
      </c>
      <c r="B2577" s="888" t="s">
        <v>2522</v>
      </c>
      <c r="C2577" s="888" t="s">
        <v>1387</v>
      </c>
      <c r="D2577" s="889">
        <v>46046</v>
      </c>
      <c r="E2577" s="888" t="s">
        <v>310</v>
      </c>
      <c r="F2577" s="888" t="s">
        <v>310</v>
      </c>
    </row>
    <row r="2578" spans="1:6">
      <c r="A2578" s="888">
        <v>122</v>
      </c>
      <c r="B2578" s="888" t="s">
        <v>2522</v>
      </c>
      <c r="C2578" s="888" t="s">
        <v>1387</v>
      </c>
      <c r="D2578" s="889">
        <v>46047</v>
      </c>
      <c r="E2578" s="888" t="s">
        <v>310</v>
      </c>
      <c r="F2578" s="888" t="s">
        <v>310</v>
      </c>
    </row>
    <row r="2579" spans="1:6">
      <c r="A2579" s="888">
        <v>122</v>
      </c>
      <c r="B2579" s="888" t="s">
        <v>2522</v>
      </c>
      <c r="C2579" s="888" t="s">
        <v>1387</v>
      </c>
      <c r="D2579" s="889">
        <v>46048</v>
      </c>
      <c r="E2579" s="888" t="s">
        <v>310</v>
      </c>
      <c r="F2579" s="888" t="s">
        <v>310</v>
      </c>
    </row>
    <row r="2580" spans="1:6">
      <c r="A2580" s="888">
        <v>122</v>
      </c>
      <c r="B2580" s="888" t="s">
        <v>2522</v>
      </c>
      <c r="C2580" s="888" t="s">
        <v>1387</v>
      </c>
      <c r="D2580" s="889">
        <v>46049</v>
      </c>
      <c r="E2580" s="888" t="s">
        <v>310</v>
      </c>
      <c r="F2580" s="888" t="s">
        <v>310</v>
      </c>
    </row>
    <row r="2581" spans="1:6">
      <c r="A2581" s="888">
        <v>122</v>
      </c>
      <c r="B2581" s="888" t="s">
        <v>2522</v>
      </c>
      <c r="C2581" s="888" t="s">
        <v>1387</v>
      </c>
      <c r="D2581" s="889">
        <v>46050</v>
      </c>
      <c r="E2581" s="888" t="s">
        <v>310</v>
      </c>
      <c r="F2581" s="888" t="s">
        <v>310</v>
      </c>
    </row>
    <row r="2582" spans="1:6">
      <c r="A2582" s="888">
        <v>122</v>
      </c>
      <c r="B2582" s="888" t="s">
        <v>2522</v>
      </c>
      <c r="C2582" s="888" t="s">
        <v>1387</v>
      </c>
      <c r="D2582" s="889">
        <v>46051</v>
      </c>
      <c r="E2582" s="888" t="s">
        <v>310</v>
      </c>
      <c r="F2582" s="888" t="s">
        <v>310</v>
      </c>
    </row>
    <row r="2583" spans="1:6">
      <c r="A2583" s="888">
        <v>122</v>
      </c>
      <c r="B2583" s="888" t="s">
        <v>2522</v>
      </c>
      <c r="C2583" s="888" t="s">
        <v>1387</v>
      </c>
      <c r="D2583" s="889">
        <v>46052</v>
      </c>
      <c r="E2583" s="888" t="s">
        <v>310</v>
      </c>
      <c r="F2583" s="888" t="s">
        <v>310</v>
      </c>
    </row>
    <row r="2584" spans="1:6">
      <c r="A2584" s="888">
        <v>122</v>
      </c>
      <c r="B2584" s="888" t="s">
        <v>2522</v>
      </c>
      <c r="C2584" s="888" t="s">
        <v>1387</v>
      </c>
      <c r="D2584" s="889">
        <v>46053</v>
      </c>
      <c r="E2584" s="888" t="s">
        <v>310</v>
      </c>
      <c r="F2584" s="888" t="s">
        <v>310</v>
      </c>
    </row>
    <row r="2585" spans="1:6">
      <c r="A2585" s="888">
        <v>122</v>
      </c>
      <c r="B2585" s="888" t="s">
        <v>2522</v>
      </c>
      <c r="C2585" s="888" t="s">
        <v>1387</v>
      </c>
      <c r="D2585" s="889">
        <v>46054</v>
      </c>
      <c r="E2585" s="888" t="s">
        <v>310</v>
      </c>
      <c r="F2585" s="888" t="s">
        <v>310</v>
      </c>
    </row>
    <row r="2586" spans="1:6">
      <c r="A2586" s="888">
        <v>128</v>
      </c>
      <c r="B2586" s="888" t="s">
        <v>1137</v>
      </c>
      <c r="C2586" s="888" t="s">
        <v>1565</v>
      </c>
      <c r="D2586" s="889">
        <v>46023</v>
      </c>
      <c r="E2586" s="888" t="s">
        <v>310</v>
      </c>
      <c r="F2586" s="888" t="s">
        <v>310</v>
      </c>
    </row>
    <row r="2587" spans="1:6">
      <c r="A2587" s="888">
        <v>128</v>
      </c>
      <c r="B2587" s="888" t="s">
        <v>1137</v>
      </c>
      <c r="C2587" s="888" t="s">
        <v>1565</v>
      </c>
      <c r="D2587" s="889">
        <v>46024</v>
      </c>
      <c r="E2587" s="888" t="s">
        <v>310</v>
      </c>
      <c r="F2587" s="888" t="s">
        <v>310</v>
      </c>
    </row>
    <row r="2588" spans="1:6">
      <c r="A2588" s="888">
        <v>128</v>
      </c>
      <c r="B2588" s="888" t="s">
        <v>1137</v>
      </c>
      <c r="C2588" s="888" t="s">
        <v>1565</v>
      </c>
      <c r="D2588" s="889">
        <v>46025</v>
      </c>
      <c r="E2588" s="888" t="s">
        <v>310</v>
      </c>
      <c r="F2588" s="888" t="s">
        <v>310</v>
      </c>
    </row>
    <row r="2589" spans="1:6">
      <c r="A2589" s="888">
        <v>128</v>
      </c>
      <c r="B2589" s="888" t="s">
        <v>1137</v>
      </c>
      <c r="C2589" s="888" t="s">
        <v>1565</v>
      </c>
      <c r="D2589" s="889">
        <v>46026</v>
      </c>
      <c r="E2589" s="888" t="s">
        <v>310</v>
      </c>
      <c r="F2589" s="888" t="s">
        <v>310</v>
      </c>
    </row>
    <row r="2590" spans="1:6">
      <c r="A2590" s="888">
        <v>128</v>
      </c>
      <c r="B2590" s="888" t="s">
        <v>1137</v>
      </c>
      <c r="C2590" s="888" t="s">
        <v>1565</v>
      </c>
      <c r="D2590" s="889">
        <v>46027</v>
      </c>
      <c r="E2590" s="890">
        <v>0.35038194444444443</v>
      </c>
      <c r="F2590" s="890">
        <v>0.75872685185185185</v>
      </c>
    </row>
    <row r="2591" spans="1:6">
      <c r="A2591" s="888" t="s">
        <v>2523</v>
      </c>
      <c r="B2591" s="888" t="s">
        <v>2524</v>
      </c>
      <c r="C2591" s="888" t="s">
        <v>2077</v>
      </c>
    </row>
    <row r="2592" spans="1:6">
      <c r="A2592" s="888">
        <v>128</v>
      </c>
      <c r="B2592" s="888" t="s">
        <v>1137</v>
      </c>
      <c r="C2592" s="888" t="s">
        <v>1565</v>
      </c>
      <c r="D2592" s="889">
        <v>46028</v>
      </c>
      <c r="E2592" s="890">
        <v>0.3586111111111111</v>
      </c>
      <c r="F2592" s="890">
        <v>0.77494212962962961</v>
      </c>
    </row>
    <row r="2593" spans="1:6">
      <c r="A2593" s="888" t="s">
        <v>2525</v>
      </c>
      <c r="B2593" s="888" t="s">
        <v>2526</v>
      </c>
      <c r="C2593" s="888" t="s">
        <v>1303</v>
      </c>
    </row>
    <row r="2594" spans="1:6">
      <c r="A2594" s="888">
        <v>128</v>
      </c>
      <c r="B2594" s="888" t="s">
        <v>1137</v>
      </c>
      <c r="C2594" s="888" t="s">
        <v>1565</v>
      </c>
      <c r="D2594" s="889">
        <v>46029</v>
      </c>
      <c r="E2594" s="890">
        <v>0.35976851851851854</v>
      </c>
      <c r="F2594" s="890">
        <v>0.78032407407407411</v>
      </c>
    </row>
    <row r="2595" spans="1:6">
      <c r="A2595" s="888" t="s">
        <v>2527</v>
      </c>
      <c r="B2595" s="888" t="s">
        <v>2528</v>
      </c>
      <c r="C2595" s="888" t="s">
        <v>1871</v>
      </c>
    </row>
    <row r="2596" spans="1:6">
      <c r="A2596" s="888">
        <v>128</v>
      </c>
      <c r="B2596" s="888" t="s">
        <v>1137</v>
      </c>
      <c r="C2596" s="888" t="s">
        <v>1565</v>
      </c>
      <c r="D2596" s="889">
        <v>46030</v>
      </c>
      <c r="E2596" s="890">
        <v>0.39202546296296298</v>
      </c>
      <c r="F2596" s="890">
        <v>0.79039351851851847</v>
      </c>
    </row>
    <row r="2597" spans="1:6">
      <c r="A2597" s="888" t="s">
        <v>2529</v>
      </c>
      <c r="B2597" s="888" t="s">
        <v>2530</v>
      </c>
      <c r="C2597" s="888" t="s">
        <v>1383</v>
      </c>
    </row>
    <row r="2598" spans="1:6">
      <c r="A2598" s="888">
        <v>128</v>
      </c>
      <c r="B2598" s="888" t="s">
        <v>1137</v>
      </c>
      <c r="C2598" s="888" t="s">
        <v>1565</v>
      </c>
      <c r="D2598" s="889">
        <v>46031</v>
      </c>
      <c r="E2598" s="890">
        <v>0.52300925925925923</v>
      </c>
      <c r="F2598" s="888" t="s">
        <v>310</v>
      </c>
    </row>
    <row r="2599" spans="1:6">
      <c r="A2599" s="888" t="s">
        <v>2531</v>
      </c>
      <c r="B2599" s="888" t="s">
        <v>1258</v>
      </c>
      <c r="C2599" s="888" t="s">
        <v>1259</v>
      </c>
    </row>
    <row r="2600" spans="1:6">
      <c r="A2600" s="888">
        <v>128</v>
      </c>
      <c r="B2600" s="888" t="s">
        <v>1137</v>
      </c>
      <c r="C2600" s="888" t="s">
        <v>1565</v>
      </c>
      <c r="D2600" s="889">
        <v>46032</v>
      </c>
      <c r="E2600" s="888" t="s">
        <v>310</v>
      </c>
      <c r="F2600" s="888" t="s">
        <v>310</v>
      </c>
    </row>
    <row r="2601" spans="1:6">
      <c r="A2601" s="888">
        <v>128</v>
      </c>
      <c r="B2601" s="888" t="s">
        <v>1137</v>
      </c>
      <c r="C2601" s="888" t="s">
        <v>1565</v>
      </c>
      <c r="D2601" s="889">
        <v>46033</v>
      </c>
      <c r="E2601" s="888" t="s">
        <v>310</v>
      </c>
      <c r="F2601" s="888" t="s">
        <v>310</v>
      </c>
    </row>
    <row r="2602" spans="1:6">
      <c r="A2602" s="888">
        <v>128</v>
      </c>
      <c r="B2602" s="888" t="s">
        <v>1137</v>
      </c>
      <c r="C2602" s="888" t="s">
        <v>1565</v>
      </c>
      <c r="D2602" s="889">
        <v>46034</v>
      </c>
      <c r="E2602" s="890">
        <v>0.35806712962962961</v>
      </c>
      <c r="F2602" s="890">
        <v>0.77759259259259261</v>
      </c>
    </row>
    <row r="2603" spans="1:6">
      <c r="A2603" s="888" t="s">
        <v>2532</v>
      </c>
      <c r="B2603" s="888" t="s">
        <v>2533</v>
      </c>
      <c r="C2603" s="888" t="s">
        <v>1773</v>
      </c>
    </row>
    <row r="2604" spans="1:6">
      <c r="A2604" s="888">
        <v>128</v>
      </c>
      <c r="B2604" s="888" t="s">
        <v>1137</v>
      </c>
      <c r="C2604" s="888" t="s">
        <v>1565</v>
      </c>
      <c r="D2604" s="889">
        <v>46035</v>
      </c>
      <c r="E2604" s="890">
        <v>0.36295138888888889</v>
      </c>
      <c r="F2604" s="890">
        <v>0.77223379629629629</v>
      </c>
    </row>
    <row r="2605" spans="1:6">
      <c r="A2605" s="888" t="s">
        <v>2534</v>
      </c>
      <c r="B2605" s="888" t="s">
        <v>2535</v>
      </c>
      <c r="C2605" s="888" t="s">
        <v>1372</v>
      </c>
    </row>
    <row r="2606" spans="1:6">
      <c r="A2606" s="888">
        <v>128</v>
      </c>
      <c r="B2606" s="888" t="s">
        <v>1137</v>
      </c>
      <c r="C2606" s="888" t="s">
        <v>1565</v>
      </c>
      <c r="D2606" s="889">
        <v>46036</v>
      </c>
      <c r="E2606" s="890">
        <v>0.36482638888888891</v>
      </c>
      <c r="F2606" s="890">
        <v>0.81927083333333328</v>
      </c>
    </row>
    <row r="2607" spans="1:6">
      <c r="A2607" s="888" t="s">
        <v>2536</v>
      </c>
      <c r="B2607" s="888" t="s">
        <v>2537</v>
      </c>
      <c r="C2607" s="888" t="s">
        <v>2064</v>
      </c>
    </row>
    <row r="2608" spans="1:6">
      <c r="A2608" s="888">
        <v>128</v>
      </c>
      <c r="B2608" s="888" t="s">
        <v>1137</v>
      </c>
      <c r="C2608" s="888" t="s">
        <v>1565</v>
      </c>
      <c r="D2608" s="889">
        <v>46037</v>
      </c>
      <c r="E2608" s="890">
        <v>0.36120370370370369</v>
      </c>
      <c r="F2608" s="890">
        <v>0.7885416666666667</v>
      </c>
    </row>
    <row r="2609" spans="1:6">
      <c r="A2609" s="888" t="s">
        <v>2538</v>
      </c>
      <c r="B2609" s="888" t="s">
        <v>2539</v>
      </c>
      <c r="C2609" s="888" t="s">
        <v>1425</v>
      </c>
    </row>
    <row r="2610" spans="1:6">
      <c r="A2610" s="888">
        <v>128</v>
      </c>
      <c r="B2610" s="888" t="s">
        <v>1137</v>
      </c>
      <c r="C2610" s="888" t="s">
        <v>1565</v>
      </c>
      <c r="D2610" s="889">
        <v>46038</v>
      </c>
      <c r="E2610" s="890">
        <v>0.77037037037037037</v>
      </c>
      <c r="F2610" s="888" t="s">
        <v>310</v>
      </c>
    </row>
    <row r="2611" spans="1:6">
      <c r="A2611" s="888" t="s">
        <v>2540</v>
      </c>
      <c r="B2611" s="888" t="s">
        <v>1258</v>
      </c>
      <c r="C2611" s="888" t="s">
        <v>1259</v>
      </c>
    </row>
    <row r="2612" spans="1:6">
      <c r="A2612" s="888">
        <v>128</v>
      </c>
      <c r="B2612" s="888" t="s">
        <v>1137</v>
      </c>
      <c r="C2612" s="888" t="s">
        <v>1565</v>
      </c>
      <c r="D2612" s="889">
        <v>46039</v>
      </c>
      <c r="E2612" s="888" t="s">
        <v>310</v>
      </c>
      <c r="F2612" s="888" t="s">
        <v>310</v>
      </c>
    </row>
    <row r="2613" spans="1:6">
      <c r="A2613" s="888">
        <v>128</v>
      </c>
      <c r="B2613" s="888" t="s">
        <v>1137</v>
      </c>
      <c r="C2613" s="888" t="s">
        <v>1565</v>
      </c>
      <c r="D2613" s="889">
        <v>46040</v>
      </c>
      <c r="E2613" s="888" t="s">
        <v>310</v>
      </c>
      <c r="F2613" s="888" t="s">
        <v>310</v>
      </c>
    </row>
    <row r="2614" spans="1:6">
      <c r="A2614" s="888">
        <v>128</v>
      </c>
      <c r="B2614" s="888" t="s">
        <v>1137</v>
      </c>
      <c r="C2614" s="888" t="s">
        <v>1565</v>
      </c>
      <c r="D2614" s="889">
        <v>46041</v>
      </c>
      <c r="E2614" s="890">
        <v>0.37460648148148146</v>
      </c>
      <c r="F2614" s="890">
        <v>0.8111342592592593</v>
      </c>
    </row>
    <row r="2615" spans="1:6">
      <c r="A2615" s="888" t="s">
        <v>2541</v>
      </c>
      <c r="B2615" s="888" t="s">
        <v>2542</v>
      </c>
      <c r="C2615" s="888" t="s">
        <v>1273</v>
      </c>
    </row>
    <row r="2616" spans="1:6">
      <c r="A2616" s="888">
        <v>128</v>
      </c>
      <c r="B2616" s="888" t="s">
        <v>1137</v>
      </c>
      <c r="C2616" s="888" t="s">
        <v>1565</v>
      </c>
      <c r="D2616" s="889">
        <v>46042</v>
      </c>
      <c r="E2616" s="890">
        <v>0.35726851851851854</v>
      </c>
      <c r="F2616" s="890">
        <v>0.76045138888888886</v>
      </c>
    </row>
    <row r="2617" spans="1:6">
      <c r="A2617" s="888" t="s">
        <v>2543</v>
      </c>
      <c r="B2617" s="888" t="s">
        <v>2544</v>
      </c>
      <c r="C2617" s="888" t="s">
        <v>1363</v>
      </c>
    </row>
    <row r="2618" spans="1:6">
      <c r="A2618" s="888">
        <v>128</v>
      </c>
      <c r="B2618" s="888" t="s">
        <v>1137</v>
      </c>
      <c r="C2618" s="888" t="s">
        <v>1565</v>
      </c>
      <c r="D2618" s="889">
        <v>46043</v>
      </c>
      <c r="E2618" s="890">
        <v>0.36341435185185184</v>
      </c>
      <c r="F2618" s="890">
        <v>0.78605324074074079</v>
      </c>
    </row>
    <row r="2619" spans="1:6">
      <c r="A2619" s="888" t="s">
        <v>2545</v>
      </c>
      <c r="B2619" s="888" t="s">
        <v>2546</v>
      </c>
      <c r="C2619" s="888" t="s">
        <v>1729</v>
      </c>
    </row>
    <row r="2620" spans="1:6">
      <c r="A2620" s="888">
        <v>128</v>
      </c>
      <c r="B2620" s="888" t="s">
        <v>1137</v>
      </c>
      <c r="C2620" s="888" t="s">
        <v>1565</v>
      </c>
      <c r="D2620" s="889">
        <v>46044</v>
      </c>
      <c r="E2620" s="890">
        <v>0.36115740740740743</v>
      </c>
      <c r="F2620" s="890">
        <v>0.79092592592592592</v>
      </c>
    </row>
    <row r="2621" spans="1:6">
      <c r="A2621" s="888" t="s">
        <v>2547</v>
      </c>
      <c r="B2621" s="888" t="s">
        <v>2548</v>
      </c>
      <c r="C2621" s="888" t="s">
        <v>1282</v>
      </c>
    </row>
    <row r="2622" spans="1:6">
      <c r="A2622" s="888">
        <v>128</v>
      </c>
      <c r="B2622" s="888" t="s">
        <v>1137</v>
      </c>
      <c r="C2622" s="888" t="s">
        <v>1565</v>
      </c>
      <c r="D2622" s="889">
        <v>46045</v>
      </c>
      <c r="E2622" s="888" t="s">
        <v>310</v>
      </c>
      <c r="F2622" s="888" t="s">
        <v>310</v>
      </c>
    </row>
    <row r="2623" spans="1:6">
      <c r="A2623" s="888">
        <v>128</v>
      </c>
      <c r="B2623" s="888" t="s">
        <v>1137</v>
      </c>
      <c r="C2623" s="888" t="s">
        <v>1565</v>
      </c>
      <c r="D2623" s="889">
        <v>46046</v>
      </c>
      <c r="E2623" s="888" t="s">
        <v>310</v>
      </c>
      <c r="F2623" s="888" t="s">
        <v>310</v>
      </c>
    </row>
    <row r="2624" spans="1:6">
      <c r="A2624" s="888">
        <v>128</v>
      </c>
      <c r="B2624" s="888" t="s">
        <v>1137</v>
      </c>
      <c r="C2624" s="888" t="s">
        <v>1565</v>
      </c>
      <c r="D2624" s="889">
        <v>46047</v>
      </c>
      <c r="E2624" s="888" t="s">
        <v>310</v>
      </c>
      <c r="F2624" s="888" t="s">
        <v>310</v>
      </c>
    </row>
    <row r="2625" spans="1:6">
      <c r="A2625" s="888">
        <v>128</v>
      </c>
      <c r="B2625" s="888" t="s">
        <v>1137</v>
      </c>
      <c r="C2625" s="888" t="s">
        <v>1565</v>
      </c>
      <c r="D2625" s="889">
        <v>46048</v>
      </c>
      <c r="E2625" s="890">
        <v>0.36081018518518521</v>
      </c>
      <c r="F2625" s="890">
        <v>0.77687499999999998</v>
      </c>
    </row>
    <row r="2626" spans="1:6">
      <c r="A2626" s="888" t="s">
        <v>2549</v>
      </c>
      <c r="B2626" s="888" t="s">
        <v>2550</v>
      </c>
      <c r="C2626" s="888" t="s">
        <v>1422</v>
      </c>
    </row>
    <row r="2627" spans="1:6">
      <c r="A2627" s="888">
        <v>128</v>
      </c>
      <c r="B2627" s="888" t="s">
        <v>1137</v>
      </c>
      <c r="C2627" s="888" t="s">
        <v>1565</v>
      </c>
      <c r="D2627" s="889">
        <v>46049</v>
      </c>
      <c r="E2627" s="890">
        <v>0.36074074074074075</v>
      </c>
      <c r="F2627" s="890">
        <v>0.83859953703703705</v>
      </c>
    </row>
    <row r="2628" spans="1:6">
      <c r="A2628" s="888" t="s">
        <v>2551</v>
      </c>
      <c r="B2628" s="888" t="s">
        <v>2552</v>
      </c>
      <c r="C2628" s="888" t="s">
        <v>2553</v>
      </c>
    </row>
    <row r="2629" spans="1:6">
      <c r="A2629" s="888">
        <v>128</v>
      </c>
      <c r="B2629" s="888" t="s">
        <v>1137</v>
      </c>
      <c r="C2629" s="888" t="s">
        <v>1565</v>
      </c>
      <c r="D2629" s="889">
        <v>46050</v>
      </c>
      <c r="E2629" s="890">
        <v>0.36337962962962961</v>
      </c>
      <c r="F2629" s="890">
        <v>0.80798611111111107</v>
      </c>
    </row>
    <row r="2630" spans="1:6">
      <c r="A2630" s="888" t="s">
        <v>2554</v>
      </c>
      <c r="B2630" s="888" t="s">
        <v>2555</v>
      </c>
      <c r="C2630" s="888" t="s">
        <v>1955</v>
      </c>
    </row>
    <row r="2631" spans="1:6">
      <c r="A2631" s="888">
        <v>128</v>
      </c>
      <c r="B2631" s="888" t="s">
        <v>1137</v>
      </c>
      <c r="C2631" s="888" t="s">
        <v>1565</v>
      </c>
      <c r="D2631" s="889">
        <v>46051</v>
      </c>
      <c r="E2631" s="890">
        <v>0.35572916666666665</v>
      </c>
      <c r="F2631" s="890">
        <v>0.80604166666666666</v>
      </c>
    </row>
    <row r="2632" spans="1:6">
      <c r="A2632" s="888" t="s">
        <v>2556</v>
      </c>
      <c r="B2632" s="888" t="s">
        <v>2557</v>
      </c>
      <c r="C2632" s="888" t="s">
        <v>2558</v>
      </c>
    </row>
    <row r="2633" spans="1:6">
      <c r="A2633" s="888">
        <v>128</v>
      </c>
      <c r="B2633" s="888" t="s">
        <v>1137</v>
      </c>
      <c r="C2633" s="888" t="s">
        <v>1565</v>
      </c>
      <c r="D2633" s="889">
        <v>46052</v>
      </c>
      <c r="E2633" s="890">
        <v>0.76642361111111112</v>
      </c>
      <c r="F2633" s="888" t="s">
        <v>310</v>
      </c>
    </row>
    <row r="2634" spans="1:6">
      <c r="A2634" s="888" t="s">
        <v>2559</v>
      </c>
      <c r="B2634" s="888" t="s">
        <v>1258</v>
      </c>
      <c r="C2634" s="888" t="s">
        <v>1259</v>
      </c>
    </row>
    <row r="2635" spans="1:6">
      <c r="A2635" s="888">
        <v>128</v>
      </c>
      <c r="B2635" s="888" t="s">
        <v>1137</v>
      </c>
      <c r="C2635" s="888" t="s">
        <v>1565</v>
      </c>
      <c r="D2635" s="889">
        <v>46053</v>
      </c>
      <c r="E2635" s="888" t="s">
        <v>310</v>
      </c>
      <c r="F2635" s="888" t="s">
        <v>310</v>
      </c>
    </row>
    <row r="2636" spans="1:6">
      <c r="A2636" s="888">
        <v>128</v>
      </c>
      <c r="B2636" s="888" t="s">
        <v>1137</v>
      </c>
      <c r="C2636" s="888" t="s">
        <v>1565</v>
      </c>
      <c r="D2636" s="889">
        <v>46054</v>
      </c>
      <c r="E2636" s="888" t="s">
        <v>310</v>
      </c>
      <c r="F2636" s="888" t="s">
        <v>310</v>
      </c>
    </row>
    <row r="2637" spans="1:6">
      <c r="A2637" s="888">
        <v>13</v>
      </c>
      <c r="B2637" s="888" t="s">
        <v>2560</v>
      </c>
      <c r="C2637" s="888" t="s">
        <v>1387</v>
      </c>
      <c r="D2637" s="889">
        <v>46023</v>
      </c>
      <c r="E2637" s="888" t="s">
        <v>310</v>
      </c>
      <c r="F2637" s="888" t="s">
        <v>310</v>
      </c>
    </row>
    <row r="2638" spans="1:6">
      <c r="A2638" s="888">
        <v>13</v>
      </c>
      <c r="B2638" s="888" t="s">
        <v>2560</v>
      </c>
      <c r="C2638" s="888" t="s">
        <v>1387</v>
      </c>
      <c r="D2638" s="889">
        <v>46024</v>
      </c>
      <c r="E2638" s="888" t="s">
        <v>310</v>
      </c>
      <c r="F2638" s="888" t="s">
        <v>310</v>
      </c>
    </row>
    <row r="2639" spans="1:6">
      <c r="A2639" s="888">
        <v>13</v>
      </c>
      <c r="B2639" s="888" t="s">
        <v>2560</v>
      </c>
      <c r="C2639" s="888" t="s">
        <v>1387</v>
      </c>
      <c r="D2639" s="889">
        <v>46025</v>
      </c>
      <c r="E2639" s="888" t="s">
        <v>310</v>
      </c>
      <c r="F2639" s="888" t="s">
        <v>310</v>
      </c>
    </row>
    <row r="2640" spans="1:6">
      <c r="A2640" s="888">
        <v>13</v>
      </c>
      <c r="B2640" s="888" t="s">
        <v>2560</v>
      </c>
      <c r="C2640" s="888" t="s">
        <v>1387</v>
      </c>
      <c r="D2640" s="889">
        <v>46026</v>
      </c>
      <c r="E2640" s="888" t="s">
        <v>310</v>
      </c>
      <c r="F2640" s="888" t="s">
        <v>310</v>
      </c>
    </row>
    <row r="2641" spans="1:6">
      <c r="A2641" s="888">
        <v>13</v>
      </c>
      <c r="B2641" s="888" t="s">
        <v>2560</v>
      </c>
      <c r="C2641" s="888" t="s">
        <v>1387</v>
      </c>
      <c r="D2641" s="889">
        <v>46027</v>
      </c>
      <c r="E2641" s="888" t="s">
        <v>310</v>
      </c>
      <c r="F2641" s="888" t="s">
        <v>310</v>
      </c>
    </row>
    <row r="2642" spans="1:6">
      <c r="A2642" s="888">
        <v>13</v>
      </c>
      <c r="B2642" s="888" t="s">
        <v>2560</v>
      </c>
      <c r="C2642" s="888" t="s">
        <v>1387</v>
      </c>
      <c r="D2642" s="889">
        <v>46028</v>
      </c>
      <c r="E2642" s="888" t="s">
        <v>310</v>
      </c>
      <c r="F2642" s="888" t="s">
        <v>310</v>
      </c>
    </row>
    <row r="2643" spans="1:6">
      <c r="A2643" s="888">
        <v>13</v>
      </c>
      <c r="B2643" s="888" t="s">
        <v>2560</v>
      </c>
      <c r="C2643" s="888" t="s">
        <v>1387</v>
      </c>
      <c r="D2643" s="889">
        <v>46029</v>
      </c>
      <c r="E2643" s="888" t="s">
        <v>310</v>
      </c>
      <c r="F2643" s="888" t="s">
        <v>310</v>
      </c>
    </row>
    <row r="2644" spans="1:6">
      <c r="A2644" s="888">
        <v>13</v>
      </c>
      <c r="B2644" s="888" t="s">
        <v>2560</v>
      </c>
      <c r="C2644" s="888" t="s">
        <v>1387</v>
      </c>
      <c r="D2644" s="889">
        <v>46030</v>
      </c>
      <c r="E2644" s="888" t="s">
        <v>310</v>
      </c>
      <c r="F2644" s="888" t="s">
        <v>310</v>
      </c>
    </row>
    <row r="2645" spans="1:6">
      <c r="A2645" s="888">
        <v>13</v>
      </c>
      <c r="B2645" s="888" t="s">
        <v>2560</v>
      </c>
      <c r="C2645" s="888" t="s">
        <v>1387</v>
      </c>
      <c r="D2645" s="889">
        <v>46031</v>
      </c>
      <c r="E2645" s="888" t="s">
        <v>310</v>
      </c>
      <c r="F2645" s="888" t="s">
        <v>310</v>
      </c>
    </row>
    <row r="2646" spans="1:6">
      <c r="A2646" s="888">
        <v>13</v>
      </c>
      <c r="B2646" s="888" t="s">
        <v>2560</v>
      </c>
      <c r="C2646" s="888" t="s">
        <v>1387</v>
      </c>
      <c r="D2646" s="889">
        <v>46032</v>
      </c>
      <c r="E2646" s="888" t="s">
        <v>310</v>
      </c>
      <c r="F2646" s="888" t="s">
        <v>310</v>
      </c>
    </row>
    <row r="2647" spans="1:6">
      <c r="A2647" s="888">
        <v>13</v>
      </c>
      <c r="B2647" s="888" t="s">
        <v>2560</v>
      </c>
      <c r="C2647" s="888" t="s">
        <v>1387</v>
      </c>
      <c r="D2647" s="889">
        <v>46033</v>
      </c>
      <c r="E2647" s="888" t="s">
        <v>310</v>
      </c>
      <c r="F2647" s="888" t="s">
        <v>310</v>
      </c>
    </row>
    <row r="2648" spans="1:6">
      <c r="A2648" s="888">
        <v>13</v>
      </c>
      <c r="B2648" s="888" t="s">
        <v>2560</v>
      </c>
      <c r="C2648" s="888" t="s">
        <v>1387</v>
      </c>
      <c r="D2648" s="889">
        <v>46034</v>
      </c>
      <c r="E2648" s="888" t="s">
        <v>310</v>
      </c>
      <c r="F2648" s="888" t="s">
        <v>310</v>
      </c>
    </row>
    <row r="2649" spans="1:6">
      <c r="A2649" s="888">
        <v>13</v>
      </c>
      <c r="B2649" s="888" t="s">
        <v>2560</v>
      </c>
      <c r="C2649" s="888" t="s">
        <v>1387</v>
      </c>
      <c r="D2649" s="889">
        <v>46035</v>
      </c>
      <c r="E2649" s="888" t="s">
        <v>310</v>
      </c>
      <c r="F2649" s="888" t="s">
        <v>310</v>
      </c>
    </row>
    <row r="2650" spans="1:6">
      <c r="A2650" s="888">
        <v>13</v>
      </c>
      <c r="B2650" s="888" t="s">
        <v>2560</v>
      </c>
      <c r="C2650" s="888" t="s">
        <v>1387</v>
      </c>
      <c r="D2650" s="889">
        <v>46036</v>
      </c>
      <c r="E2650" s="888" t="s">
        <v>310</v>
      </c>
      <c r="F2650" s="888" t="s">
        <v>310</v>
      </c>
    </row>
    <row r="2651" spans="1:6">
      <c r="A2651" s="888">
        <v>13</v>
      </c>
      <c r="B2651" s="888" t="s">
        <v>2560</v>
      </c>
      <c r="C2651" s="888" t="s">
        <v>1387</v>
      </c>
      <c r="D2651" s="889">
        <v>46037</v>
      </c>
      <c r="E2651" s="888" t="s">
        <v>310</v>
      </c>
      <c r="F2651" s="888" t="s">
        <v>310</v>
      </c>
    </row>
    <row r="2652" spans="1:6">
      <c r="A2652" s="888">
        <v>13</v>
      </c>
      <c r="B2652" s="888" t="s">
        <v>2560</v>
      </c>
      <c r="C2652" s="888" t="s">
        <v>1387</v>
      </c>
      <c r="D2652" s="889">
        <v>46038</v>
      </c>
      <c r="E2652" s="888" t="s">
        <v>310</v>
      </c>
      <c r="F2652" s="888" t="s">
        <v>310</v>
      </c>
    </row>
    <row r="2653" spans="1:6">
      <c r="A2653" s="888">
        <v>13</v>
      </c>
      <c r="B2653" s="888" t="s">
        <v>2560</v>
      </c>
      <c r="C2653" s="888" t="s">
        <v>1387</v>
      </c>
      <c r="D2653" s="889">
        <v>46039</v>
      </c>
      <c r="E2653" s="888" t="s">
        <v>310</v>
      </c>
      <c r="F2653" s="888" t="s">
        <v>310</v>
      </c>
    </row>
    <row r="2654" spans="1:6">
      <c r="A2654" s="888">
        <v>13</v>
      </c>
      <c r="B2654" s="888" t="s">
        <v>2560</v>
      </c>
      <c r="C2654" s="888" t="s">
        <v>1387</v>
      </c>
      <c r="D2654" s="889">
        <v>46040</v>
      </c>
      <c r="E2654" s="888" t="s">
        <v>310</v>
      </c>
      <c r="F2654" s="888" t="s">
        <v>310</v>
      </c>
    </row>
    <row r="2655" spans="1:6">
      <c r="A2655" s="888">
        <v>13</v>
      </c>
      <c r="B2655" s="888" t="s">
        <v>2560</v>
      </c>
      <c r="C2655" s="888" t="s">
        <v>1387</v>
      </c>
      <c r="D2655" s="889">
        <v>46041</v>
      </c>
      <c r="E2655" s="888" t="s">
        <v>310</v>
      </c>
      <c r="F2655" s="888" t="s">
        <v>310</v>
      </c>
    </row>
    <row r="2656" spans="1:6">
      <c r="A2656" s="888">
        <v>13</v>
      </c>
      <c r="B2656" s="888" t="s">
        <v>2560</v>
      </c>
      <c r="C2656" s="888" t="s">
        <v>1387</v>
      </c>
      <c r="D2656" s="889">
        <v>46042</v>
      </c>
      <c r="E2656" s="888" t="s">
        <v>310</v>
      </c>
      <c r="F2656" s="888" t="s">
        <v>310</v>
      </c>
    </row>
    <row r="2657" spans="1:6">
      <c r="A2657" s="888">
        <v>13</v>
      </c>
      <c r="B2657" s="888" t="s">
        <v>2560</v>
      </c>
      <c r="C2657" s="888" t="s">
        <v>1387</v>
      </c>
      <c r="D2657" s="889">
        <v>46043</v>
      </c>
      <c r="E2657" s="888" t="s">
        <v>310</v>
      </c>
      <c r="F2657" s="888" t="s">
        <v>310</v>
      </c>
    </row>
    <row r="2658" spans="1:6">
      <c r="A2658" s="888">
        <v>13</v>
      </c>
      <c r="B2658" s="888" t="s">
        <v>2560</v>
      </c>
      <c r="C2658" s="888" t="s">
        <v>1387</v>
      </c>
      <c r="D2658" s="889">
        <v>46044</v>
      </c>
      <c r="E2658" s="888" t="s">
        <v>310</v>
      </c>
      <c r="F2658" s="888" t="s">
        <v>310</v>
      </c>
    </row>
    <row r="2659" spans="1:6">
      <c r="A2659" s="888">
        <v>13</v>
      </c>
      <c r="B2659" s="888" t="s">
        <v>2560</v>
      </c>
      <c r="C2659" s="888" t="s">
        <v>1387</v>
      </c>
      <c r="D2659" s="889">
        <v>46045</v>
      </c>
      <c r="E2659" s="888" t="s">
        <v>310</v>
      </c>
      <c r="F2659" s="888" t="s">
        <v>310</v>
      </c>
    </row>
    <row r="2660" spans="1:6">
      <c r="A2660" s="888">
        <v>13</v>
      </c>
      <c r="B2660" s="888" t="s">
        <v>2560</v>
      </c>
      <c r="C2660" s="888" t="s">
        <v>1387</v>
      </c>
      <c r="D2660" s="889">
        <v>46046</v>
      </c>
      <c r="E2660" s="888" t="s">
        <v>310</v>
      </c>
      <c r="F2660" s="888" t="s">
        <v>310</v>
      </c>
    </row>
    <row r="2661" spans="1:6">
      <c r="A2661" s="888">
        <v>13</v>
      </c>
      <c r="B2661" s="888" t="s">
        <v>2560</v>
      </c>
      <c r="C2661" s="888" t="s">
        <v>1387</v>
      </c>
      <c r="D2661" s="889">
        <v>46047</v>
      </c>
      <c r="E2661" s="888" t="s">
        <v>310</v>
      </c>
      <c r="F2661" s="888" t="s">
        <v>310</v>
      </c>
    </row>
    <row r="2662" spans="1:6">
      <c r="A2662" s="888">
        <v>13</v>
      </c>
      <c r="B2662" s="888" t="s">
        <v>2560</v>
      </c>
      <c r="C2662" s="888" t="s">
        <v>1387</v>
      </c>
      <c r="D2662" s="889">
        <v>46048</v>
      </c>
      <c r="E2662" s="888" t="s">
        <v>310</v>
      </c>
      <c r="F2662" s="888" t="s">
        <v>310</v>
      </c>
    </row>
    <row r="2663" spans="1:6">
      <c r="A2663" s="888">
        <v>13</v>
      </c>
      <c r="B2663" s="888" t="s">
        <v>2560</v>
      </c>
      <c r="C2663" s="888" t="s">
        <v>1387</v>
      </c>
      <c r="D2663" s="889">
        <v>46049</v>
      </c>
      <c r="E2663" s="888" t="s">
        <v>310</v>
      </c>
      <c r="F2663" s="888" t="s">
        <v>310</v>
      </c>
    </row>
    <row r="2664" spans="1:6">
      <c r="A2664" s="888">
        <v>13</v>
      </c>
      <c r="B2664" s="888" t="s">
        <v>2560</v>
      </c>
      <c r="C2664" s="888" t="s">
        <v>1387</v>
      </c>
      <c r="D2664" s="889">
        <v>46050</v>
      </c>
      <c r="E2664" s="888" t="s">
        <v>310</v>
      </c>
      <c r="F2664" s="888" t="s">
        <v>310</v>
      </c>
    </row>
    <row r="2665" spans="1:6">
      <c r="A2665" s="888">
        <v>13</v>
      </c>
      <c r="B2665" s="888" t="s">
        <v>2560</v>
      </c>
      <c r="C2665" s="888" t="s">
        <v>1387</v>
      </c>
      <c r="D2665" s="889">
        <v>46051</v>
      </c>
      <c r="E2665" s="888" t="s">
        <v>310</v>
      </c>
      <c r="F2665" s="888" t="s">
        <v>310</v>
      </c>
    </row>
    <row r="2666" spans="1:6">
      <c r="A2666" s="888">
        <v>13</v>
      </c>
      <c r="B2666" s="888" t="s">
        <v>2560</v>
      </c>
      <c r="C2666" s="888" t="s">
        <v>1387</v>
      </c>
      <c r="D2666" s="889">
        <v>46052</v>
      </c>
      <c r="E2666" s="888" t="s">
        <v>310</v>
      </c>
      <c r="F2666" s="888" t="s">
        <v>310</v>
      </c>
    </row>
    <row r="2667" spans="1:6">
      <c r="A2667" s="888">
        <v>13</v>
      </c>
      <c r="B2667" s="888" t="s">
        <v>2560</v>
      </c>
      <c r="C2667" s="888" t="s">
        <v>1387</v>
      </c>
      <c r="D2667" s="889">
        <v>46053</v>
      </c>
      <c r="E2667" s="888" t="s">
        <v>310</v>
      </c>
      <c r="F2667" s="888" t="s">
        <v>310</v>
      </c>
    </row>
    <row r="2668" spans="1:6">
      <c r="A2668" s="888">
        <v>13</v>
      </c>
      <c r="B2668" s="888" t="s">
        <v>2560</v>
      </c>
      <c r="C2668" s="888" t="s">
        <v>1387</v>
      </c>
      <c r="D2668" s="889">
        <v>46054</v>
      </c>
      <c r="E2668" s="888" t="s">
        <v>310</v>
      </c>
      <c r="F2668" s="888" t="s">
        <v>310</v>
      </c>
    </row>
    <row r="2669" spans="1:6">
      <c r="A2669" s="888">
        <v>131</v>
      </c>
      <c r="B2669" s="888" t="s">
        <v>1138</v>
      </c>
      <c r="C2669" s="888" t="s">
        <v>1767</v>
      </c>
      <c r="D2669" s="889">
        <v>46023</v>
      </c>
      <c r="E2669" s="888" t="s">
        <v>310</v>
      </c>
      <c r="F2669" s="888" t="s">
        <v>310</v>
      </c>
    </row>
    <row r="2670" spans="1:6">
      <c r="A2670" s="888">
        <v>131</v>
      </c>
      <c r="B2670" s="888" t="s">
        <v>1138</v>
      </c>
      <c r="C2670" s="888" t="s">
        <v>1767</v>
      </c>
      <c r="D2670" s="889">
        <v>46024</v>
      </c>
      <c r="E2670" s="888" t="s">
        <v>310</v>
      </c>
      <c r="F2670" s="888" t="s">
        <v>310</v>
      </c>
    </row>
    <row r="2671" spans="1:6">
      <c r="A2671" s="888">
        <v>131</v>
      </c>
      <c r="B2671" s="888" t="s">
        <v>1138</v>
      </c>
      <c r="C2671" s="888" t="s">
        <v>1767</v>
      </c>
      <c r="D2671" s="889">
        <v>46025</v>
      </c>
      <c r="E2671" s="888" t="s">
        <v>310</v>
      </c>
      <c r="F2671" s="888" t="s">
        <v>310</v>
      </c>
    </row>
    <row r="2672" spans="1:6">
      <c r="A2672" s="888">
        <v>131</v>
      </c>
      <c r="B2672" s="888" t="s">
        <v>1138</v>
      </c>
      <c r="C2672" s="888" t="s">
        <v>1767</v>
      </c>
      <c r="D2672" s="889">
        <v>46026</v>
      </c>
      <c r="E2672" s="888" t="s">
        <v>310</v>
      </c>
      <c r="F2672" s="888" t="s">
        <v>310</v>
      </c>
    </row>
    <row r="2673" spans="1:6">
      <c r="A2673" s="888">
        <v>131</v>
      </c>
      <c r="B2673" s="888" t="s">
        <v>1138</v>
      </c>
      <c r="C2673" s="888" t="s">
        <v>1767</v>
      </c>
      <c r="D2673" s="889">
        <v>46027</v>
      </c>
      <c r="E2673" s="890">
        <v>0.37831018518518517</v>
      </c>
      <c r="F2673" s="890">
        <v>0.81016203703703704</v>
      </c>
    </row>
    <row r="2674" spans="1:6">
      <c r="A2674" s="888" t="s">
        <v>2561</v>
      </c>
      <c r="B2674" s="888" t="s">
        <v>2562</v>
      </c>
      <c r="C2674" s="888" t="s">
        <v>2563</v>
      </c>
    </row>
    <row r="2675" spans="1:6">
      <c r="A2675" s="888">
        <v>131</v>
      </c>
      <c r="B2675" s="888" t="s">
        <v>1138</v>
      </c>
      <c r="C2675" s="888" t="s">
        <v>1767</v>
      </c>
      <c r="D2675" s="889">
        <v>46028</v>
      </c>
      <c r="E2675" s="890">
        <v>0.54116898148148151</v>
      </c>
      <c r="F2675" s="890">
        <v>0.86583333333333334</v>
      </c>
    </row>
    <row r="2676" spans="1:6">
      <c r="A2676" s="888" t="s">
        <v>2564</v>
      </c>
      <c r="B2676" s="888" t="s">
        <v>2565</v>
      </c>
      <c r="C2676" s="888" t="s">
        <v>2566</v>
      </c>
    </row>
    <row r="2677" spans="1:6">
      <c r="A2677" s="888">
        <v>131</v>
      </c>
      <c r="B2677" s="888" t="s">
        <v>1138</v>
      </c>
      <c r="C2677" s="888" t="s">
        <v>1767</v>
      </c>
      <c r="D2677" s="889">
        <v>46029</v>
      </c>
      <c r="E2677" s="890">
        <v>0.39052083333333332</v>
      </c>
      <c r="F2677" s="890">
        <v>0.83152777777777775</v>
      </c>
    </row>
    <row r="2678" spans="1:6">
      <c r="A2678" s="888" t="s">
        <v>2567</v>
      </c>
      <c r="B2678" s="888" t="s">
        <v>2568</v>
      </c>
      <c r="C2678" s="888" t="s">
        <v>2569</v>
      </c>
    </row>
    <row r="2679" spans="1:6">
      <c r="A2679" s="888">
        <v>131</v>
      </c>
      <c r="B2679" s="888" t="s">
        <v>1138</v>
      </c>
      <c r="C2679" s="888" t="s">
        <v>1767</v>
      </c>
      <c r="D2679" s="889">
        <v>46030</v>
      </c>
      <c r="E2679" s="890">
        <v>0.39831018518518518</v>
      </c>
      <c r="F2679" s="890">
        <v>0.7723726851851852</v>
      </c>
    </row>
    <row r="2680" spans="1:6">
      <c r="A2680" s="888" t="s">
        <v>2570</v>
      </c>
      <c r="B2680" s="888" t="s">
        <v>2571</v>
      </c>
      <c r="C2680" s="888" t="s">
        <v>1333</v>
      </c>
    </row>
    <row r="2681" spans="1:6">
      <c r="A2681" s="888">
        <v>131</v>
      </c>
      <c r="B2681" s="888" t="s">
        <v>1138</v>
      </c>
      <c r="C2681" s="888" t="s">
        <v>1767</v>
      </c>
      <c r="D2681" s="889">
        <v>46031</v>
      </c>
      <c r="E2681" s="890">
        <v>0.80395833333333333</v>
      </c>
      <c r="F2681" s="888" t="s">
        <v>310</v>
      </c>
    </row>
    <row r="2682" spans="1:6">
      <c r="A2682" s="888" t="s">
        <v>2572</v>
      </c>
      <c r="B2682" s="888" t="s">
        <v>1258</v>
      </c>
      <c r="C2682" s="888" t="s">
        <v>1259</v>
      </c>
    </row>
    <row r="2683" spans="1:6">
      <c r="A2683" s="888">
        <v>131</v>
      </c>
      <c r="B2683" s="888" t="s">
        <v>1138</v>
      </c>
      <c r="C2683" s="888" t="s">
        <v>1767</v>
      </c>
      <c r="D2683" s="889">
        <v>46032</v>
      </c>
      <c r="E2683" s="890">
        <v>0.38951388888888888</v>
      </c>
      <c r="F2683" s="890">
        <v>0.80608796296296292</v>
      </c>
    </row>
    <row r="2684" spans="1:6">
      <c r="A2684" s="888" t="s">
        <v>2573</v>
      </c>
      <c r="B2684" s="888" t="s">
        <v>2574</v>
      </c>
      <c r="C2684" s="888" t="s">
        <v>1303</v>
      </c>
    </row>
    <row r="2685" spans="1:6">
      <c r="A2685" s="888">
        <v>131</v>
      </c>
      <c r="B2685" s="888" t="s">
        <v>1138</v>
      </c>
      <c r="C2685" s="888" t="s">
        <v>1767</v>
      </c>
      <c r="D2685" s="889">
        <v>46033</v>
      </c>
      <c r="E2685" s="888" t="s">
        <v>310</v>
      </c>
      <c r="F2685" s="888" t="s">
        <v>310</v>
      </c>
    </row>
    <row r="2686" spans="1:6">
      <c r="A2686" s="888">
        <v>131</v>
      </c>
      <c r="B2686" s="888" t="s">
        <v>1138</v>
      </c>
      <c r="C2686" s="888" t="s">
        <v>1767</v>
      </c>
      <c r="D2686" s="889">
        <v>46034</v>
      </c>
      <c r="E2686" s="890">
        <v>0.37311342592592595</v>
      </c>
      <c r="F2686" s="890">
        <v>0.80868055555555551</v>
      </c>
    </row>
    <row r="2687" spans="1:6">
      <c r="A2687" s="888" t="s">
        <v>2575</v>
      </c>
      <c r="B2687" s="888" t="s">
        <v>2576</v>
      </c>
      <c r="C2687" s="888" t="s">
        <v>1964</v>
      </c>
    </row>
    <row r="2688" spans="1:6">
      <c r="A2688" s="888">
        <v>131</v>
      </c>
      <c r="B2688" s="888" t="s">
        <v>1138</v>
      </c>
      <c r="C2688" s="888" t="s">
        <v>1767</v>
      </c>
      <c r="D2688" s="889">
        <v>46035</v>
      </c>
      <c r="E2688" s="890">
        <v>0.37561342592592595</v>
      </c>
      <c r="F2688" s="890">
        <v>0.81090277777777775</v>
      </c>
    </row>
    <row r="2689" spans="1:6">
      <c r="A2689" s="888" t="s">
        <v>2577</v>
      </c>
      <c r="B2689" s="888" t="s">
        <v>2578</v>
      </c>
      <c r="C2689" s="888" t="s">
        <v>1964</v>
      </c>
    </row>
    <row r="2690" spans="1:6">
      <c r="A2690" s="888">
        <v>131</v>
      </c>
      <c r="B2690" s="888" t="s">
        <v>1138</v>
      </c>
      <c r="C2690" s="888" t="s">
        <v>1767</v>
      </c>
      <c r="D2690" s="889">
        <v>46036</v>
      </c>
      <c r="E2690" s="890">
        <v>0.38849537037037035</v>
      </c>
      <c r="F2690" s="890">
        <v>0.81486111111111115</v>
      </c>
    </row>
    <row r="2691" spans="1:6">
      <c r="A2691" s="888" t="s">
        <v>2579</v>
      </c>
      <c r="B2691" s="888" t="s">
        <v>2580</v>
      </c>
      <c r="C2691" s="888" t="s">
        <v>2288</v>
      </c>
    </row>
    <row r="2692" spans="1:6">
      <c r="A2692" s="888">
        <v>131</v>
      </c>
      <c r="B2692" s="888" t="s">
        <v>1138</v>
      </c>
      <c r="C2692" s="888" t="s">
        <v>1767</v>
      </c>
      <c r="D2692" s="889">
        <v>46037</v>
      </c>
      <c r="E2692" s="890">
        <v>0.39630787037037035</v>
      </c>
      <c r="F2692" s="890">
        <v>0.7952893518518519</v>
      </c>
    </row>
    <row r="2693" spans="1:6">
      <c r="A2693" s="888" t="s">
        <v>2581</v>
      </c>
      <c r="B2693" s="888" t="s">
        <v>2582</v>
      </c>
      <c r="C2693" s="888" t="s">
        <v>1288</v>
      </c>
    </row>
    <row r="2694" spans="1:6">
      <c r="A2694" s="888">
        <v>131</v>
      </c>
      <c r="B2694" s="888" t="s">
        <v>1138</v>
      </c>
      <c r="C2694" s="888" t="s">
        <v>1767</v>
      </c>
      <c r="D2694" s="889">
        <v>46038</v>
      </c>
      <c r="E2694" s="890">
        <v>0.37512731481481482</v>
      </c>
      <c r="F2694" s="890">
        <v>0.830474537037037</v>
      </c>
    </row>
    <row r="2695" spans="1:6">
      <c r="A2695" s="888" t="s">
        <v>2583</v>
      </c>
      <c r="B2695" s="888" t="s">
        <v>2584</v>
      </c>
      <c r="C2695" s="888" t="s">
        <v>1819</v>
      </c>
    </row>
    <row r="2696" spans="1:6">
      <c r="A2696" s="888">
        <v>131</v>
      </c>
      <c r="B2696" s="888" t="s">
        <v>1138</v>
      </c>
      <c r="C2696" s="888" t="s">
        <v>1767</v>
      </c>
      <c r="D2696" s="889">
        <v>46039</v>
      </c>
      <c r="E2696" s="888" t="s">
        <v>310</v>
      </c>
      <c r="F2696" s="888" t="s">
        <v>310</v>
      </c>
    </row>
    <row r="2697" spans="1:6">
      <c r="A2697" s="888">
        <v>131</v>
      </c>
      <c r="B2697" s="888" t="s">
        <v>1138</v>
      </c>
      <c r="C2697" s="888" t="s">
        <v>1767</v>
      </c>
      <c r="D2697" s="889">
        <v>46040</v>
      </c>
      <c r="E2697" s="888" t="s">
        <v>310</v>
      </c>
      <c r="F2697" s="888" t="s">
        <v>310</v>
      </c>
    </row>
    <row r="2698" spans="1:6">
      <c r="A2698" s="888">
        <v>131</v>
      </c>
      <c r="B2698" s="888" t="s">
        <v>1138</v>
      </c>
      <c r="C2698" s="888" t="s">
        <v>1767</v>
      </c>
      <c r="D2698" s="889">
        <v>46041</v>
      </c>
      <c r="E2698" s="890">
        <v>0.37975694444444447</v>
      </c>
      <c r="F2698" s="890">
        <v>0.81563657407407408</v>
      </c>
    </row>
    <row r="2699" spans="1:6">
      <c r="A2699" s="888" t="s">
        <v>2585</v>
      </c>
      <c r="B2699" s="888" t="s">
        <v>2586</v>
      </c>
      <c r="C2699" s="888" t="s">
        <v>2268</v>
      </c>
    </row>
    <row r="2700" spans="1:6">
      <c r="A2700" s="888">
        <v>131</v>
      </c>
      <c r="B2700" s="888" t="s">
        <v>1138</v>
      </c>
      <c r="C2700" s="888" t="s">
        <v>1767</v>
      </c>
      <c r="D2700" s="889">
        <v>46042</v>
      </c>
      <c r="E2700" s="890">
        <v>0.88561342592592596</v>
      </c>
      <c r="F2700" s="890">
        <v>0.885625</v>
      </c>
    </row>
    <row r="2701" spans="1:6">
      <c r="A2701" s="888" t="s">
        <v>2587</v>
      </c>
      <c r="B2701" s="888" t="s">
        <v>2588</v>
      </c>
      <c r="C2701" s="888" t="s">
        <v>1259</v>
      </c>
    </row>
    <row r="2702" spans="1:6">
      <c r="A2702" s="888">
        <v>131</v>
      </c>
      <c r="B2702" s="888" t="s">
        <v>1138</v>
      </c>
      <c r="C2702" s="888" t="s">
        <v>1767</v>
      </c>
      <c r="D2702" s="889">
        <v>46043</v>
      </c>
      <c r="E2702" s="890">
        <v>0.41725694444444444</v>
      </c>
      <c r="F2702" s="890">
        <v>0.81349537037037034</v>
      </c>
    </row>
    <row r="2703" spans="1:6">
      <c r="A2703" s="888" t="s">
        <v>2589</v>
      </c>
      <c r="B2703" s="888" t="s">
        <v>2590</v>
      </c>
      <c r="C2703" s="888" t="s">
        <v>1452</v>
      </c>
    </row>
    <row r="2704" spans="1:6">
      <c r="A2704" s="888">
        <v>131</v>
      </c>
      <c r="B2704" s="888" t="s">
        <v>1138</v>
      </c>
      <c r="C2704" s="888" t="s">
        <v>1767</v>
      </c>
      <c r="D2704" s="889">
        <v>46044</v>
      </c>
      <c r="E2704" s="890">
        <v>0.39868055555555554</v>
      </c>
      <c r="F2704" s="890">
        <v>0.858912037037037</v>
      </c>
    </row>
    <row r="2705" spans="1:6">
      <c r="A2705" s="888" t="s">
        <v>2591</v>
      </c>
      <c r="B2705" s="888" t="s">
        <v>2592</v>
      </c>
      <c r="C2705" s="888" t="s">
        <v>2593</v>
      </c>
    </row>
    <row r="2706" spans="1:6">
      <c r="A2706" s="888">
        <v>131</v>
      </c>
      <c r="B2706" s="888" t="s">
        <v>1138</v>
      </c>
      <c r="C2706" s="888" t="s">
        <v>1767</v>
      </c>
      <c r="D2706" s="889">
        <v>46045</v>
      </c>
      <c r="E2706" s="890">
        <v>0.58144675925925926</v>
      </c>
      <c r="F2706" s="890">
        <v>0.9096643518518519</v>
      </c>
    </row>
    <row r="2707" spans="1:6">
      <c r="A2707" s="888" t="s">
        <v>2594</v>
      </c>
      <c r="B2707" s="888" t="s">
        <v>2595</v>
      </c>
      <c r="C2707" s="888" t="s">
        <v>2596</v>
      </c>
    </row>
    <row r="2708" spans="1:6">
      <c r="A2708" s="888">
        <v>131</v>
      </c>
      <c r="B2708" s="888" t="s">
        <v>1138</v>
      </c>
      <c r="C2708" s="888" t="s">
        <v>1767</v>
      </c>
      <c r="D2708" s="889">
        <v>46046</v>
      </c>
      <c r="E2708" s="888" t="s">
        <v>310</v>
      </c>
      <c r="F2708" s="888" t="s">
        <v>310</v>
      </c>
    </row>
    <row r="2709" spans="1:6">
      <c r="A2709" s="888">
        <v>131</v>
      </c>
      <c r="B2709" s="888" t="s">
        <v>1138</v>
      </c>
      <c r="C2709" s="888" t="s">
        <v>1767</v>
      </c>
      <c r="D2709" s="889">
        <v>46047</v>
      </c>
      <c r="E2709" s="888" t="s">
        <v>310</v>
      </c>
      <c r="F2709" s="888" t="s">
        <v>310</v>
      </c>
    </row>
    <row r="2710" spans="1:6">
      <c r="A2710" s="888">
        <v>131</v>
      </c>
      <c r="B2710" s="888" t="s">
        <v>1138</v>
      </c>
      <c r="C2710" s="888" t="s">
        <v>1767</v>
      </c>
      <c r="D2710" s="889">
        <v>46048</v>
      </c>
      <c r="E2710" s="890">
        <v>0.38821759259259259</v>
      </c>
      <c r="F2710" s="890">
        <v>0.77067129629629627</v>
      </c>
    </row>
    <row r="2711" spans="1:6">
      <c r="A2711" s="888" t="s">
        <v>2597</v>
      </c>
      <c r="B2711" s="888" t="s">
        <v>2598</v>
      </c>
      <c r="C2711" s="888" t="s">
        <v>1314</v>
      </c>
    </row>
    <row r="2712" spans="1:6">
      <c r="A2712" s="888">
        <v>131</v>
      </c>
      <c r="B2712" s="888" t="s">
        <v>1138</v>
      </c>
      <c r="C2712" s="888" t="s">
        <v>1767</v>
      </c>
      <c r="D2712" s="889">
        <v>46049</v>
      </c>
      <c r="E2712" s="890">
        <v>0.38465277777777779</v>
      </c>
      <c r="F2712" s="890">
        <v>0.86135416666666664</v>
      </c>
    </row>
    <row r="2713" spans="1:6">
      <c r="A2713" s="888" t="s">
        <v>2599</v>
      </c>
      <c r="B2713" s="888" t="s">
        <v>2600</v>
      </c>
      <c r="C2713" s="888" t="s">
        <v>2601</v>
      </c>
    </row>
    <row r="2714" spans="1:6">
      <c r="A2714" s="888">
        <v>131</v>
      </c>
      <c r="B2714" s="888" t="s">
        <v>1138</v>
      </c>
      <c r="C2714" s="888" t="s">
        <v>1767</v>
      </c>
      <c r="D2714" s="889">
        <v>46050</v>
      </c>
      <c r="E2714" s="890">
        <v>0.58776620370370369</v>
      </c>
      <c r="F2714" s="890">
        <v>0.82047453703703699</v>
      </c>
    </row>
    <row r="2715" spans="1:6">
      <c r="A2715" s="888" t="s">
        <v>2602</v>
      </c>
      <c r="B2715" s="888" t="s">
        <v>2603</v>
      </c>
      <c r="C2715" s="888" t="s">
        <v>2604</v>
      </c>
    </row>
    <row r="2716" spans="1:6">
      <c r="A2716" s="888">
        <v>131</v>
      </c>
      <c r="B2716" s="888" t="s">
        <v>1138</v>
      </c>
      <c r="C2716" s="888" t="s">
        <v>1767</v>
      </c>
      <c r="D2716" s="889">
        <v>46051</v>
      </c>
      <c r="E2716" s="890">
        <v>0.38821759259259259</v>
      </c>
      <c r="F2716" s="890">
        <v>0.84098379629629627</v>
      </c>
    </row>
    <row r="2717" spans="1:6">
      <c r="A2717" s="888" t="s">
        <v>2605</v>
      </c>
      <c r="B2717" s="888" t="s">
        <v>2606</v>
      </c>
      <c r="C2717" s="888" t="s">
        <v>1887</v>
      </c>
    </row>
    <row r="2718" spans="1:6">
      <c r="A2718" s="888">
        <v>131</v>
      </c>
      <c r="B2718" s="888" t="s">
        <v>1138</v>
      </c>
      <c r="C2718" s="888" t="s">
        <v>1767</v>
      </c>
      <c r="D2718" s="889">
        <v>46052</v>
      </c>
      <c r="E2718" s="890">
        <v>0.42446759259259259</v>
      </c>
      <c r="F2718" s="890">
        <v>0.42450231481481482</v>
      </c>
    </row>
    <row r="2719" spans="1:6">
      <c r="A2719" s="888" t="s">
        <v>2607</v>
      </c>
      <c r="B2719" s="888" t="s">
        <v>2608</v>
      </c>
      <c r="C2719" s="888" t="s">
        <v>1259</v>
      </c>
    </row>
    <row r="2720" spans="1:6">
      <c r="A2720" s="888">
        <v>131</v>
      </c>
      <c r="B2720" s="888" t="s">
        <v>1138</v>
      </c>
      <c r="C2720" s="888" t="s">
        <v>1767</v>
      </c>
      <c r="D2720" s="889">
        <v>46053</v>
      </c>
      <c r="E2720" s="888" t="s">
        <v>310</v>
      </c>
      <c r="F2720" s="888" t="s">
        <v>310</v>
      </c>
    </row>
    <row r="2721" spans="1:6">
      <c r="A2721" s="888">
        <v>131</v>
      </c>
      <c r="B2721" s="888" t="s">
        <v>1138</v>
      </c>
      <c r="C2721" s="888" t="s">
        <v>1767</v>
      </c>
      <c r="D2721" s="889">
        <v>46054</v>
      </c>
      <c r="E2721" s="888" t="s">
        <v>310</v>
      </c>
      <c r="F2721" s="888" t="s">
        <v>310</v>
      </c>
    </row>
    <row r="2722" spans="1:6">
      <c r="A2722" s="888">
        <v>133</v>
      </c>
      <c r="B2722" s="888" t="s">
        <v>1139</v>
      </c>
      <c r="C2722" s="888" t="s">
        <v>1468</v>
      </c>
      <c r="D2722" s="889">
        <v>46023</v>
      </c>
      <c r="E2722" s="888" t="s">
        <v>310</v>
      </c>
      <c r="F2722" s="888" t="s">
        <v>310</v>
      </c>
    </row>
    <row r="2723" spans="1:6">
      <c r="A2723" s="888">
        <v>133</v>
      </c>
      <c r="B2723" s="888" t="s">
        <v>1139</v>
      </c>
      <c r="C2723" s="888" t="s">
        <v>1468</v>
      </c>
      <c r="D2723" s="889">
        <v>46024</v>
      </c>
      <c r="E2723" s="888" t="s">
        <v>310</v>
      </c>
      <c r="F2723" s="888" t="s">
        <v>310</v>
      </c>
    </row>
    <row r="2724" spans="1:6">
      <c r="A2724" s="888">
        <v>133</v>
      </c>
      <c r="B2724" s="888" t="s">
        <v>1139</v>
      </c>
      <c r="C2724" s="888" t="s">
        <v>1468</v>
      </c>
      <c r="D2724" s="889">
        <v>46025</v>
      </c>
      <c r="E2724" s="888" t="s">
        <v>310</v>
      </c>
      <c r="F2724" s="888" t="s">
        <v>310</v>
      </c>
    </row>
    <row r="2725" spans="1:6">
      <c r="A2725" s="888">
        <v>133</v>
      </c>
      <c r="B2725" s="888" t="s">
        <v>1139</v>
      </c>
      <c r="C2725" s="888" t="s">
        <v>1468</v>
      </c>
      <c r="D2725" s="889">
        <v>46026</v>
      </c>
      <c r="E2725" s="888" t="s">
        <v>310</v>
      </c>
      <c r="F2725" s="888" t="s">
        <v>310</v>
      </c>
    </row>
    <row r="2726" spans="1:6">
      <c r="A2726" s="888">
        <v>133</v>
      </c>
      <c r="B2726" s="888" t="s">
        <v>1139</v>
      </c>
      <c r="C2726" s="888" t="s">
        <v>1468</v>
      </c>
      <c r="D2726" s="889">
        <v>46027</v>
      </c>
      <c r="E2726" s="890">
        <v>0.91826388888888888</v>
      </c>
      <c r="F2726" s="888" t="s">
        <v>310</v>
      </c>
    </row>
    <row r="2727" spans="1:6">
      <c r="A2727" s="888" t="s">
        <v>2609</v>
      </c>
      <c r="B2727" s="888" t="s">
        <v>1258</v>
      </c>
      <c r="C2727" s="888" t="s">
        <v>1259</v>
      </c>
    </row>
    <row r="2728" spans="1:6">
      <c r="A2728" s="888">
        <v>133</v>
      </c>
      <c r="B2728" s="888" t="s">
        <v>1139</v>
      </c>
      <c r="C2728" s="888" t="s">
        <v>1468</v>
      </c>
      <c r="D2728" s="889">
        <v>46028</v>
      </c>
      <c r="E2728" s="888" t="s">
        <v>310</v>
      </c>
      <c r="F2728" s="888" t="s">
        <v>310</v>
      </c>
    </row>
    <row r="2729" spans="1:6">
      <c r="A2729" s="888">
        <v>133</v>
      </c>
      <c r="B2729" s="888" t="s">
        <v>1139</v>
      </c>
      <c r="C2729" s="888" t="s">
        <v>1468</v>
      </c>
      <c r="D2729" s="889">
        <v>46029</v>
      </c>
      <c r="E2729" s="890">
        <v>0.59327546296296296</v>
      </c>
      <c r="F2729" s="888" t="s">
        <v>310</v>
      </c>
    </row>
    <row r="2730" spans="1:6">
      <c r="A2730" s="888" t="s">
        <v>2610</v>
      </c>
      <c r="B2730" s="888" t="s">
        <v>1258</v>
      </c>
      <c r="C2730" s="888" t="s">
        <v>1259</v>
      </c>
    </row>
    <row r="2731" spans="1:6">
      <c r="A2731" s="888">
        <v>133</v>
      </c>
      <c r="B2731" s="888" t="s">
        <v>1139</v>
      </c>
      <c r="C2731" s="888" t="s">
        <v>1468</v>
      </c>
      <c r="D2731" s="889">
        <v>46030</v>
      </c>
      <c r="E2731" s="888" t="s">
        <v>310</v>
      </c>
      <c r="F2731" s="888" t="s">
        <v>310</v>
      </c>
    </row>
    <row r="2732" spans="1:6">
      <c r="A2732" s="888">
        <v>133</v>
      </c>
      <c r="B2732" s="888" t="s">
        <v>1139</v>
      </c>
      <c r="C2732" s="888" t="s">
        <v>1468</v>
      </c>
      <c r="D2732" s="889">
        <v>46031</v>
      </c>
      <c r="E2732" s="888" t="s">
        <v>310</v>
      </c>
      <c r="F2732" s="888" t="s">
        <v>310</v>
      </c>
    </row>
    <row r="2733" spans="1:6">
      <c r="A2733" s="888">
        <v>133</v>
      </c>
      <c r="B2733" s="888" t="s">
        <v>1139</v>
      </c>
      <c r="C2733" s="888" t="s">
        <v>1468</v>
      </c>
      <c r="D2733" s="889">
        <v>46032</v>
      </c>
      <c r="E2733" s="888" t="s">
        <v>310</v>
      </c>
      <c r="F2733" s="888" t="s">
        <v>310</v>
      </c>
    </row>
    <row r="2734" spans="1:6">
      <c r="A2734" s="888">
        <v>133</v>
      </c>
      <c r="B2734" s="888" t="s">
        <v>1139</v>
      </c>
      <c r="C2734" s="888" t="s">
        <v>1468</v>
      </c>
      <c r="D2734" s="889">
        <v>46033</v>
      </c>
      <c r="E2734" s="888" t="s">
        <v>310</v>
      </c>
      <c r="F2734" s="888" t="s">
        <v>310</v>
      </c>
    </row>
    <row r="2735" spans="1:6">
      <c r="A2735" s="888">
        <v>133</v>
      </c>
      <c r="B2735" s="888" t="s">
        <v>1139</v>
      </c>
      <c r="C2735" s="888" t="s">
        <v>1468</v>
      </c>
      <c r="D2735" s="889">
        <v>46034</v>
      </c>
      <c r="E2735" s="890">
        <v>0.64284722222222224</v>
      </c>
      <c r="F2735" s="890">
        <v>0.6431365740740741</v>
      </c>
    </row>
    <row r="2736" spans="1:6">
      <c r="A2736" s="888" t="s">
        <v>2611</v>
      </c>
      <c r="B2736" s="888" t="s">
        <v>2612</v>
      </c>
      <c r="C2736" s="888" t="s">
        <v>1259</v>
      </c>
    </row>
    <row r="2737" spans="1:6">
      <c r="A2737" s="888">
        <v>133</v>
      </c>
      <c r="B2737" s="888" t="s">
        <v>1139</v>
      </c>
      <c r="C2737" s="888" t="s">
        <v>1468</v>
      </c>
      <c r="D2737" s="889">
        <v>46035</v>
      </c>
      <c r="E2737" s="888" t="s">
        <v>310</v>
      </c>
      <c r="F2737" s="888" t="s">
        <v>310</v>
      </c>
    </row>
    <row r="2738" spans="1:6">
      <c r="A2738" s="888">
        <v>133</v>
      </c>
      <c r="B2738" s="888" t="s">
        <v>1139</v>
      </c>
      <c r="C2738" s="888" t="s">
        <v>1468</v>
      </c>
      <c r="D2738" s="889">
        <v>46036</v>
      </c>
      <c r="E2738" s="890">
        <v>0.5019675925925926</v>
      </c>
      <c r="F2738" s="888" t="s">
        <v>310</v>
      </c>
    </row>
    <row r="2739" spans="1:6">
      <c r="A2739" s="888" t="s">
        <v>2613</v>
      </c>
      <c r="B2739" s="888" t="s">
        <v>1258</v>
      </c>
      <c r="C2739" s="888" t="s">
        <v>1259</v>
      </c>
    </row>
    <row r="2740" spans="1:6">
      <c r="A2740" s="888">
        <v>133</v>
      </c>
      <c r="B2740" s="888" t="s">
        <v>1139</v>
      </c>
      <c r="C2740" s="888" t="s">
        <v>1468</v>
      </c>
      <c r="D2740" s="889">
        <v>46037</v>
      </c>
      <c r="E2740" s="890">
        <v>0.79493055555555558</v>
      </c>
      <c r="F2740" s="888" t="s">
        <v>310</v>
      </c>
    </row>
    <row r="2741" spans="1:6">
      <c r="A2741" s="888" t="s">
        <v>2614</v>
      </c>
      <c r="B2741" s="888" t="s">
        <v>1258</v>
      </c>
      <c r="C2741" s="888" t="s">
        <v>1259</v>
      </c>
    </row>
    <row r="2742" spans="1:6">
      <c r="A2742" s="888">
        <v>133</v>
      </c>
      <c r="B2742" s="888" t="s">
        <v>1139</v>
      </c>
      <c r="C2742" s="888" t="s">
        <v>1468</v>
      </c>
      <c r="D2742" s="889">
        <v>46038</v>
      </c>
      <c r="E2742" s="890">
        <v>0.52193287037037039</v>
      </c>
      <c r="F2742" s="890">
        <v>0.52262731481481484</v>
      </c>
    </row>
    <row r="2743" spans="1:6">
      <c r="A2743" s="888" t="s">
        <v>2615</v>
      </c>
      <c r="B2743" s="888" t="s">
        <v>2616</v>
      </c>
      <c r="C2743" s="888" t="s">
        <v>1570</v>
      </c>
    </row>
    <row r="2744" spans="1:6">
      <c r="A2744" s="888">
        <v>133</v>
      </c>
      <c r="B2744" s="888" t="s">
        <v>1139</v>
      </c>
      <c r="C2744" s="888" t="s">
        <v>1468</v>
      </c>
      <c r="D2744" s="889">
        <v>46039</v>
      </c>
      <c r="E2744" s="888" t="s">
        <v>310</v>
      </c>
      <c r="F2744" s="888" t="s">
        <v>310</v>
      </c>
    </row>
    <row r="2745" spans="1:6">
      <c r="A2745" s="888">
        <v>133</v>
      </c>
      <c r="B2745" s="888" t="s">
        <v>1139</v>
      </c>
      <c r="C2745" s="888" t="s">
        <v>1468</v>
      </c>
      <c r="D2745" s="889">
        <v>46040</v>
      </c>
      <c r="E2745" s="888" t="s">
        <v>310</v>
      </c>
      <c r="F2745" s="888" t="s">
        <v>310</v>
      </c>
    </row>
    <row r="2746" spans="1:6">
      <c r="A2746" s="888">
        <v>133</v>
      </c>
      <c r="B2746" s="888" t="s">
        <v>1139</v>
      </c>
      <c r="C2746" s="888" t="s">
        <v>1468</v>
      </c>
      <c r="D2746" s="889">
        <v>46041</v>
      </c>
      <c r="E2746" s="888" t="s">
        <v>310</v>
      </c>
      <c r="F2746" s="888" t="s">
        <v>310</v>
      </c>
    </row>
    <row r="2747" spans="1:6">
      <c r="A2747" s="888">
        <v>133</v>
      </c>
      <c r="B2747" s="888" t="s">
        <v>1139</v>
      </c>
      <c r="C2747" s="888" t="s">
        <v>1468</v>
      </c>
      <c r="D2747" s="889">
        <v>46042</v>
      </c>
      <c r="E2747" s="888" t="s">
        <v>310</v>
      </c>
      <c r="F2747" s="888" t="s">
        <v>310</v>
      </c>
    </row>
    <row r="2748" spans="1:6">
      <c r="A2748" s="888">
        <v>133</v>
      </c>
      <c r="B2748" s="888" t="s">
        <v>1139</v>
      </c>
      <c r="C2748" s="888" t="s">
        <v>1468</v>
      </c>
      <c r="D2748" s="889">
        <v>46043</v>
      </c>
      <c r="E2748" s="888" t="s">
        <v>310</v>
      </c>
      <c r="F2748" s="888" t="s">
        <v>310</v>
      </c>
    </row>
    <row r="2749" spans="1:6">
      <c r="A2749" s="888">
        <v>133</v>
      </c>
      <c r="B2749" s="888" t="s">
        <v>1139</v>
      </c>
      <c r="C2749" s="888" t="s">
        <v>1468</v>
      </c>
      <c r="D2749" s="889">
        <v>46044</v>
      </c>
      <c r="E2749" s="888" t="s">
        <v>310</v>
      </c>
      <c r="F2749" s="888" t="s">
        <v>310</v>
      </c>
    </row>
    <row r="2750" spans="1:6">
      <c r="A2750" s="888">
        <v>133</v>
      </c>
      <c r="B2750" s="888" t="s">
        <v>1139</v>
      </c>
      <c r="C2750" s="888" t="s">
        <v>1468</v>
      </c>
      <c r="D2750" s="889">
        <v>46045</v>
      </c>
      <c r="E2750" s="888" t="s">
        <v>310</v>
      </c>
      <c r="F2750" s="888" t="s">
        <v>310</v>
      </c>
    </row>
    <row r="2751" spans="1:6">
      <c r="A2751" s="888">
        <v>133</v>
      </c>
      <c r="B2751" s="888" t="s">
        <v>1139</v>
      </c>
      <c r="C2751" s="888" t="s">
        <v>1468</v>
      </c>
      <c r="D2751" s="889">
        <v>46046</v>
      </c>
      <c r="E2751" s="888" t="s">
        <v>310</v>
      </c>
      <c r="F2751" s="888" t="s">
        <v>310</v>
      </c>
    </row>
    <row r="2752" spans="1:6">
      <c r="A2752" s="888">
        <v>133</v>
      </c>
      <c r="B2752" s="888" t="s">
        <v>1139</v>
      </c>
      <c r="C2752" s="888" t="s">
        <v>1468</v>
      </c>
      <c r="D2752" s="889">
        <v>46047</v>
      </c>
      <c r="E2752" s="888" t="s">
        <v>310</v>
      </c>
      <c r="F2752" s="888" t="s">
        <v>310</v>
      </c>
    </row>
    <row r="2753" spans="1:6">
      <c r="A2753" s="888">
        <v>133</v>
      </c>
      <c r="B2753" s="888" t="s">
        <v>1139</v>
      </c>
      <c r="C2753" s="888" t="s">
        <v>1468</v>
      </c>
      <c r="D2753" s="889">
        <v>46048</v>
      </c>
      <c r="E2753" s="890">
        <v>0.87718750000000001</v>
      </c>
      <c r="F2753" s="888" t="s">
        <v>310</v>
      </c>
    </row>
    <row r="2754" spans="1:6">
      <c r="A2754" s="888" t="s">
        <v>2617</v>
      </c>
      <c r="B2754" s="888" t="s">
        <v>1258</v>
      </c>
      <c r="C2754" s="888" t="s">
        <v>1259</v>
      </c>
    </row>
    <row r="2755" spans="1:6">
      <c r="A2755" s="888">
        <v>133</v>
      </c>
      <c r="B2755" s="888" t="s">
        <v>1139</v>
      </c>
      <c r="C2755" s="888" t="s">
        <v>1468</v>
      </c>
      <c r="D2755" s="889">
        <v>46049</v>
      </c>
      <c r="E2755" s="890">
        <v>0.46273148148148147</v>
      </c>
      <c r="F2755" s="888" t="s">
        <v>310</v>
      </c>
    </row>
    <row r="2756" spans="1:6">
      <c r="A2756" s="888" t="s">
        <v>2618</v>
      </c>
      <c r="B2756" s="888" t="s">
        <v>1258</v>
      </c>
      <c r="C2756" s="888" t="s">
        <v>1259</v>
      </c>
    </row>
    <row r="2757" spans="1:6">
      <c r="A2757" s="888">
        <v>133</v>
      </c>
      <c r="B2757" s="888" t="s">
        <v>1139</v>
      </c>
      <c r="C2757" s="888" t="s">
        <v>1468</v>
      </c>
      <c r="D2757" s="889">
        <v>46050</v>
      </c>
      <c r="E2757" s="888" t="s">
        <v>310</v>
      </c>
      <c r="F2757" s="888" t="s">
        <v>310</v>
      </c>
    </row>
    <row r="2758" spans="1:6">
      <c r="A2758" s="888">
        <v>133</v>
      </c>
      <c r="B2758" s="888" t="s">
        <v>1139</v>
      </c>
      <c r="C2758" s="888" t="s">
        <v>1468</v>
      </c>
      <c r="D2758" s="889">
        <v>46051</v>
      </c>
      <c r="E2758" s="890">
        <v>0.54212962962962963</v>
      </c>
      <c r="F2758" s="890">
        <v>0.84224537037037039</v>
      </c>
    </row>
    <row r="2759" spans="1:6">
      <c r="A2759" s="888" t="s">
        <v>2619</v>
      </c>
      <c r="B2759" s="888" t="s">
        <v>2620</v>
      </c>
      <c r="C2759" s="888" t="s">
        <v>2621</v>
      </c>
    </row>
    <row r="2760" spans="1:6">
      <c r="A2760" s="888">
        <v>133</v>
      </c>
      <c r="B2760" s="888" t="s">
        <v>1139</v>
      </c>
      <c r="C2760" s="888" t="s">
        <v>1468</v>
      </c>
      <c r="D2760" s="889">
        <v>46052</v>
      </c>
      <c r="E2760" s="888" t="s">
        <v>310</v>
      </c>
      <c r="F2760" s="888" t="s">
        <v>310</v>
      </c>
    </row>
    <row r="2761" spans="1:6">
      <c r="A2761" s="888">
        <v>133</v>
      </c>
      <c r="B2761" s="888" t="s">
        <v>1139</v>
      </c>
      <c r="C2761" s="888" t="s">
        <v>1468</v>
      </c>
      <c r="D2761" s="889">
        <v>46053</v>
      </c>
      <c r="E2761" s="888" t="s">
        <v>310</v>
      </c>
      <c r="F2761" s="888" t="s">
        <v>310</v>
      </c>
    </row>
    <row r="2762" spans="1:6">
      <c r="A2762" s="888">
        <v>133</v>
      </c>
      <c r="B2762" s="888" t="s">
        <v>1139</v>
      </c>
      <c r="C2762" s="888" t="s">
        <v>1468</v>
      </c>
      <c r="D2762" s="889">
        <v>46054</v>
      </c>
      <c r="E2762" s="888" t="s">
        <v>310</v>
      </c>
      <c r="F2762" s="888" t="s">
        <v>310</v>
      </c>
    </row>
    <row r="2763" spans="1:6">
      <c r="A2763" s="888">
        <v>136</v>
      </c>
      <c r="B2763" s="888" t="s">
        <v>1140</v>
      </c>
      <c r="C2763" s="888" t="s">
        <v>1767</v>
      </c>
      <c r="D2763" s="889">
        <v>46023</v>
      </c>
      <c r="E2763" s="888" t="s">
        <v>310</v>
      </c>
      <c r="F2763" s="888" t="s">
        <v>310</v>
      </c>
    </row>
    <row r="2764" spans="1:6">
      <c r="A2764" s="888">
        <v>136</v>
      </c>
      <c r="B2764" s="888" t="s">
        <v>1140</v>
      </c>
      <c r="C2764" s="888" t="s">
        <v>1767</v>
      </c>
      <c r="D2764" s="889">
        <v>46024</v>
      </c>
      <c r="E2764" s="888" t="s">
        <v>310</v>
      </c>
      <c r="F2764" s="888" t="s">
        <v>310</v>
      </c>
    </row>
    <row r="2765" spans="1:6">
      <c r="A2765" s="888">
        <v>136</v>
      </c>
      <c r="B2765" s="888" t="s">
        <v>1140</v>
      </c>
      <c r="C2765" s="888" t="s">
        <v>1767</v>
      </c>
      <c r="D2765" s="889">
        <v>46025</v>
      </c>
      <c r="E2765" s="888" t="s">
        <v>310</v>
      </c>
      <c r="F2765" s="888" t="s">
        <v>310</v>
      </c>
    </row>
    <row r="2766" spans="1:6">
      <c r="A2766" s="888">
        <v>136</v>
      </c>
      <c r="B2766" s="888" t="s">
        <v>1140</v>
      </c>
      <c r="C2766" s="888" t="s">
        <v>1767</v>
      </c>
      <c r="D2766" s="889">
        <v>46026</v>
      </c>
      <c r="E2766" s="888" t="s">
        <v>310</v>
      </c>
      <c r="F2766" s="888" t="s">
        <v>310</v>
      </c>
    </row>
    <row r="2767" spans="1:6">
      <c r="A2767" s="888">
        <v>136</v>
      </c>
      <c r="B2767" s="888" t="s">
        <v>1140</v>
      </c>
      <c r="C2767" s="888" t="s">
        <v>1767</v>
      </c>
      <c r="D2767" s="889">
        <v>46027</v>
      </c>
      <c r="E2767" s="890">
        <v>0.3517939814814815</v>
      </c>
      <c r="F2767" s="890">
        <v>0.81010416666666663</v>
      </c>
    </row>
    <row r="2768" spans="1:6">
      <c r="A2768" s="888" t="s">
        <v>2622</v>
      </c>
      <c r="B2768" s="888" t="s">
        <v>2623</v>
      </c>
      <c r="C2768" s="888" t="s">
        <v>2624</v>
      </c>
    </row>
    <row r="2769" spans="1:6">
      <c r="A2769" s="888">
        <v>136</v>
      </c>
      <c r="B2769" s="888" t="s">
        <v>1140</v>
      </c>
      <c r="C2769" s="888" t="s">
        <v>1767</v>
      </c>
      <c r="D2769" s="889">
        <v>46028</v>
      </c>
      <c r="E2769" s="890">
        <v>0.40091435185185187</v>
      </c>
      <c r="F2769" s="890">
        <v>0.62326388888888884</v>
      </c>
    </row>
    <row r="2770" spans="1:6">
      <c r="A2770" s="888" t="s">
        <v>2625</v>
      </c>
      <c r="B2770" s="888" t="s">
        <v>2626</v>
      </c>
      <c r="C2770" s="888" t="s">
        <v>2627</v>
      </c>
    </row>
    <row r="2771" spans="1:6">
      <c r="A2771" s="888">
        <v>136</v>
      </c>
      <c r="B2771" s="888" t="s">
        <v>1140</v>
      </c>
      <c r="C2771" s="888" t="s">
        <v>1767</v>
      </c>
      <c r="D2771" s="889">
        <v>46029</v>
      </c>
      <c r="E2771" s="890">
        <v>0.37784722222222222</v>
      </c>
      <c r="F2771" s="890">
        <v>0.78931712962962963</v>
      </c>
    </row>
    <row r="2772" spans="1:6">
      <c r="A2772" s="888" t="s">
        <v>2628</v>
      </c>
      <c r="B2772" s="888" t="s">
        <v>2629</v>
      </c>
      <c r="C2772" s="888" t="s">
        <v>1369</v>
      </c>
    </row>
    <row r="2773" spans="1:6">
      <c r="A2773" s="888">
        <v>136</v>
      </c>
      <c r="B2773" s="888" t="s">
        <v>1140</v>
      </c>
      <c r="C2773" s="888" t="s">
        <v>1767</v>
      </c>
      <c r="D2773" s="889">
        <v>46030</v>
      </c>
      <c r="E2773" s="890">
        <v>0.39322916666666669</v>
      </c>
      <c r="F2773" s="890">
        <v>0.80192129629629627</v>
      </c>
    </row>
    <row r="2774" spans="1:6">
      <c r="A2774" s="888" t="s">
        <v>2630</v>
      </c>
      <c r="B2774" s="888" t="s">
        <v>2631</v>
      </c>
      <c r="C2774" s="888" t="s">
        <v>1372</v>
      </c>
    </row>
    <row r="2775" spans="1:6">
      <c r="A2775" s="888">
        <v>136</v>
      </c>
      <c r="B2775" s="888" t="s">
        <v>1140</v>
      </c>
      <c r="C2775" s="888" t="s">
        <v>1767</v>
      </c>
      <c r="D2775" s="889">
        <v>46031</v>
      </c>
      <c r="E2775" s="890">
        <v>0.3666550925925926</v>
      </c>
      <c r="F2775" s="890">
        <v>0.80402777777777779</v>
      </c>
    </row>
    <row r="2776" spans="1:6">
      <c r="A2776" s="888" t="s">
        <v>2632</v>
      </c>
      <c r="B2776" s="888" t="s">
        <v>2633</v>
      </c>
      <c r="C2776" s="888" t="s">
        <v>2634</v>
      </c>
    </row>
    <row r="2777" spans="1:6">
      <c r="A2777" s="888">
        <v>136</v>
      </c>
      <c r="B2777" s="888" t="s">
        <v>1140</v>
      </c>
      <c r="C2777" s="888" t="s">
        <v>1767</v>
      </c>
      <c r="D2777" s="889">
        <v>46032</v>
      </c>
      <c r="E2777" s="890">
        <v>0.39273148148148146</v>
      </c>
      <c r="F2777" s="890">
        <v>0.78182870370370372</v>
      </c>
    </row>
    <row r="2778" spans="1:6">
      <c r="A2778" s="888" t="s">
        <v>2635</v>
      </c>
      <c r="B2778" s="888" t="s">
        <v>2636</v>
      </c>
      <c r="C2778" s="888" t="s">
        <v>2232</v>
      </c>
    </row>
    <row r="2779" spans="1:6">
      <c r="A2779" s="888">
        <v>136</v>
      </c>
      <c r="B2779" s="888" t="s">
        <v>1140</v>
      </c>
      <c r="C2779" s="888" t="s">
        <v>1767</v>
      </c>
      <c r="D2779" s="889">
        <v>46033</v>
      </c>
      <c r="E2779" s="888" t="s">
        <v>310</v>
      </c>
      <c r="F2779" s="888" t="s">
        <v>310</v>
      </c>
    </row>
    <row r="2780" spans="1:6">
      <c r="A2780" s="888">
        <v>136</v>
      </c>
      <c r="B2780" s="888" t="s">
        <v>1140</v>
      </c>
      <c r="C2780" s="888" t="s">
        <v>1767</v>
      </c>
      <c r="D2780" s="889">
        <v>46034</v>
      </c>
      <c r="E2780" s="890">
        <v>0.38828703703703704</v>
      </c>
      <c r="F2780" s="890">
        <v>0.80854166666666671</v>
      </c>
    </row>
    <row r="2781" spans="1:6">
      <c r="A2781" s="888" t="s">
        <v>2637</v>
      </c>
      <c r="B2781" s="888" t="s">
        <v>2638</v>
      </c>
      <c r="C2781" s="888" t="s">
        <v>2639</v>
      </c>
    </row>
    <row r="2782" spans="1:6">
      <c r="A2782" s="888">
        <v>136</v>
      </c>
      <c r="B2782" s="888" t="s">
        <v>1140</v>
      </c>
      <c r="C2782" s="888" t="s">
        <v>1767</v>
      </c>
      <c r="D2782" s="889">
        <v>46035</v>
      </c>
      <c r="E2782" s="890">
        <v>0.35297453703703702</v>
      </c>
      <c r="F2782" s="890">
        <v>0.77309027777777772</v>
      </c>
    </row>
    <row r="2783" spans="1:6">
      <c r="A2783" s="888" t="s">
        <v>2640</v>
      </c>
      <c r="B2783" s="888" t="s">
        <v>2641</v>
      </c>
      <c r="C2783" s="888" t="s">
        <v>2639</v>
      </c>
    </row>
    <row r="2784" spans="1:6">
      <c r="A2784" s="888">
        <v>136</v>
      </c>
      <c r="B2784" s="888" t="s">
        <v>1140</v>
      </c>
      <c r="C2784" s="888" t="s">
        <v>1767</v>
      </c>
      <c r="D2784" s="889">
        <v>46036</v>
      </c>
      <c r="E2784" s="890">
        <v>0.38366898148148149</v>
      </c>
      <c r="F2784" s="890">
        <v>0.75523148148148145</v>
      </c>
    </row>
    <row r="2785" spans="1:6">
      <c r="A2785" s="888" t="s">
        <v>2642</v>
      </c>
      <c r="B2785" s="888" t="s">
        <v>2643</v>
      </c>
      <c r="C2785" s="888" t="s">
        <v>2000</v>
      </c>
    </row>
    <row r="2786" spans="1:6">
      <c r="A2786" s="888">
        <v>136</v>
      </c>
      <c r="B2786" s="888" t="s">
        <v>1140</v>
      </c>
      <c r="C2786" s="888" t="s">
        <v>1767</v>
      </c>
      <c r="D2786" s="889">
        <v>46037</v>
      </c>
      <c r="E2786" s="890">
        <v>0.57332175925925921</v>
      </c>
      <c r="F2786" s="890">
        <v>0.79541666666666666</v>
      </c>
    </row>
    <row r="2787" spans="1:6">
      <c r="A2787" s="888" t="s">
        <v>2644</v>
      </c>
      <c r="B2787" s="888" t="s">
        <v>2645</v>
      </c>
      <c r="C2787" s="888" t="s">
        <v>2627</v>
      </c>
    </row>
    <row r="2788" spans="1:6">
      <c r="A2788" s="888">
        <v>136</v>
      </c>
      <c r="B2788" s="888" t="s">
        <v>1140</v>
      </c>
      <c r="C2788" s="888" t="s">
        <v>1767</v>
      </c>
      <c r="D2788" s="889">
        <v>46038</v>
      </c>
      <c r="E2788" s="890">
        <v>0.37290509259259258</v>
      </c>
      <c r="F2788" s="890">
        <v>0.76103009259259258</v>
      </c>
    </row>
    <row r="2789" spans="1:6">
      <c r="A2789" s="888" t="s">
        <v>2646</v>
      </c>
      <c r="B2789" s="888" t="s">
        <v>2647</v>
      </c>
      <c r="C2789" s="888" t="s">
        <v>1484</v>
      </c>
    </row>
    <row r="2790" spans="1:6">
      <c r="A2790" s="888">
        <v>136</v>
      </c>
      <c r="B2790" s="888" t="s">
        <v>1140</v>
      </c>
      <c r="C2790" s="888" t="s">
        <v>1767</v>
      </c>
      <c r="D2790" s="889">
        <v>46039</v>
      </c>
      <c r="E2790" s="888" t="s">
        <v>310</v>
      </c>
      <c r="F2790" s="888" t="s">
        <v>310</v>
      </c>
    </row>
    <row r="2791" spans="1:6">
      <c r="A2791" s="888">
        <v>136</v>
      </c>
      <c r="B2791" s="888" t="s">
        <v>1140</v>
      </c>
      <c r="C2791" s="888" t="s">
        <v>1767</v>
      </c>
      <c r="D2791" s="889">
        <v>46040</v>
      </c>
      <c r="E2791" s="888" t="s">
        <v>310</v>
      </c>
      <c r="F2791" s="888" t="s">
        <v>310</v>
      </c>
    </row>
    <row r="2792" spans="1:6">
      <c r="A2792" s="888">
        <v>136</v>
      </c>
      <c r="B2792" s="888" t="s">
        <v>1140</v>
      </c>
      <c r="C2792" s="888" t="s">
        <v>1767</v>
      </c>
      <c r="D2792" s="889">
        <v>46041</v>
      </c>
      <c r="E2792" s="890">
        <v>0.37649305555555557</v>
      </c>
      <c r="F2792" s="890">
        <v>0.76392361111111107</v>
      </c>
    </row>
    <row r="2793" spans="1:6">
      <c r="A2793" s="888" t="s">
        <v>2648</v>
      </c>
      <c r="B2793" s="888" t="s">
        <v>2649</v>
      </c>
      <c r="C2793" s="888" t="s">
        <v>1410</v>
      </c>
    </row>
    <row r="2794" spans="1:6">
      <c r="A2794" s="888">
        <v>136</v>
      </c>
      <c r="B2794" s="888" t="s">
        <v>1140</v>
      </c>
      <c r="C2794" s="888" t="s">
        <v>1767</v>
      </c>
      <c r="D2794" s="889">
        <v>46042</v>
      </c>
      <c r="E2794" s="890">
        <v>0.38246527777777778</v>
      </c>
      <c r="F2794" s="890">
        <v>0.75605324074074076</v>
      </c>
    </row>
    <row r="2795" spans="1:6">
      <c r="A2795" s="888" t="s">
        <v>2650</v>
      </c>
      <c r="B2795" s="888" t="s">
        <v>2651</v>
      </c>
      <c r="C2795" s="888" t="s">
        <v>1326</v>
      </c>
    </row>
    <row r="2796" spans="1:6">
      <c r="A2796" s="888">
        <v>136</v>
      </c>
      <c r="B2796" s="888" t="s">
        <v>1140</v>
      </c>
      <c r="C2796" s="888" t="s">
        <v>1767</v>
      </c>
      <c r="D2796" s="889">
        <v>46043</v>
      </c>
      <c r="E2796" s="890">
        <v>0.38354166666666667</v>
      </c>
      <c r="F2796" s="890">
        <v>0.70887731481481486</v>
      </c>
    </row>
    <row r="2797" spans="1:6">
      <c r="A2797" s="888" t="s">
        <v>2652</v>
      </c>
      <c r="B2797" s="888" t="s">
        <v>2653</v>
      </c>
      <c r="C2797" s="888" t="s">
        <v>2566</v>
      </c>
    </row>
    <row r="2798" spans="1:6">
      <c r="A2798" s="888">
        <v>136</v>
      </c>
      <c r="B2798" s="888" t="s">
        <v>1140</v>
      </c>
      <c r="C2798" s="888" t="s">
        <v>1767</v>
      </c>
      <c r="D2798" s="889">
        <v>46044</v>
      </c>
      <c r="E2798" s="890">
        <v>0.40651620370370373</v>
      </c>
      <c r="F2798" s="890">
        <v>0.7868518518518518</v>
      </c>
    </row>
    <row r="2799" spans="1:6">
      <c r="A2799" s="888" t="s">
        <v>2654</v>
      </c>
      <c r="B2799" s="888" t="s">
        <v>2655</v>
      </c>
      <c r="C2799" s="888" t="s">
        <v>1311</v>
      </c>
    </row>
    <row r="2800" spans="1:6">
      <c r="A2800" s="888">
        <v>136</v>
      </c>
      <c r="B2800" s="888" t="s">
        <v>1140</v>
      </c>
      <c r="C2800" s="888" t="s">
        <v>1767</v>
      </c>
      <c r="D2800" s="889">
        <v>46045</v>
      </c>
      <c r="E2800" s="890">
        <v>0.39123842592592595</v>
      </c>
      <c r="F2800" s="890">
        <v>0.71832175925925923</v>
      </c>
    </row>
    <row r="2801" spans="1:6">
      <c r="A2801" s="888" t="s">
        <v>2656</v>
      </c>
      <c r="B2801" s="888" t="s">
        <v>2657</v>
      </c>
      <c r="C2801" s="888" t="s">
        <v>2658</v>
      </c>
    </row>
    <row r="2802" spans="1:6">
      <c r="A2802" s="888">
        <v>136</v>
      </c>
      <c r="B2802" s="888" t="s">
        <v>1140</v>
      </c>
      <c r="C2802" s="888" t="s">
        <v>1767</v>
      </c>
      <c r="D2802" s="889">
        <v>46046</v>
      </c>
      <c r="E2802" s="888" t="s">
        <v>310</v>
      </c>
      <c r="F2802" s="888" t="s">
        <v>310</v>
      </c>
    </row>
    <row r="2803" spans="1:6">
      <c r="A2803" s="888">
        <v>136</v>
      </c>
      <c r="B2803" s="888" t="s">
        <v>1140</v>
      </c>
      <c r="C2803" s="888" t="s">
        <v>1767</v>
      </c>
      <c r="D2803" s="889">
        <v>46047</v>
      </c>
      <c r="E2803" s="888" t="s">
        <v>310</v>
      </c>
      <c r="F2803" s="888" t="s">
        <v>310</v>
      </c>
    </row>
    <row r="2804" spans="1:6">
      <c r="A2804" s="888">
        <v>136</v>
      </c>
      <c r="B2804" s="888" t="s">
        <v>1140</v>
      </c>
      <c r="C2804" s="888" t="s">
        <v>1767</v>
      </c>
      <c r="D2804" s="889">
        <v>46048</v>
      </c>
      <c r="E2804" s="890">
        <v>0.39143518518518516</v>
      </c>
      <c r="F2804" s="890">
        <v>0.76471064814814815</v>
      </c>
    </row>
    <row r="2805" spans="1:6">
      <c r="A2805" s="888" t="s">
        <v>2659</v>
      </c>
      <c r="B2805" s="888" t="s">
        <v>2660</v>
      </c>
      <c r="C2805" s="888" t="s">
        <v>1326</v>
      </c>
    </row>
    <row r="2806" spans="1:6">
      <c r="A2806" s="888">
        <v>136</v>
      </c>
      <c r="B2806" s="888" t="s">
        <v>1140</v>
      </c>
      <c r="C2806" s="888" t="s">
        <v>1767</v>
      </c>
      <c r="D2806" s="889">
        <v>46049</v>
      </c>
      <c r="E2806" s="890">
        <v>0.38841435185185186</v>
      </c>
      <c r="F2806" s="890">
        <v>0.75966435185185188</v>
      </c>
    </row>
    <row r="2807" spans="1:6">
      <c r="A2807" s="888" t="s">
        <v>2661</v>
      </c>
      <c r="B2807" s="888" t="s">
        <v>2662</v>
      </c>
      <c r="C2807" s="888" t="s">
        <v>2000</v>
      </c>
    </row>
    <row r="2808" spans="1:6">
      <c r="A2808" s="888">
        <v>136</v>
      </c>
      <c r="B2808" s="888" t="s">
        <v>1140</v>
      </c>
      <c r="C2808" s="888" t="s">
        <v>1767</v>
      </c>
      <c r="D2808" s="889">
        <v>46050</v>
      </c>
      <c r="E2808" s="890">
        <v>0.39788194444444447</v>
      </c>
      <c r="F2808" s="890">
        <v>0.78576388888888893</v>
      </c>
    </row>
    <row r="2809" spans="1:6">
      <c r="A2809" s="888" t="s">
        <v>2663</v>
      </c>
      <c r="B2809" s="888" t="s">
        <v>2664</v>
      </c>
      <c r="C2809" s="888" t="s">
        <v>1484</v>
      </c>
    </row>
    <row r="2810" spans="1:6">
      <c r="A2810" s="888">
        <v>136</v>
      </c>
      <c r="B2810" s="888" t="s">
        <v>1140</v>
      </c>
      <c r="C2810" s="888" t="s">
        <v>1767</v>
      </c>
      <c r="D2810" s="889">
        <v>46051</v>
      </c>
      <c r="E2810" s="890">
        <v>0.37578703703703703</v>
      </c>
      <c r="F2810" s="890">
        <v>0.76473379629629634</v>
      </c>
    </row>
    <row r="2811" spans="1:6">
      <c r="A2811" s="888" t="s">
        <v>2665</v>
      </c>
      <c r="B2811" s="888" t="s">
        <v>2666</v>
      </c>
      <c r="C2811" s="888" t="s">
        <v>2232</v>
      </c>
    </row>
    <row r="2812" spans="1:6">
      <c r="A2812" s="888">
        <v>136</v>
      </c>
      <c r="B2812" s="888" t="s">
        <v>1140</v>
      </c>
      <c r="C2812" s="888" t="s">
        <v>1767</v>
      </c>
      <c r="D2812" s="889">
        <v>46052</v>
      </c>
      <c r="E2812" s="890">
        <v>0.39363425925925927</v>
      </c>
      <c r="F2812" s="890">
        <v>0.76188657407407412</v>
      </c>
    </row>
    <row r="2813" spans="1:6">
      <c r="A2813" s="888" t="s">
        <v>2667</v>
      </c>
      <c r="B2813" s="888" t="s">
        <v>2668</v>
      </c>
      <c r="C2813" s="888" t="s">
        <v>1926</v>
      </c>
    </row>
    <row r="2814" spans="1:6">
      <c r="A2814" s="888">
        <v>136</v>
      </c>
      <c r="B2814" s="888" t="s">
        <v>1140</v>
      </c>
      <c r="C2814" s="888" t="s">
        <v>1767</v>
      </c>
      <c r="D2814" s="889">
        <v>46053</v>
      </c>
      <c r="E2814" s="888" t="s">
        <v>310</v>
      </c>
      <c r="F2814" s="888" t="s">
        <v>310</v>
      </c>
    </row>
    <row r="2815" spans="1:6">
      <c r="A2815" s="888">
        <v>136</v>
      </c>
      <c r="B2815" s="888" t="s">
        <v>1140</v>
      </c>
      <c r="C2815" s="888" t="s">
        <v>1767</v>
      </c>
      <c r="D2815" s="889">
        <v>46054</v>
      </c>
      <c r="E2815" s="888" t="s">
        <v>310</v>
      </c>
      <c r="F2815" s="888" t="s">
        <v>310</v>
      </c>
    </row>
    <row r="2816" spans="1:6">
      <c r="A2816" s="888">
        <v>137</v>
      </c>
      <c r="B2816" s="888" t="s">
        <v>1141</v>
      </c>
      <c r="C2816" s="888" t="s">
        <v>147</v>
      </c>
      <c r="D2816" s="889">
        <v>46023</v>
      </c>
      <c r="E2816" s="888" t="s">
        <v>310</v>
      </c>
      <c r="F2816" s="888" t="s">
        <v>310</v>
      </c>
    </row>
    <row r="2817" spans="1:6">
      <c r="A2817" s="888">
        <v>137</v>
      </c>
      <c r="B2817" s="888" t="s">
        <v>1141</v>
      </c>
      <c r="C2817" s="888" t="s">
        <v>147</v>
      </c>
      <c r="D2817" s="889">
        <v>46024</v>
      </c>
      <c r="E2817" s="888" t="s">
        <v>310</v>
      </c>
      <c r="F2817" s="888" t="s">
        <v>310</v>
      </c>
    </row>
    <row r="2818" spans="1:6">
      <c r="A2818" s="888">
        <v>137</v>
      </c>
      <c r="B2818" s="888" t="s">
        <v>1141</v>
      </c>
      <c r="C2818" s="888" t="s">
        <v>147</v>
      </c>
      <c r="D2818" s="889">
        <v>46025</v>
      </c>
      <c r="E2818" s="888" t="s">
        <v>310</v>
      </c>
      <c r="F2818" s="888" t="s">
        <v>310</v>
      </c>
    </row>
    <row r="2819" spans="1:6">
      <c r="A2819" s="888">
        <v>137</v>
      </c>
      <c r="B2819" s="888" t="s">
        <v>1141</v>
      </c>
      <c r="C2819" s="888" t="s">
        <v>147</v>
      </c>
      <c r="D2819" s="889">
        <v>46026</v>
      </c>
      <c r="E2819" s="888" t="s">
        <v>310</v>
      </c>
      <c r="F2819" s="888" t="s">
        <v>310</v>
      </c>
    </row>
    <row r="2820" spans="1:6">
      <c r="A2820" s="888">
        <v>137</v>
      </c>
      <c r="B2820" s="888" t="s">
        <v>1141</v>
      </c>
      <c r="C2820" s="888" t="s">
        <v>147</v>
      </c>
      <c r="D2820" s="889">
        <v>46027</v>
      </c>
      <c r="E2820" s="890">
        <v>0.75795138888888891</v>
      </c>
      <c r="F2820" s="888" t="s">
        <v>310</v>
      </c>
    </row>
    <row r="2821" spans="1:6">
      <c r="A2821" s="888" t="s">
        <v>2669</v>
      </c>
      <c r="B2821" s="888" t="s">
        <v>1258</v>
      </c>
      <c r="C2821" s="888" t="s">
        <v>1259</v>
      </c>
    </row>
    <row r="2822" spans="1:6">
      <c r="A2822" s="888">
        <v>137</v>
      </c>
      <c r="B2822" s="888" t="s">
        <v>1141</v>
      </c>
      <c r="C2822" s="888" t="s">
        <v>147</v>
      </c>
      <c r="D2822" s="889">
        <v>46028</v>
      </c>
      <c r="E2822" s="890">
        <v>0.59186342592592589</v>
      </c>
      <c r="F2822" s="890">
        <v>0.76099537037037035</v>
      </c>
    </row>
    <row r="2823" spans="1:6">
      <c r="A2823" s="888" t="s">
        <v>2670</v>
      </c>
      <c r="B2823" s="888" t="s">
        <v>2671</v>
      </c>
      <c r="C2823" s="888" t="s">
        <v>2672</v>
      </c>
    </row>
    <row r="2824" spans="1:6">
      <c r="A2824" s="888">
        <v>137</v>
      </c>
      <c r="B2824" s="888" t="s">
        <v>1141</v>
      </c>
      <c r="C2824" s="888" t="s">
        <v>147</v>
      </c>
      <c r="D2824" s="889">
        <v>46029</v>
      </c>
      <c r="E2824" s="890">
        <v>0.37502314814814813</v>
      </c>
      <c r="F2824" s="890">
        <v>0.77776620370370375</v>
      </c>
    </row>
    <row r="2825" spans="1:6">
      <c r="A2825" s="888" t="s">
        <v>2673</v>
      </c>
      <c r="B2825" s="888" t="s">
        <v>2674</v>
      </c>
      <c r="C2825" s="888" t="s">
        <v>1624</v>
      </c>
    </row>
    <row r="2826" spans="1:6">
      <c r="A2826" s="888">
        <v>137</v>
      </c>
      <c r="B2826" s="888" t="s">
        <v>1141</v>
      </c>
      <c r="C2826" s="888" t="s">
        <v>147</v>
      </c>
      <c r="D2826" s="889">
        <v>46030</v>
      </c>
      <c r="E2826" s="888" t="s">
        <v>310</v>
      </c>
      <c r="F2826" s="888" t="s">
        <v>310</v>
      </c>
    </row>
    <row r="2827" spans="1:6">
      <c r="A2827" s="888">
        <v>137</v>
      </c>
      <c r="B2827" s="888" t="s">
        <v>1141</v>
      </c>
      <c r="C2827" s="888" t="s">
        <v>147</v>
      </c>
      <c r="D2827" s="889">
        <v>46031</v>
      </c>
      <c r="E2827" s="890">
        <v>0.35060185185185183</v>
      </c>
      <c r="F2827" s="890">
        <v>0.76004629629629628</v>
      </c>
    </row>
    <row r="2828" spans="1:6">
      <c r="A2828" s="888" t="s">
        <v>2675</v>
      </c>
      <c r="B2828" s="888" t="s">
        <v>2676</v>
      </c>
      <c r="C2828" s="888" t="s">
        <v>1874</v>
      </c>
    </row>
    <row r="2829" spans="1:6">
      <c r="A2829" s="888">
        <v>137</v>
      </c>
      <c r="B2829" s="888" t="s">
        <v>1141</v>
      </c>
      <c r="C2829" s="888" t="s">
        <v>147</v>
      </c>
      <c r="D2829" s="889">
        <v>46032</v>
      </c>
      <c r="E2829" s="888" t="s">
        <v>310</v>
      </c>
      <c r="F2829" s="888" t="s">
        <v>310</v>
      </c>
    </row>
    <row r="2830" spans="1:6">
      <c r="A2830" s="888">
        <v>137</v>
      </c>
      <c r="B2830" s="888" t="s">
        <v>1141</v>
      </c>
      <c r="C2830" s="888" t="s">
        <v>147</v>
      </c>
      <c r="D2830" s="889">
        <v>46033</v>
      </c>
      <c r="E2830" s="888" t="s">
        <v>310</v>
      </c>
      <c r="F2830" s="888" t="s">
        <v>310</v>
      </c>
    </row>
    <row r="2831" spans="1:6">
      <c r="A2831" s="888">
        <v>137</v>
      </c>
      <c r="B2831" s="888" t="s">
        <v>1141</v>
      </c>
      <c r="C2831" s="888" t="s">
        <v>147</v>
      </c>
      <c r="D2831" s="889">
        <v>46034</v>
      </c>
      <c r="E2831" s="890">
        <v>0.35018518518518521</v>
      </c>
      <c r="F2831" s="890">
        <v>0.75855324074074071</v>
      </c>
    </row>
    <row r="2832" spans="1:6">
      <c r="A2832" s="888" t="s">
        <v>2677</v>
      </c>
      <c r="B2832" s="888" t="s">
        <v>2678</v>
      </c>
      <c r="C2832" s="888" t="s">
        <v>2077</v>
      </c>
    </row>
    <row r="2833" spans="1:6">
      <c r="A2833" s="888">
        <v>137</v>
      </c>
      <c r="B2833" s="888" t="s">
        <v>1141</v>
      </c>
      <c r="C2833" s="888" t="s">
        <v>147</v>
      </c>
      <c r="D2833" s="889">
        <v>46035</v>
      </c>
      <c r="E2833" s="888" t="s">
        <v>310</v>
      </c>
      <c r="F2833" s="888" t="s">
        <v>310</v>
      </c>
    </row>
    <row r="2834" spans="1:6">
      <c r="A2834" s="888">
        <v>137</v>
      </c>
      <c r="B2834" s="888" t="s">
        <v>1141</v>
      </c>
      <c r="C2834" s="888" t="s">
        <v>147</v>
      </c>
      <c r="D2834" s="889">
        <v>46036</v>
      </c>
      <c r="E2834" s="890">
        <v>0.36109953703703701</v>
      </c>
      <c r="F2834" s="890">
        <v>0.7515856481481481</v>
      </c>
    </row>
    <row r="2835" spans="1:6">
      <c r="A2835" s="888" t="s">
        <v>2679</v>
      </c>
      <c r="B2835" s="888" t="s">
        <v>2680</v>
      </c>
      <c r="C2835" s="888" t="s">
        <v>1661</v>
      </c>
    </row>
    <row r="2836" spans="1:6">
      <c r="A2836" s="888">
        <v>137</v>
      </c>
      <c r="B2836" s="888" t="s">
        <v>1141</v>
      </c>
      <c r="C2836" s="888" t="s">
        <v>147</v>
      </c>
      <c r="D2836" s="889">
        <v>46037</v>
      </c>
      <c r="E2836" s="890">
        <v>0.34918981481481481</v>
      </c>
      <c r="F2836" s="890">
        <v>0.79090277777777773</v>
      </c>
    </row>
    <row r="2837" spans="1:6">
      <c r="A2837" s="888" t="s">
        <v>2681</v>
      </c>
      <c r="B2837" s="888" t="s">
        <v>2682</v>
      </c>
      <c r="C2837" s="888" t="s">
        <v>2683</v>
      </c>
    </row>
    <row r="2838" spans="1:6">
      <c r="A2838" s="888">
        <v>137</v>
      </c>
      <c r="B2838" s="888" t="s">
        <v>1141</v>
      </c>
      <c r="C2838" s="888" t="s">
        <v>147</v>
      </c>
      <c r="D2838" s="889">
        <v>46038</v>
      </c>
      <c r="E2838" s="890">
        <v>0.78898148148148151</v>
      </c>
      <c r="F2838" s="888" t="s">
        <v>310</v>
      </c>
    </row>
    <row r="2839" spans="1:6">
      <c r="A2839" s="888" t="s">
        <v>2684</v>
      </c>
      <c r="B2839" s="888" t="s">
        <v>1258</v>
      </c>
      <c r="C2839" s="888" t="s">
        <v>1259</v>
      </c>
    </row>
    <row r="2840" spans="1:6">
      <c r="A2840" s="888">
        <v>137</v>
      </c>
      <c r="B2840" s="888" t="s">
        <v>1141</v>
      </c>
      <c r="C2840" s="888" t="s">
        <v>147</v>
      </c>
      <c r="D2840" s="889">
        <v>46039</v>
      </c>
      <c r="E2840" s="888" t="s">
        <v>310</v>
      </c>
      <c r="F2840" s="888" t="s">
        <v>310</v>
      </c>
    </row>
    <row r="2841" spans="1:6">
      <c r="A2841" s="888">
        <v>137</v>
      </c>
      <c r="B2841" s="888" t="s">
        <v>1141</v>
      </c>
      <c r="C2841" s="888" t="s">
        <v>147</v>
      </c>
      <c r="D2841" s="889">
        <v>46040</v>
      </c>
      <c r="E2841" s="888" t="s">
        <v>310</v>
      </c>
      <c r="F2841" s="888" t="s">
        <v>310</v>
      </c>
    </row>
    <row r="2842" spans="1:6">
      <c r="A2842" s="888">
        <v>137</v>
      </c>
      <c r="B2842" s="888" t="s">
        <v>1141</v>
      </c>
      <c r="C2842" s="888" t="s">
        <v>147</v>
      </c>
      <c r="D2842" s="889">
        <v>46041</v>
      </c>
      <c r="E2842" s="890">
        <v>0.35608796296296297</v>
      </c>
      <c r="F2842" s="890">
        <v>0.75856481481481486</v>
      </c>
    </row>
    <row r="2843" spans="1:6">
      <c r="A2843" s="888" t="s">
        <v>2685</v>
      </c>
      <c r="B2843" s="888" t="s">
        <v>2686</v>
      </c>
      <c r="C2843" s="888" t="s">
        <v>1624</v>
      </c>
    </row>
    <row r="2844" spans="1:6">
      <c r="A2844" s="888">
        <v>137</v>
      </c>
      <c r="B2844" s="888" t="s">
        <v>1141</v>
      </c>
      <c r="C2844" s="888" t="s">
        <v>147</v>
      </c>
      <c r="D2844" s="889">
        <v>46042</v>
      </c>
      <c r="E2844" s="890">
        <v>0.57552083333333337</v>
      </c>
      <c r="F2844" s="890">
        <v>0.76201388888888888</v>
      </c>
    </row>
    <row r="2845" spans="1:6">
      <c r="A2845" s="888" t="s">
        <v>2687</v>
      </c>
      <c r="B2845" s="888" t="s">
        <v>2688</v>
      </c>
      <c r="C2845" s="888" t="s">
        <v>2689</v>
      </c>
    </row>
    <row r="2846" spans="1:6">
      <c r="A2846" s="888">
        <v>137</v>
      </c>
      <c r="B2846" s="888" t="s">
        <v>1141</v>
      </c>
      <c r="C2846" s="888" t="s">
        <v>147</v>
      </c>
      <c r="D2846" s="889">
        <v>46043</v>
      </c>
      <c r="E2846" s="888" t="s">
        <v>310</v>
      </c>
      <c r="F2846" s="888" t="s">
        <v>310</v>
      </c>
    </row>
    <row r="2847" spans="1:6">
      <c r="A2847" s="888">
        <v>137</v>
      </c>
      <c r="B2847" s="888" t="s">
        <v>1141</v>
      </c>
      <c r="C2847" s="888" t="s">
        <v>147</v>
      </c>
      <c r="D2847" s="889">
        <v>46044</v>
      </c>
      <c r="E2847" s="890">
        <v>0.35435185185185186</v>
      </c>
      <c r="F2847" s="890">
        <v>0.76170138888888894</v>
      </c>
    </row>
    <row r="2848" spans="1:6">
      <c r="A2848" s="888" t="s">
        <v>2690</v>
      </c>
      <c r="B2848" s="888" t="s">
        <v>2691</v>
      </c>
      <c r="C2848" s="888" t="s">
        <v>1645</v>
      </c>
    </row>
    <row r="2849" spans="1:6">
      <c r="A2849" s="888">
        <v>137</v>
      </c>
      <c r="B2849" s="888" t="s">
        <v>1141</v>
      </c>
      <c r="C2849" s="888" t="s">
        <v>147</v>
      </c>
      <c r="D2849" s="889">
        <v>46045</v>
      </c>
      <c r="E2849" s="888" t="s">
        <v>310</v>
      </c>
      <c r="F2849" s="888" t="s">
        <v>310</v>
      </c>
    </row>
    <row r="2850" spans="1:6">
      <c r="A2850" s="888">
        <v>137</v>
      </c>
      <c r="B2850" s="888" t="s">
        <v>1141</v>
      </c>
      <c r="C2850" s="888" t="s">
        <v>147</v>
      </c>
      <c r="D2850" s="889">
        <v>46046</v>
      </c>
      <c r="E2850" s="888" t="s">
        <v>310</v>
      </c>
      <c r="F2850" s="888" t="s">
        <v>310</v>
      </c>
    </row>
    <row r="2851" spans="1:6">
      <c r="A2851" s="888">
        <v>137</v>
      </c>
      <c r="B2851" s="888" t="s">
        <v>1141</v>
      </c>
      <c r="C2851" s="888" t="s">
        <v>147</v>
      </c>
      <c r="D2851" s="889">
        <v>46047</v>
      </c>
      <c r="E2851" s="888" t="s">
        <v>310</v>
      </c>
      <c r="F2851" s="888" t="s">
        <v>310</v>
      </c>
    </row>
    <row r="2852" spans="1:6">
      <c r="A2852" s="888">
        <v>137</v>
      </c>
      <c r="B2852" s="888" t="s">
        <v>1141</v>
      </c>
      <c r="C2852" s="888" t="s">
        <v>147</v>
      </c>
      <c r="D2852" s="889">
        <v>46048</v>
      </c>
      <c r="E2852" s="890">
        <v>0.35379629629629628</v>
      </c>
      <c r="F2852" s="890">
        <v>0.40967592592592594</v>
      </c>
    </row>
    <row r="2853" spans="1:6">
      <c r="A2853" s="888" t="s">
        <v>2692</v>
      </c>
      <c r="B2853" s="888" t="s">
        <v>2693</v>
      </c>
      <c r="C2853" s="888" t="s">
        <v>2694</v>
      </c>
    </row>
    <row r="2854" spans="1:6">
      <c r="A2854" s="888">
        <v>137</v>
      </c>
      <c r="B2854" s="888" t="s">
        <v>1141</v>
      </c>
      <c r="C2854" s="888" t="s">
        <v>147</v>
      </c>
      <c r="D2854" s="889">
        <v>46049</v>
      </c>
      <c r="E2854" s="890">
        <v>0.75951388888888893</v>
      </c>
      <c r="F2854" s="890">
        <v>0.75954861111111116</v>
      </c>
    </row>
    <row r="2855" spans="1:6">
      <c r="A2855" s="888" t="s">
        <v>2695</v>
      </c>
      <c r="B2855" s="888" t="s">
        <v>2696</v>
      </c>
      <c r="C2855" s="888" t="s">
        <v>1259</v>
      </c>
    </row>
    <row r="2856" spans="1:6">
      <c r="A2856" s="888">
        <v>137</v>
      </c>
      <c r="B2856" s="888" t="s">
        <v>1141</v>
      </c>
      <c r="C2856" s="888" t="s">
        <v>147</v>
      </c>
      <c r="D2856" s="889">
        <v>46050</v>
      </c>
      <c r="E2856" s="890">
        <v>0.35278935185185184</v>
      </c>
      <c r="F2856" s="890">
        <v>0.81760416666666669</v>
      </c>
    </row>
    <row r="2857" spans="1:6">
      <c r="A2857" s="888" t="s">
        <v>2697</v>
      </c>
      <c r="B2857" s="888" t="s">
        <v>2698</v>
      </c>
      <c r="C2857" s="888" t="s">
        <v>2699</v>
      </c>
    </row>
    <row r="2858" spans="1:6">
      <c r="A2858" s="888">
        <v>137</v>
      </c>
      <c r="B2858" s="888" t="s">
        <v>1141</v>
      </c>
      <c r="C2858" s="888" t="s">
        <v>147</v>
      </c>
      <c r="D2858" s="889">
        <v>46051</v>
      </c>
      <c r="E2858" s="890">
        <v>0.35206018518518517</v>
      </c>
      <c r="F2858" s="890">
        <v>0.7585763888888889</v>
      </c>
    </row>
    <row r="2859" spans="1:6">
      <c r="A2859" s="888" t="s">
        <v>2700</v>
      </c>
      <c r="B2859" s="888" t="s">
        <v>2701</v>
      </c>
      <c r="C2859" s="888" t="s">
        <v>1375</v>
      </c>
    </row>
    <row r="2860" spans="1:6">
      <c r="A2860" s="888">
        <v>137</v>
      </c>
      <c r="B2860" s="888" t="s">
        <v>1141</v>
      </c>
      <c r="C2860" s="888" t="s">
        <v>147</v>
      </c>
      <c r="D2860" s="889">
        <v>46052</v>
      </c>
      <c r="E2860" s="890">
        <v>0.34659722222222222</v>
      </c>
      <c r="F2860" s="890">
        <v>0.34752314814814816</v>
      </c>
    </row>
    <row r="2861" spans="1:6">
      <c r="A2861" s="888" t="s">
        <v>2702</v>
      </c>
      <c r="B2861" s="888" t="s">
        <v>2703</v>
      </c>
      <c r="C2861" s="888" t="s">
        <v>1570</v>
      </c>
    </row>
    <row r="2862" spans="1:6">
      <c r="A2862" s="888">
        <v>137</v>
      </c>
      <c r="B2862" s="888" t="s">
        <v>1141</v>
      </c>
      <c r="C2862" s="888" t="s">
        <v>147</v>
      </c>
      <c r="D2862" s="889">
        <v>46053</v>
      </c>
      <c r="E2862" s="888" t="s">
        <v>310</v>
      </c>
      <c r="F2862" s="888" t="s">
        <v>310</v>
      </c>
    </row>
    <row r="2863" spans="1:6">
      <c r="A2863" s="888">
        <v>137</v>
      </c>
      <c r="B2863" s="888" t="s">
        <v>1141</v>
      </c>
      <c r="C2863" s="888" t="s">
        <v>147</v>
      </c>
      <c r="D2863" s="889">
        <v>46054</v>
      </c>
      <c r="E2863" s="888" t="s">
        <v>310</v>
      </c>
      <c r="F2863" s="888" t="s">
        <v>310</v>
      </c>
    </row>
    <row r="2864" spans="1:6">
      <c r="A2864" s="888">
        <v>138</v>
      </c>
      <c r="B2864" s="888" t="s">
        <v>1142</v>
      </c>
      <c r="C2864" s="888" t="s">
        <v>2488</v>
      </c>
      <c r="D2864" s="889">
        <v>46023</v>
      </c>
      <c r="E2864" s="888" t="s">
        <v>310</v>
      </c>
      <c r="F2864" s="888" t="s">
        <v>310</v>
      </c>
    </row>
    <row r="2865" spans="1:6">
      <c r="A2865" s="888">
        <v>138</v>
      </c>
      <c r="B2865" s="888" t="s">
        <v>1142</v>
      </c>
      <c r="C2865" s="888" t="s">
        <v>2488</v>
      </c>
      <c r="D2865" s="889">
        <v>46024</v>
      </c>
      <c r="E2865" s="888" t="s">
        <v>310</v>
      </c>
      <c r="F2865" s="888" t="s">
        <v>310</v>
      </c>
    </row>
    <row r="2866" spans="1:6">
      <c r="A2866" s="888">
        <v>138</v>
      </c>
      <c r="B2866" s="888" t="s">
        <v>1142</v>
      </c>
      <c r="C2866" s="888" t="s">
        <v>2488</v>
      </c>
      <c r="D2866" s="889">
        <v>46025</v>
      </c>
      <c r="E2866" s="888" t="s">
        <v>310</v>
      </c>
      <c r="F2866" s="888" t="s">
        <v>310</v>
      </c>
    </row>
    <row r="2867" spans="1:6">
      <c r="A2867" s="888">
        <v>138</v>
      </c>
      <c r="B2867" s="888" t="s">
        <v>1142</v>
      </c>
      <c r="C2867" s="888" t="s">
        <v>2488</v>
      </c>
      <c r="D2867" s="889">
        <v>46026</v>
      </c>
      <c r="E2867" s="888" t="s">
        <v>310</v>
      </c>
      <c r="F2867" s="888" t="s">
        <v>310</v>
      </c>
    </row>
    <row r="2868" spans="1:6">
      <c r="A2868" s="888">
        <v>138</v>
      </c>
      <c r="B2868" s="888" t="s">
        <v>1142</v>
      </c>
      <c r="C2868" s="888" t="s">
        <v>2488</v>
      </c>
      <c r="D2868" s="889">
        <v>46027</v>
      </c>
      <c r="E2868" s="890">
        <v>0.39050925925925928</v>
      </c>
      <c r="F2868" s="890">
        <v>0.7618287037037037</v>
      </c>
    </row>
    <row r="2869" spans="1:6">
      <c r="A2869" s="888" t="s">
        <v>2704</v>
      </c>
      <c r="B2869" s="888" t="s">
        <v>2705</v>
      </c>
      <c r="C2869" s="888" t="s">
        <v>2000</v>
      </c>
    </row>
    <row r="2870" spans="1:6">
      <c r="A2870" s="888">
        <v>138</v>
      </c>
      <c r="B2870" s="888" t="s">
        <v>1142</v>
      </c>
      <c r="C2870" s="888" t="s">
        <v>2488</v>
      </c>
      <c r="D2870" s="889">
        <v>46028</v>
      </c>
      <c r="E2870" s="890">
        <v>0.76790509259259254</v>
      </c>
      <c r="F2870" s="890">
        <v>0.76795138888888892</v>
      </c>
    </row>
    <row r="2871" spans="1:6">
      <c r="A2871" s="888" t="s">
        <v>2706</v>
      </c>
      <c r="B2871" s="888" t="s">
        <v>2707</v>
      </c>
      <c r="C2871" s="888" t="s">
        <v>1259</v>
      </c>
    </row>
    <row r="2872" spans="1:6">
      <c r="A2872" s="888">
        <v>138</v>
      </c>
      <c r="B2872" s="888" t="s">
        <v>1142</v>
      </c>
      <c r="C2872" s="888" t="s">
        <v>2488</v>
      </c>
      <c r="D2872" s="889">
        <v>46029</v>
      </c>
      <c r="E2872" s="890">
        <v>0.39684027777777775</v>
      </c>
      <c r="F2872" s="890">
        <v>0.77246527777777774</v>
      </c>
    </row>
    <row r="2873" spans="1:6">
      <c r="A2873" s="888" t="s">
        <v>2708</v>
      </c>
      <c r="B2873" s="888" t="s">
        <v>2709</v>
      </c>
      <c r="C2873" s="888" t="s">
        <v>1330</v>
      </c>
    </row>
    <row r="2874" spans="1:6">
      <c r="A2874" s="888">
        <v>138</v>
      </c>
      <c r="B2874" s="888" t="s">
        <v>1142</v>
      </c>
      <c r="C2874" s="888" t="s">
        <v>2488</v>
      </c>
      <c r="D2874" s="889">
        <v>46030</v>
      </c>
      <c r="E2874" s="890">
        <v>0.46225694444444443</v>
      </c>
      <c r="F2874" s="890">
        <v>0.78473379629629625</v>
      </c>
    </row>
    <row r="2875" spans="1:6">
      <c r="A2875" s="888" t="s">
        <v>2710</v>
      </c>
      <c r="B2875" s="888" t="s">
        <v>2711</v>
      </c>
      <c r="C2875" s="888" t="s">
        <v>2712</v>
      </c>
    </row>
    <row r="2876" spans="1:6">
      <c r="A2876" s="888">
        <v>138</v>
      </c>
      <c r="B2876" s="888" t="s">
        <v>1142</v>
      </c>
      <c r="C2876" s="888" t="s">
        <v>2488</v>
      </c>
      <c r="D2876" s="889">
        <v>46031</v>
      </c>
      <c r="E2876" s="888" t="s">
        <v>310</v>
      </c>
      <c r="F2876" s="888" t="s">
        <v>310</v>
      </c>
    </row>
    <row r="2877" spans="1:6">
      <c r="A2877" s="888">
        <v>138</v>
      </c>
      <c r="B2877" s="888" t="s">
        <v>1142</v>
      </c>
      <c r="C2877" s="888" t="s">
        <v>2488</v>
      </c>
      <c r="D2877" s="889">
        <v>46032</v>
      </c>
      <c r="E2877" s="888" t="s">
        <v>310</v>
      </c>
      <c r="F2877" s="888" t="s">
        <v>310</v>
      </c>
    </row>
    <row r="2878" spans="1:6">
      <c r="A2878" s="888">
        <v>138</v>
      </c>
      <c r="B2878" s="888" t="s">
        <v>1142</v>
      </c>
      <c r="C2878" s="888" t="s">
        <v>2488</v>
      </c>
      <c r="D2878" s="889">
        <v>46033</v>
      </c>
      <c r="E2878" s="888" t="s">
        <v>310</v>
      </c>
      <c r="F2878" s="888" t="s">
        <v>310</v>
      </c>
    </row>
    <row r="2879" spans="1:6">
      <c r="A2879" s="888">
        <v>138</v>
      </c>
      <c r="B2879" s="888" t="s">
        <v>1142</v>
      </c>
      <c r="C2879" s="888" t="s">
        <v>2488</v>
      </c>
      <c r="D2879" s="889">
        <v>46034</v>
      </c>
      <c r="E2879" s="890">
        <v>0.37020833333333331</v>
      </c>
      <c r="F2879" s="890">
        <v>0.76085648148148144</v>
      </c>
    </row>
    <row r="2880" spans="1:6">
      <c r="A2880" s="888" t="s">
        <v>2713</v>
      </c>
      <c r="B2880" s="888" t="s">
        <v>2714</v>
      </c>
      <c r="C2880" s="888" t="s">
        <v>1437</v>
      </c>
    </row>
    <row r="2881" spans="1:6">
      <c r="A2881" s="888">
        <v>138</v>
      </c>
      <c r="B2881" s="888" t="s">
        <v>1142</v>
      </c>
      <c r="C2881" s="888" t="s">
        <v>2488</v>
      </c>
      <c r="D2881" s="889">
        <v>46035</v>
      </c>
      <c r="E2881" s="890">
        <v>0.76334490740740746</v>
      </c>
      <c r="F2881" s="890">
        <v>0.76337962962962957</v>
      </c>
    </row>
    <row r="2882" spans="1:6">
      <c r="A2882" s="888" t="s">
        <v>2715</v>
      </c>
      <c r="B2882" s="888" t="s">
        <v>2716</v>
      </c>
      <c r="C2882" s="888" t="s">
        <v>1259</v>
      </c>
    </row>
    <row r="2883" spans="1:6">
      <c r="A2883" s="888">
        <v>138</v>
      </c>
      <c r="B2883" s="888" t="s">
        <v>1142</v>
      </c>
      <c r="C2883" s="888" t="s">
        <v>2488</v>
      </c>
      <c r="D2883" s="889">
        <v>46036</v>
      </c>
      <c r="E2883" s="890">
        <v>0.69300925925925927</v>
      </c>
      <c r="F2883" s="890">
        <v>0.77670138888888884</v>
      </c>
    </row>
    <row r="2884" spans="1:6">
      <c r="A2884" s="888" t="s">
        <v>2717</v>
      </c>
      <c r="B2884" s="888" t="s">
        <v>2718</v>
      </c>
      <c r="C2884" s="888" t="s">
        <v>2719</v>
      </c>
    </row>
    <row r="2885" spans="1:6">
      <c r="A2885" s="888">
        <v>138</v>
      </c>
      <c r="B2885" s="888" t="s">
        <v>1142</v>
      </c>
      <c r="C2885" s="888" t="s">
        <v>2488</v>
      </c>
      <c r="D2885" s="889">
        <v>46037</v>
      </c>
      <c r="E2885" s="890">
        <v>0.77148148148148143</v>
      </c>
      <c r="F2885" s="890">
        <v>0.77186342592592594</v>
      </c>
    </row>
    <row r="2886" spans="1:6">
      <c r="A2886" s="888" t="s">
        <v>2720</v>
      </c>
      <c r="B2886" s="888" t="s">
        <v>2721</v>
      </c>
      <c r="C2886" s="888" t="s">
        <v>1570</v>
      </c>
    </row>
    <row r="2887" spans="1:6">
      <c r="A2887" s="888">
        <v>138</v>
      </c>
      <c r="B2887" s="888" t="s">
        <v>1142</v>
      </c>
      <c r="C2887" s="888" t="s">
        <v>2488</v>
      </c>
      <c r="D2887" s="889">
        <v>46038</v>
      </c>
      <c r="E2887" s="890">
        <v>0.63884259259259257</v>
      </c>
      <c r="F2887" s="890">
        <v>0.78332175925925929</v>
      </c>
    </row>
    <row r="2888" spans="1:6">
      <c r="A2888" s="888" t="s">
        <v>2722</v>
      </c>
      <c r="B2888" s="888" t="s">
        <v>2723</v>
      </c>
      <c r="C2888" s="888" t="s">
        <v>2724</v>
      </c>
    </row>
    <row r="2889" spans="1:6">
      <c r="A2889" s="888">
        <v>138</v>
      </c>
      <c r="B2889" s="888" t="s">
        <v>1142</v>
      </c>
      <c r="C2889" s="888" t="s">
        <v>2488</v>
      </c>
      <c r="D2889" s="889">
        <v>46039</v>
      </c>
      <c r="E2889" s="888" t="s">
        <v>310</v>
      </c>
      <c r="F2889" s="888" t="s">
        <v>310</v>
      </c>
    </row>
    <row r="2890" spans="1:6">
      <c r="A2890" s="888">
        <v>138</v>
      </c>
      <c r="B2890" s="888" t="s">
        <v>1142</v>
      </c>
      <c r="C2890" s="888" t="s">
        <v>2488</v>
      </c>
      <c r="D2890" s="889">
        <v>46040</v>
      </c>
      <c r="E2890" s="888" t="s">
        <v>310</v>
      </c>
      <c r="F2890" s="888" t="s">
        <v>310</v>
      </c>
    </row>
    <row r="2891" spans="1:6">
      <c r="A2891" s="888">
        <v>138</v>
      </c>
      <c r="B2891" s="888" t="s">
        <v>1142</v>
      </c>
      <c r="C2891" s="888" t="s">
        <v>2488</v>
      </c>
      <c r="D2891" s="889">
        <v>46041</v>
      </c>
      <c r="E2891" s="890">
        <v>0.39135416666666667</v>
      </c>
      <c r="F2891" s="890">
        <v>0.78435185185185186</v>
      </c>
    </row>
    <row r="2892" spans="1:6">
      <c r="A2892" s="888" t="s">
        <v>2725</v>
      </c>
      <c r="B2892" s="888" t="s">
        <v>2726</v>
      </c>
      <c r="C2892" s="888" t="s">
        <v>1776</v>
      </c>
    </row>
    <row r="2893" spans="1:6">
      <c r="A2893" s="888">
        <v>138</v>
      </c>
      <c r="B2893" s="888" t="s">
        <v>1142</v>
      </c>
      <c r="C2893" s="888" t="s">
        <v>2488</v>
      </c>
      <c r="D2893" s="889">
        <v>46042</v>
      </c>
      <c r="E2893" s="890">
        <v>0.76162037037037034</v>
      </c>
      <c r="F2893" s="890">
        <v>0.76163194444444449</v>
      </c>
    </row>
    <row r="2894" spans="1:6">
      <c r="A2894" s="888" t="s">
        <v>2727</v>
      </c>
      <c r="B2894" s="888" t="s">
        <v>2728</v>
      </c>
      <c r="C2894" s="888" t="s">
        <v>1259</v>
      </c>
    </row>
    <row r="2895" spans="1:6">
      <c r="A2895" s="888">
        <v>138</v>
      </c>
      <c r="B2895" s="888" t="s">
        <v>1142</v>
      </c>
      <c r="C2895" s="888" t="s">
        <v>2488</v>
      </c>
      <c r="D2895" s="889">
        <v>46043</v>
      </c>
      <c r="E2895" s="890">
        <v>0.40717592592592594</v>
      </c>
      <c r="F2895" s="890">
        <v>0.77085648148148145</v>
      </c>
    </row>
    <row r="2896" spans="1:6">
      <c r="A2896" s="888" t="s">
        <v>2729</v>
      </c>
      <c r="B2896" s="888" t="s">
        <v>2730</v>
      </c>
      <c r="C2896" s="888" t="s">
        <v>2731</v>
      </c>
    </row>
    <row r="2897" spans="1:6">
      <c r="A2897" s="888">
        <v>138</v>
      </c>
      <c r="B2897" s="888" t="s">
        <v>1142</v>
      </c>
      <c r="C2897" s="888" t="s">
        <v>2488</v>
      </c>
      <c r="D2897" s="889">
        <v>46044</v>
      </c>
      <c r="E2897" s="890">
        <v>0.36961805555555555</v>
      </c>
      <c r="F2897" s="890">
        <v>0.77393518518518523</v>
      </c>
    </row>
    <row r="2898" spans="1:6">
      <c r="A2898" s="888" t="s">
        <v>2732</v>
      </c>
      <c r="B2898" s="888" t="s">
        <v>2733</v>
      </c>
      <c r="C2898" s="888" t="s">
        <v>1266</v>
      </c>
    </row>
    <row r="2899" spans="1:6">
      <c r="A2899" s="888">
        <v>138</v>
      </c>
      <c r="B2899" s="888" t="s">
        <v>1142</v>
      </c>
      <c r="C2899" s="888" t="s">
        <v>2488</v>
      </c>
      <c r="D2899" s="889">
        <v>46045</v>
      </c>
      <c r="E2899" s="890">
        <v>0.43809027777777776</v>
      </c>
      <c r="F2899" s="890">
        <v>0.7806481481481482</v>
      </c>
    </row>
    <row r="2900" spans="1:6">
      <c r="A2900" s="888" t="s">
        <v>2734</v>
      </c>
      <c r="B2900" s="888" t="s">
        <v>2735</v>
      </c>
      <c r="C2900" s="888" t="s">
        <v>2736</v>
      </c>
    </row>
    <row r="2901" spans="1:6">
      <c r="A2901" s="888">
        <v>138</v>
      </c>
      <c r="B2901" s="888" t="s">
        <v>1142</v>
      </c>
      <c r="C2901" s="888" t="s">
        <v>2488</v>
      </c>
      <c r="D2901" s="889">
        <v>46046</v>
      </c>
      <c r="E2901" s="888" t="s">
        <v>310</v>
      </c>
      <c r="F2901" s="888" t="s">
        <v>310</v>
      </c>
    </row>
    <row r="2902" spans="1:6">
      <c r="A2902" s="888">
        <v>138</v>
      </c>
      <c r="B2902" s="888" t="s">
        <v>1142</v>
      </c>
      <c r="C2902" s="888" t="s">
        <v>2488</v>
      </c>
      <c r="D2902" s="889">
        <v>46047</v>
      </c>
      <c r="E2902" s="888" t="s">
        <v>310</v>
      </c>
      <c r="F2902" s="888" t="s">
        <v>310</v>
      </c>
    </row>
    <row r="2903" spans="1:6">
      <c r="A2903" s="888">
        <v>138</v>
      </c>
      <c r="B2903" s="888" t="s">
        <v>1142</v>
      </c>
      <c r="C2903" s="888" t="s">
        <v>2488</v>
      </c>
      <c r="D2903" s="889">
        <v>46048</v>
      </c>
      <c r="E2903" s="890">
        <v>0.38994212962962965</v>
      </c>
      <c r="F2903" s="890">
        <v>0.77041666666666664</v>
      </c>
    </row>
    <row r="2904" spans="1:6">
      <c r="A2904" s="888" t="s">
        <v>2737</v>
      </c>
      <c r="B2904" s="888" t="s">
        <v>2738</v>
      </c>
      <c r="C2904" s="888" t="s">
        <v>1311</v>
      </c>
    </row>
    <row r="2905" spans="1:6">
      <c r="A2905" s="888">
        <v>138</v>
      </c>
      <c r="B2905" s="888" t="s">
        <v>1142</v>
      </c>
      <c r="C2905" s="888" t="s">
        <v>2488</v>
      </c>
      <c r="D2905" s="889">
        <v>46049</v>
      </c>
      <c r="E2905" s="890">
        <v>0.46256944444444442</v>
      </c>
      <c r="F2905" s="890">
        <v>0.76679398148148148</v>
      </c>
    </row>
    <row r="2906" spans="1:6">
      <c r="A2906" s="888" t="s">
        <v>2739</v>
      </c>
      <c r="B2906" s="888" t="s">
        <v>2740</v>
      </c>
      <c r="C2906" s="888" t="s">
        <v>2741</v>
      </c>
    </row>
    <row r="2907" spans="1:6">
      <c r="A2907" s="888">
        <v>138</v>
      </c>
      <c r="B2907" s="888" t="s">
        <v>1142</v>
      </c>
      <c r="C2907" s="888" t="s">
        <v>2488</v>
      </c>
      <c r="D2907" s="889">
        <v>46050</v>
      </c>
      <c r="E2907" s="890">
        <v>0.42692129629629627</v>
      </c>
      <c r="F2907" s="888" t="s">
        <v>310</v>
      </c>
    </row>
    <row r="2908" spans="1:6">
      <c r="A2908" s="888" t="s">
        <v>2742</v>
      </c>
      <c r="B2908" s="888" t="s">
        <v>1258</v>
      </c>
      <c r="C2908" s="888" t="s">
        <v>1259</v>
      </c>
    </row>
    <row r="2909" spans="1:6">
      <c r="A2909" s="888">
        <v>138</v>
      </c>
      <c r="B2909" s="888" t="s">
        <v>1142</v>
      </c>
      <c r="C2909" s="888" t="s">
        <v>2488</v>
      </c>
      <c r="D2909" s="889">
        <v>46051</v>
      </c>
      <c r="E2909" s="890">
        <v>0.37690972222222224</v>
      </c>
      <c r="F2909" s="890">
        <v>0.78251157407407412</v>
      </c>
    </row>
    <row r="2910" spans="1:6">
      <c r="A2910" s="888" t="s">
        <v>2743</v>
      </c>
      <c r="B2910" s="888" t="s">
        <v>2744</v>
      </c>
      <c r="C2910" s="888" t="s">
        <v>2340</v>
      </c>
    </row>
    <row r="2911" spans="1:6">
      <c r="A2911" s="888">
        <v>138</v>
      </c>
      <c r="B2911" s="888" t="s">
        <v>1142</v>
      </c>
      <c r="C2911" s="888" t="s">
        <v>2488</v>
      </c>
      <c r="D2911" s="889">
        <v>46052</v>
      </c>
      <c r="E2911" s="890">
        <v>0.6738425925925926</v>
      </c>
      <c r="F2911" s="890">
        <v>0.76392361111111107</v>
      </c>
    </row>
    <row r="2912" spans="1:6">
      <c r="A2912" s="888" t="s">
        <v>2745</v>
      </c>
      <c r="B2912" s="888" t="s">
        <v>2746</v>
      </c>
      <c r="C2912" s="888" t="s">
        <v>2747</v>
      </c>
    </row>
    <row r="2913" spans="1:6">
      <c r="A2913" s="888">
        <v>138</v>
      </c>
      <c r="B2913" s="888" t="s">
        <v>1142</v>
      </c>
      <c r="C2913" s="888" t="s">
        <v>2488</v>
      </c>
      <c r="D2913" s="889">
        <v>46053</v>
      </c>
      <c r="E2913" s="888" t="s">
        <v>310</v>
      </c>
      <c r="F2913" s="888" t="s">
        <v>310</v>
      </c>
    </row>
    <row r="2914" spans="1:6">
      <c r="A2914" s="888">
        <v>138</v>
      </c>
      <c r="B2914" s="888" t="s">
        <v>1142</v>
      </c>
      <c r="C2914" s="888" t="s">
        <v>2488</v>
      </c>
      <c r="D2914" s="889">
        <v>46054</v>
      </c>
      <c r="E2914" s="888" t="s">
        <v>310</v>
      </c>
      <c r="F2914" s="888" t="s">
        <v>310</v>
      </c>
    </row>
    <row r="2915" spans="1:6">
      <c r="A2915" s="888">
        <v>139</v>
      </c>
      <c r="B2915" s="888" t="s">
        <v>1143</v>
      </c>
      <c r="C2915" s="888" t="s">
        <v>1652</v>
      </c>
      <c r="D2915" s="889">
        <v>46023</v>
      </c>
      <c r="E2915" s="888" t="s">
        <v>310</v>
      </c>
      <c r="F2915" s="888" t="s">
        <v>310</v>
      </c>
    </row>
    <row r="2916" spans="1:6">
      <c r="A2916" s="888">
        <v>139</v>
      </c>
      <c r="B2916" s="888" t="s">
        <v>1143</v>
      </c>
      <c r="C2916" s="888" t="s">
        <v>1652</v>
      </c>
      <c r="D2916" s="889">
        <v>46024</v>
      </c>
      <c r="E2916" s="888" t="s">
        <v>310</v>
      </c>
      <c r="F2916" s="888" t="s">
        <v>310</v>
      </c>
    </row>
    <row r="2917" spans="1:6">
      <c r="A2917" s="888">
        <v>139</v>
      </c>
      <c r="B2917" s="888" t="s">
        <v>1143</v>
      </c>
      <c r="C2917" s="888" t="s">
        <v>1652</v>
      </c>
      <c r="D2917" s="889">
        <v>46025</v>
      </c>
      <c r="E2917" s="888" t="s">
        <v>310</v>
      </c>
      <c r="F2917" s="888" t="s">
        <v>310</v>
      </c>
    </row>
    <row r="2918" spans="1:6">
      <c r="A2918" s="888">
        <v>139</v>
      </c>
      <c r="B2918" s="888" t="s">
        <v>1143</v>
      </c>
      <c r="C2918" s="888" t="s">
        <v>1652</v>
      </c>
      <c r="D2918" s="889">
        <v>46026</v>
      </c>
      <c r="E2918" s="888" t="s">
        <v>310</v>
      </c>
      <c r="F2918" s="888" t="s">
        <v>310</v>
      </c>
    </row>
    <row r="2919" spans="1:6">
      <c r="A2919" s="888">
        <v>139</v>
      </c>
      <c r="B2919" s="888" t="s">
        <v>1143</v>
      </c>
      <c r="C2919" s="888" t="s">
        <v>1652</v>
      </c>
      <c r="D2919" s="889">
        <v>46027</v>
      </c>
      <c r="E2919" s="890">
        <v>0.39483796296296297</v>
      </c>
      <c r="F2919" s="890">
        <v>0.77447916666666672</v>
      </c>
    </row>
    <row r="2920" spans="1:6">
      <c r="A2920" s="888" t="s">
        <v>2748</v>
      </c>
      <c r="B2920" s="888" t="s">
        <v>2749</v>
      </c>
      <c r="C2920" s="888" t="s">
        <v>1585</v>
      </c>
    </row>
    <row r="2921" spans="1:6">
      <c r="A2921" s="888">
        <v>139</v>
      </c>
      <c r="B2921" s="888" t="s">
        <v>1143</v>
      </c>
      <c r="C2921" s="888" t="s">
        <v>1652</v>
      </c>
      <c r="D2921" s="889">
        <v>46028</v>
      </c>
      <c r="E2921" s="890">
        <v>0.39590277777777777</v>
      </c>
      <c r="F2921" s="890">
        <v>0.767974537037037</v>
      </c>
    </row>
    <row r="2922" spans="1:6">
      <c r="A2922" s="888" t="s">
        <v>2750</v>
      </c>
      <c r="B2922" s="888" t="s">
        <v>2751</v>
      </c>
      <c r="C2922" s="888" t="s">
        <v>1937</v>
      </c>
    </row>
    <row r="2923" spans="1:6">
      <c r="A2923" s="888">
        <v>139</v>
      </c>
      <c r="B2923" s="888" t="s">
        <v>1143</v>
      </c>
      <c r="C2923" s="888" t="s">
        <v>1652</v>
      </c>
      <c r="D2923" s="889">
        <v>46029</v>
      </c>
      <c r="E2923" s="890">
        <v>0.40174768518518517</v>
      </c>
      <c r="F2923" s="890">
        <v>0.78023148148148147</v>
      </c>
    </row>
    <row r="2924" spans="1:6">
      <c r="A2924" s="888" t="s">
        <v>2752</v>
      </c>
      <c r="B2924" s="888" t="s">
        <v>2753</v>
      </c>
      <c r="C2924" s="888" t="s">
        <v>1336</v>
      </c>
    </row>
    <row r="2925" spans="1:6">
      <c r="A2925" s="888">
        <v>139</v>
      </c>
      <c r="B2925" s="888" t="s">
        <v>1143</v>
      </c>
      <c r="C2925" s="888" t="s">
        <v>1652</v>
      </c>
      <c r="D2925" s="889">
        <v>46030</v>
      </c>
      <c r="E2925" s="890">
        <v>0.39991898148148147</v>
      </c>
      <c r="F2925" s="890">
        <v>0.78626157407407404</v>
      </c>
    </row>
    <row r="2926" spans="1:6">
      <c r="A2926" s="888" t="s">
        <v>2754</v>
      </c>
      <c r="B2926" s="888" t="s">
        <v>2755</v>
      </c>
      <c r="C2926" s="888" t="s">
        <v>1598</v>
      </c>
    </row>
    <row r="2927" spans="1:6">
      <c r="A2927" s="888">
        <v>139</v>
      </c>
      <c r="B2927" s="888" t="s">
        <v>1143</v>
      </c>
      <c r="C2927" s="888" t="s">
        <v>1652</v>
      </c>
      <c r="D2927" s="889">
        <v>46031</v>
      </c>
      <c r="E2927" s="890">
        <v>0.38421296296296298</v>
      </c>
      <c r="F2927" s="890">
        <v>0.81005787037037036</v>
      </c>
    </row>
    <row r="2928" spans="1:6">
      <c r="A2928" s="888" t="s">
        <v>2756</v>
      </c>
      <c r="B2928" s="888" t="s">
        <v>2757</v>
      </c>
      <c r="C2928" s="888" t="s">
        <v>2758</v>
      </c>
    </row>
    <row r="2929" spans="1:6">
      <c r="A2929" s="888">
        <v>139</v>
      </c>
      <c r="B2929" s="888" t="s">
        <v>1143</v>
      </c>
      <c r="C2929" s="888" t="s">
        <v>1652</v>
      </c>
      <c r="D2929" s="889">
        <v>46032</v>
      </c>
      <c r="E2929" s="890">
        <v>0.40667824074074072</v>
      </c>
      <c r="F2929" s="890">
        <v>0.74145833333333333</v>
      </c>
    </row>
    <row r="2930" spans="1:6">
      <c r="A2930" s="888" t="s">
        <v>2759</v>
      </c>
      <c r="B2930" s="888" t="s">
        <v>2760</v>
      </c>
      <c r="C2930" s="888" t="s">
        <v>2761</v>
      </c>
    </row>
    <row r="2931" spans="1:6">
      <c r="A2931" s="888">
        <v>139</v>
      </c>
      <c r="B2931" s="888" t="s">
        <v>1143</v>
      </c>
      <c r="C2931" s="888" t="s">
        <v>1652</v>
      </c>
      <c r="D2931" s="889">
        <v>46033</v>
      </c>
      <c r="E2931" s="888" t="s">
        <v>310</v>
      </c>
      <c r="F2931" s="888" t="s">
        <v>310</v>
      </c>
    </row>
    <row r="2932" spans="1:6">
      <c r="A2932" s="888">
        <v>139</v>
      </c>
      <c r="B2932" s="888" t="s">
        <v>1143</v>
      </c>
      <c r="C2932" s="888" t="s">
        <v>1652</v>
      </c>
      <c r="D2932" s="889">
        <v>46034</v>
      </c>
      <c r="E2932" s="890">
        <v>0.76076388888888891</v>
      </c>
      <c r="F2932" s="888" t="s">
        <v>310</v>
      </c>
    </row>
    <row r="2933" spans="1:6">
      <c r="A2933" s="888" t="s">
        <v>2762</v>
      </c>
      <c r="B2933" s="888" t="s">
        <v>1258</v>
      </c>
      <c r="C2933" s="888" t="s">
        <v>1259</v>
      </c>
    </row>
    <row r="2934" spans="1:6">
      <c r="A2934" s="888">
        <v>139</v>
      </c>
      <c r="B2934" s="888" t="s">
        <v>1143</v>
      </c>
      <c r="C2934" s="888" t="s">
        <v>1652</v>
      </c>
      <c r="D2934" s="889">
        <v>46035</v>
      </c>
      <c r="E2934" s="890">
        <v>0.37849537037037034</v>
      </c>
      <c r="F2934" s="890">
        <v>0.76787037037037043</v>
      </c>
    </row>
    <row r="2935" spans="1:6">
      <c r="A2935" s="888" t="s">
        <v>2763</v>
      </c>
      <c r="B2935" s="888" t="s">
        <v>2764</v>
      </c>
      <c r="C2935" s="888" t="s">
        <v>1737</v>
      </c>
    </row>
    <row r="2936" spans="1:6">
      <c r="A2936" s="888">
        <v>139</v>
      </c>
      <c r="B2936" s="888" t="s">
        <v>1143</v>
      </c>
      <c r="C2936" s="888" t="s">
        <v>1652</v>
      </c>
      <c r="D2936" s="889">
        <v>46036</v>
      </c>
      <c r="E2936" s="890">
        <v>0.38060185185185186</v>
      </c>
      <c r="F2936" s="890">
        <v>0.77660879629629631</v>
      </c>
    </row>
    <row r="2937" spans="1:6">
      <c r="A2937" s="888" t="s">
        <v>2765</v>
      </c>
      <c r="B2937" s="888" t="s">
        <v>2766</v>
      </c>
      <c r="C2937" s="888" t="s">
        <v>1404</v>
      </c>
    </row>
    <row r="2938" spans="1:6">
      <c r="A2938" s="888">
        <v>139</v>
      </c>
      <c r="B2938" s="888" t="s">
        <v>1143</v>
      </c>
      <c r="C2938" s="888" t="s">
        <v>1652</v>
      </c>
      <c r="D2938" s="889">
        <v>46037</v>
      </c>
      <c r="E2938" s="890">
        <v>0.39177083333333335</v>
      </c>
      <c r="F2938" s="890">
        <v>0.78067129629629628</v>
      </c>
    </row>
    <row r="2939" spans="1:6">
      <c r="A2939" s="888" t="s">
        <v>2767</v>
      </c>
      <c r="B2939" s="888" t="s">
        <v>2768</v>
      </c>
      <c r="C2939" s="888" t="s">
        <v>2232</v>
      </c>
    </row>
    <row r="2940" spans="1:6">
      <c r="A2940" s="888">
        <v>139</v>
      </c>
      <c r="B2940" s="888" t="s">
        <v>1143</v>
      </c>
      <c r="C2940" s="888" t="s">
        <v>1652</v>
      </c>
      <c r="D2940" s="889">
        <v>46038</v>
      </c>
      <c r="E2940" s="890">
        <v>0.39079861111111114</v>
      </c>
      <c r="F2940" s="890">
        <v>0.78350694444444446</v>
      </c>
    </row>
    <row r="2941" spans="1:6">
      <c r="A2941" s="888" t="s">
        <v>2769</v>
      </c>
      <c r="B2941" s="888" t="s">
        <v>2770</v>
      </c>
      <c r="C2941" s="888" t="s">
        <v>1776</v>
      </c>
    </row>
    <row r="2942" spans="1:6">
      <c r="A2942" s="888">
        <v>139</v>
      </c>
      <c r="B2942" s="888" t="s">
        <v>1143</v>
      </c>
      <c r="C2942" s="888" t="s">
        <v>1652</v>
      </c>
      <c r="D2942" s="889">
        <v>46039</v>
      </c>
      <c r="E2942" s="888" t="s">
        <v>310</v>
      </c>
      <c r="F2942" s="888" t="s">
        <v>310</v>
      </c>
    </row>
    <row r="2943" spans="1:6">
      <c r="A2943" s="888">
        <v>139</v>
      </c>
      <c r="B2943" s="888" t="s">
        <v>1143</v>
      </c>
      <c r="C2943" s="888" t="s">
        <v>1652</v>
      </c>
      <c r="D2943" s="889">
        <v>46040</v>
      </c>
      <c r="E2943" s="888" t="s">
        <v>310</v>
      </c>
      <c r="F2943" s="888" t="s">
        <v>310</v>
      </c>
    </row>
    <row r="2944" spans="1:6">
      <c r="A2944" s="888">
        <v>139</v>
      </c>
      <c r="B2944" s="888" t="s">
        <v>1143</v>
      </c>
      <c r="C2944" s="888" t="s">
        <v>1652</v>
      </c>
      <c r="D2944" s="889">
        <v>46041</v>
      </c>
      <c r="E2944" s="890">
        <v>0.37840277777777775</v>
      </c>
      <c r="F2944" s="890">
        <v>0.78432870370370367</v>
      </c>
    </row>
    <row r="2945" spans="1:6">
      <c r="A2945" s="888" t="s">
        <v>2771</v>
      </c>
      <c r="B2945" s="888" t="s">
        <v>2772</v>
      </c>
      <c r="C2945" s="888" t="s">
        <v>1375</v>
      </c>
    </row>
    <row r="2946" spans="1:6">
      <c r="A2946" s="888">
        <v>139</v>
      </c>
      <c r="B2946" s="888" t="s">
        <v>1143</v>
      </c>
      <c r="C2946" s="888" t="s">
        <v>1652</v>
      </c>
      <c r="D2946" s="889">
        <v>46042</v>
      </c>
      <c r="E2946" s="890">
        <v>0.39076388888888891</v>
      </c>
      <c r="F2946" s="890">
        <v>0.78979166666666667</v>
      </c>
    </row>
    <row r="2947" spans="1:6">
      <c r="A2947" s="888" t="s">
        <v>2773</v>
      </c>
      <c r="B2947" s="888" t="s">
        <v>2774</v>
      </c>
      <c r="C2947" s="888" t="s">
        <v>1288</v>
      </c>
    </row>
    <row r="2948" spans="1:6">
      <c r="A2948" s="888">
        <v>139</v>
      </c>
      <c r="B2948" s="888" t="s">
        <v>1143</v>
      </c>
      <c r="C2948" s="888" t="s">
        <v>1652</v>
      </c>
      <c r="D2948" s="889">
        <v>46043</v>
      </c>
      <c r="E2948" s="890">
        <v>0.39576388888888892</v>
      </c>
      <c r="F2948" s="890">
        <v>0.78800925925925924</v>
      </c>
    </row>
    <row r="2949" spans="1:6">
      <c r="A2949" s="888" t="s">
        <v>2775</v>
      </c>
      <c r="B2949" s="888" t="s">
        <v>2776</v>
      </c>
      <c r="C2949" s="888" t="s">
        <v>1724</v>
      </c>
    </row>
    <row r="2950" spans="1:6">
      <c r="A2950" s="888">
        <v>139</v>
      </c>
      <c r="B2950" s="888" t="s">
        <v>1143</v>
      </c>
      <c r="C2950" s="888" t="s">
        <v>1652</v>
      </c>
      <c r="D2950" s="889">
        <v>46044</v>
      </c>
      <c r="E2950" s="890">
        <v>0.40593750000000001</v>
      </c>
      <c r="F2950" s="890">
        <v>0.78304398148148147</v>
      </c>
    </row>
    <row r="2951" spans="1:6">
      <c r="A2951" s="888" t="s">
        <v>2777</v>
      </c>
      <c r="B2951" s="888" t="s">
        <v>2778</v>
      </c>
      <c r="C2951" s="888" t="s">
        <v>1610</v>
      </c>
    </row>
    <row r="2952" spans="1:6">
      <c r="A2952" s="888">
        <v>139</v>
      </c>
      <c r="B2952" s="888" t="s">
        <v>1143</v>
      </c>
      <c r="C2952" s="888" t="s">
        <v>1652</v>
      </c>
      <c r="D2952" s="889">
        <v>46045</v>
      </c>
      <c r="E2952" s="890">
        <v>0.39925925925925926</v>
      </c>
      <c r="F2952" s="890">
        <v>0.78067129629629628</v>
      </c>
    </row>
    <row r="2953" spans="1:6">
      <c r="A2953" s="888" t="s">
        <v>2779</v>
      </c>
      <c r="B2953" s="888" t="s">
        <v>2780</v>
      </c>
      <c r="C2953" s="888" t="s">
        <v>1607</v>
      </c>
    </row>
    <row r="2954" spans="1:6">
      <c r="A2954" s="888">
        <v>139</v>
      </c>
      <c r="B2954" s="888" t="s">
        <v>1143</v>
      </c>
      <c r="C2954" s="888" t="s">
        <v>1652</v>
      </c>
      <c r="D2954" s="889">
        <v>46046</v>
      </c>
      <c r="E2954" s="888" t="s">
        <v>310</v>
      </c>
      <c r="F2954" s="888" t="s">
        <v>310</v>
      </c>
    </row>
    <row r="2955" spans="1:6">
      <c r="A2955" s="888">
        <v>139</v>
      </c>
      <c r="B2955" s="888" t="s">
        <v>1143</v>
      </c>
      <c r="C2955" s="888" t="s">
        <v>1652</v>
      </c>
      <c r="D2955" s="889">
        <v>46047</v>
      </c>
      <c r="E2955" s="888" t="s">
        <v>310</v>
      </c>
      <c r="F2955" s="888" t="s">
        <v>310</v>
      </c>
    </row>
    <row r="2956" spans="1:6">
      <c r="A2956" s="888">
        <v>139</v>
      </c>
      <c r="B2956" s="888" t="s">
        <v>1143</v>
      </c>
      <c r="C2956" s="888" t="s">
        <v>1652</v>
      </c>
      <c r="D2956" s="889">
        <v>46048</v>
      </c>
      <c r="E2956" s="888" t="s">
        <v>310</v>
      </c>
      <c r="F2956" s="888" t="s">
        <v>310</v>
      </c>
    </row>
    <row r="2957" spans="1:6">
      <c r="A2957" s="888">
        <v>139</v>
      </c>
      <c r="B2957" s="888" t="s">
        <v>1143</v>
      </c>
      <c r="C2957" s="888" t="s">
        <v>1652</v>
      </c>
      <c r="D2957" s="889">
        <v>46049</v>
      </c>
      <c r="E2957" s="890">
        <v>0.39002314814814815</v>
      </c>
      <c r="F2957" s="890">
        <v>0.76673611111111106</v>
      </c>
    </row>
    <row r="2958" spans="1:6">
      <c r="A2958" s="888" t="s">
        <v>2781</v>
      </c>
      <c r="B2958" s="888" t="s">
        <v>2782</v>
      </c>
      <c r="C2958" s="888" t="s">
        <v>1308</v>
      </c>
    </row>
    <row r="2959" spans="1:6">
      <c r="A2959" s="888">
        <v>139</v>
      </c>
      <c r="B2959" s="888" t="s">
        <v>1143</v>
      </c>
      <c r="C2959" s="888" t="s">
        <v>1652</v>
      </c>
      <c r="D2959" s="889">
        <v>46050</v>
      </c>
      <c r="E2959" s="890">
        <v>0.40388888888888891</v>
      </c>
      <c r="F2959" s="890">
        <v>0.77300925925925923</v>
      </c>
    </row>
    <row r="2960" spans="1:6">
      <c r="A2960" s="888" t="s">
        <v>2783</v>
      </c>
      <c r="B2960" s="888" t="s">
        <v>2784</v>
      </c>
      <c r="C2960" s="888" t="s">
        <v>1958</v>
      </c>
    </row>
    <row r="2961" spans="1:6">
      <c r="A2961" s="888">
        <v>139</v>
      </c>
      <c r="B2961" s="888" t="s">
        <v>1143</v>
      </c>
      <c r="C2961" s="888" t="s">
        <v>1652</v>
      </c>
      <c r="D2961" s="889">
        <v>46051</v>
      </c>
      <c r="E2961" s="890">
        <v>0.40814814814814815</v>
      </c>
      <c r="F2961" s="890">
        <v>0.78053240740740737</v>
      </c>
    </row>
    <row r="2962" spans="1:6">
      <c r="A2962" s="888" t="s">
        <v>2785</v>
      </c>
      <c r="B2962" s="888" t="s">
        <v>2786</v>
      </c>
      <c r="C2962" s="888" t="s">
        <v>1937</v>
      </c>
    </row>
    <row r="2963" spans="1:6">
      <c r="A2963" s="888">
        <v>139</v>
      </c>
      <c r="B2963" s="888" t="s">
        <v>1143</v>
      </c>
      <c r="C2963" s="888" t="s">
        <v>1652</v>
      </c>
      <c r="D2963" s="889">
        <v>46052</v>
      </c>
      <c r="E2963" s="890">
        <v>0.4054976851851852</v>
      </c>
      <c r="F2963" s="890">
        <v>0.78518518518518521</v>
      </c>
    </row>
    <row r="2964" spans="1:6">
      <c r="A2964" s="888" t="s">
        <v>2787</v>
      </c>
      <c r="B2964" s="888" t="s">
        <v>2788</v>
      </c>
      <c r="C2964" s="888" t="s">
        <v>1585</v>
      </c>
    </row>
    <row r="2965" spans="1:6">
      <c r="A2965" s="888">
        <v>139</v>
      </c>
      <c r="B2965" s="888" t="s">
        <v>1143</v>
      </c>
      <c r="C2965" s="888" t="s">
        <v>1652</v>
      </c>
      <c r="D2965" s="889">
        <v>46053</v>
      </c>
      <c r="E2965" s="888" t="s">
        <v>310</v>
      </c>
      <c r="F2965" s="888" t="s">
        <v>310</v>
      </c>
    </row>
    <row r="2966" spans="1:6">
      <c r="A2966" s="888">
        <v>139</v>
      </c>
      <c r="B2966" s="888" t="s">
        <v>1143</v>
      </c>
      <c r="C2966" s="888" t="s">
        <v>1652</v>
      </c>
      <c r="D2966" s="889">
        <v>46054</v>
      </c>
      <c r="E2966" s="888" t="s">
        <v>310</v>
      </c>
      <c r="F2966" s="888" t="s">
        <v>310</v>
      </c>
    </row>
    <row r="2967" spans="1:6">
      <c r="A2967" s="888">
        <v>14</v>
      </c>
      <c r="B2967" s="888" t="s">
        <v>2789</v>
      </c>
      <c r="C2967" s="888" t="s">
        <v>2310</v>
      </c>
      <c r="D2967" s="889">
        <v>46023</v>
      </c>
      <c r="E2967" s="888" t="s">
        <v>310</v>
      </c>
      <c r="F2967" s="888" t="s">
        <v>310</v>
      </c>
    </row>
    <row r="2968" spans="1:6">
      <c r="A2968" s="888">
        <v>14</v>
      </c>
      <c r="B2968" s="888" t="s">
        <v>2789</v>
      </c>
      <c r="C2968" s="888" t="s">
        <v>2310</v>
      </c>
      <c r="D2968" s="889">
        <v>46024</v>
      </c>
      <c r="E2968" s="888" t="s">
        <v>310</v>
      </c>
      <c r="F2968" s="888" t="s">
        <v>310</v>
      </c>
    </row>
    <row r="2969" spans="1:6">
      <c r="A2969" s="888">
        <v>14</v>
      </c>
      <c r="B2969" s="888" t="s">
        <v>2789</v>
      </c>
      <c r="C2969" s="888" t="s">
        <v>2310</v>
      </c>
      <c r="D2969" s="889">
        <v>46025</v>
      </c>
      <c r="E2969" s="888" t="s">
        <v>310</v>
      </c>
      <c r="F2969" s="888" t="s">
        <v>310</v>
      </c>
    </row>
    <row r="2970" spans="1:6">
      <c r="A2970" s="888">
        <v>14</v>
      </c>
      <c r="B2970" s="888" t="s">
        <v>2789</v>
      </c>
      <c r="C2970" s="888" t="s">
        <v>2310</v>
      </c>
      <c r="D2970" s="889">
        <v>46026</v>
      </c>
      <c r="E2970" s="888" t="s">
        <v>310</v>
      </c>
      <c r="F2970" s="888" t="s">
        <v>310</v>
      </c>
    </row>
    <row r="2971" spans="1:6">
      <c r="A2971" s="888">
        <v>14</v>
      </c>
      <c r="B2971" s="888" t="s">
        <v>2789</v>
      </c>
      <c r="C2971" s="888" t="s">
        <v>2310</v>
      </c>
      <c r="D2971" s="889">
        <v>46027</v>
      </c>
      <c r="E2971" s="888" t="s">
        <v>310</v>
      </c>
      <c r="F2971" s="888" t="s">
        <v>310</v>
      </c>
    </row>
    <row r="2972" spans="1:6">
      <c r="A2972" s="888">
        <v>14</v>
      </c>
      <c r="B2972" s="888" t="s">
        <v>2789</v>
      </c>
      <c r="C2972" s="888" t="s">
        <v>2310</v>
      </c>
      <c r="D2972" s="889">
        <v>46028</v>
      </c>
      <c r="E2972" s="888" t="s">
        <v>310</v>
      </c>
      <c r="F2972" s="888" t="s">
        <v>310</v>
      </c>
    </row>
    <row r="2973" spans="1:6">
      <c r="A2973" s="888">
        <v>14</v>
      </c>
      <c r="B2973" s="888" t="s">
        <v>2789</v>
      </c>
      <c r="C2973" s="888" t="s">
        <v>2310</v>
      </c>
      <c r="D2973" s="889">
        <v>46029</v>
      </c>
      <c r="E2973" s="888" t="s">
        <v>310</v>
      </c>
      <c r="F2973" s="888" t="s">
        <v>310</v>
      </c>
    </row>
    <row r="2974" spans="1:6">
      <c r="A2974" s="888">
        <v>14</v>
      </c>
      <c r="B2974" s="888" t="s">
        <v>2789</v>
      </c>
      <c r="C2974" s="888" t="s">
        <v>2310</v>
      </c>
      <c r="D2974" s="889">
        <v>46030</v>
      </c>
      <c r="E2974" s="888" t="s">
        <v>310</v>
      </c>
      <c r="F2974" s="888" t="s">
        <v>310</v>
      </c>
    </row>
    <row r="2975" spans="1:6">
      <c r="A2975" s="888">
        <v>14</v>
      </c>
      <c r="B2975" s="888" t="s">
        <v>2789</v>
      </c>
      <c r="C2975" s="888" t="s">
        <v>2310</v>
      </c>
      <c r="D2975" s="889">
        <v>46031</v>
      </c>
      <c r="E2975" s="888" t="s">
        <v>310</v>
      </c>
      <c r="F2975" s="888" t="s">
        <v>310</v>
      </c>
    </row>
    <row r="2976" spans="1:6">
      <c r="A2976" s="888">
        <v>14</v>
      </c>
      <c r="B2976" s="888" t="s">
        <v>2789</v>
      </c>
      <c r="C2976" s="888" t="s">
        <v>2310</v>
      </c>
      <c r="D2976" s="889">
        <v>46032</v>
      </c>
      <c r="E2976" s="888" t="s">
        <v>310</v>
      </c>
      <c r="F2976" s="888" t="s">
        <v>310</v>
      </c>
    </row>
    <row r="2977" spans="1:6">
      <c r="A2977" s="888">
        <v>14</v>
      </c>
      <c r="B2977" s="888" t="s">
        <v>2789</v>
      </c>
      <c r="C2977" s="888" t="s">
        <v>2310</v>
      </c>
      <c r="D2977" s="889">
        <v>46033</v>
      </c>
      <c r="E2977" s="888" t="s">
        <v>310</v>
      </c>
      <c r="F2977" s="888" t="s">
        <v>310</v>
      </c>
    </row>
    <row r="2978" spans="1:6">
      <c r="A2978" s="888">
        <v>14</v>
      </c>
      <c r="B2978" s="888" t="s">
        <v>2789</v>
      </c>
      <c r="C2978" s="888" t="s">
        <v>2310</v>
      </c>
      <c r="D2978" s="889">
        <v>46034</v>
      </c>
      <c r="E2978" s="888" t="s">
        <v>310</v>
      </c>
      <c r="F2978" s="888" t="s">
        <v>310</v>
      </c>
    </row>
    <row r="2979" spans="1:6">
      <c r="A2979" s="888">
        <v>14</v>
      </c>
      <c r="B2979" s="888" t="s">
        <v>2789</v>
      </c>
      <c r="C2979" s="888" t="s">
        <v>2310</v>
      </c>
      <c r="D2979" s="889">
        <v>46035</v>
      </c>
      <c r="E2979" s="888" t="s">
        <v>310</v>
      </c>
      <c r="F2979" s="888" t="s">
        <v>310</v>
      </c>
    </row>
    <row r="2980" spans="1:6">
      <c r="A2980" s="888">
        <v>14</v>
      </c>
      <c r="B2980" s="888" t="s">
        <v>2789</v>
      </c>
      <c r="C2980" s="888" t="s">
        <v>2310</v>
      </c>
      <c r="D2980" s="889">
        <v>46036</v>
      </c>
      <c r="E2980" s="888" t="s">
        <v>310</v>
      </c>
      <c r="F2980" s="888" t="s">
        <v>310</v>
      </c>
    </row>
    <row r="2981" spans="1:6">
      <c r="A2981" s="888">
        <v>14</v>
      </c>
      <c r="B2981" s="888" t="s">
        <v>2789</v>
      </c>
      <c r="C2981" s="888" t="s">
        <v>2310</v>
      </c>
      <c r="D2981" s="889">
        <v>46037</v>
      </c>
      <c r="E2981" s="888" t="s">
        <v>310</v>
      </c>
      <c r="F2981" s="888" t="s">
        <v>310</v>
      </c>
    </row>
    <row r="2982" spans="1:6">
      <c r="A2982" s="888">
        <v>14</v>
      </c>
      <c r="B2982" s="888" t="s">
        <v>2789</v>
      </c>
      <c r="C2982" s="888" t="s">
        <v>2310</v>
      </c>
      <c r="D2982" s="889">
        <v>46038</v>
      </c>
      <c r="E2982" s="888" t="s">
        <v>310</v>
      </c>
      <c r="F2982" s="888" t="s">
        <v>310</v>
      </c>
    </row>
    <row r="2983" spans="1:6">
      <c r="A2983" s="888">
        <v>14</v>
      </c>
      <c r="B2983" s="888" t="s">
        <v>2789</v>
      </c>
      <c r="C2983" s="888" t="s">
        <v>2310</v>
      </c>
      <c r="D2983" s="889">
        <v>46039</v>
      </c>
      <c r="E2983" s="888" t="s">
        <v>310</v>
      </c>
      <c r="F2983" s="888" t="s">
        <v>310</v>
      </c>
    </row>
    <row r="2984" spans="1:6">
      <c r="A2984" s="888">
        <v>14</v>
      </c>
      <c r="B2984" s="888" t="s">
        <v>2789</v>
      </c>
      <c r="C2984" s="888" t="s">
        <v>2310</v>
      </c>
      <c r="D2984" s="889">
        <v>46040</v>
      </c>
      <c r="E2984" s="888" t="s">
        <v>310</v>
      </c>
      <c r="F2984" s="888" t="s">
        <v>310</v>
      </c>
    </row>
    <row r="2985" spans="1:6">
      <c r="A2985" s="888">
        <v>14</v>
      </c>
      <c r="B2985" s="888" t="s">
        <v>2789</v>
      </c>
      <c r="C2985" s="888" t="s">
        <v>2310</v>
      </c>
      <c r="D2985" s="889">
        <v>46041</v>
      </c>
      <c r="E2985" s="888" t="s">
        <v>310</v>
      </c>
      <c r="F2985" s="888" t="s">
        <v>310</v>
      </c>
    </row>
    <row r="2986" spans="1:6">
      <c r="A2986" s="888">
        <v>14</v>
      </c>
      <c r="B2986" s="888" t="s">
        <v>2789</v>
      </c>
      <c r="C2986" s="888" t="s">
        <v>2310</v>
      </c>
      <c r="D2986" s="889">
        <v>46042</v>
      </c>
      <c r="E2986" s="888" t="s">
        <v>310</v>
      </c>
      <c r="F2986" s="888" t="s">
        <v>310</v>
      </c>
    </row>
    <row r="2987" spans="1:6">
      <c r="A2987" s="888">
        <v>14</v>
      </c>
      <c r="B2987" s="888" t="s">
        <v>2789</v>
      </c>
      <c r="C2987" s="888" t="s">
        <v>2310</v>
      </c>
      <c r="D2987" s="889">
        <v>46043</v>
      </c>
      <c r="E2987" s="888" t="s">
        <v>310</v>
      </c>
      <c r="F2987" s="888" t="s">
        <v>310</v>
      </c>
    </row>
    <row r="2988" spans="1:6">
      <c r="A2988" s="888">
        <v>14</v>
      </c>
      <c r="B2988" s="888" t="s">
        <v>2789</v>
      </c>
      <c r="C2988" s="888" t="s">
        <v>2310</v>
      </c>
      <c r="D2988" s="889">
        <v>46044</v>
      </c>
      <c r="E2988" s="888" t="s">
        <v>310</v>
      </c>
      <c r="F2988" s="888" t="s">
        <v>310</v>
      </c>
    </row>
    <row r="2989" spans="1:6">
      <c r="A2989" s="888">
        <v>14</v>
      </c>
      <c r="B2989" s="888" t="s">
        <v>2789</v>
      </c>
      <c r="C2989" s="888" t="s">
        <v>2310</v>
      </c>
      <c r="D2989" s="889">
        <v>46045</v>
      </c>
      <c r="E2989" s="888" t="s">
        <v>310</v>
      </c>
      <c r="F2989" s="888" t="s">
        <v>310</v>
      </c>
    </row>
    <row r="2990" spans="1:6">
      <c r="A2990" s="888">
        <v>14</v>
      </c>
      <c r="B2990" s="888" t="s">
        <v>2789</v>
      </c>
      <c r="C2990" s="888" t="s">
        <v>2310</v>
      </c>
      <c r="D2990" s="889">
        <v>46046</v>
      </c>
      <c r="E2990" s="888" t="s">
        <v>310</v>
      </c>
      <c r="F2990" s="888" t="s">
        <v>310</v>
      </c>
    </row>
    <row r="2991" spans="1:6">
      <c r="A2991" s="888">
        <v>14</v>
      </c>
      <c r="B2991" s="888" t="s">
        <v>2789</v>
      </c>
      <c r="C2991" s="888" t="s">
        <v>2310</v>
      </c>
      <c r="D2991" s="889">
        <v>46047</v>
      </c>
      <c r="E2991" s="888" t="s">
        <v>310</v>
      </c>
      <c r="F2991" s="888" t="s">
        <v>310</v>
      </c>
    </row>
    <row r="2992" spans="1:6">
      <c r="A2992" s="888">
        <v>14</v>
      </c>
      <c r="B2992" s="888" t="s">
        <v>2789</v>
      </c>
      <c r="C2992" s="888" t="s">
        <v>2310</v>
      </c>
      <c r="D2992" s="889">
        <v>46048</v>
      </c>
      <c r="E2992" s="888" t="s">
        <v>310</v>
      </c>
      <c r="F2992" s="888" t="s">
        <v>310</v>
      </c>
    </row>
    <row r="2993" spans="1:6">
      <c r="A2993" s="888">
        <v>14</v>
      </c>
      <c r="B2993" s="888" t="s">
        <v>2789</v>
      </c>
      <c r="C2993" s="888" t="s">
        <v>2310</v>
      </c>
      <c r="D2993" s="889">
        <v>46049</v>
      </c>
      <c r="E2993" s="888" t="s">
        <v>310</v>
      </c>
      <c r="F2993" s="888" t="s">
        <v>310</v>
      </c>
    </row>
    <row r="2994" spans="1:6">
      <c r="A2994" s="888">
        <v>14</v>
      </c>
      <c r="B2994" s="888" t="s">
        <v>2789</v>
      </c>
      <c r="C2994" s="888" t="s">
        <v>2310</v>
      </c>
      <c r="D2994" s="889">
        <v>46050</v>
      </c>
      <c r="E2994" s="888" t="s">
        <v>310</v>
      </c>
      <c r="F2994" s="888" t="s">
        <v>310</v>
      </c>
    </row>
    <row r="2995" spans="1:6">
      <c r="A2995" s="888">
        <v>14</v>
      </c>
      <c r="B2995" s="888" t="s">
        <v>2789</v>
      </c>
      <c r="C2995" s="888" t="s">
        <v>2310</v>
      </c>
      <c r="D2995" s="889">
        <v>46051</v>
      </c>
      <c r="E2995" s="888" t="s">
        <v>310</v>
      </c>
      <c r="F2995" s="888" t="s">
        <v>310</v>
      </c>
    </row>
    <row r="2996" spans="1:6">
      <c r="A2996" s="888">
        <v>14</v>
      </c>
      <c r="B2996" s="888" t="s">
        <v>2789</v>
      </c>
      <c r="C2996" s="888" t="s">
        <v>2310</v>
      </c>
      <c r="D2996" s="889">
        <v>46052</v>
      </c>
      <c r="E2996" s="888" t="s">
        <v>310</v>
      </c>
      <c r="F2996" s="888" t="s">
        <v>310</v>
      </c>
    </row>
    <row r="2997" spans="1:6">
      <c r="A2997" s="888">
        <v>14</v>
      </c>
      <c r="B2997" s="888" t="s">
        <v>2789</v>
      </c>
      <c r="C2997" s="888" t="s">
        <v>2310</v>
      </c>
      <c r="D2997" s="889">
        <v>46053</v>
      </c>
      <c r="E2997" s="888" t="s">
        <v>310</v>
      </c>
      <c r="F2997" s="888" t="s">
        <v>310</v>
      </c>
    </row>
    <row r="2998" spans="1:6">
      <c r="A2998" s="888">
        <v>14</v>
      </c>
      <c r="B2998" s="888" t="s">
        <v>2789</v>
      </c>
      <c r="C2998" s="888" t="s">
        <v>2310</v>
      </c>
      <c r="D2998" s="889">
        <v>46054</v>
      </c>
      <c r="E2998" s="888" t="s">
        <v>310</v>
      </c>
      <c r="F2998" s="888" t="s">
        <v>310</v>
      </c>
    </row>
    <row r="2999" spans="1:6">
      <c r="A2999" s="888">
        <v>143</v>
      </c>
      <c r="B2999" s="888" t="s">
        <v>1144</v>
      </c>
      <c r="C2999" s="888" t="s">
        <v>1387</v>
      </c>
      <c r="D2999" s="889">
        <v>46023</v>
      </c>
      <c r="E2999" s="888" t="s">
        <v>310</v>
      </c>
      <c r="F2999" s="888" t="s">
        <v>310</v>
      </c>
    </row>
    <row r="3000" spans="1:6">
      <c r="A3000" s="888">
        <v>143</v>
      </c>
      <c r="B3000" s="888" t="s">
        <v>1144</v>
      </c>
      <c r="C3000" s="888" t="s">
        <v>1387</v>
      </c>
      <c r="D3000" s="889">
        <v>46024</v>
      </c>
      <c r="E3000" s="888" t="s">
        <v>310</v>
      </c>
      <c r="F3000" s="888" t="s">
        <v>310</v>
      </c>
    </row>
    <row r="3001" spans="1:6">
      <c r="A3001" s="888">
        <v>143</v>
      </c>
      <c r="B3001" s="888" t="s">
        <v>1144</v>
      </c>
      <c r="C3001" s="888" t="s">
        <v>1387</v>
      </c>
      <c r="D3001" s="889">
        <v>46025</v>
      </c>
      <c r="E3001" s="888" t="s">
        <v>310</v>
      </c>
      <c r="F3001" s="888" t="s">
        <v>310</v>
      </c>
    </row>
    <row r="3002" spans="1:6">
      <c r="A3002" s="888">
        <v>143</v>
      </c>
      <c r="B3002" s="888" t="s">
        <v>1144</v>
      </c>
      <c r="C3002" s="888" t="s">
        <v>1387</v>
      </c>
      <c r="D3002" s="889">
        <v>46026</v>
      </c>
      <c r="E3002" s="888" t="s">
        <v>310</v>
      </c>
      <c r="F3002" s="888" t="s">
        <v>310</v>
      </c>
    </row>
    <row r="3003" spans="1:6">
      <c r="A3003" s="888">
        <v>143</v>
      </c>
      <c r="B3003" s="888" t="s">
        <v>1144</v>
      </c>
      <c r="C3003" s="888" t="s">
        <v>1387</v>
      </c>
      <c r="D3003" s="889">
        <v>46027</v>
      </c>
      <c r="E3003" s="890">
        <v>0.33554398148148146</v>
      </c>
      <c r="F3003" s="890">
        <v>0.7798032407407407</v>
      </c>
    </row>
    <row r="3004" spans="1:6">
      <c r="A3004" s="888" t="s">
        <v>2790</v>
      </c>
      <c r="B3004" s="888" t="s">
        <v>2791</v>
      </c>
      <c r="C3004" s="888" t="s">
        <v>1955</v>
      </c>
    </row>
    <row r="3005" spans="1:6">
      <c r="A3005" s="888">
        <v>143</v>
      </c>
      <c r="B3005" s="888" t="s">
        <v>1144</v>
      </c>
      <c r="C3005" s="888" t="s">
        <v>1387</v>
      </c>
      <c r="D3005" s="889">
        <v>46028</v>
      </c>
      <c r="E3005" s="890">
        <v>0.33967592592592594</v>
      </c>
      <c r="F3005" s="890">
        <v>0.76770833333333333</v>
      </c>
    </row>
    <row r="3006" spans="1:6">
      <c r="A3006" s="888" t="s">
        <v>2792</v>
      </c>
      <c r="B3006" s="888" t="s">
        <v>2793</v>
      </c>
      <c r="C3006" s="888" t="s">
        <v>1430</v>
      </c>
    </row>
    <row r="3007" spans="1:6">
      <c r="A3007" s="888">
        <v>143</v>
      </c>
      <c r="B3007" s="888" t="s">
        <v>1144</v>
      </c>
      <c r="C3007" s="888" t="s">
        <v>1387</v>
      </c>
      <c r="D3007" s="889">
        <v>46029</v>
      </c>
      <c r="E3007" s="890">
        <v>0.33725694444444443</v>
      </c>
      <c r="F3007" s="890">
        <v>0.78037037037037038</v>
      </c>
    </row>
    <row r="3008" spans="1:6">
      <c r="A3008" s="888" t="s">
        <v>2794</v>
      </c>
      <c r="B3008" s="888" t="s">
        <v>2795</v>
      </c>
      <c r="C3008" s="888" t="s">
        <v>2796</v>
      </c>
    </row>
    <row r="3009" spans="1:6">
      <c r="A3009" s="888">
        <v>143</v>
      </c>
      <c r="B3009" s="888" t="s">
        <v>1144</v>
      </c>
      <c r="C3009" s="888" t="s">
        <v>1387</v>
      </c>
      <c r="D3009" s="889">
        <v>46030</v>
      </c>
      <c r="E3009" s="888" t="s">
        <v>310</v>
      </c>
      <c r="F3009" s="888" t="s">
        <v>310</v>
      </c>
    </row>
    <row r="3010" spans="1:6">
      <c r="A3010" s="888">
        <v>143</v>
      </c>
      <c r="B3010" s="888" t="s">
        <v>1144</v>
      </c>
      <c r="C3010" s="888" t="s">
        <v>1387</v>
      </c>
      <c r="D3010" s="889">
        <v>46031</v>
      </c>
      <c r="E3010" s="888" t="s">
        <v>310</v>
      </c>
      <c r="F3010" s="888" t="s">
        <v>310</v>
      </c>
    </row>
    <row r="3011" spans="1:6">
      <c r="A3011" s="888">
        <v>143</v>
      </c>
      <c r="B3011" s="888" t="s">
        <v>1144</v>
      </c>
      <c r="C3011" s="888" t="s">
        <v>1387</v>
      </c>
      <c r="D3011" s="889">
        <v>46032</v>
      </c>
      <c r="E3011" s="888" t="s">
        <v>310</v>
      </c>
      <c r="F3011" s="888" t="s">
        <v>310</v>
      </c>
    </row>
    <row r="3012" spans="1:6">
      <c r="A3012" s="888">
        <v>143</v>
      </c>
      <c r="B3012" s="888" t="s">
        <v>1144</v>
      </c>
      <c r="C3012" s="888" t="s">
        <v>1387</v>
      </c>
      <c r="D3012" s="889">
        <v>46033</v>
      </c>
      <c r="E3012" s="888" t="s">
        <v>310</v>
      </c>
      <c r="F3012" s="888" t="s">
        <v>310</v>
      </c>
    </row>
    <row r="3013" spans="1:6">
      <c r="A3013" s="888">
        <v>143</v>
      </c>
      <c r="B3013" s="888" t="s">
        <v>1144</v>
      </c>
      <c r="C3013" s="888" t="s">
        <v>1387</v>
      </c>
      <c r="D3013" s="889">
        <v>46034</v>
      </c>
      <c r="E3013" s="890">
        <v>0.3384490740740741</v>
      </c>
      <c r="F3013" s="890">
        <v>0.77819444444444441</v>
      </c>
    </row>
    <row r="3014" spans="1:6">
      <c r="A3014" s="888" t="s">
        <v>2797</v>
      </c>
      <c r="B3014" s="888" t="s">
        <v>2798</v>
      </c>
      <c r="C3014" s="888" t="s">
        <v>1766</v>
      </c>
    </row>
    <row r="3015" spans="1:6">
      <c r="A3015" s="888">
        <v>143</v>
      </c>
      <c r="B3015" s="888" t="s">
        <v>1144</v>
      </c>
      <c r="C3015" s="888" t="s">
        <v>1387</v>
      </c>
      <c r="D3015" s="889">
        <v>46035</v>
      </c>
      <c r="E3015" s="890">
        <v>0.33695601851851853</v>
      </c>
      <c r="F3015" s="890">
        <v>0.76321759259259259</v>
      </c>
    </row>
    <row r="3016" spans="1:6">
      <c r="A3016" s="888" t="s">
        <v>2799</v>
      </c>
      <c r="B3016" s="888" t="s">
        <v>2800</v>
      </c>
      <c r="C3016" s="888" t="s">
        <v>2288</v>
      </c>
    </row>
    <row r="3017" spans="1:6">
      <c r="A3017" s="888">
        <v>143</v>
      </c>
      <c r="B3017" s="888" t="s">
        <v>1144</v>
      </c>
      <c r="C3017" s="888" t="s">
        <v>1387</v>
      </c>
      <c r="D3017" s="889">
        <v>46036</v>
      </c>
      <c r="E3017" s="890">
        <v>0.33980324074074075</v>
      </c>
      <c r="F3017" s="890">
        <v>0.78362268518518519</v>
      </c>
    </row>
    <row r="3018" spans="1:6">
      <c r="A3018" s="888" t="s">
        <v>2801</v>
      </c>
      <c r="B3018" s="888" t="s">
        <v>2802</v>
      </c>
      <c r="C3018" s="888" t="s">
        <v>1270</v>
      </c>
    </row>
    <row r="3019" spans="1:6">
      <c r="A3019" s="888">
        <v>143</v>
      </c>
      <c r="B3019" s="888" t="s">
        <v>1144</v>
      </c>
      <c r="C3019" s="888" t="s">
        <v>1387</v>
      </c>
      <c r="D3019" s="889">
        <v>46037</v>
      </c>
      <c r="E3019" s="890">
        <v>0.34020833333333333</v>
      </c>
      <c r="F3019" s="890">
        <v>0.77347222222222223</v>
      </c>
    </row>
    <row r="3020" spans="1:6">
      <c r="A3020" s="888" t="s">
        <v>2803</v>
      </c>
      <c r="B3020" s="888" t="s">
        <v>2804</v>
      </c>
      <c r="C3020" s="888" t="s">
        <v>1903</v>
      </c>
    </row>
    <row r="3021" spans="1:6">
      <c r="A3021" s="888">
        <v>143</v>
      </c>
      <c r="B3021" s="888" t="s">
        <v>1144</v>
      </c>
      <c r="C3021" s="888" t="s">
        <v>1387</v>
      </c>
      <c r="D3021" s="889">
        <v>46038</v>
      </c>
      <c r="E3021" s="888" t="s">
        <v>310</v>
      </c>
      <c r="F3021" s="888" t="s">
        <v>310</v>
      </c>
    </row>
    <row r="3022" spans="1:6">
      <c r="A3022" s="888">
        <v>143</v>
      </c>
      <c r="B3022" s="888" t="s">
        <v>1144</v>
      </c>
      <c r="C3022" s="888" t="s">
        <v>1387</v>
      </c>
      <c r="D3022" s="889">
        <v>46039</v>
      </c>
      <c r="E3022" s="888" t="s">
        <v>310</v>
      </c>
      <c r="F3022" s="888" t="s">
        <v>310</v>
      </c>
    </row>
    <row r="3023" spans="1:6">
      <c r="A3023" s="888">
        <v>143</v>
      </c>
      <c r="B3023" s="888" t="s">
        <v>1144</v>
      </c>
      <c r="C3023" s="888" t="s">
        <v>1387</v>
      </c>
      <c r="D3023" s="889">
        <v>46040</v>
      </c>
      <c r="E3023" s="888" t="s">
        <v>310</v>
      </c>
      <c r="F3023" s="888" t="s">
        <v>310</v>
      </c>
    </row>
    <row r="3024" spans="1:6">
      <c r="A3024" s="888">
        <v>143</v>
      </c>
      <c r="B3024" s="888" t="s">
        <v>1144</v>
      </c>
      <c r="C3024" s="888" t="s">
        <v>1387</v>
      </c>
      <c r="D3024" s="889">
        <v>46041</v>
      </c>
      <c r="E3024" s="890">
        <v>0.33986111111111111</v>
      </c>
      <c r="F3024" s="890">
        <v>0.77910879629629626</v>
      </c>
    </row>
    <row r="3025" spans="1:6">
      <c r="A3025" s="888" t="s">
        <v>2805</v>
      </c>
      <c r="B3025" s="888" t="s">
        <v>2806</v>
      </c>
      <c r="C3025" s="888" t="s">
        <v>1766</v>
      </c>
    </row>
    <row r="3026" spans="1:6">
      <c r="A3026" s="888">
        <v>143</v>
      </c>
      <c r="B3026" s="888" t="s">
        <v>1144</v>
      </c>
      <c r="C3026" s="888" t="s">
        <v>1387</v>
      </c>
      <c r="D3026" s="889">
        <v>46042</v>
      </c>
      <c r="E3026" s="890">
        <v>0.33652777777777776</v>
      </c>
      <c r="F3026" s="890">
        <v>0.75230324074074073</v>
      </c>
    </row>
    <row r="3027" spans="1:6">
      <c r="A3027" s="888" t="s">
        <v>2807</v>
      </c>
      <c r="B3027" s="888" t="s">
        <v>2808</v>
      </c>
      <c r="C3027" s="888" t="s">
        <v>1422</v>
      </c>
    </row>
    <row r="3028" spans="1:6">
      <c r="A3028" s="888">
        <v>143</v>
      </c>
      <c r="B3028" s="888" t="s">
        <v>1144</v>
      </c>
      <c r="C3028" s="888" t="s">
        <v>1387</v>
      </c>
      <c r="D3028" s="889">
        <v>46043</v>
      </c>
      <c r="E3028" s="890">
        <v>0.33509259259259261</v>
      </c>
      <c r="F3028" s="890">
        <v>0.75753472222222218</v>
      </c>
    </row>
    <row r="3029" spans="1:6">
      <c r="A3029" s="888" t="s">
        <v>2809</v>
      </c>
      <c r="B3029" s="888" t="s">
        <v>2810</v>
      </c>
      <c r="C3029" s="888" t="s">
        <v>1686</v>
      </c>
    </row>
    <row r="3030" spans="1:6">
      <c r="A3030" s="888">
        <v>143</v>
      </c>
      <c r="B3030" s="888" t="s">
        <v>1144</v>
      </c>
      <c r="C3030" s="888" t="s">
        <v>1387</v>
      </c>
      <c r="D3030" s="889">
        <v>46044</v>
      </c>
      <c r="E3030" s="890">
        <v>0.3359375</v>
      </c>
      <c r="F3030" s="890">
        <v>0.75246527777777783</v>
      </c>
    </row>
    <row r="3031" spans="1:6">
      <c r="A3031" s="888" t="s">
        <v>2811</v>
      </c>
      <c r="B3031" s="888" t="s">
        <v>2812</v>
      </c>
      <c r="C3031" s="888" t="s">
        <v>1303</v>
      </c>
    </row>
    <row r="3032" spans="1:6">
      <c r="A3032" s="888">
        <v>143</v>
      </c>
      <c r="B3032" s="888" t="s">
        <v>1144</v>
      </c>
      <c r="C3032" s="888" t="s">
        <v>1387</v>
      </c>
      <c r="D3032" s="889">
        <v>46045</v>
      </c>
      <c r="E3032" s="888" t="s">
        <v>310</v>
      </c>
      <c r="F3032" s="888" t="s">
        <v>310</v>
      </c>
    </row>
    <row r="3033" spans="1:6">
      <c r="A3033" s="888">
        <v>143</v>
      </c>
      <c r="B3033" s="888" t="s">
        <v>1144</v>
      </c>
      <c r="C3033" s="888" t="s">
        <v>1387</v>
      </c>
      <c r="D3033" s="889">
        <v>46046</v>
      </c>
      <c r="E3033" s="888" t="s">
        <v>310</v>
      </c>
      <c r="F3033" s="888" t="s">
        <v>310</v>
      </c>
    </row>
    <row r="3034" spans="1:6">
      <c r="A3034" s="888">
        <v>143</v>
      </c>
      <c r="B3034" s="888" t="s">
        <v>1144</v>
      </c>
      <c r="C3034" s="888" t="s">
        <v>1387</v>
      </c>
      <c r="D3034" s="889">
        <v>46047</v>
      </c>
      <c r="E3034" s="888" t="s">
        <v>310</v>
      </c>
      <c r="F3034" s="888" t="s">
        <v>310</v>
      </c>
    </row>
    <row r="3035" spans="1:6">
      <c r="A3035" s="888">
        <v>143</v>
      </c>
      <c r="B3035" s="888" t="s">
        <v>1144</v>
      </c>
      <c r="C3035" s="888" t="s">
        <v>1387</v>
      </c>
      <c r="D3035" s="889">
        <v>46048</v>
      </c>
      <c r="E3035" s="890">
        <v>0.33908564814814812</v>
      </c>
      <c r="F3035" s="890">
        <v>0.78035879629629634</v>
      </c>
    </row>
    <row r="3036" spans="1:6">
      <c r="A3036" s="888" t="s">
        <v>2813</v>
      </c>
      <c r="B3036" s="888" t="s">
        <v>2814</v>
      </c>
      <c r="C3036" s="888" t="s">
        <v>2569</v>
      </c>
    </row>
    <row r="3037" spans="1:6">
      <c r="A3037" s="888">
        <v>143</v>
      </c>
      <c r="B3037" s="888" t="s">
        <v>1144</v>
      </c>
      <c r="C3037" s="888" t="s">
        <v>1387</v>
      </c>
      <c r="D3037" s="889">
        <v>46049</v>
      </c>
      <c r="E3037" s="890">
        <v>0.33774305555555556</v>
      </c>
      <c r="F3037" s="890">
        <v>0.76236111111111116</v>
      </c>
    </row>
    <row r="3038" spans="1:6">
      <c r="A3038" s="888" t="s">
        <v>2815</v>
      </c>
      <c r="B3038" s="888" t="s">
        <v>2816</v>
      </c>
      <c r="C3038" s="888" t="s">
        <v>1393</v>
      </c>
    </row>
    <row r="3039" spans="1:6">
      <c r="A3039" s="888">
        <v>143</v>
      </c>
      <c r="B3039" s="888" t="s">
        <v>1144</v>
      </c>
      <c r="C3039" s="888" t="s">
        <v>1387</v>
      </c>
      <c r="D3039" s="889">
        <v>46050</v>
      </c>
      <c r="E3039" s="890">
        <v>0.33789351851851851</v>
      </c>
      <c r="F3039" s="890">
        <v>0.75354166666666667</v>
      </c>
    </row>
    <row r="3040" spans="1:6">
      <c r="A3040" s="888" t="s">
        <v>2817</v>
      </c>
      <c r="B3040" s="888" t="s">
        <v>2818</v>
      </c>
      <c r="C3040" s="888" t="s">
        <v>1422</v>
      </c>
    </row>
    <row r="3041" spans="1:6">
      <c r="A3041" s="888">
        <v>143</v>
      </c>
      <c r="B3041" s="888" t="s">
        <v>1144</v>
      </c>
      <c r="C3041" s="888" t="s">
        <v>1387</v>
      </c>
      <c r="D3041" s="889">
        <v>46051</v>
      </c>
      <c r="E3041" s="890">
        <v>0.3318402777777778</v>
      </c>
      <c r="F3041" s="890">
        <v>0.77324074074074078</v>
      </c>
    </row>
    <row r="3042" spans="1:6">
      <c r="A3042" s="888" t="s">
        <v>2819</v>
      </c>
      <c r="B3042" s="888" t="s">
        <v>2820</v>
      </c>
      <c r="C3042" s="888" t="s">
        <v>2683</v>
      </c>
    </row>
    <row r="3043" spans="1:6">
      <c r="A3043" s="888">
        <v>143</v>
      </c>
      <c r="B3043" s="888" t="s">
        <v>1144</v>
      </c>
      <c r="C3043" s="888" t="s">
        <v>1387</v>
      </c>
      <c r="D3043" s="889">
        <v>46052</v>
      </c>
      <c r="E3043" s="888" t="s">
        <v>310</v>
      </c>
      <c r="F3043" s="888" t="s">
        <v>310</v>
      </c>
    </row>
    <row r="3044" spans="1:6">
      <c r="A3044" s="888">
        <v>143</v>
      </c>
      <c r="B3044" s="888" t="s">
        <v>1144</v>
      </c>
      <c r="C3044" s="888" t="s">
        <v>1387</v>
      </c>
      <c r="D3044" s="889">
        <v>46053</v>
      </c>
      <c r="E3044" s="888" t="s">
        <v>310</v>
      </c>
      <c r="F3044" s="888" t="s">
        <v>310</v>
      </c>
    </row>
    <row r="3045" spans="1:6">
      <c r="A3045" s="888">
        <v>143</v>
      </c>
      <c r="B3045" s="888" t="s">
        <v>1144</v>
      </c>
      <c r="C3045" s="888" t="s">
        <v>1387</v>
      </c>
      <c r="D3045" s="889">
        <v>46054</v>
      </c>
      <c r="E3045" s="888" t="s">
        <v>310</v>
      </c>
      <c r="F3045" s="888" t="s">
        <v>310</v>
      </c>
    </row>
    <row r="3046" spans="1:6">
      <c r="A3046" s="888">
        <v>145</v>
      </c>
      <c r="B3046" s="888" t="s">
        <v>1145</v>
      </c>
      <c r="C3046" s="888" t="s">
        <v>2310</v>
      </c>
      <c r="D3046" s="889">
        <v>46023</v>
      </c>
      <c r="E3046" s="888" t="s">
        <v>310</v>
      </c>
      <c r="F3046" s="888" t="s">
        <v>310</v>
      </c>
    </row>
    <row r="3047" spans="1:6">
      <c r="A3047" s="888">
        <v>145</v>
      </c>
      <c r="B3047" s="888" t="s">
        <v>1145</v>
      </c>
      <c r="C3047" s="888" t="s">
        <v>2310</v>
      </c>
      <c r="D3047" s="889">
        <v>46024</v>
      </c>
      <c r="E3047" s="888" t="s">
        <v>310</v>
      </c>
      <c r="F3047" s="888" t="s">
        <v>310</v>
      </c>
    </row>
    <row r="3048" spans="1:6">
      <c r="A3048" s="888">
        <v>145</v>
      </c>
      <c r="B3048" s="888" t="s">
        <v>1145</v>
      </c>
      <c r="C3048" s="888" t="s">
        <v>2310</v>
      </c>
      <c r="D3048" s="889">
        <v>46025</v>
      </c>
      <c r="E3048" s="888" t="s">
        <v>310</v>
      </c>
      <c r="F3048" s="888" t="s">
        <v>310</v>
      </c>
    </row>
    <row r="3049" spans="1:6">
      <c r="A3049" s="888">
        <v>145</v>
      </c>
      <c r="B3049" s="888" t="s">
        <v>1145</v>
      </c>
      <c r="C3049" s="888" t="s">
        <v>2310</v>
      </c>
      <c r="D3049" s="889">
        <v>46026</v>
      </c>
      <c r="E3049" s="888" t="s">
        <v>310</v>
      </c>
      <c r="F3049" s="888" t="s">
        <v>310</v>
      </c>
    </row>
    <row r="3050" spans="1:6">
      <c r="A3050" s="888">
        <v>145</v>
      </c>
      <c r="B3050" s="888" t="s">
        <v>1145</v>
      </c>
      <c r="C3050" s="888" t="s">
        <v>2310</v>
      </c>
      <c r="D3050" s="889">
        <v>46027</v>
      </c>
      <c r="E3050" s="888" t="s">
        <v>310</v>
      </c>
      <c r="F3050" s="888" t="s">
        <v>310</v>
      </c>
    </row>
    <row r="3051" spans="1:6">
      <c r="A3051" s="888">
        <v>145</v>
      </c>
      <c r="B3051" s="888" t="s">
        <v>1145</v>
      </c>
      <c r="C3051" s="888" t="s">
        <v>2310</v>
      </c>
      <c r="D3051" s="889">
        <v>46028</v>
      </c>
      <c r="E3051" s="888" t="s">
        <v>310</v>
      </c>
      <c r="F3051" s="888" t="s">
        <v>310</v>
      </c>
    </row>
    <row r="3052" spans="1:6">
      <c r="A3052" s="888">
        <v>145</v>
      </c>
      <c r="B3052" s="888" t="s">
        <v>1145</v>
      </c>
      <c r="C3052" s="888" t="s">
        <v>2310</v>
      </c>
      <c r="D3052" s="889">
        <v>46029</v>
      </c>
      <c r="E3052" s="888" t="s">
        <v>310</v>
      </c>
      <c r="F3052" s="888" t="s">
        <v>310</v>
      </c>
    </row>
    <row r="3053" spans="1:6">
      <c r="A3053" s="888">
        <v>145</v>
      </c>
      <c r="B3053" s="888" t="s">
        <v>1145</v>
      </c>
      <c r="C3053" s="888" t="s">
        <v>2310</v>
      </c>
      <c r="D3053" s="889">
        <v>46030</v>
      </c>
      <c r="E3053" s="890">
        <v>0.50387731481481479</v>
      </c>
      <c r="F3053" s="890">
        <v>0.84423611111111108</v>
      </c>
    </row>
    <row r="3054" spans="1:6">
      <c r="A3054" s="888" t="s">
        <v>2821</v>
      </c>
      <c r="B3054" s="888" t="s">
        <v>2822</v>
      </c>
      <c r="C3054" s="888" t="s">
        <v>2823</v>
      </c>
    </row>
    <row r="3055" spans="1:6">
      <c r="A3055" s="888">
        <v>145</v>
      </c>
      <c r="B3055" s="888" t="s">
        <v>1145</v>
      </c>
      <c r="C3055" s="888" t="s">
        <v>2310</v>
      </c>
      <c r="D3055" s="889">
        <v>46031</v>
      </c>
      <c r="E3055" s="890">
        <v>0.76410879629629624</v>
      </c>
      <c r="F3055" s="890">
        <v>0.76442129629629629</v>
      </c>
    </row>
    <row r="3056" spans="1:6">
      <c r="A3056" s="888" t="s">
        <v>2824</v>
      </c>
      <c r="B3056" s="888" t="s">
        <v>2825</v>
      </c>
      <c r="C3056" s="888" t="s">
        <v>1259</v>
      </c>
    </row>
    <row r="3057" spans="1:6">
      <c r="A3057" s="888">
        <v>145</v>
      </c>
      <c r="B3057" s="888" t="s">
        <v>1145</v>
      </c>
      <c r="C3057" s="888" t="s">
        <v>2310</v>
      </c>
      <c r="D3057" s="889">
        <v>46032</v>
      </c>
      <c r="E3057" s="890">
        <v>0.50369212962962961</v>
      </c>
      <c r="F3057" s="890">
        <v>0.77543981481481483</v>
      </c>
    </row>
    <row r="3058" spans="1:6">
      <c r="A3058" s="888" t="s">
        <v>2826</v>
      </c>
      <c r="B3058" s="888" t="s">
        <v>2827</v>
      </c>
      <c r="C3058" s="888" t="s">
        <v>2828</v>
      </c>
    </row>
    <row r="3059" spans="1:6">
      <c r="A3059" s="888">
        <v>145</v>
      </c>
      <c r="B3059" s="888" t="s">
        <v>1145</v>
      </c>
      <c r="C3059" s="888" t="s">
        <v>2310</v>
      </c>
      <c r="D3059" s="889">
        <v>46033</v>
      </c>
      <c r="E3059" s="888" t="s">
        <v>310</v>
      </c>
      <c r="F3059" s="888" t="s">
        <v>310</v>
      </c>
    </row>
    <row r="3060" spans="1:6">
      <c r="A3060" s="888">
        <v>145</v>
      </c>
      <c r="B3060" s="888" t="s">
        <v>1145</v>
      </c>
      <c r="C3060" s="888" t="s">
        <v>2310</v>
      </c>
      <c r="D3060" s="889">
        <v>46034</v>
      </c>
      <c r="E3060" s="890">
        <v>0.41594907407407405</v>
      </c>
      <c r="F3060" s="888" t="s">
        <v>310</v>
      </c>
    </row>
    <row r="3061" spans="1:6">
      <c r="A3061" s="888" t="s">
        <v>2829</v>
      </c>
      <c r="B3061" s="888" t="s">
        <v>1258</v>
      </c>
      <c r="C3061" s="888" t="s">
        <v>1259</v>
      </c>
    </row>
    <row r="3062" spans="1:6">
      <c r="A3062" s="888">
        <v>145</v>
      </c>
      <c r="B3062" s="888" t="s">
        <v>1145</v>
      </c>
      <c r="C3062" s="888" t="s">
        <v>2310</v>
      </c>
      <c r="D3062" s="889">
        <v>46035</v>
      </c>
      <c r="E3062" s="890">
        <v>0.77298611111111115</v>
      </c>
      <c r="F3062" s="890">
        <v>0.77312499999999995</v>
      </c>
    </row>
    <row r="3063" spans="1:6">
      <c r="A3063" s="888" t="s">
        <v>2830</v>
      </c>
      <c r="B3063" s="888" t="s">
        <v>2831</v>
      </c>
      <c r="C3063" s="888" t="s">
        <v>1259</v>
      </c>
    </row>
    <row r="3064" spans="1:6">
      <c r="A3064" s="888">
        <v>145</v>
      </c>
      <c r="B3064" s="888" t="s">
        <v>1145</v>
      </c>
      <c r="C3064" s="888" t="s">
        <v>2310</v>
      </c>
      <c r="D3064" s="889">
        <v>46036</v>
      </c>
      <c r="E3064" s="888" t="s">
        <v>310</v>
      </c>
      <c r="F3064" s="888" t="s">
        <v>310</v>
      </c>
    </row>
    <row r="3065" spans="1:6">
      <c r="A3065" s="888">
        <v>145</v>
      </c>
      <c r="B3065" s="888" t="s">
        <v>1145</v>
      </c>
      <c r="C3065" s="888" t="s">
        <v>2310</v>
      </c>
      <c r="D3065" s="889">
        <v>46037</v>
      </c>
      <c r="E3065" s="890">
        <v>0.38883101851851853</v>
      </c>
      <c r="F3065" s="890">
        <v>0.50766203703703705</v>
      </c>
    </row>
    <row r="3066" spans="1:6">
      <c r="A3066" s="888" t="s">
        <v>2832</v>
      </c>
      <c r="B3066" s="888" t="s">
        <v>2833</v>
      </c>
      <c r="C3066" s="888" t="s">
        <v>2834</v>
      </c>
    </row>
    <row r="3067" spans="1:6">
      <c r="A3067" s="888">
        <v>145</v>
      </c>
      <c r="B3067" s="888" t="s">
        <v>1145</v>
      </c>
      <c r="C3067" s="888" t="s">
        <v>2310</v>
      </c>
      <c r="D3067" s="889">
        <v>46038</v>
      </c>
      <c r="E3067" s="888" t="s">
        <v>310</v>
      </c>
      <c r="F3067" s="888" t="s">
        <v>310</v>
      </c>
    </row>
    <row r="3068" spans="1:6">
      <c r="A3068" s="888">
        <v>145</v>
      </c>
      <c r="B3068" s="888" t="s">
        <v>1145</v>
      </c>
      <c r="C3068" s="888" t="s">
        <v>2310</v>
      </c>
      <c r="D3068" s="889">
        <v>46039</v>
      </c>
      <c r="E3068" s="890">
        <v>0.43625000000000003</v>
      </c>
      <c r="F3068" s="888" t="s">
        <v>310</v>
      </c>
    </row>
    <row r="3069" spans="1:6">
      <c r="A3069" s="888" t="s">
        <v>2835</v>
      </c>
      <c r="B3069" s="888" t="s">
        <v>1258</v>
      </c>
      <c r="C3069" s="888" t="s">
        <v>1259</v>
      </c>
    </row>
    <row r="3070" spans="1:6">
      <c r="A3070" s="888">
        <v>145</v>
      </c>
      <c r="B3070" s="888" t="s">
        <v>1145</v>
      </c>
      <c r="C3070" s="888" t="s">
        <v>2310</v>
      </c>
      <c r="D3070" s="889">
        <v>46040</v>
      </c>
      <c r="E3070" s="888" t="s">
        <v>310</v>
      </c>
      <c r="F3070" s="888" t="s">
        <v>310</v>
      </c>
    </row>
    <row r="3071" spans="1:6">
      <c r="A3071" s="888">
        <v>145</v>
      </c>
      <c r="B3071" s="888" t="s">
        <v>1145</v>
      </c>
      <c r="C3071" s="888" t="s">
        <v>2310</v>
      </c>
      <c r="D3071" s="889">
        <v>46041</v>
      </c>
      <c r="E3071" s="890">
        <v>0.80525462962962968</v>
      </c>
      <c r="F3071" s="890">
        <v>0.8052893518518518</v>
      </c>
    </row>
    <row r="3072" spans="1:6">
      <c r="A3072" s="888" t="s">
        <v>2836</v>
      </c>
      <c r="B3072" s="888" t="s">
        <v>2837</v>
      </c>
      <c r="C3072" s="888" t="s">
        <v>1259</v>
      </c>
    </row>
    <row r="3073" spans="1:6">
      <c r="A3073" s="888">
        <v>145</v>
      </c>
      <c r="B3073" s="888" t="s">
        <v>1145</v>
      </c>
      <c r="C3073" s="888" t="s">
        <v>2310</v>
      </c>
      <c r="D3073" s="889">
        <v>46042</v>
      </c>
      <c r="E3073" s="890">
        <v>0.7628125</v>
      </c>
      <c r="F3073" s="890">
        <v>0.76395833333333329</v>
      </c>
    </row>
    <row r="3074" spans="1:6">
      <c r="A3074" s="888" t="s">
        <v>2838</v>
      </c>
      <c r="B3074" s="888" t="s">
        <v>2839</v>
      </c>
      <c r="C3074" s="888" t="s">
        <v>2840</v>
      </c>
    </row>
    <row r="3075" spans="1:6">
      <c r="A3075" s="888">
        <v>145</v>
      </c>
      <c r="B3075" s="888" t="s">
        <v>1145</v>
      </c>
      <c r="C3075" s="888" t="s">
        <v>2310</v>
      </c>
      <c r="D3075" s="889">
        <v>46043</v>
      </c>
      <c r="E3075" s="888" t="s">
        <v>310</v>
      </c>
      <c r="F3075" s="888" t="s">
        <v>310</v>
      </c>
    </row>
    <row r="3076" spans="1:6">
      <c r="A3076" s="888">
        <v>145</v>
      </c>
      <c r="B3076" s="888" t="s">
        <v>1145</v>
      </c>
      <c r="C3076" s="888" t="s">
        <v>2310</v>
      </c>
      <c r="D3076" s="889">
        <v>46044</v>
      </c>
      <c r="E3076" s="890">
        <v>0.43672453703703706</v>
      </c>
      <c r="F3076" s="890">
        <v>0.43675925925925924</v>
      </c>
    </row>
    <row r="3077" spans="1:6">
      <c r="A3077" s="888" t="s">
        <v>2841</v>
      </c>
      <c r="B3077" s="888" t="s">
        <v>2842</v>
      </c>
      <c r="C3077" s="888" t="s">
        <v>1259</v>
      </c>
    </row>
    <row r="3078" spans="1:6">
      <c r="A3078" s="888">
        <v>145</v>
      </c>
      <c r="B3078" s="888" t="s">
        <v>1145</v>
      </c>
      <c r="C3078" s="888" t="s">
        <v>2310</v>
      </c>
      <c r="D3078" s="889">
        <v>46045</v>
      </c>
      <c r="E3078" s="888" t="s">
        <v>310</v>
      </c>
      <c r="F3078" s="888" t="s">
        <v>310</v>
      </c>
    </row>
    <row r="3079" spans="1:6">
      <c r="A3079" s="888">
        <v>145</v>
      </c>
      <c r="B3079" s="888" t="s">
        <v>1145</v>
      </c>
      <c r="C3079" s="888" t="s">
        <v>2310</v>
      </c>
      <c r="D3079" s="889">
        <v>46046</v>
      </c>
      <c r="E3079" s="888" t="s">
        <v>310</v>
      </c>
      <c r="F3079" s="888" t="s">
        <v>310</v>
      </c>
    </row>
    <row r="3080" spans="1:6">
      <c r="A3080" s="888">
        <v>145</v>
      </c>
      <c r="B3080" s="888" t="s">
        <v>1145</v>
      </c>
      <c r="C3080" s="888" t="s">
        <v>2310</v>
      </c>
      <c r="D3080" s="889">
        <v>46047</v>
      </c>
      <c r="E3080" s="888" t="s">
        <v>310</v>
      </c>
      <c r="F3080" s="888" t="s">
        <v>310</v>
      </c>
    </row>
    <row r="3081" spans="1:6">
      <c r="A3081" s="888">
        <v>145</v>
      </c>
      <c r="B3081" s="888" t="s">
        <v>1145</v>
      </c>
      <c r="C3081" s="888" t="s">
        <v>2310</v>
      </c>
      <c r="D3081" s="889">
        <v>46048</v>
      </c>
      <c r="E3081" s="888" t="s">
        <v>310</v>
      </c>
      <c r="F3081" s="888" t="s">
        <v>310</v>
      </c>
    </row>
    <row r="3082" spans="1:6">
      <c r="A3082" s="888">
        <v>145</v>
      </c>
      <c r="B3082" s="888" t="s">
        <v>1145</v>
      </c>
      <c r="C3082" s="888" t="s">
        <v>2310</v>
      </c>
      <c r="D3082" s="889">
        <v>46049</v>
      </c>
      <c r="E3082" s="888" t="s">
        <v>310</v>
      </c>
      <c r="F3082" s="888" t="s">
        <v>310</v>
      </c>
    </row>
    <row r="3083" spans="1:6">
      <c r="A3083" s="888">
        <v>145</v>
      </c>
      <c r="B3083" s="888" t="s">
        <v>1145</v>
      </c>
      <c r="C3083" s="888" t="s">
        <v>2310</v>
      </c>
      <c r="D3083" s="889">
        <v>46050</v>
      </c>
      <c r="E3083" s="888" t="s">
        <v>310</v>
      </c>
      <c r="F3083" s="888" t="s">
        <v>310</v>
      </c>
    </row>
    <row r="3084" spans="1:6">
      <c r="A3084" s="888">
        <v>145</v>
      </c>
      <c r="B3084" s="888" t="s">
        <v>1145</v>
      </c>
      <c r="C3084" s="888" t="s">
        <v>2310</v>
      </c>
      <c r="D3084" s="889">
        <v>46051</v>
      </c>
      <c r="E3084" s="888" t="s">
        <v>310</v>
      </c>
      <c r="F3084" s="888" t="s">
        <v>310</v>
      </c>
    </row>
    <row r="3085" spans="1:6">
      <c r="A3085" s="888">
        <v>145</v>
      </c>
      <c r="B3085" s="888" t="s">
        <v>1145</v>
      </c>
      <c r="C3085" s="888" t="s">
        <v>2310</v>
      </c>
      <c r="D3085" s="889">
        <v>46052</v>
      </c>
      <c r="E3085" s="890">
        <v>0.51254629629629633</v>
      </c>
      <c r="F3085" s="890">
        <v>0.51275462962962959</v>
      </c>
    </row>
    <row r="3086" spans="1:6">
      <c r="A3086" s="888" t="s">
        <v>2843</v>
      </c>
      <c r="B3086" s="888" t="s">
        <v>2844</v>
      </c>
      <c r="C3086" s="888" t="s">
        <v>1259</v>
      </c>
    </row>
    <row r="3087" spans="1:6">
      <c r="A3087" s="888">
        <v>145</v>
      </c>
      <c r="B3087" s="888" t="s">
        <v>1145</v>
      </c>
      <c r="C3087" s="888" t="s">
        <v>2310</v>
      </c>
      <c r="D3087" s="889">
        <v>46053</v>
      </c>
      <c r="E3087" s="888" t="s">
        <v>310</v>
      </c>
      <c r="F3087" s="888" t="s">
        <v>310</v>
      </c>
    </row>
    <row r="3088" spans="1:6">
      <c r="A3088" s="888">
        <v>145</v>
      </c>
      <c r="B3088" s="888" t="s">
        <v>1145</v>
      </c>
      <c r="C3088" s="888" t="s">
        <v>2310</v>
      </c>
      <c r="D3088" s="889">
        <v>46054</v>
      </c>
      <c r="E3088" s="888" t="s">
        <v>310</v>
      </c>
      <c r="F3088" s="888" t="s">
        <v>310</v>
      </c>
    </row>
    <row r="3089" spans="1:6">
      <c r="A3089" s="888" t="s">
        <v>2845</v>
      </c>
      <c r="B3089" s="888" t="s">
        <v>1258</v>
      </c>
      <c r="C3089" s="888" t="s">
        <v>1259</v>
      </c>
    </row>
    <row r="3090" spans="1:6">
      <c r="A3090" s="888" t="s">
        <v>2846</v>
      </c>
      <c r="B3090" s="888" t="s">
        <v>1258</v>
      </c>
      <c r="C3090" s="888" t="s">
        <v>1259</v>
      </c>
    </row>
    <row r="3091" spans="1:6">
      <c r="A3091" s="888" t="s">
        <v>2847</v>
      </c>
      <c r="B3091" s="888" t="s">
        <v>2848</v>
      </c>
      <c r="C3091" s="888" t="s">
        <v>2758</v>
      </c>
    </row>
    <row r="3092" spans="1:6">
      <c r="A3092" s="888" t="s">
        <v>2849</v>
      </c>
      <c r="B3092" s="888" t="s">
        <v>1258</v>
      </c>
      <c r="C3092" s="888" t="s">
        <v>1259</v>
      </c>
    </row>
    <row r="3093" spans="1:6">
      <c r="A3093" s="888" t="s">
        <v>2850</v>
      </c>
      <c r="B3093" s="888" t="s">
        <v>2851</v>
      </c>
      <c r="C3093" s="888" t="s">
        <v>2003</v>
      </c>
    </row>
    <row r="3094" spans="1:6">
      <c r="A3094" s="888" t="s">
        <v>2852</v>
      </c>
      <c r="B3094" s="888" t="s">
        <v>2853</v>
      </c>
      <c r="C3094" s="888" t="s">
        <v>1369</v>
      </c>
    </row>
    <row r="3095" spans="1:6">
      <c r="A3095" s="888" t="s">
        <v>2854</v>
      </c>
      <c r="B3095" s="888" t="s">
        <v>2855</v>
      </c>
      <c r="C3095" s="888" t="s">
        <v>1879</v>
      </c>
    </row>
    <row r="3096" spans="1:6">
      <c r="A3096" s="888" t="s">
        <v>2856</v>
      </c>
      <c r="B3096" s="888" t="s">
        <v>1258</v>
      </c>
      <c r="C3096" s="888" t="s">
        <v>1259</v>
      </c>
    </row>
    <row r="3097" spans="1:6">
      <c r="A3097" s="888" t="s">
        <v>2857</v>
      </c>
      <c r="B3097" s="888" t="s">
        <v>1258</v>
      </c>
      <c r="C3097" s="888" t="s">
        <v>1259</v>
      </c>
    </row>
    <row r="3098" spans="1:6">
      <c r="A3098" s="888" t="s">
        <v>2858</v>
      </c>
      <c r="B3098" s="888" t="s">
        <v>2859</v>
      </c>
      <c r="C3098" s="888" t="s">
        <v>1645</v>
      </c>
    </row>
    <row r="3099" spans="1:6">
      <c r="A3099" s="888">
        <v>150</v>
      </c>
      <c r="B3099" s="888" t="s">
        <v>1146</v>
      </c>
      <c r="C3099" s="888" t="s">
        <v>2441</v>
      </c>
      <c r="D3099" s="889">
        <v>46023</v>
      </c>
      <c r="E3099" s="888" t="s">
        <v>310</v>
      </c>
      <c r="F3099" s="888" t="s">
        <v>310</v>
      </c>
    </row>
    <row r="3100" spans="1:6">
      <c r="A3100" s="888">
        <v>150</v>
      </c>
      <c r="B3100" s="888" t="s">
        <v>1146</v>
      </c>
      <c r="C3100" s="888" t="s">
        <v>2441</v>
      </c>
      <c r="D3100" s="889">
        <v>46024</v>
      </c>
      <c r="E3100" s="888" t="s">
        <v>310</v>
      </c>
      <c r="F3100" s="888" t="s">
        <v>310</v>
      </c>
    </row>
    <row r="3101" spans="1:6">
      <c r="A3101" s="888">
        <v>150</v>
      </c>
      <c r="B3101" s="888" t="s">
        <v>1146</v>
      </c>
      <c r="C3101" s="888" t="s">
        <v>2441</v>
      </c>
      <c r="D3101" s="889">
        <v>46025</v>
      </c>
      <c r="E3101" s="888" t="s">
        <v>310</v>
      </c>
      <c r="F3101" s="888" t="s">
        <v>310</v>
      </c>
    </row>
    <row r="3102" spans="1:6">
      <c r="A3102" s="888">
        <v>150</v>
      </c>
      <c r="B3102" s="888" t="s">
        <v>1146</v>
      </c>
      <c r="C3102" s="888" t="s">
        <v>2441</v>
      </c>
      <c r="D3102" s="889">
        <v>46026</v>
      </c>
      <c r="E3102" s="888" t="s">
        <v>310</v>
      </c>
      <c r="F3102" s="888" t="s">
        <v>310</v>
      </c>
    </row>
    <row r="3103" spans="1:6">
      <c r="A3103" s="888">
        <v>150</v>
      </c>
      <c r="B3103" s="888" t="s">
        <v>1146</v>
      </c>
      <c r="C3103" s="888" t="s">
        <v>2441</v>
      </c>
      <c r="D3103" s="889">
        <v>46027</v>
      </c>
      <c r="E3103" s="890">
        <v>0.35104166666666664</v>
      </c>
      <c r="F3103" s="890">
        <v>0.76405092592592594</v>
      </c>
    </row>
    <row r="3104" spans="1:6">
      <c r="A3104" s="888" t="s">
        <v>2860</v>
      </c>
      <c r="B3104" s="888" t="s">
        <v>2861</v>
      </c>
      <c r="C3104" s="888" t="s">
        <v>1360</v>
      </c>
    </row>
    <row r="3105" spans="1:6">
      <c r="A3105" s="888">
        <v>150</v>
      </c>
      <c r="B3105" s="888" t="s">
        <v>1146</v>
      </c>
      <c r="C3105" s="888" t="s">
        <v>2441</v>
      </c>
      <c r="D3105" s="889">
        <v>46028</v>
      </c>
      <c r="E3105" s="890">
        <v>0.35604166666666665</v>
      </c>
      <c r="F3105" s="890">
        <v>0.76687499999999997</v>
      </c>
    </row>
    <row r="3106" spans="1:6">
      <c r="A3106" s="888" t="s">
        <v>2862</v>
      </c>
      <c r="B3106" s="888" t="s">
        <v>2863</v>
      </c>
      <c r="C3106" s="888" t="s">
        <v>1613</v>
      </c>
    </row>
    <row r="3107" spans="1:6">
      <c r="A3107" s="888">
        <v>150</v>
      </c>
      <c r="B3107" s="888" t="s">
        <v>1146</v>
      </c>
      <c r="C3107" s="888" t="s">
        <v>2441</v>
      </c>
      <c r="D3107" s="889">
        <v>46029</v>
      </c>
      <c r="E3107" s="890">
        <v>0.35194444444444445</v>
      </c>
      <c r="F3107" s="890">
        <v>0.77458333333333329</v>
      </c>
    </row>
    <row r="3108" spans="1:6">
      <c r="A3108" s="888" t="s">
        <v>2864</v>
      </c>
      <c r="B3108" s="888" t="s">
        <v>2865</v>
      </c>
      <c r="C3108" s="888" t="s">
        <v>1729</v>
      </c>
    </row>
    <row r="3109" spans="1:6">
      <c r="A3109" s="888">
        <v>150</v>
      </c>
      <c r="B3109" s="888" t="s">
        <v>1146</v>
      </c>
      <c r="C3109" s="888" t="s">
        <v>2441</v>
      </c>
      <c r="D3109" s="889">
        <v>46030</v>
      </c>
      <c r="E3109" s="890">
        <v>0.34858796296296296</v>
      </c>
      <c r="F3109" s="890">
        <v>0.77053240740740736</v>
      </c>
    </row>
    <row r="3110" spans="1:6">
      <c r="A3110" s="888" t="s">
        <v>2866</v>
      </c>
      <c r="B3110" s="888" t="s">
        <v>2867</v>
      </c>
      <c r="C3110" s="888" t="s">
        <v>1686</v>
      </c>
    </row>
    <row r="3111" spans="1:6">
      <c r="A3111" s="888">
        <v>150</v>
      </c>
      <c r="B3111" s="888" t="s">
        <v>1146</v>
      </c>
      <c r="C3111" s="888" t="s">
        <v>2441</v>
      </c>
      <c r="D3111" s="889">
        <v>46031</v>
      </c>
      <c r="E3111" s="888" t="s">
        <v>310</v>
      </c>
      <c r="F3111" s="888" t="s">
        <v>310</v>
      </c>
    </row>
    <row r="3112" spans="1:6">
      <c r="A3112" s="888">
        <v>150</v>
      </c>
      <c r="B3112" s="888" t="s">
        <v>1146</v>
      </c>
      <c r="C3112" s="888" t="s">
        <v>2441</v>
      </c>
      <c r="D3112" s="889">
        <v>46032</v>
      </c>
      <c r="E3112" s="888" t="s">
        <v>310</v>
      </c>
      <c r="F3112" s="888" t="s">
        <v>310</v>
      </c>
    </row>
    <row r="3113" spans="1:6">
      <c r="A3113" s="888">
        <v>150</v>
      </c>
      <c r="B3113" s="888" t="s">
        <v>1146</v>
      </c>
      <c r="C3113" s="888" t="s">
        <v>2441</v>
      </c>
      <c r="D3113" s="889">
        <v>46033</v>
      </c>
      <c r="E3113" s="888" t="s">
        <v>310</v>
      </c>
      <c r="F3113" s="888" t="s">
        <v>310</v>
      </c>
    </row>
    <row r="3114" spans="1:6">
      <c r="A3114" s="888">
        <v>150</v>
      </c>
      <c r="B3114" s="888" t="s">
        <v>1146</v>
      </c>
      <c r="C3114" s="888" t="s">
        <v>2441</v>
      </c>
      <c r="D3114" s="889">
        <v>46034</v>
      </c>
      <c r="E3114" s="890">
        <v>0.35269675925925925</v>
      </c>
      <c r="F3114" s="890">
        <v>0.7668518518518519</v>
      </c>
    </row>
    <row r="3115" spans="1:6">
      <c r="A3115" s="888" t="s">
        <v>2868</v>
      </c>
      <c r="B3115" s="888" t="s">
        <v>2869</v>
      </c>
      <c r="C3115" s="888" t="s">
        <v>1407</v>
      </c>
    </row>
    <row r="3116" spans="1:6">
      <c r="A3116" s="888">
        <v>150</v>
      </c>
      <c r="B3116" s="888" t="s">
        <v>1146</v>
      </c>
      <c r="C3116" s="888" t="s">
        <v>2441</v>
      </c>
      <c r="D3116" s="889">
        <v>46035</v>
      </c>
      <c r="E3116" s="890">
        <v>0.35145833333333332</v>
      </c>
      <c r="F3116" s="890">
        <v>0.76824074074074078</v>
      </c>
    </row>
    <row r="3117" spans="1:6">
      <c r="A3117" s="888" t="s">
        <v>2870</v>
      </c>
      <c r="B3117" s="888" t="s">
        <v>2871</v>
      </c>
      <c r="C3117" s="888" t="s">
        <v>1303</v>
      </c>
    </row>
    <row r="3118" spans="1:6">
      <c r="A3118" s="888">
        <v>150</v>
      </c>
      <c r="B3118" s="888" t="s">
        <v>1146</v>
      </c>
      <c r="C3118" s="888" t="s">
        <v>2441</v>
      </c>
      <c r="D3118" s="889">
        <v>46036</v>
      </c>
      <c r="E3118" s="890">
        <v>0.35038194444444443</v>
      </c>
      <c r="F3118" s="890">
        <v>0.76677083333333329</v>
      </c>
    </row>
    <row r="3119" spans="1:6">
      <c r="A3119" s="888" t="s">
        <v>2872</v>
      </c>
      <c r="B3119" s="888" t="s">
        <v>2873</v>
      </c>
      <c r="C3119" s="888" t="s">
        <v>1303</v>
      </c>
    </row>
    <row r="3120" spans="1:6">
      <c r="A3120" s="888">
        <v>150</v>
      </c>
      <c r="B3120" s="888" t="s">
        <v>1146</v>
      </c>
      <c r="C3120" s="888" t="s">
        <v>2441</v>
      </c>
      <c r="D3120" s="889">
        <v>46037</v>
      </c>
      <c r="E3120" s="890">
        <v>0.34901620370370373</v>
      </c>
      <c r="F3120" s="890">
        <v>0.6917592592592593</v>
      </c>
    </row>
    <row r="3121" spans="1:6">
      <c r="A3121" s="888" t="s">
        <v>2874</v>
      </c>
      <c r="B3121" s="888" t="s">
        <v>2875</v>
      </c>
      <c r="C3121" s="888" t="s">
        <v>1732</v>
      </c>
    </row>
    <row r="3122" spans="1:6">
      <c r="A3122" s="888">
        <v>150</v>
      </c>
      <c r="B3122" s="888" t="s">
        <v>1146</v>
      </c>
      <c r="C3122" s="888" t="s">
        <v>2441</v>
      </c>
      <c r="D3122" s="889">
        <v>46038</v>
      </c>
      <c r="E3122" s="888" t="s">
        <v>310</v>
      </c>
      <c r="F3122" s="888" t="s">
        <v>310</v>
      </c>
    </row>
    <row r="3123" spans="1:6">
      <c r="A3123" s="888">
        <v>150</v>
      </c>
      <c r="B3123" s="888" t="s">
        <v>1146</v>
      </c>
      <c r="C3123" s="888" t="s">
        <v>2441</v>
      </c>
      <c r="D3123" s="889">
        <v>46039</v>
      </c>
      <c r="E3123" s="888" t="s">
        <v>310</v>
      </c>
      <c r="F3123" s="888" t="s">
        <v>310</v>
      </c>
    </row>
    <row r="3124" spans="1:6">
      <c r="A3124" s="888">
        <v>150</v>
      </c>
      <c r="B3124" s="888" t="s">
        <v>1146</v>
      </c>
      <c r="C3124" s="888" t="s">
        <v>2441</v>
      </c>
      <c r="D3124" s="889">
        <v>46040</v>
      </c>
      <c r="E3124" s="888" t="s">
        <v>310</v>
      </c>
      <c r="F3124" s="888" t="s">
        <v>310</v>
      </c>
    </row>
    <row r="3125" spans="1:6">
      <c r="A3125" s="888">
        <v>150</v>
      </c>
      <c r="B3125" s="888" t="s">
        <v>1146</v>
      </c>
      <c r="C3125" s="888" t="s">
        <v>2441</v>
      </c>
      <c r="D3125" s="889">
        <v>46041</v>
      </c>
      <c r="E3125" s="890">
        <v>0.34824074074074074</v>
      </c>
      <c r="F3125" s="888" t="s">
        <v>310</v>
      </c>
    </row>
    <row r="3126" spans="1:6">
      <c r="A3126" s="888" t="s">
        <v>2876</v>
      </c>
      <c r="B3126" s="888" t="s">
        <v>1258</v>
      </c>
      <c r="C3126" s="888" t="s">
        <v>1259</v>
      </c>
    </row>
    <row r="3127" spans="1:6">
      <c r="A3127" s="888">
        <v>150</v>
      </c>
      <c r="B3127" s="888" t="s">
        <v>1146</v>
      </c>
      <c r="C3127" s="888" t="s">
        <v>2441</v>
      </c>
      <c r="D3127" s="889">
        <v>46042</v>
      </c>
      <c r="E3127" s="890">
        <v>0.3513425925925926</v>
      </c>
      <c r="F3127" s="890">
        <v>0.77589120370370368</v>
      </c>
    </row>
    <row r="3128" spans="1:6">
      <c r="A3128" s="888" t="s">
        <v>2877</v>
      </c>
      <c r="B3128" s="888" t="s">
        <v>2878</v>
      </c>
      <c r="C3128" s="888" t="s">
        <v>1393</v>
      </c>
    </row>
    <row r="3129" spans="1:6">
      <c r="A3129" s="888">
        <v>150</v>
      </c>
      <c r="B3129" s="888" t="s">
        <v>1146</v>
      </c>
      <c r="C3129" s="888" t="s">
        <v>2441</v>
      </c>
      <c r="D3129" s="889">
        <v>46043</v>
      </c>
      <c r="E3129" s="890">
        <v>0.34832175925925923</v>
      </c>
      <c r="F3129" s="890">
        <v>0.77030092592592592</v>
      </c>
    </row>
    <row r="3130" spans="1:6">
      <c r="A3130" s="888" t="s">
        <v>2879</v>
      </c>
      <c r="B3130" s="888" t="s">
        <v>2880</v>
      </c>
      <c r="C3130" s="888" t="s">
        <v>1686</v>
      </c>
    </row>
    <row r="3131" spans="1:6">
      <c r="A3131" s="888">
        <v>150</v>
      </c>
      <c r="B3131" s="888" t="s">
        <v>1146</v>
      </c>
      <c r="C3131" s="888" t="s">
        <v>2441</v>
      </c>
      <c r="D3131" s="889">
        <v>46044</v>
      </c>
      <c r="E3131" s="890">
        <v>0.35297453703703702</v>
      </c>
      <c r="F3131" s="890">
        <v>0.76561342592592596</v>
      </c>
    </row>
    <row r="3132" spans="1:6">
      <c r="A3132" s="888" t="s">
        <v>2881</v>
      </c>
      <c r="B3132" s="888" t="s">
        <v>2882</v>
      </c>
      <c r="C3132" s="888" t="s">
        <v>1816</v>
      </c>
    </row>
    <row r="3133" spans="1:6">
      <c r="A3133" s="888">
        <v>150</v>
      </c>
      <c r="B3133" s="888" t="s">
        <v>1146</v>
      </c>
      <c r="C3133" s="888" t="s">
        <v>2441</v>
      </c>
      <c r="D3133" s="889">
        <v>46045</v>
      </c>
      <c r="E3133" s="888" t="s">
        <v>310</v>
      </c>
      <c r="F3133" s="888" t="s">
        <v>310</v>
      </c>
    </row>
    <row r="3134" spans="1:6">
      <c r="A3134" s="888">
        <v>150</v>
      </c>
      <c r="B3134" s="888" t="s">
        <v>1146</v>
      </c>
      <c r="C3134" s="888" t="s">
        <v>2441</v>
      </c>
      <c r="D3134" s="889">
        <v>46046</v>
      </c>
      <c r="E3134" s="888" t="s">
        <v>310</v>
      </c>
      <c r="F3134" s="888" t="s">
        <v>310</v>
      </c>
    </row>
    <row r="3135" spans="1:6">
      <c r="A3135" s="888">
        <v>150</v>
      </c>
      <c r="B3135" s="888" t="s">
        <v>1146</v>
      </c>
      <c r="C3135" s="888" t="s">
        <v>2441</v>
      </c>
      <c r="D3135" s="889">
        <v>46047</v>
      </c>
      <c r="E3135" s="888" t="s">
        <v>310</v>
      </c>
      <c r="F3135" s="888" t="s">
        <v>310</v>
      </c>
    </row>
    <row r="3136" spans="1:6">
      <c r="A3136" s="888">
        <v>150</v>
      </c>
      <c r="B3136" s="888" t="s">
        <v>1146</v>
      </c>
      <c r="C3136" s="888" t="s">
        <v>2441</v>
      </c>
      <c r="D3136" s="889">
        <v>46048</v>
      </c>
      <c r="E3136" s="890">
        <v>0.35021990740740738</v>
      </c>
      <c r="F3136" s="890">
        <v>0.76334490740740746</v>
      </c>
    </row>
    <row r="3137" spans="1:6">
      <c r="A3137" s="888" t="s">
        <v>2883</v>
      </c>
      <c r="B3137" s="888" t="s">
        <v>2884</v>
      </c>
      <c r="C3137" s="888" t="s">
        <v>1360</v>
      </c>
    </row>
    <row r="3138" spans="1:6">
      <c r="A3138" s="888">
        <v>150</v>
      </c>
      <c r="B3138" s="888" t="s">
        <v>1146</v>
      </c>
      <c r="C3138" s="888" t="s">
        <v>2441</v>
      </c>
      <c r="D3138" s="889">
        <v>46049</v>
      </c>
      <c r="E3138" s="890">
        <v>0.35228009259259258</v>
      </c>
      <c r="F3138" s="890">
        <v>0.77064814814814819</v>
      </c>
    </row>
    <row r="3139" spans="1:6">
      <c r="A3139" s="888" t="s">
        <v>2885</v>
      </c>
      <c r="B3139" s="888" t="s">
        <v>2886</v>
      </c>
      <c r="C3139" s="888" t="s">
        <v>1790</v>
      </c>
    </row>
    <row r="3140" spans="1:6">
      <c r="A3140" s="888">
        <v>150</v>
      </c>
      <c r="B3140" s="888" t="s">
        <v>1146</v>
      </c>
      <c r="C3140" s="888" t="s">
        <v>2441</v>
      </c>
      <c r="D3140" s="889">
        <v>46050</v>
      </c>
      <c r="E3140" s="888" t="s">
        <v>310</v>
      </c>
      <c r="F3140" s="888" t="s">
        <v>310</v>
      </c>
    </row>
    <row r="3141" spans="1:6">
      <c r="A3141" s="888">
        <v>150</v>
      </c>
      <c r="B3141" s="888" t="s">
        <v>1146</v>
      </c>
      <c r="C3141" s="888" t="s">
        <v>2441</v>
      </c>
      <c r="D3141" s="889">
        <v>46051</v>
      </c>
      <c r="E3141" s="888" t="s">
        <v>310</v>
      </c>
      <c r="F3141" s="888" t="s">
        <v>310</v>
      </c>
    </row>
    <row r="3142" spans="1:6">
      <c r="A3142" s="888">
        <v>150</v>
      </c>
      <c r="B3142" s="888" t="s">
        <v>1146</v>
      </c>
      <c r="C3142" s="888" t="s">
        <v>2441</v>
      </c>
      <c r="D3142" s="889">
        <v>46052</v>
      </c>
      <c r="E3142" s="888" t="s">
        <v>310</v>
      </c>
      <c r="F3142" s="888" t="s">
        <v>310</v>
      </c>
    </row>
    <row r="3143" spans="1:6">
      <c r="A3143" s="888">
        <v>150</v>
      </c>
      <c r="B3143" s="888" t="s">
        <v>1146</v>
      </c>
      <c r="C3143" s="888" t="s">
        <v>2441</v>
      </c>
      <c r="D3143" s="889">
        <v>46053</v>
      </c>
      <c r="E3143" s="888" t="s">
        <v>310</v>
      </c>
      <c r="F3143" s="888" t="s">
        <v>310</v>
      </c>
    </row>
    <row r="3144" spans="1:6">
      <c r="A3144" s="888">
        <v>150</v>
      </c>
      <c r="B3144" s="888" t="s">
        <v>1146</v>
      </c>
      <c r="C3144" s="888" t="s">
        <v>2441</v>
      </c>
      <c r="D3144" s="889">
        <v>46054</v>
      </c>
      <c r="E3144" s="888" t="s">
        <v>310</v>
      </c>
      <c r="F3144" s="888" t="s">
        <v>310</v>
      </c>
    </row>
    <row r="3145" spans="1:6">
      <c r="A3145" s="888">
        <v>151</v>
      </c>
      <c r="B3145" s="888" t="s">
        <v>1147</v>
      </c>
      <c r="C3145" s="888" t="s">
        <v>2441</v>
      </c>
      <c r="D3145" s="889">
        <v>46023</v>
      </c>
      <c r="E3145" s="888" t="s">
        <v>310</v>
      </c>
      <c r="F3145" s="888" t="s">
        <v>310</v>
      </c>
    </row>
    <row r="3146" spans="1:6">
      <c r="A3146" s="888">
        <v>151</v>
      </c>
      <c r="B3146" s="888" t="s">
        <v>1147</v>
      </c>
      <c r="C3146" s="888" t="s">
        <v>2441</v>
      </c>
      <c r="D3146" s="889">
        <v>46024</v>
      </c>
      <c r="E3146" s="890">
        <v>0.53751157407407413</v>
      </c>
      <c r="F3146" s="890">
        <v>0.83043981481481477</v>
      </c>
    </row>
    <row r="3147" spans="1:6">
      <c r="A3147" s="888" t="s">
        <v>2887</v>
      </c>
      <c r="B3147" s="888" t="s">
        <v>2888</v>
      </c>
      <c r="C3147" s="888" t="s">
        <v>2889</v>
      </c>
    </row>
    <row r="3148" spans="1:6">
      <c r="A3148" s="888">
        <v>151</v>
      </c>
      <c r="B3148" s="888" t="s">
        <v>1147</v>
      </c>
      <c r="C3148" s="888" t="s">
        <v>2441</v>
      </c>
      <c r="D3148" s="889">
        <v>46025</v>
      </c>
      <c r="E3148" s="888" t="s">
        <v>310</v>
      </c>
      <c r="F3148" s="888" t="s">
        <v>310</v>
      </c>
    </row>
    <row r="3149" spans="1:6">
      <c r="A3149" s="888">
        <v>151</v>
      </c>
      <c r="B3149" s="888" t="s">
        <v>1147</v>
      </c>
      <c r="C3149" s="888" t="s">
        <v>2441</v>
      </c>
      <c r="D3149" s="889">
        <v>46026</v>
      </c>
      <c r="E3149" s="888" t="s">
        <v>310</v>
      </c>
      <c r="F3149" s="888" t="s">
        <v>310</v>
      </c>
    </row>
    <row r="3150" spans="1:6">
      <c r="A3150" s="888">
        <v>151</v>
      </c>
      <c r="B3150" s="888" t="s">
        <v>1147</v>
      </c>
      <c r="C3150" s="888" t="s">
        <v>2441</v>
      </c>
      <c r="D3150" s="889">
        <v>46027</v>
      </c>
      <c r="E3150" s="890">
        <v>0.37528935185185186</v>
      </c>
      <c r="F3150" s="890">
        <v>0.80912037037037032</v>
      </c>
    </row>
    <row r="3151" spans="1:6">
      <c r="A3151" s="888" t="s">
        <v>2890</v>
      </c>
      <c r="B3151" s="888" t="s">
        <v>2891</v>
      </c>
      <c r="C3151" s="888" t="s">
        <v>1655</v>
      </c>
    </row>
    <row r="3152" spans="1:6">
      <c r="A3152" s="888">
        <v>151</v>
      </c>
      <c r="B3152" s="888" t="s">
        <v>1147</v>
      </c>
      <c r="C3152" s="888" t="s">
        <v>2441</v>
      </c>
      <c r="D3152" s="889">
        <v>46028</v>
      </c>
      <c r="E3152" s="890">
        <v>0.38059027777777776</v>
      </c>
      <c r="F3152" s="890">
        <v>0.88300925925925922</v>
      </c>
    </row>
    <row r="3153" spans="1:6">
      <c r="A3153" s="888" t="s">
        <v>2892</v>
      </c>
      <c r="B3153" s="888" t="s">
        <v>2893</v>
      </c>
      <c r="C3153" s="888" t="s">
        <v>2894</v>
      </c>
    </row>
    <row r="3154" spans="1:6">
      <c r="A3154" s="888">
        <v>151</v>
      </c>
      <c r="B3154" s="888" t="s">
        <v>1147</v>
      </c>
      <c r="C3154" s="888" t="s">
        <v>2441</v>
      </c>
      <c r="D3154" s="889">
        <v>46029</v>
      </c>
      <c r="E3154" s="890">
        <v>0.37506944444444446</v>
      </c>
      <c r="F3154" s="890">
        <v>0.83142361111111107</v>
      </c>
    </row>
    <row r="3155" spans="1:6">
      <c r="A3155" s="888" t="s">
        <v>2895</v>
      </c>
      <c r="B3155" s="888" t="s">
        <v>2896</v>
      </c>
      <c r="C3155" s="888" t="s">
        <v>2897</v>
      </c>
    </row>
    <row r="3156" spans="1:6">
      <c r="A3156" s="888">
        <v>151</v>
      </c>
      <c r="B3156" s="888" t="s">
        <v>1147</v>
      </c>
      <c r="C3156" s="888" t="s">
        <v>2441</v>
      </c>
      <c r="D3156" s="889">
        <v>46030</v>
      </c>
      <c r="E3156" s="890">
        <v>0.3845486111111111</v>
      </c>
      <c r="F3156" s="890">
        <v>0.85822916666666671</v>
      </c>
    </row>
    <row r="3157" spans="1:6">
      <c r="A3157" s="888" t="s">
        <v>2898</v>
      </c>
      <c r="B3157" s="888" t="s">
        <v>2899</v>
      </c>
      <c r="C3157" s="888" t="s">
        <v>1795</v>
      </c>
    </row>
    <row r="3158" spans="1:6">
      <c r="A3158" s="888">
        <v>151</v>
      </c>
      <c r="B3158" s="888" t="s">
        <v>1147</v>
      </c>
      <c r="C3158" s="888" t="s">
        <v>2441</v>
      </c>
      <c r="D3158" s="889">
        <v>46031</v>
      </c>
      <c r="E3158" s="890">
        <v>0.38675925925925925</v>
      </c>
      <c r="F3158" s="890">
        <v>0.76966435185185189</v>
      </c>
    </row>
    <row r="3159" spans="1:6">
      <c r="A3159" s="888" t="s">
        <v>2900</v>
      </c>
      <c r="B3159" s="888" t="s">
        <v>2901</v>
      </c>
      <c r="C3159" s="888" t="s">
        <v>1314</v>
      </c>
    </row>
    <row r="3160" spans="1:6">
      <c r="A3160" s="888">
        <v>151</v>
      </c>
      <c r="B3160" s="888" t="s">
        <v>1147</v>
      </c>
      <c r="C3160" s="888" t="s">
        <v>2441</v>
      </c>
      <c r="D3160" s="889">
        <v>46032</v>
      </c>
      <c r="E3160" s="890">
        <v>0.78532407407407412</v>
      </c>
      <c r="F3160" s="890">
        <v>0.97520833333333334</v>
      </c>
    </row>
    <row r="3161" spans="1:6">
      <c r="A3161" s="888" t="s">
        <v>2902</v>
      </c>
      <c r="B3161" s="888" t="s">
        <v>2903</v>
      </c>
      <c r="C3161" s="888" t="s">
        <v>2904</v>
      </c>
    </row>
    <row r="3162" spans="1:6">
      <c r="A3162" s="888">
        <v>151</v>
      </c>
      <c r="B3162" s="888" t="s">
        <v>1147</v>
      </c>
      <c r="C3162" s="888" t="s">
        <v>2441</v>
      </c>
      <c r="D3162" s="889">
        <v>46033</v>
      </c>
      <c r="E3162" s="888" t="s">
        <v>310</v>
      </c>
      <c r="F3162" s="888" t="s">
        <v>310</v>
      </c>
    </row>
    <row r="3163" spans="1:6">
      <c r="A3163" s="888">
        <v>151</v>
      </c>
      <c r="B3163" s="888" t="s">
        <v>1147</v>
      </c>
      <c r="C3163" s="888" t="s">
        <v>2441</v>
      </c>
      <c r="D3163" s="889">
        <v>46034</v>
      </c>
      <c r="E3163" s="890">
        <v>0.37444444444444447</v>
      </c>
      <c r="F3163" s="890">
        <v>0.90273148148148152</v>
      </c>
    </row>
    <row r="3164" spans="1:6">
      <c r="A3164" s="888" t="s">
        <v>2905</v>
      </c>
      <c r="B3164" s="888" t="s">
        <v>2906</v>
      </c>
      <c r="C3164" s="888" t="s">
        <v>2907</v>
      </c>
    </row>
    <row r="3165" spans="1:6">
      <c r="A3165" s="888">
        <v>151</v>
      </c>
      <c r="B3165" s="888" t="s">
        <v>1147</v>
      </c>
      <c r="C3165" s="888" t="s">
        <v>2441</v>
      </c>
      <c r="D3165" s="889">
        <v>46035</v>
      </c>
      <c r="E3165" s="890">
        <v>0.37665509259259261</v>
      </c>
      <c r="F3165" s="890">
        <v>0.92065972222222225</v>
      </c>
    </row>
    <row r="3166" spans="1:6">
      <c r="A3166" s="888" t="s">
        <v>2908</v>
      </c>
      <c r="B3166" s="888" t="s">
        <v>2909</v>
      </c>
      <c r="C3166" s="888" t="s">
        <v>2910</v>
      </c>
    </row>
    <row r="3167" spans="1:6">
      <c r="A3167" s="888">
        <v>151</v>
      </c>
      <c r="B3167" s="888" t="s">
        <v>1147</v>
      </c>
      <c r="C3167" s="888" t="s">
        <v>2441</v>
      </c>
      <c r="D3167" s="889">
        <v>46036</v>
      </c>
      <c r="E3167" s="890">
        <v>0.37516203703703704</v>
      </c>
      <c r="F3167" s="888" t="s">
        <v>310</v>
      </c>
    </row>
    <row r="3168" spans="1:6">
      <c r="A3168" s="888" t="s">
        <v>2911</v>
      </c>
      <c r="B3168" s="888" t="s">
        <v>1258</v>
      </c>
      <c r="C3168" s="888" t="s">
        <v>1259</v>
      </c>
    </row>
    <row r="3169" spans="1:6">
      <c r="A3169" s="888">
        <v>151</v>
      </c>
      <c r="B3169" s="888" t="s">
        <v>1147</v>
      </c>
      <c r="C3169" s="888" t="s">
        <v>2441</v>
      </c>
      <c r="D3169" s="889">
        <v>46037</v>
      </c>
      <c r="E3169" s="890">
        <v>0.38702546296296297</v>
      </c>
      <c r="F3169" s="890">
        <v>0.92599537037037039</v>
      </c>
    </row>
    <row r="3170" spans="1:6">
      <c r="A3170" s="888" t="s">
        <v>2912</v>
      </c>
      <c r="B3170" s="888" t="s">
        <v>2913</v>
      </c>
      <c r="C3170" s="888" t="s">
        <v>2914</v>
      </c>
    </row>
    <row r="3171" spans="1:6">
      <c r="A3171" s="888">
        <v>151</v>
      </c>
      <c r="B3171" s="888" t="s">
        <v>1147</v>
      </c>
      <c r="C3171" s="888" t="s">
        <v>2441</v>
      </c>
      <c r="D3171" s="889">
        <v>46038</v>
      </c>
      <c r="E3171" s="890">
        <v>0.74641203703703707</v>
      </c>
      <c r="F3171" s="890">
        <v>0.74643518518518515</v>
      </c>
    </row>
    <row r="3172" spans="1:6">
      <c r="A3172" s="888" t="s">
        <v>2915</v>
      </c>
      <c r="B3172" s="888" t="s">
        <v>2916</v>
      </c>
      <c r="C3172" s="888" t="s">
        <v>1259</v>
      </c>
    </row>
    <row r="3173" spans="1:6">
      <c r="A3173" s="888">
        <v>151</v>
      </c>
      <c r="B3173" s="888" t="s">
        <v>1147</v>
      </c>
      <c r="C3173" s="888" t="s">
        <v>2441</v>
      </c>
      <c r="D3173" s="889">
        <v>46039</v>
      </c>
      <c r="E3173" s="890">
        <v>0.49814814814814817</v>
      </c>
      <c r="F3173" s="890">
        <v>0.8822916666666667</v>
      </c>
    </row>
    <row r="3174" spans="1:6">
      <c r="A3174" s="888" t="s">
        <v>2917</v>
      </c>
      <c r="B3174" s="888" t="s">
        <v>2918</v>
      </c>
      <c r="C3174" s="888" t="s">
        <v>1742</v>
      </c>
    </row>
    <row r="3175" spans="1:6">
      <c r="A3175" s="888">
        <v>151</v>
      </c>
      <c r="B3175" s="888" t="s">
        <v>1147</v>
      </c>
      <c r="C3175" s="888" t="s">
        <v>2441</v>
      </c>
      <c r="D3175" s="889">
        <v>46040</v>
      </c>
      <c r="E3175" s="888" t="s">
        <v>310</v>
      </c>
      <c r="F3175" s="888" t="s">
        <v>310</v>
      </c>
    </row>
    <row r="3176" spans="1:6">
      <c r="A3176" s="888">
        <v>151</v>
      </c>
      <c r="B3176" s="888" t="s">
        <v>1147</v>
      </c>
      <c r="C3176" s="888" t="s">
        <v>2441</v>
      </c>
      <c r="D3176" s="889">
        <v>46041</v>
      </c>
      <c r="E3176" s="890">
        <v>0.38488425925925923</v>
      </c>
      <c r="F3176" s="890">
        <v>0.85256944444444449</v>
      </c>
    </row>
    <row r="3177" spans="1:6">
      <c r="A3177" s="888" t="s">
        <v>2919</v>
      </c>
      <c r="B3177" s="888" t="s">
        <v>2920</v>
      </c>
      <c r="C3177" s="888" t="s">
        <v>2921</v>
      </c>
    </row>
    <row r="3178" spans="1:6">
      <c r="A3178" s="888">
        <v>151</v>
      </c>
      <c r="B3178" s="888" t="s">
        <v>1147</v>
      </c>
      <c r="C3178" s="888" t="s">
        <v>2441</v>
      </c>
      <c r="D3178" s="889">
        <v>46042</v>
      </c>
      <c r="E3178" s="890">
        <v>0.37980324074074073</v>
      </c>
      <c r="F3178" s="890">
        <v>0.86670138888888892</v>
      </c>
    </row>
    <row r="3179" spans="1:6">
      <c r="A3179" s="888" t="s">
        <v>2922</v>
      </c>
      <c r="B3179" s="888" t="s">
        <v>2923</v>
      </c>
      <c r="C3179" s="888" t="s">
        <v>2924</v>
      </c>
    </row>
    <row r="3180" spans="1:6">
      <c r="A3180" s="888">
        <v>151</v>
      </c>
      <c r="B3180" s="888" t="s">
        <v>1147</v>
      </c>
      <c r="C3180" s="888" t="s">
        <v>2441</v>
      </c>
      <c r="D3180" s="889">
        <v>46043</v>
      </c>
      <c r="E3180" s="890">
        <v>0.38707175925925924</v>
      </c>
      <c r="F3180" s="890">
        <v>0.80215277777777783</v>
      </c>
    </row>
    <row r="3181" spans="1:6">
      <c r="A3181" s="888" t="s">
        <v>2925</v>
      </c>
      <c r="B3181" s="888" t="s">
        <v>2926</v>
      </c>
      <c r="C3181" s="888" t="s">
        <v>1879</v>
      </c>
    </row>
    <row r="3182" spans="1:6">
      <c r="A3182" s="888">
        <v>151</v>
      </c>
      <c r="B3182" s="888" t="s">
        <v>1147</v>
      </c>
      <c r="C3182" s="888" t="s">
        <v>2441</v>
      </c>
      <c r="D3182" s="889">
        <v>46044</v>
      </c>
      <c r="E3182" s="890">
        <v>0.37481481481481482</v>
      </c>
      <c r="F3182" s="888" t="s">
        <v>310</v>
      </c>
    </row>
    <row r="3183" spans="1:6">
      <c r="A3183" s="888" t="s">
        <v>2927</v>
      </c>
      <c r="B3183" s="888" t="s">
        <v>1258</v>
      </c>
      <c r="C3183" s="888" t="s">
        <v>1259</v>
      </c>
    </row>
    <row r="3184" spans="1:6">
      <c r="A3184" s="888">
        <v>151</v>
      </c>
      <c r="B3184" s="888" t="s">
        <v>1147</v>
      </c>
      <c r="C3184" s="888" t="s">
        <v>2441</v>
      </c>
      <c r="D3184" s="889">
        <v>46045</v>
      </c>
      <c r="E3184" s="890">
        <v>0.53607638888888887</v>
      </c>
      <c r="F3184" s="890">
        <v>0.80469907407407404</v>
      </c>
    </row>
    <row r="3185" spans="1:6">
      <c r="A3185" s="888" t="s">
        <v>2928</v>
      </c>
      <c r="B3185" s="888" t="s">
        <v>2929</v>
      </c>
      <c r="C3185" s="888" t="s">
        <v>2930</v>
      </c>
    </row>
    <row r="3186" spans="1:6">
      <c r="A3186" s="888">
        <v>151</v>
      </c>
      <c r="B3186" s="888" t="s">
        <v>1147</v>
      </c>
      <c r="C3186" s="888" t="s">
        <v>2441</v>
      </c>
      <c r="D3186" s="889">
        <v>46046</v>
      </c>
      <c r="E3186" s="890">
        <v>0.59841435185185188</v>
      </c>
      <c r="F3186" s="890">
        <v>0.59846064814814814</v>
      </c>
    </row>
    <row r="3187" spans="1:6">
      <c r="A3187" s="888" t="s">
        <v>2931</v>
      </c>
      <c r="B3187" s="888" t="s">
        <v>2932</v>
      </c>
      <c r="C3187" s="888" t="s">
        <v>1259</v>
      </c>
    </row>
    <row r="3188" spans="1:6">
      <c r="A3188" s="888">
        <v>151</v>
      </c>
      <c r="B3188" s="888" t="s">
        <v>1147</v>
      </c>
      <c r="C3188" s="888" t="s">
        <v>2441</v>
      </c>
      <c r="D3188" s="889">
        <v>46047</v>
      </c>
      <c r="E3188" s="888" t="s">
        <v>310</v>
      </c>
      <c r="F3188" s="888" t="s">
        <v>310</v>
      </c>
    </row>
    <row r="3189" spans="1:6">
      <c r="A3189" s="888">
        <v>151</v>
      </c>
      <c r="B3189" s="888" t="s">
        <v>1147</v>
      </c>
      <c r="C3189" s="888" t="s">
        <v>2441</v>
      </c>
      <c r="D3189" s="889">
        <v>46048</v>
      </c>
      <c r="E3189" s="890">
        <v>0.37480324074074073</v>
      </c>
      <c r="F3189" s="890">
        <v>0.8122800925925926</v>
      </c>
    </row>
    <row r="3190" spans="1:6">
      <c r="A3190" s="888" t="s">
        <v>2933</v>
      </c>
      <c r="B3190" s="888" t="s">
        <v>2934</v>
      </c>
      <c r="C3190" s="888" t="s">
        <v>2634</v>
      </c>
    </row>
    <row r="3191" spans="1:6">
      <c r="A3191" s="888">
        <v>151</v>
      </c>
      <c r="B3191" s="888" t="s">
        <v>1147</v>
      </c>
      <c r="C3191" s="888" t="s">
        <v>2441</v>
      </c>
      <c r="D3191" s="889">
        <v>46049</v>
      </c>
      <c r="E3191" s="890">
        <v>0.38383101851851853</v>
      </c>
      <c r="F3191" s="890">
        <v>0.85020833333333334</v>
      </c>
    </row>
    <row r="3192" spans="1:6">
      <c r="A3192" s="888" t="s">
        <v>2935</v>
      </c>
      <c r="B3192" s="888" t="s">
        <v>2936</v>
      </c>
      <c r="C3192" s="888" t="s">
        <v>2937</v>
      </c>
    </row>
    <row r="3193" spans="1:6">
      <c r="A3193" s="888">
        <v>151</v>
      </c>
      <c r="B3193" s="888" t="s">
        <v>1147</v>
      </c>
      <c r="C3193" s="888" t="s">
        <v>2441</v>
      </c>
      <c r="D3193" s="889">
        <v>46050</v>
      </c>
      <c r="E3193" s="890">
        <v>0.37054398148148149</v>
      </c>
      <c r="F3193" s="890">
        <v>0.87151620370370375</v>
      </c>
    </row>
    <row r="3194" spans="1:6">
      <c r="A3194" s="888" t="s">
        <v>2938</v>
      </c>
      <c r="B3194" s="888" t="s">
        <v>2939</v>
      </c>
      <c r="C3194" s="888" t="s">
        <v>2940</v>
      </c>
    </row>
    <row r="3195" spans="1:6">
      <c r="A3195" s="888">
        <v>151</v>
      </c>
      <c r="B3195" s="888" t="s">
        <v>1147</v>
      </c>
      <c r="C3195" s="888" t="s">
        <v>2441</v>
      </c>
      <c r="D3195" s="889">
        <v>46051</v>
      </c>
      <c r="E3195" s="890">
        <v>0.38616898148148149</v>
      </c>
      <c r="F3195" s="890">
        <v>0.89751157407407411</v>
      </c>
    </row>
    <row r="3196" spans="1:6">
      <c r="A3196" s="888" t="s">
        <v>2941</v>
      </c>
      <c r="B3196" s="888" t="s">
        <v>2942</v>
      </c>
      <c r="C3196" s="888" t="s">
        <v>2943</v>
      </c>
    </row>
    <row r="3197" spans="1:6">
      <c r="A3197" s="888">
        <v>151</v>
      </c>
      <c r="B3197" s="888" t="s">
        <v>1147</v>
      </c>
      <c r="C3197" s="888" t="s">
        <v>2441</v>
      </c>
      <c r="D3197" s="889">
        <v>46052</v>
      </c>
      <c r="E3197" s="890">
        <v>0.92008101851851853</v>
      </c>
      <c r="F3197" s="890">
        <v>0.92021990740740744</v>
      </c>
    </row>
    <row r="3198" spans="1:6">
      <c r="A3198" s="888" t="s">
        <v>2944</v>
      </c>
      <c r="B3198" s="888" t="s">
        <v>2945</v>
      </c>
      <c r="C3198" s="888" t="s">
        <v>1259</v>
      </c>
    </row>
    <row r="3199" spans="1:6">
      <c r="A3199" s="888">
        <v>151</v>
      </c>
      <c r="B3199" s="888" t="s">
        <v>1147</v>
      </c>
      <c r="C3199" s="888" t="s">
        <v>2441</v>
      </c>
      <c r="D3199" s="889">
        <v>46053</v>
      </c>
      <c r="E3199" s="888" t="s">
        <v>310</v>
      </c>
      <c r="F3199" s="888" t="s">
        <v>310</v>
      </c>
    </row>
    <row r="3200" spans="1:6">
      <c r="A3200" s="888">
        <v>151</v>
      </c>
      <c r="B3200" s="888" t="s">
        <v>1147</v>
      </c>
      <c r="C3200" s="888" t="s">
        <v>2441</v>
      </c>
      <c r="D3200" s="889">
        <v>46054</v>
      </c>
      <c r="E3200" s="888" t="s">
        <v>310</v>
      </c>
      <c r="F3200" s="888" t="s">
        <v>310</v>
      </c>
    </row>
    <row r="3201" spans="1:6">
      <c r="A3201" s="888">
        <v>152</v>
      </c>
      <c r="B3201" s="888" t="s">
        <v>1148</v>
      </c>
      <c r="C3201" s="888" t="s">
        <v>2441</v>
      </c>
      <c r="D3201" s="889">
        <v>46023</v>
      </c>
      <c r="E3201" s="888" t="s">
        <v>310</v>
      </c>
      <c r="F3201" s="888" t="s">
        <v>310</v>
      </c>
    </row>
    <row r="3202" spans="1:6">
      <c r="A3202" s="888">
        <v>152</v>
      </c>
      <c r="B3202" s="888" t="s">
        <v>1148</v>
      </c>
      <c r="C3202" s="888" t="s">
        <v>2441</v>
      </c>
      <c r="D3202" s="889">
        <v>46024</v>
      </c>
      <c r="E3202" s="888" t="s">
        <v>310</v>
      </c>
      <c r="F3202" s="888" t="s">
        <v>310</v>
      </c>
    </row>
    <row r="3203" spans="1:6">
      <c r="A3203" s="888">
        <v>152</v>
      </c>
      <c r="B3203" s="888" t="s">
        <v>1148</v>
      </c>
      <c r="C3203" s="888" t="s">
        <v>2441</v>
      </c>
      <c r="D3203" s="889">
        <v>46025</v>
      </c>
      <c r="E3203" s="888" t="s">
        <v>310</v>
      </c>
      <c r="F3203" s="888" t="s">
        <v>310</v>
      </c>
    </row>
    <row r="3204" spans="1:6">
      <c r="A3204" s="888">
        <v>152</v>
      </c>
      <c r="B3204" s="888" t="s">
        <v>1148</v>
      </c>
      <c r="C3204" s="888" t="s">
        <v>2441</v>
      </c>
      <c r="D3204" s="889">
        <v>46026</v>
      </c>
      <c r="E3204" s="888" t="s">
        <v>310</v>
      </c>
      <c r="F3204" s="888" t="s">
        <v>310</v>
      </c>
    </row>
    <row r="3205" spans="1:6">
      <c r="A3205" s="888">
        <v>152</v>
      </c>
      <c r="B3205" s="888" t="s">
        <v>1148</v>
      </c>
      <c r="C3205" s="888" t="s">
        <v>2441</v>
      </c>
      <c r="D3205" s="889">
        <v>46027</v>
      </c>
      <c r="E3205" s="890">
        <v>0.34576388888888887</v>
      </c>
      <c r="F3205" s="890">
        <v>0.76832175925925927</v>
      </c>
    </row>
    <row r="3206" spans="1:6">
      <c r="A3206" s="888" t="s">
        <v>2946</v>
      </c>
      <c r="B3206" s="888" t="s">
        <v>2947</v>
      </c>
      <c r="C3206" s="888" t="s">
        <v>1686</v>
      </c>
    </row>
    <row r="3207" spans="1:6">
      <c r="A3207" s="888">
        <v>152</v>
      </c>
      <c r="B3207" s="888" t="s">
        <v>1148</v>
      </c>
      <c r="C3207" s="888" t="s">
        <v>2441</v>
      </c>
      <c r="D3207" s="889">
        <v>46028</v>
      </c>
      <c r="E3207" s="890">
        <v>0.35481481481481481</v>
      </c>
      <c r="F3207" s="890">
        <v>0.76422453703703708</v>
      </c>
    </row>
    <row r="3208" spans="1:6">
      <c r="A3208" s="888" t="s">
        <v>2948</v>
      </c>
      <c r="B3208" s="888" t="s">
        <v>2949</v>
      </c>
      <c r="C3208" s="888" t="s">
        <v>1874</v>
      </c>
    </row>
    <row r="3209" spans="1:6">
      <c r="A3209" s="888">
        <v>152</v>
      </c>
      <c r="B3209" s="888" t="s">
        <v>1148</v>
      </c>
      <c r="C3209" s="888" t="s">
        <v>2441</v>
      </c>
      <c r="D3209" s="889">
        <v>46029</v>
      </c>
      <c r="E3209" s="890">
        <v>0.34443287037037035</v>
      </c>
      <c r="F3209" s="890">
        <v>0.76306712962962964</v>
      </c>
    </row>
    <row r="3210" spans="1:6">
      <c r="A3210" s="888" t="s">
        <v>2950</v>
      </c>
      <c r="B3210" s="888" t="s">
        <v>2951</v>
      </c>
      <c r="C3210" s="888" t="s">
        <v>2030</v>
      </c>
    </row>
    <row r="3211" spans="1:6">
      <c r="A3211" s="888">
        <v>152</v>
      </c>
      <c r="B3211" s="888" t="s">
        <v>1148</v>
      </c>
      <c r="C3211" s="888" t="s">
        <v>2441</v>
      </c>
      <c r="D3211" s="889">
        <v>46030</v>
      </c>
      <c r="E3211" s="890">
        <v>0.34809027777777779</v>
      </c>
      <c r="F3211" s="890">
        <v>0.7620717592592593</v>
      </c>
    </row>
    <row r="3212" spans="1:6">
      <c r="A3212" s="888" t="s">
        <v>2952</v>
      </c>
      <c r="B3212" s="888" t="s">
        <v>2953</v>
      </c>
      <c r="C3212" s="888" t="s">
        <v>1407</v>
      </c>
    </row>
    <row r="3213" spans="1:6">
      <c r="A3213" s="888">
        <v>152</v>
      </c>
      <c r="B3213" s="888" t="s">
        <v>1148</v>
      </c>
      <c r="C3213" s="888" t="s">
        <v>2441</v>
      </c>
      <c r="D3213" s="889">
        <v>46031</v>
      </c>
      <c r="E3213" s="888" t="s">
        <v>310</v>
      </c>
      <c r="F3213" s="888" t="s">
        <v>310</v>
      </c>
    </row>
    <row r="3214" spans="1:6">
      <c r="A3214" s="888">
        <v>152</v>
      </c>
      <c r="B3214" s="888" t="s">
        <v>1148</v>
      </c>
      <c r="C3214" s="888" t="s">
        <v>2441</v>
      </c>
      <c r="D3214" s="889">
        <v>46032</v>
      </c>
      <c r="E3214" s="888" t="s">
        <v>310</v>
      </c>
      <c r="F3214" s="888" t="s">
        <v>310</v>
      </c>
    </row>
    <row r="3215" spans="1:6">
      <c r="A3215" s="888">
        <v>152</v>
      </c>
      <c r="B3215" s="888" t="s">
        <v>1148</v>
      </c>
      <c r="C3215" s="888" t="s">
        <v>2441</v>
      </c>
      <c r="D3215" s="889">
        <v>46033</v>
      </c>
      <c r="E3215" s="888" t="s">
        <v>310</v>
      </c>
      <c r="F3215" s="888" t="s">
        <v>310</v>
      </c>
    </row>
    <row r="3216" spans="1:6">
      <c r="A3216" s="888">
        <v>152</v>
      </c>
      <c r="B3216" s="888" t="s">
        <v>1148</v>
      </c>
      <c r="C3216" s="888" t="s">
        <v>2441</v>
      </c>
      <c r="D3216" s="889">
        <v>46034</v>
      </c>
      <c r="E3216" s="890">
        <v>0.34759259259259262</v>
      </c>
      <c r="F3216" s="890">
        <v>0.76627314814814818</v>
      </c>
    </row>
    <row r="3217" spans="1:6">
      <c r="A3217" s="888" t="s">
        <v>2954</v>
      </c>
      <c r="B3217" s="888" t="s">
        <v>2955</v>
      </c>
      <c r="C3217" s="888" t="s">
        <v>2030</v>
      </c>
    </row>
    <row r="3218" spans="1:6">
      <c r="A3218" s="888">
        <v>152</v>
      </c>
      <c r="B3218" s="888" t="s">
        <v>1148</v>
      </c>
      <c r="C3218" s="888" t="s">
        <v>2441</v>
      </c>
      <c r="D3218" s="889">
        <v>46035</v>
      </c>
      <c r="E3218" s="890">
        <v>0.34167824074074077</v>
      </c>
      <c r="F3218" s="890">
        <v>0.75767361111111109</v>
      </c>
    </row>
    <row r="3219" spans="1:6">
      <c r="A3219" s="888" t="s">
        <v>2956</v>
      </c>
      <c r="B3219" s="888" t="s">
        <v>2957</v>
      </c>
      <c r="C3219" s="888" t="s">
        <v>1422</v>
      </c>
    </row>
    <row r="3220" spans="1:6">
      <c r="A3220" s="888">
        <v>152</v>
      </c>
      <c r="B3220" s="888" t="s">
        <v>1148</v>
      </c>
      <c r="C3220" s="888" t="s">
        <v>2441</v>
      </c>
      <c r="D3220" s="889">
        <v>46036</v>
      </c>
      <c r="E3220" s="890">
        <v>0.34403935185185186</v>
      </c>
      <c r="F3220" s="890">
        <v>0.76192129629629635</v>
      </c>
    </row>
    <row r="3221" spans="1:6">
      <c r="A3221" s="888" t="s">
        <v>2958</v>
      </c>
      <c r="B3221" s="888" t="s">
        <v>2959</v>
      </c>
      <c r="C3221" s="888" t="s">
        <v>1790</v>
      </c>
    </row>
    <row r="3222" spans="1:6">
      <c r="A3222" s="888">
        <v>152</v>
      </c>
      <c r="B3222" s="888" t="s">
        <v>1148</v>
      </c>
      <c r="C3222" s="888" t="s">
        <v>2441</v>
      </c>
      <c r="D3222" s="889">
        <v>46037</v>
      </c>
      <c r="E3222" s="890">
        <v>0.34952546296296294</v>
      </c>
      <c r="F3222" s="890">
        <v>0.69122685185185184</v>
      </c>
    </row>
    <row r="3223" spans="1:6">
      <c r="A3223" s="888" t="s">
        <v>2960</v>
      </c>
      <c r="B3223" s="888" t="s">
        <v>2961</v>
      </c>
      <c r="C3223" s="888" t="s">
        <v>1481</v>
      </c>
    </row>
    <row r="3224" spans="1:6">
      <c r="A3224" s="888">
        <v>152</v>
      </c>
      <c r="B3224" s="888" t="s">
        <v>1148</v>
      </c>
      <c r="C3224" s="888" t="s">
        <v>2441</v>
      </c>
      <c r="D3224" s="889">
        <v>46038</v>
      </c>
      <c r="E3224" s="888" t="s">
        <v>310</v>
      </c>
      <c r="F3224" s="888" t="s">
        <v>310</v>
      </c>
    </row>
    <row r="3225" spans="1:6">
      <c r="A3225" s="888">
        <v>152</v>
      </c>
      <c r="B3225" s="888" t="s">
        <v>1148</v>
      </c>
      <c r="C3225" s="888" t="s">
        <v>2441</v>
      </c>
      <c r="D3225" s="889">
        <v>46039</v>
      </c>
      <c r="E3225" s="888" t="s">
        <v>310</v>
      </c>
      <c r="F3225" s="888" t="s">
        <v>310</v>
      </c>
    </row>
    <row r="3226" spans="1:6">
      <c r="A3226" s="888">
        <v>152</v>
      </c>
      <c r="B3226" s="888" t="s">
        <v>1148</v>
      </c>
      <c r="C3226" s="888" t="s">
        <v>2441</v>
      </c>
      <c r="D3226" s="889">
        <v>46040</v>
      </c>
      <c r="E3226" s="888" t="s">
        <v>310</v>
      </c>
      <c r="F3226" s="888" t="s">
        <v>310</v>
      </c>
    </row>
    <row r="3227" spans="1:6">
      <c r="A3227" s="888">
        <v>152</v>
      </c>
      <c r="B3227" s="888" t="s">
        <v>1148</v>
      </c>
      <c r="C3227" s="888" t="s">
        <v>2441</v>
      </c>
      <c r="D3227" s="889">
        <v>46041</v>
      </c>
      <c r="E3227" s="890">
        <v>0.34935185185185186</v>
      </c>
      <c r="F3227" s="890">
        <v>0.51048611111111108</v>
      </c>
    </row>
    <row r="3228" spans="1:6">
      <c r="A3228" s="888" t="s">
        <v>2962</v>
      </c>
      <c r="B3228" s="888" t="s">
        <v>2963</v>
      </c>
      <c r="C3228" s="888" t="s">
        <v>2964</v>
      </c>
    </row>
    <row r="3229" spans="1:6">
      <c r="A3229" s="888">
        <v>152</v>
      </c>
      <c r="B3229" s="888" t="s">
        <v>1148</v>
      </c>
      <c r="C3229" s="888" t="s">
        <v>2441</v>
      </c>
      <c r="D3229" s="889">
        <v>46042</v>
      </c>
      <c r="E3229" s="890">
        <v>0.34851851851851851</v>
      </c>
      <c r="F3229" s="890">
        <v>0.75677083333333328</v>
      </c>
    </row>
    <row r="3230" spans="1:6">
      <c r="A3230" s="888" t="s">
        <v>2965</v>
      </c>
      <c r="B3230" s="888" t="s">
        <v>2966</v>
      </c>
      <c r="C3230" s="888" t="s">
        <v>2077</v>
      </c>
    </row>
    <row r="3231" spans="1:6">
      <c r="A3231" s="888">
        <v>152</v>
      </c>
      <c r="B3231" s="888" t="s">
        <v>1148</v>
      </c>
      <c r="C3231" s="888" t="s">
        <v>2441</v>
      </c>
      <c r="D3231" s="889">
        <v>46043</v>
      </c>
      <c r="E3231" s="890">
        <v>0.34825231481481483</v>
      </c>
      <c r="F3231" s="890">
        <v>0.76589120370370367</v>
      </c>
    </row>
    <row r="3232" spans="1:6">
      <c r="A3232" s="888" t="s">
        <v>2967</v>
      </c>
      <c r="B3232" s="888" t="s">
        <v>2968</v>
      </c>
      <c r="C3232" s="888" t="s">
        <v>2035</v>
      </c>
    </row>
    <row r="3233" spans="1:6">
      <c r="A3233" s="888">
        <v>152</v>
      </c>
      <c r="B3233" s="888" t="s">
        <v>1148</v>
      </c>
      <c r="C3233" s="888" t="s">
        <v>2441</v>
      </c>
      <c r="D3233" s="889">
        <v>46044</v>
      </c>
      <c r="E3233" s="890">
        <v>0.3472337962962963</v>
      </c>
      <c r="F3233" s="890">
        <v>0.7305787037037037</v>
      </c>
    </row>
    <row r="3234" spans="1:6">
      <c r="A3234" s="888" t="s">
        <v>2969</v>
      </c>
      <c r="B3234" s="888" t="s">
        <v>2970</v>
      </c>
      <c r="C3234" s="888" t="s">
        <v>1576</v>
      </c>
    </row>
    <row r="3235" spans="1:6">
      <c r="A3235" s="888">
        <v>152</v>
      </c>
      <c r="B3235" s="888" t="s">
        <v>1148</v>
      </c>
      <c r="C3235" s="888" t="s">
        <v>2441</v>
      </c>
      <c r="D3235" s="889">
        <v>46045</v>
      </c>
      <c r="E3235" s="888" t="s">
        <v>310</v>
      </c>
      <c r="F3235" s="888" t="s">
        <v>310</v>
      </c>
    </row>
    <row r="3236" spans="1:6">
      <c r="A3236" s="888">
        <v>152</v>
      </c>
      <c r="B3236" s="888" t="s">
        <v>1148</v>
      </c>
      <c r="C3236" s="888" t="s">
        <v>2441</v>
      </c>
      <c r="D3236" s="889">
        <v>46046</v>
      </c>
      <c r="E3236" s="888" t="s">
        <v>310</v>
      </c>
      <c r="F3236" s="888" t="s">
        <v>310</v>
      </c>
    </row>
    <row r="3237" spans="1:6">
      <c r="A3237" s="888">
        <v>152</v>
      </c>
      <c r="B3237" s="888" t="s">
        <v>1148</v>
      </c>
      <c r="C3237" s="888" t="s">
        <v>2441</v>
      </c>
      <c r="D3237" s="889">
        <v>46047</v>
      </c>
      <c r="E3237" s="888" t="s">
        <v>310</v>
      </c>
      <c r="F3237" s="888" t="s">
        <v>310</v>
      </c>
    </row>
    <row r="3238" spans="1:6">
      <c r="A3238" s="888">
        <v>152</v>
      </c>
      <c r="B3238" s="888" t="s">
        <v>1148</v>
      </c>
      <c r="C3238" s="888" t="s">
        <v>2441</v>
      </c>
      <c r="D3238" s="889">
        <v>46048</v>
      </c>
      <c r="E3238" s="890">
        <v>0.34988425925925926</v>
      </c>
      <c r="F3238" s="890">
        <v>0.76726851851851852</v>
      </c>
    </row>
    <row r="3239" spans="1:6">
      <c r="A3239" s="888" t="s">
        <v>1557</v>
      </c>
      <c r="B3239" s="888" t="s">
        <v>2971</v>
      </c>
      <c r="C3239" s="888" t="s">
        <v>2035</v>
      </c>
    </row>
    <row r="3240" spans="1:6">
      <c r="A3240" s="888">
        <v>152</v>
      </c>
      <c r="B3240" s="888" t="s">
        <v>1148</v>
      </c>
      <c r="C3240" s="888" t="s">
        <v>2441</v>
      </c>
      <c r="D3240" s="889">
        <v>46049</v>
      </c>
      <c r="E3240" s="890">
        <v>0.34733796296296299</v>
      </c>
      <c r="F3240" s="890">
        <v>0.76373842592592589</v>
      </c>
    </row>
    <row r="3241" spans="1:6">
      <c r="A3241" s="888" t="s">
        <v>2972</v>
      </c>
      <c r="B3241" s="888" t="s">
        <v>2973</v>
      </c>
      <c r="C3241" s="888" t="s">
        <v>1303</v>
      </c>
    </row>
    <row r="3242" spans="1:6">
      <c r="A3242" s="888">
        <v>152</v>
      </c>
      <c r="B3242" s="888" t="s">
        <v>1148</v>
      </c>
      <c r="C3242" s="888" t="s">
        <v>2441</v>
      </c>
      <c r="D3242" s="889">
        <v>46050</v>
      </c>
      <c r="E3242" s="890">
        <v>0.34917824074074072</v>
      </c>
      <c r="F3242" s="890">
        <v>0.73444444444444446</v>
      </c>
    </row>
    <row r="3243" spans="1:6">
      <c r="A3243" s="888" t="s">
        <v>2974</v>
      </c>
      <c r="B3243" s="888" t="s">
        <v>2975</v>
      </c>
      <c r="C3243" s="888" t="s">
        <v>1595</v>
      </c>
    </row>
    <row r="3244" spans="1:6">
      <c r="A3244" s="888">
        <v>152</v>
      </c>
      <c r="B3244" s="888" t="s">
        <v>1148</v>
      </c>
      <c r="C3244" s="888" t="s">
        <v>2441</v>
      </c>
      <c r="D3244" s="889">
        <v>46051</v>
      </c>
      <c r="E3244" s="890">
        <v>0.34791666666666665</v>
      </c>
      <c r="F3244" s="890">
        <v>0.74526620370370367</v>
      </c>
    </row>
    <row r="3245" spans="1:6">
      <c r="A3245" s="888" t="s">
        <v>2976</v>
      </c>
      <c r="B3245" s="888" t="s">
        <v>2977</v>
      </c>
      <c r="C3245" s="888" t="s">
        <v>1514</v>
      </c>
    </row>
    <row r="3246" spans="1:6">
      <c r="A3246" s="888">
        <v>152</v>
      </c>
      <c r="B3246" s="888" t="s">
        <v>1148</v>
      </c>
      <c r="C3246" s="888" t="s">
        <v>2441</v>
      </c>
      <c r="D3246" s="889">
        <v>46052</v>
      </c>
      <c r="E3246" s="888" t="s">
        <v>310</v>
      </c>
      <c r="F3246" s="888" t="s">
        <v>310</v>
      </c>
    </row>
    <row r="3247" spans="1:6">
      <c r="A3247" s="888">
        <v>152</v>
      </c>
      <c r="B3247" s="888" t="s">
        <v>1148</v>
      </c>
      <c r="C3247" s="888" t="s">
        <v>2441</v>
      </c>
      <c r="D3247" s="889">
        <v>46053</v>
      </c>
      <c r="E3247" s="888" t="s">
        <v>310</v>
      </c>
      <c r="F3247" s="888" t="s">
        <v>310</v>
      </c>
    </row>
    <row r="3248" spans="1:6">
      <c r="A3248" s="888">
        <v>152</v>
      </c>
      <c r="B3248" s="888" t="s">
        <v>1148</v>
      </c>
      <c r="C3248" s="888" t="s">
        <v>2441</v>
      </c>
      <c r="D3248" s="889">
        <v>46054</v>
      </c>
      <c r="E3248" s="888" t="s">
        <v>310</v>
      </c>
      <c r="F3248" s="888" t="s">
        <v>310</v>
      </c>
    </row>
    <row r="3249" spans="1:6">
      <c r="A3249" s="888">
        <v>153</v>
      </c>
      <c r="B3249" s="888" t="s">
        <v>1149</v>
      </c>
      <c r="C3249" s="888" t="s">
        <v>2441</v>
      </c>
      <c r="D3249" s="889">
        <v>46023</v>
      </c>
      <c r="E3249" s="888" t="s">
        <v>310</v>
      </c>
      <c r="F3249" s="888" t="s">
        <v>310</v>
      </c>
    </row>
    <row r="3250" spans="1:6">
      <c r="A3250" s="888">
        <v>153</v>
      </c>
      <c r="B3250" s="888" t="s">
        <v>1149</v>
      </c>
      <c r="C3250" s="888" t="s">
        <v>2441</v>
      </c>
      <c r="D3250" s="889">
        <v>46024</v>
      </c>
      <c r="E3250" s="890">
        <v>0.79212962962962963</v>
      </c>
      <c r="F3250" s="890">
        <v>0.79224537037037035</v>
      </c>
    </row>
    <row r="3251" spans="1:6">
      <c r="A3251" s="888" t="s">
        <v>2978</v>
      </c>
      <c r="B3251" s="888" t="s">
        <v>2979</v>
      </c>
      <c r="C3251" s="888" t="s">
        <v>1259</v>
      </c>
    </row>
    <row r="3252" spans="1:6">
      <c r="A3252" s="888">
        <v>153</v>
      </c>
      <c r="B3252" s="888" t="s">
        <v>1149</v>
      </c>
      <c r="C3252" s="888" t="s">
        <v>2441</v>
      </c>
      <c r="D3252" s="889">
        <v>46025</v>
      </c>
      <c r="E3252" s="888" t="s">
        <v>310</v>
      </c>
      <c r="F3252" s="888" t="s">
        <v>310</v>
      </c>
    </row>
    <row r="3253" spans="1:6">
      <c r="A3253" s="888">
        <v>153</v>
      </c>
      <c r="B3253" s="888" t="s">
        <v>1149</v>
      </c>
      <c r="C3253" s="888" t="s">
        <v>2441</v>
      </c>
      <c r="D3253" s="889">
        <v>46026</v>
      </c>
      <c r="E3253" s="888" t="s">
        <v>310</v>
      </c>
      <c r="F3253" s="888" t="s">
        <v>310</v>
      </c>
    </row>
    <row r="3254" spans="1:6">
      <c r="A3254" s="888">
        <v>153</v>
      </c>
      <c r="B3254" s="888" t="s">
        <v>1149</v>
      </c>
      <c r="C3254" s="888" t="s">
        <v>2441</v>
      </c>
      <c r="D3254" s="889">
        <v>46027</v>
      </c>
      <c r="E3254" s="890">
        <v>0.36384259259259261</v>
      </c>
      <c r="F3254" s="890">
        <v>0.79317129629629635</v>
      </c>
    </row>
    <row r="3255" spans="1:6">
      <c r="A3255" s="888" t="s">
        <v>2980</v>
      </c>
      <c r="B3255" s="888" t="s">
        <v>2981</v>
      </c>
      <c r="C3255" s="888" t="s">
        <v>1396</v>
      </c>
    </row>
    <row r="3256" spans="1:6">
      <c r="A3256" s="888">
        <v>153</v>
      </c>
      <c r="B3256" s="888" t="s">
        <v>1149</v>
      </c>
      <c r="C3256" s="888" t="s">
        <v>2441</v>
      </c>
      <c r="D3256" s="889">
        <v>46028</v>
      </c>
      <c r="E3256" s="890">
        <v>0.37608796296296299</v>
      </c>
      <c r="F3256" s="890">
        <v>0.88284722222222223</v>
      </c>
    </row>
    <row r="3257" spans="1:6">
      <c r="A3257" s="888" t="s">
        <v>2982</v>
      </c>
      <c r="B3257" s="888" t="s">
        <v>2983</v>
      </c>
      <c r="C3257" s="888" t="s">
        <v>1681</v>
      </c>
    </row>
    <row r="3258" spans="1:6">
      <c r="A3258" s="888">
        <v>153</v>
      </c>
      <c r="B3258" s="888" t="s">
        <v>1149</v>
      </c>
      <c r="C3258" s="888" t="s">
        <v>2441</v>
      </c>
      <c r="D3258" s="889">
        <v>46029</v>
      </c>
      <c r="E3258" s="890">
        <v>0.36707175925925928</v>
      </c>
      <c r="F3258" s="890">
        <v>0.83074074074074078</v>
      </c>
    </row>
    <row r="3259" spans="1:6">
      <c r="A3259" s="888" t="s">
        <v>2984</v>
      </c>
      <c r="B3259" s="888" t="s">
        <v>2985</v>
      </c>
      <c r="C3259" s="888" t="s">
        <v>2986</v>
      </c>
    </row>
    <row r="3260" spans="1:6">
      <c r="A3260" s="888">
        <v>153</v>
      </c>
      <c r="B3260" s="888" t="s">
        <v>1149</v>
      </c>
      <c r="C3260" s="888" t="s">
        <v>2441</v>
      </c>
      <c r="D3260" s="889">
        <v>46030</v>
      </c>
      <c r="E3260" s="890">
        <v>0.36109953703703701</v>
      </c>
      <c r="F3260" s="890">
        <v>0.78357638888888892</v>
      </c>
    </row>
    <row r="3261" spans="1:6">
      <c r="A3261" s="888" t="s">
        <v>2987</v>
      </c>
      <c r="B3261" s="888" t="s">
        <v>2988</v>
      </c>
      <c r="C3261" s="888" t="s">
        <v>1686</v>
      </c>
    </row>
    <row r="3262" spans="1:6">
      <c r="A3262" s="888">
        <v>153</v>
      </c>
      <c r="B3262" s="888" t="s">
        <v>1149</v>
      </c>
      <c r="C3262" s="888" t="s">
        <v>2441</v>
      </c>
      <c r="D3262" s="889">
        <v>46031</v>
      </c>
      <c r="E3262" s="890">
        <v>0.80670138888888887</v>
      </c>
      <c r="F3262" s="890">
        <v>0.80706018518518519</v>
      </c>
    </row>
    <row r="3263" spans="1:6">
      <c r="A3263" s="888" t="s">
        <v>2989</v>
      </c>
      <c r="B3263" s="888" t="s">
        <v>2990</v>
      </c>
      <c r="C3263" s="888" t="s">
        <v>1570</v>
      </c>
    </row>
    <row r="3264" spans="1:6">
      <c r="A3264" s="888">
        <v>153</v>
      </c>
      <c r="B3264" s="888" t="s">
        <v>1149</v>
      </c>
      <c r="C3264" s="888" t="s">
        <v>2441</v>
      </c>
      <c r="D3264" s="889">
        <v>46032</v>
      </c>
      <c r="E3264" s="890">
        <v>0.68864583333333329</v>
      </c>
      <c r="F3264" s="890">
        <v>0.72090277777777778</v>
      </c>
    </row>
    <row r="3265" spans="1:6">
      <c r="A3265" s="888" t="s">
        <v>2991</v>
      </c>
      <c r="B3265" s="888" t="s">
        <v>2992</v>
      </c>
      <c r="C3265" s="888" t="s">
        <v>2993</v>
      </c>
    </row>
    <row r="3266" spans="1:6">
      <c r="A3266" s="888">
        <v>153</v>
      </c>
      <c r="B3266" s="888" t="s">
        <v>1149</v>
      </c>
      <c r="C3266" s="888" t="s">
        <v>2441</v>
      </c>
      <c r="D3266" s="889">
        <v>46033</v>
      </c>
      <c r="E3266" s="888" t="s">
        <v>310</v>
      </c>
      <c r="F3266" s="888" t="s">
        <v>310</v>
      </c>
    </row>
    <row r="3267" spans="1:6">
      <c r="A3267" s="888">
        <v>153</v>
      </c>
      <c r="B3267" s="888" t="s">
        <v>1149</v>
      </c>
      <c r="C3267" s="888" t="s">
        <v>2441</v>
      </c>
      <c r="D3267" s="889">
        <v>46034</v>
      </c>
      <c r="E3267" s="890">
        <v>0.36054398148148148</v>
      </c>
      <c r="F3267" s="890">
        <v>0.77973379629629624</v>
      </c>
    </row>
    <row r="3268" spans="1:6">
      <c r="A3268" s="888" t="s">
        <v>2994</v>
      </c>
      <c r="B3268" s="888" t="s">
        <v>2995</v>
      </c>
      <c r="C3268" s="888" t="s">
        <v>1773</v>
      </c>
    </row>
    <row r="3269" spans="1:6">
      <c r="A3269" s="888">
        <v>153</v>
      </c>
      <c r="B3269" s="888" t="s">
        <v>1149</v>
      </c>
      <c r="C3269" s="888" t="s">
        <v>2441</v>
      </c>
      <c r="D3269" s="889">
        <v>46035</v>
      </c>
      <c r="E3269" s="890">
        <v>0.36394675925925923</v>
      </c>
      <c r="F3269" s="890">
        <v>0.89075231481481476</v>
      </c>
    </row>
    <row r="3270" spans="1:6">
      <c r="A3270" s="888" t="s">
        <v>2996</v>
      </c>
      <c r="B3270" s="888" t="s">
        <v>2997</v>
      </c>
      <c r="C3270" s="888" t="s">
        <v>2998</v>
      </c>
    </row>
    <row r="3271" spans="1:6">
      <c r="A3271" s="888">
        <v>153</v>
      </c>
      <c r="B3271" s="888" t="s">
        <v>1149</v>
      </c>
      <c r="C3271" s="888" t="s">
        <v>2441</v>
      </c>
      <c r="D3271" s="889">
        <v>46036</v>
      </c>
      <c r="E3271" s="890">
        <v>0.3664351851851852</v>
      </c>
      <c r="F3271" s="890">
        <v>0.7897453703703704</v>
      </c>
    </row>
    <row r="3272" spans="1:6">
      <c r="A3272" s="888" t="s">
        <v>2999</v>
      </c>
      <c r="B3272" s="888" t="s">
        <v>3000</v>
      </c>
      <c r="C3272" s="888" t="s">
        <v>1419</v>
      </c>
    </row>
    <row r="3273" spans="1:6">
      <c r="A3273" s="888">
        <v>153</v>
      </c>
      <c r="B3273" s="888" t="s">
        <v>1149</v>
      </c>
      <c r="C3273" s="888" t="s">
        <v>2441</v>
      </c>
      <c r="D3273" s="889">
        <v>46037</v>
      </c>
      <c r="E3273" s="890">
        <v>0.36327546296296298</v>
      </c>
      <c r="F3273" s="890">
        <v>0.73342592592592593</v>
      </c>
    </row>
    <row r="3274" spans="1:6">
      <c r="A3274" s="888" t="s">
        <v>3001</v>
      </c>
      <c r="B3274" s="888" t="s">
        <v>3002</v>
      </c>
      <c r="C3274" s="888" t="s">
        <v>2223</v>
      </c>
    </row>
    <row r="3275" spans="1:6">
      <c r="A3275" s="888">
        <v>153</v>
      </c>
      <c r="B3275" s="888" t="s">
        <v>1149</v>
      </c>
      <c r="C3275" s="888" t="s">
        <v>2441</v>
      </c>
      <c r="D3275" s="889">
        <v>46038</v>
      </c>
      <c r="E3275" s="890">
        <v>0.40027777777777779</v>
      </c>
      <c r="F3275" s="890">
        <v>0.92325231481481485</v>
      </c>
    </row>
    <row r="3276" spans="1:6">
      <c r="A3276" s="888" t="s">
        <v>3003</v>
      </c>
      <c r="B3276" s="888" t="s">
        <v>3004</v>
      </c>
      <c r="C3276" s="888" t="s">
        <v>1852</v>
      </c>
    </row>
    <row r="3277" spans="1:6">
      <c r="A3277" s="888">
        <v>153</v>
      </c>
      <c r="B3277" s="888" t="s">
        <v>1149</v>
      </c>
      <c r="C3277" s="888" t="s">
        <v>2441</v>
      </c>
      <c r="D3277" s="889">
        <v>46039</v>
      </c>
      <c r="E3277" s="888" t="s">
        <v>310</v>
      </c>
      <c r="F3277" s="888" t="s">
        <v>310</v>
      </c>
    </row>
    <row r="3278" spans="1:6">
      <c r="A3278" s="888">
        <v>153</v>
      </c>
      <c r="B3278" s="888" t="s">
        <v>1149</v>
      </c>
      <c r="C3278" s="888" t="s">
        <v>2441</v>
      </c>
      <c r="D3278" s="889">
        <v>46040</v>
      </c>
      <c r="E3278" s="888" t="s">
        <v>310</v>
      </c>
      <c r="F3278" s="888" t="s">
        <v>310</v>
      </c>
    </row>
    <row r="3279" spans="1:6">
      <c r="A3279" s="888">
        <v>153</v>
      </c>
      <c r="B3279" s="888" t="s">
        <v>1149</v>
      </c>
      <c r="C3279" s="888" t="s">
        <v>2441</v>
      </c>
      <c r="D3279" s="889">
        <v>46041</v>
      </c>
      <c r="E3279" s="890">
        <v>0.35620370370370369</v>
      </c>
      <c r="F3279" s="890">
        <v>0.78680555555555554</v>
      </c>
    </row>
    <row r="3280" spans="1:6">
      <c r="A3280" s="888" t="s">
        <v>3005</v>
      </c>
      <c r="B3280" s="888" t="s">
        <v>3006</v>
      </c>
      <c r="C3280" s="888" t="s">
        <v>3007</v>
      </c>
    </row>
    <row r="3281" spans="1:6">
      <c r="A3281" s="888">
        <v>153</v>
      </c>
      <c r="B3281" s="888" t="s">
        <v>1149</v>
      </c>
      <c r="C3281" s="888" t="s">
        <v>2441</v>
      </c>
      <c r="D3281" s="889">
        <v>46042</v>
      </c>
      <c r="E3281" s="890">
        <v>0.36251157407407408</v>
      </c>
      <c r="F3281" s="890">
        <v>0.78890046296296301</v>
      </c>
    </row>
    <row r="3282" spans="1:6">
      <c r="A3282" s="888" t="s">
        <v>3008</v>
      </c>
      <c r="B3282" s="888" t="s">
        <v>3009</v>
      </c>
      <c r="C3282" s="888" t="s">
        <v>2288</v>
      </c>
    </row>
    <row r="3283" spans="1:6">
      <c r="A3283" s="888">
        <v>153</v>
      </c>
      <c r="B3283" s="888" t="s">
        <v>1149</v>
      </c>
      <c r="C3283" s="888" t="s">
        <v>2441</v>
      </c>
      <c r="D3283" s="889">
        <v>46043</v>
      </c>
      <c r="E3283" s="890">
        <v>0.37138888888888888</v>
      </c>
      <c r="F3283" s="890">
        <v>0.78574074074074074</v>
      </c>
    </row>
    <row r="3284" spans="1:6">
      <c r="A3284" s="888" t="s">
        <v>3010</v>
      </c>
      <c r="B3284" s="888" t="s">
        <v>3011</v>
      </c>
      <c r="C3284" s="888" t="s">
        <v>2009</v>
      </c>
    </row>
    <row r="3285" spans="1:6">
      <c r="A3285" s="888">
        <v>153</v>
      </c>
      <c r="B3285" s="888" t="s">
        <v>1149</v>
      </c>
      <c r="C3285" s="888" t="s">
        <v>2441</v>
      </c>
      <c r="D3285" s="889">
        <v>46044</v>
      </c>
      <c r="E3285" s="890">
        <v>0.36758101851851854</v>
      </c>
      <c r="F3285" s="888" t="s">
        <v>310</v>
      </c>
    </row>
    <row r="3286" spans="1:6">
      <c r="A3286" s="888" t="s">
        <v>3012</v>
      </c>
      <c r="B3286" s="888" t="s">
        <v>1258</v>
      </c>
      <c r="C3286" s="888" t="s">
        <v>1259</v>
      </c>
    </row>
    <row r="3287" spans="1:6">
      <c r="A3287" s="888">
        <v>153</v>
      </c>
      <c r="B3287" s="888" t="s">
        <v>1149</v>
      </c>
      <c r="C3287" s="888" t="s">
        <v>2441</v>
      </c>
      <c r="D3287" s="889">
        <v>46045</v>
      </c>
      <c r="E3287" s="888" t="s">
        <v>310</v>
      </c>
      <c r="F3287" s="888" t="s">
        <v>310</v>
      </c>
    </row>
    <row r="3288" spans="1:6">
      <c r="A3288" s="888">
        <v>153</v>
      </c>
      <c r="B3288" s="888" t="s">
        <v>1149</v>
      </c>
      <c r="C3288" s="888" t="s">
        <v>2441</v>
      </c>
      <c r="D3288" s="889">
        <v>46046</v>
      </c>
      <c r="E3288" s="888" t="s">
        <v>310</v>
      </c>
      <c r="F3288" s="888" t="s">
        <v>310</v>
      </c>
    </row>
    <row r="3289" spans="1:6">
      <c r="A3289" s="888">
        <v>153</v>
      </c>
      <c r="B3289" s="888" t="s">
        <v>1149</v>
      </c>
      <c r="C3289" s="888" t="s">
        <v>2441</v>
      </c>
      <c r="D3289" s="889">
        <v>46047</v>
      </c>
      <c r="E3289" s="888" t="s">
        <v>310</v>
      </c>
      <c r="F3289" s="888" t="s">
        <v>310</v>
      </c>
    </row>
    <row r="3290" spans="1:6">
      <c r="A3290" s="888">
        <v>153</v>
      </c>
      <c r="B3290" s="888" t="s">
        <v>1149</v>
      </c>
      <c r="C3290" s="888" t="s">
        <v>2441</v>
      </c>
      <c r="D3290" s="889">
        <v>46048</v>
      </c>
      <c r="E3290" s="888" t="s">
        <v>310</v>
      </c>
      <c r="F3290" s="888" t="s">
        <v>310</v>
      </c>
    </row>
    <row r="3291" spans="1:6">
      <c r="A3291" s="888">
        <v>153</v>
      </c>
      <c r="B3291" s="888" t="s">
        <v>1149</v>
      </c>
      <c r="C3291" s="888" t="s">
        <v>2441</v>
      </c>
      <c r="D3291" s="889">
        <v>46049</v>
      </c>
      <c r="E3291" s="888" t="s">
        <v>310</v>
      </c>
      <c r="F3291" s="888" t="s">
        <v>310</v>
      </c>
    </row>
    <row r="3292" spans="1:6">
      <c r="A3292" s="888">
        <v>153</v>
      </c>
      <c r="B3292" s="888" t="s">
        <v>1149</v>
      </c>
      <c r="C3292" s="888" t="s">
        <v>2441</v>
      </c>
      <c r="D3292" s="889">
        <v>46050</v>
      </c>
      <c r="E3292" s="888" t="s">
        <v>310</v>
      </c>
      <c r="F3292" s="888" t="s">
        <v>310</v>
      </c>
    </row>
    <row r="3293" spans="1:6">
      <c r="A3293" s="888">
        <v>153</v>
      </c>
      <c r="B3293" s="888" t="s">
        <v>1149</v>
      </c>
      <c r="C3293" s="888" t="s">
        <v>2441</v>
      </c>
      <c r="D3293" s="889">
        <v>46051</v>
      </c>
      <c r="E3293" s="888" t="s">
        <v>310</v>
      </c>
      <c r="F3293" s="888" t="s">
        <v>310</v>
      </c>
    </row>
    <row r="3294" spans="1:6">
      <c r="A3294" s="888">
        <v>153</v>
      </c>
      <c r="B3294" s="888" t="s">
        <v>1149</v>
      </c>
      <c r="C3294" s="888" t="s">
        <v>2441</v>
      </c>
      <c r="D3294" s="889">
        <v>46052</v>
      </c>
      <c r="E3294" s="890">
        <v>0.89792824074074074</v>
      </c>
      <c r="F3294" s="888" t="s">
        <v>310</v>
      </c>
    </row>
    <row r="3295" spans="1:6">
      <c r="A3295" s="888" t="s">
        <v>3013</v>
      </c>
      <c r="B3295" s="888" t="s">
        <v>1258</v>
      </c>
      <c r="C3295" s="888" t="s">
        <v>1259</v>
      </c>
    </row>
    <row r="3296" spans="1:6">
      <c r="A3296" s="888">
        <v>153</v>
      </c>
      <c r="B3296" s="888" t="s">
        <v>1149</v>
      </c>
      <c r="C3296" s="888" t="s">
        <v>2441</v>
      </c>
      <c r="D3296" s="889">
        <v>46053</v>
      </c>
      <c r="E3296" s="888" t="s">
        <v>310</v>
      </c>
      <c r="F3296" s="888" t="s">
        <v>310</v>
      </c>
    </row>
    <row r="3297" spans="1:6">
      <c r="A3297" s="888">
        <v>153</v>
      </c>
      <c r="B3297" s="888" t="s">
        <v>1149</v>
      </c>
      <c r="C3297" s="888" t="s">
        <v>2441</v>
      </c>
      <c r="D3297" s="889">
        <v>46054</v>
      </c>
      <c r="E3297" s="888" t="s">
        <v>310</v>
      </c>
      <c r="F3297" s="888" t="s">
        <v>310</v>
      </c>
    </row>
    <row r="3298" spans="1:6">
      <c r="A3298" s="888">
        <v>155</v>
      </c>
      <c r="B3298" s="888" t="s">
        <v>1150</v>
      </c>
      <c r="C3298" s="888" t="s">
        <v>1565</v>
      </c>
      <c r="D3298" s="889">
        <v>46023</v>
      </c>
      <c r="E3298" s="888" t="s">
        <v>310</v>
      </c>
      <c r="F3298" s="888" t="s">
        <v>310</v>
      </c>
    </row>
    <row r="3299" spans="1:6">
      <c r="A3299" s="888">
        <v>155</v>
      </c>
      <c r="B3299" s="888" t="s">
        <v>1150</v>
      </c>
      <c r="C3299" s="888" t="s">
        <v>1565</v>
      </c>
      <c r="D3299" s="889">
        <v>46024</v>
      </c>
      <c r="E3299" s="888" t="s">
        <v>310</v>
      </c>
      <c r="F3299" s="888" t="s">
        <v>310</v>
      </c>
    </row>
    <row r="3300" spans="1:6">
      <c r="A3300" s="888">
        <v>155</v>
      </c>
      <c r="B3300" s="888" t="s">
        <v>1150</v>
      </c>
      <c r="C3300" s="888" t="s">
        <v>1565</v>
      </c>
      <c r="D3300" s="889">
        <v>46025</v>
      </c>
      <c r="E3300" s="888" t="s">
        <v>310</v>
      </c>
      <c r="F3300" s="888" t="s">
        <v>310</v>
      </c>
    </row>
    <row r="3301" spans="1:6">
      <c r="A3301" s="888">
        <v>155</v>
      </c>
      <c r="B3301" s="888" t="s">
        <v>1150</v>
      </c>
      <c r="C3301" s="888" t="s">
        <v>1565</v>
      </c>
      <c r="D3301" s="889">
        <v>46026</v>
      </c>
      <c r="E3301" s="888" t="s">
        <v>310</v>
      </c>
      <c r="F3301" s="888" t="s">
        <v>310</v>
      </c>
    </row>
    <row r="3302" spans="1:6">
      <c r="A3302" s="888">
        <v>155</v>
      </c>
      <c r="B3302" s="888" t="s">
        <v>1150</v>
      </c>
      <c r="C3302" s="888" t="s">
        <v>1565</v>
      </c>
      <c r="D3302" s="889">
        <v>46027</v>
      </c>
      <c r="E3302" s="890">
        <v>0.36381944444444442</v>
      </c>
      <c r="F3302" s="890">
        <v>0.78591435185185188</v>
      </c>
    </row>
    <row r="3303" spans="1:6">
      <c r="A3303" s="888" t="s">
        <v>3014</v>
      </c>
      <c r="B3303" s="888" t="s">
        <v>3015</v>
      </c>
      <c r="C3303" s="888" t="s">
        <v>1686</v>
      </c>
    </row>
    <row r="3304" spans="1:6">
      <c r="A3304" s="888">
        <v>155</v>
      </c>
      <c r="B3304" s="888" t="s">
        <v>1150</v>
      </c>
      <c r="C3304" s="888" t="s">
        <v>1565</v>
      </c>
      <c r="D3304" s="889">
        <v>46028</v>
      </c>
      <c r="E3304" s="890">
        <v>0.36295138888888889</v>
      </c>
      <c r="F3304" s="890">
        <v>0.78420138888888891</v>
      </c>
    </row>
    <row r="3305" spans="1:6">
      <c r="A3305" s="888" t="s">
        <v>3016</v>
      </c>
      <c r="B3305" s="888" t="s">
        <v>3017</v>
      </c>
      <c r="C3305" s="888" t="s">
        <v>1390</v>
      </c>
    </row>
    <row r="3306" spans="1:6">
      <c r="A3306" s="888">
        <v>155</v>
      </c>
      <c r="B3306" s="888" t="s">
        <v>1150</v>
      </c>
      <c r="C3306" s="888" t="s">
        <v>1565</v>
      </c>
      <c r="D3306" s="889">
        <v>46029</v>
      </c>
      <c r="E3306" s="890">
        <v>0.35526620370370371</v>
      </c>
      <c r="F3306" s="890">
        <v>0.78217592592592589</v>
      </c>
    </row>
    <row r="3307" spans="1:6">
      <c r="A3307" s="888" t="s">
        <v>3018</v>
      </c>
      <c r="B3307" s="888" t="s">
        <v>3019</v>
      </c>
      <c r="C3307" s="888" t="s">
        <v>1425</v>
      </c>
    </row>
    <row r="3308" spans="1:6">
      <c r="A3308" s="888">
        <v>155</v>
      </c>
      <c r="B3308" s="888" t="s">
        <v>1150</v>
      </c>
      <c r="C3308" s="888" t="s">
        <v>1565</v>
      </c>
      <c r="D3308" s="889">
        <v>46030</v>
      </c>
      <c r="E3308" s="890">
        <v>0.35930555555555554</v>
      </c>
      <c r="F3308" s="890">
        <v>0.78810185185185189</v>
      </c>
    </row>
    <row r="3309" spans="1:6">
      <c r="A3309" s="888" t="s">
        <v>3020</v>
      </c>
      <c r="B3309" s="888" t="s">
        <v>3021</v>
      </c>
      <c r="C3309" s="888" t="s">
        <v>2319</v>
      </c>
    </row>
    <row r="3310" spans="1:6">
      <c r="A3310" s="888">
        <v>155</v>
      </c>
      <c r="B3310" s="888" t="s">
        <v>1150</v>
      </c>
      <c r="C3310" s="888" t="s">
        <v>1565</v>
      </c>
      <c r="D3310" s="889">
        <v>46031</v>
      </c>
      <c r="E3310" s="888" t="s">
        <v>310</v>
      </c>
      <c r="F3310" s="888" t="s">
        <v>310</v>
      </c>
    </row>
    <row r="3311" spans="1:6">
      <c r="A3311" s="888">
        <v>155</v>
      </c>
      <c r="B3311" s="888" t="s">
        <v>1150</v>
      </c>
      <c r="C3311" s="888" t="s">
        <v>1565</v>
      </c>
      <c r="D3311" s="889">
        <v>46032</v>
      </c>
      <c r="E3311" s="888" t="s">
        <v>310</v>
      </c>
      <c r="F3311" s="888" t="s">
        <v>310</v>
      </c>
    </row>
    <row r="3312" spans="1:6">
      <c r="A3312" s="888">
        <v>155</v>
      </c>
      <c r="B3312" s="888" t="s">
        <v>1150</v>
      </c>
      <c r="C3312" s="888" t="s">
        <v>1565</v>
      </c>
      <c r="D3312" s="889">
        <v>46033</v>
      </c>
      <c r="E3312" s="890">
        <v>0.76945601851851853</v>
      </c>
      <c r="F3312" s="890">
        <v>0.76978009259259261</v>
      </c>
    </row>
    <row r="3313" spans="1:6">
      <c r="A3313" s="888" t="s">
        <v>3022</v>
      </c>
      <c r="B3313" s="888" t="s">
        <v>3023</v>
      </c>
      <c r="C3313" s="888" t="s">
        <v>1259</v>
      </c>
    </row>
    <row r="3314" spans="1:6">
      <c r="A3314" s="888">
        <v>155</v>
      </c>
      <c r="B3314" s="888" t="s">
        <v>1150</v>
      </c>
      <c r="C3314" s="888" t="s">
        <v>1565</v>
      </c>
      <c r="D3314" s="889">
        <v>46034</v>
      </c>
      <c r="E3314" s="890">
        <v>0.35009259259259257</v>
      </c>
      <c r="F3314" s="890">
        <v>0.77953703703703703</v>
      </c>
    </row>
    <row r="3315" spans="1:6">
      <c r="A3315" s="888" t="s">
        <v>3024</v>
      </c>
      <c r="B3315" s="888" t="s">
        <v>3025</v>
      </c>
      <c r="C3315" s="888" t="s">
        <v>1396</v>
      </c>
    </row>
    <row r="3316" spans="1:6">
      <c r="A3316" s="888">
        <v>155</v>
      </c>
      <c r="B3316" s="888" t="s">
        <v>1150</v>
      </c>
      <c r="C3316" s="888" t="s">
        <v>1565</v>
      </c>
      <c r="D3316" s="889">
        <v>46035</v>
      </c>
      <c r="E3316" s="890">
        <v>0.35849537037037038</v>
      </c>
      <c r="F3316" s="890">
        <v>0.82927083333333329</v>
      </c>
    </row>
    <row r="3317" spans="1:6">
      <c r="A3317" s="888" t="s">
        <v>3026</v>
      </c>
      <c r="B3317" s="888" t="s">
        <v>3027</v>
      </c>
      <c r="C3317" s="888" t="s">
        <v>3028</v>
      </c>
    </row>
    <row r="3318" spans="1:6">
      <c r="A3318" s="888">
        <v>155</v>
      </c>
      <c r="B3318" s="888" t="s">
        <v>1150</v>
      </c>
      <c r="C3318" s="888" t="s">
        <v>1565</v>
      </c>
      <c r="D3318" s="889">
        <v>46036</v>
      </c>
      <c r="E3318" s="890">
        <v>0.43694444444444447</v>
      </c>
      <c r="F3318" s="890">
        <v>0.78749999999999998</v>
      </c>
    </row>
    <row r="3319" spans="1:6">
      <c r="A3319" s="888" t="s">
        <v>3029</v>
      </c>
      <c r="B3319" s="888" t="s">
        <v>3030</v>
      </c>
      <c r="C3319" s="888" t="s">
        <v>2127</v>
      </c>
    </row>
    <row r="3320" spans="1:6">
      <c r="A3320" s="888">
        <v>155</v>
      </c>
      <c r="B3320" s="888" t="s">
        <v>1150</v>
      </c>
      <c r="C3320" s="888" t="s">
        <v>1565</v>
      </c>
      <c r="D3320" s="889">
        <v>46037</v>
      </c>
      <c r="E3320" s="890">
        <v>0.36723379629629632</v>
      </c>
      <c r="F3320" s="890">
        <v>0.78843750000000001</v>
      </c>
    </row>
    <row r="3321" spans="1:6">
      <c r="A3321" s="888" t="s">
        <v>3031</v>
      </c>
      <c r="B3321" s="888" t="s">
        <v>3032</v>
      </c>
      <c r="C3321" s="888" t="s">
        <v>1390</v>
      </c>
    </row>
    <row r="3322" spans="1:6">
      <c r="A3322" s="888">
        <v>155</v>
      </c>
      <c r="B3322" s="888" t="s">
        <v>1150</v>
      </c>
      <c r="C3322" s="888" t="s">
        <v>1565</v>
      </c>
      <c r="D3322" s="889">
        <v>46038</v>
      </c>
      <c r="E3322" s="890">
        <v>0.69439814814814815</v>
      </c>
      <c r="F3322" s="890">
        <v>0.69513888888888886</v>
      </c>
    </row>
    <row r="3323" spans="1:6">
      <c r="A3323" s="888" t="s">
        <v>3033</v>
      </c>
      <c r="B3323" s="888" t="s">
        <v>3034</v>
      </c>
      <c r="C3323" s="888" t="s">
        <v>1570</v>
      </c>
    </row>
    <row r="3324" spans="1:6">
      <c r="A3324" s="888">
        <v>155</v>
      </c>
      <c r="B3324" s="888" t="s">
        <v>1150</v>
      </c>
      <c r="C3324" s="888" t="s">
        <v>1565</v>
      </c>
      <c r="D3324" s="889">
        <v>46039</v>
      </c>
      <c r="E3324" s="888" t="s">
        <v>310</v>
      </c>
      <c r="F3324" s="888" t="s">
        <v>310</v>
      </c>
    </row>
    <row r="3325" spans="1:6">
      <c r="A3325" s="888">
        <v>155</v>
      </c>
      <c r="B3325" s="888" t="s">
        <v>1150</v>
      </c>
      <c r="C3325" s="888" t="s">
        <v>1565</v>
      </c>
      <c r="D3325" s="889">
        <v>46040</v>
      </c>
      <c r="E3325" s="888" t="s">
        <v>310</v>
      </c>
      <c r="F3325" s="888" t="s">
        <v>310</v>
      </c>
    </row>
    <row r="3326" spans="1:6">
      <c r="A3326" s="888">
        <v>155</v>
      </c>
      <c r="B3326" s="888" t="s">
        <v>1150</v>
      </c>
      <c r="C3326" s="888" t="s">
        <v>1565</v>
      </c>
      <c r="D3326" s="889">
        <v>46041</v>
      </c>
      <c r="E3326" s="890">
        <v>0.90513888888888894</v>
      </c>
      <c r="F3326" s="890">
        <v>0.9051851851851852</v>
      </c>
    </row>
    <row r="3327" spans="1:6">
      <c r="A3327" s="888" t="s">
        <v>3035</v>
      </c>
      <c r="B3327" s="888" t="s">
        <v>3036</v>
      </c>
      <c r="C3327" s="888" t="s">
        <v>1259</v>
      </c>
    </row>
    <row r="3328" spans="1:6">
      <c r="A3328" s="888">
        <v>155</v>
      </c>
      <c r="B3328" s="888" t="s">
        <v>1150</v>
      </c>
      <c r="C3328" s="888" t="s">
        <v>1565</v>
      </c>
      <c r="D3328" s="889">
        <v>46042</v>
      </c>
      <c r="E3328" s="888" t="s">
        <v>310</v>
      </c>
      <c r="F3328" s="888" t="s">
        <v>310</v>
      </c>
    </row>
    <row r="3329" spans="1:6">
      <c r="A3329" s="888">
        <v>155</v>
      </c>
      <c r="B3329" s="888" t="s">
        <v>1150</v>
      </c>
      <c r="C3329" s="888" t="s">
        <v>1565</v>
      </c>
      <c r="D3329" s="889">
        <v>46043</v>
      </c>
      <c r="E3329" s="890">
        <v>0.35811342592592593</v>
      </c>
      <c r="F3329" s="890">
        <v>0.78759259259259262</v>
      </c>
    </row>
    <row r="3330" spans="1:6">
      <c r="A3330" s="888" t="s">
        <v>3037</v>
      </c>
      <c r="B3330" s="888" t="s">
        <v>3038</v>
      </c>
      <c r="C3330" s="888" t="s">
        <v>1396</v>
      </c>
    </row>
    <row r="3331" spans="1:6">
      <c r="A3331" s="888">
        <v>155</v>
      </c>
      <c r="B3331" s="888" t="s">
        <v>1150</v>
      </c>
      <c r="C3331" s="888" t="s">
        <v>1565</v>
      </c>
      <c r="D3331" s="889">
        <v>46044</v>
      </c>
      <c r="E3331" s="890">
        <v>0.35947916666666668</v>
      </c>
      <c r="F3331" s="890">
        <v>0.79099537037037038</v>
      </c>
    </row>
    <row r="3332" spans="1:6">
      <c r="A3332" s="888" t="s">
        <v>3039</v>
      </c>
      <c r="B3332" s="888" t="s">
        <v>3040</v>
      </c>
      <c r="C3332" s="888" t="s">
        <v>3041</v>
      </c>
    </row>
    <row r="3333" spans="1:6">
      <c r="A3333" s="888">
        <v>155</v>
      </c>
      <c r="B3333" s="888" t="s">
        <v>1150</v>
      </c>
      <c r="C3333" s="888" t="s">
        <v>1565</v>
      </c>
      <c r="D3333" s="889">
        <v>46045</v>
      </c>
      <c r="E3333" s="890">
        <v>0.37976851851851851</v>
      </c>
      <c r="F3333" s="888" t="s">
        <v>310</v>
      </c>
    </row>
    <row r="3334" spans="1:6">
      <c r="A3334" s="888" t="s">
        <v>3042</v>
      </c>
      <c r="B3334" s="888" t="s">
        <v>1258</v>
      </c>
      <c r="C3334" s="888" t="s">
        <v>1259</v>
      </c>
    </row>
    <row r="3335" spans="1:6">
      <c r="A3335" s="888">
        <v>155</v>
      </c>
      <c r="B3335" s="888" t="s">
        <v>1150</v>
      </c>
      <c r="C3335" s="888" t="s">
        <v>1565</v>
      </c>
      <c r="D3335" s="889">
        <v>46046</v>
      </c>
      <c r="E3335" s="888" t="s">
        <v>310</v>
      </c>
      <c r="F3335" s="888" t="s">
        <v>310</v>
      </c>
    </row>
    <row r="3336" spans="1:6">
      <c r="A3336" s="888">
        <v>155</v>
      </c>
      <c r="B3336" s="888" t="s">
        <v>1150</v>
      </c>
      <c r="C3336" s="888" t="s">
        <v>1565</v>
      </c>
      <c r="D3336" s="889">
        <v>46047</v>
      </c>
      <c r="E3336" s="888" t="s">
        <v>310</v>
      </c>
      <c r="F3336" s="888" t="s">
        <v>310</v>
      </c>
    </row>
    <row r="3337" spans="1:6">
      <c r="A3337" s="888">
        <v>155</v>
      </c>
      <c r="B3337" s="888" t="s">
        <v>1150</v>
      </c>
      <c r="C3337" s="888" t="s">
        <v>1565</v>
      </c>
      <c r="D3337" s="889">
        <v>46048</v>
      </c>
      <c r="E3337" s="890">
        <v>0.36523148148148149</v>
      </c>
      <c r="F3337" s="890">
        <v>0.92939814814814814</v>
      </c>
    </row>
    <row r="3338" spans="1:6">
      <c r="A3338" s="888" t="s">
        <v>3043</v>
      </c>
      <c r="B3338" s="888" t="s">
        <v>3044</v>
      </c>
      <c r="C3338" s="888" t="s">
        <v>3045</v>
      </c>
    </row>
    <row r="3339" spans="1:6">
      <c r="A3339" s="888">
        <v>155</v>
      </c>
      <c r="B3339" s="888" t="s">
        <v>1150</v>
      </c>
      <c r="C3339" s="888" t="s">
        <v>1565</v>
      </c>
      <c r="D3339" s="889">
        <v>46049</v>
      </c>
      <c r="E3339" s="890">
        <v>0.36300925925925925</v>
      </c>
      <c r="F3339" s="890">
        <v>0.83864583333333331</v>
      </c>
    </row>
    <row r="3340" spans="1:6">
      <c r="A3340" s="888" t="s">
        <v>3046</v>
      </c>
      <c r="B3340" s="888" t="s">
        <v>3047</v>
      </c>
      <c r="C3340" s="888" t="s">
        <v>3048</v>
      </c>
    </row>
    <row r="3341" spans="1:6">
      <c r="A3341" s="888">
        <v>155</v>
      </c>
      <c r="B3341" s="888" t="s">
        <v>1150</v>
      </c>
      <c r="C3341" s="888" t="s">
        <v>1565</v>
      </c>
      <c r="D3341" s="889">
        <v>46050</v>
      </c>
      <c r="E3341" s="890">
        <v>0.35810185185185184</v>
      </c>
      <c r="F3341" s="890">
        <v>0.8082407407407407</v>
      </c>
    </row>
    <row r="3342" spans="1:6">
      <c r="A3342" s="888" t="s">
        <v>3049</v>
      </c>
      <c r="B3342" s="888" t="s">
        <v>3050</v>
      </c>
      <c r="C3342" s="888" t="s">
        <v>2558</v>
      </c>
    </row>
    <row r="3343" spans="1:6">
      <c r="A3343" s="888">
        <v>155</v>
      </c>
      <c r="B3343" s="888" t="s">
        <v>1150</v>
      </c>
      <c r="C3343" s="888" t="s">
        <v>1565</v>
      </c>
      <c r="D3343" s="889">
        <v>46051</v>
      </c>
      <c r="E3343" s="890">
        <v>0.36105324074074074</v>
      </c>
      <c r="F3343" s="890">
        <v>0.87623842592592593</v>
      </c>
    </row>
    <row r="3344" spans="1:6">
      <c r="A3344" s="888" t="s">
        <v>3051</v>
      </c>
      <c r="B3344" s="888" t="s">
        <v>3052</v>
      </c>
      <c r="C3344" s="888" t="s">
        <v>3053</v>
      </c>
    </row>
    <row r="3345" spans="1:6">
      <c r="A3345" s="888">
        <v>155</v>
      </c>
      <c r="B3345" s="888" t="s">
        <v>1150</v>
      </c>
      <c r="C3345" s="888" t="s">
        <v>1565</v>
      </c>
      <c r="D3345" s="889">
        <v>46052</v>
      </c>
      <c r="E3345" s="888" t="s">
        <v>310</v>
      </c>
      <c r="F3345" s="888" t="s">
        <v>310</v>
      </c>
    </row>
    <row r="3346" spans="1:6">
      <c r="A3346" s="888">
        <v>155</v>
      </c>
      <c r="B3346" s="888" t="s">
        <v>1150</v>
      </c>
      <c r="C3346" s="888" t="s">
        <v>1565</v>
      </c>
      <c r="D3346" s="889">
        <v>46053</v>
      </c>
      <c r="E3346" s="888" t="s">
        <v>310</v>
      </c>
      <c r="F3346" s="888" t="s">
        <v>310</v>
      </c>
    </row>
    <row r="3347" spans="1:6">
      <c r="A3347" s="888">
        <v>155</v>
      </c>
      <c r="B3347" s="888" t="s">
        <v>1150</v>
      </c>
      <c r="C3347" s="888" t="s">
        <v>1565</v>
      </c>
      <c r="D3347" s="889">
        <v>46054</v>
      </c>
      <c r="E3347" s="888" t="s">
        <v>310</v>
      </c>
      <c r="F3347" s="888" t="s">
        <v>310</v>
      </c>
    </row>
    <row r="3348" spans="1:6">
      <c r="A3348" s="888">
        <v>159</v>
      </c>
      <c r="B3348" s="888" t="s">
        <v>1151</v>
      </c>
      <c r="C3348" s="888" t="s">
        <v>1468</v>
      </c>
      <c r="D3348" s="889">
        <v>46023</v>
      </c>
      <c r="E3348" s="888" t="s">
        <v>310</v>
      </c>
      <c r="F3348" s="888" t="s">
        <v>310</v>
      </c>
    </row>
    <row r="3349" spans="1:6">
      <c r="A3349" s="888">
        <v>159</v>
      </c>
      <c r="B3349" s="888" t="s">
        <v>1151</v>
      </c>
      <c r="C3349" s="888" t="s">
        <v>1468</v>
      </c>
      <c r="D3349" s="889">
        <v>46024</v>
      </c>
      <c r="E3349" s="888" t="s">
        <v>310</v>
      </c>
      <c r="F3349" s="888" t="s">
        <v>310</v>
      </c>
    </row>
    <row r="3350" spans="1:6">
      <c r="A3350" s="888">
        <v>159</v>
      </c>
      <c r="B3350" s="888" t="s">
        <v>1151</v>
      </c>
      <c r="C3350" s="888" t="s">
        <v>1468</v>
      </c>
      <c r="D3350" s="889">
        <v>46025</v>
      </c>
      <c r="E3350" s="888" t="s">
        <v>310</v>
      </c>
      <c r="F3350" s="888" t="s">
        <v>310</v>
      </c>
    </row>
    <row r="3351" spans="1:6">
      <c r="A3351" s="888">
        <v>159</v>
      </c>
      <c r="B3351" s="888" t="s">
        <v>1151</v>
      </c>
      <c r="C3351" s="888" t="s">
        <v>1468</v>
      </c>
      <c r="D3351" s="889">
        <v>46026</v>
      </c>
      <c r="E3351" s="888" t="s">
        <v>310</v>
      </c>
      <c r="F3351" s="888" t="s">
        <v>310</v>
      </c>
    </row>
    <row r="3352" spans="1:6">
      <c r="A3352" s="888">
        <v>159</v>
      </c>
      <c r="B3352" s="888" t="s">
        <v>1151</v>
      </c>
      <c r="C3352" s="888" t="s">
        <v>1468</v>
      </c>
      <c r="D3352" s="889">
        <v>46027</v>
      </c>
      <c r="E3352" s="890">
        <v>0.37526620370370373</v>
      </c>
      <c r="F3352" s="890">
        <v>0.76466435185185189</v>
      </c>
    </row>
    <row r="3353" spans="1:6">
      <c r="A3353" s="888" t="s">
        <v>3054</v>
      </c>
      <c r="B3353" s="888" t="s">
        <v>3055</v>
      </c>
      <c r="C3353" s="888" t="s">
        <v>1737</v>
      </c>
    </row>
    <row r="3354" spans="1:6">
      <c r="A3354" s="888">
        <v>159</v>
      </c>
      <c r="B3354" s="888" t="s">
        <v>1151</v>
      </c>
      <c r="C3354" s="888" t="s">
        <v>1468</v>
      </c>
      <c r="D3354" s="889">
        <v>46028</v>
      </c>
      <c r="E3354" s="890">
        <v>0.37392361111111111</v>
      </c>
      <c r="F3354" s="890">
        <v>0.83758101851851852</v>
      </c>
    </row>
    <row r="3355" spans="1:6">
      <c r="A3355" s="888" t="s">
        <v>3056</v>
      </c>
      <c r="B3355" s="888" t="s">
        <v>3057</v>
      </c>
      <c r="C3355" s="888" t="s">
        <v>2986</v>
      </c>
    </row>
    <row r="3356" spans="1:6">
      <c r="A3356" s="888">
        <v>159</v>
      </c>
      <c r="B3356" s="888" t="s">
        <v>1151</v>
      </c>
      <c r="C3356" s="888" t="s">
        <v>1468</v>
      </c>
      <c r="D3356" s="889">
        <v>46029</v>
      </c>
      <c r="E3356" s="890">
        <v>0.37504629629629632</v>
      </c>
      <c r="F3356" s="890">
        <v>0.76791666666666669</v>
      </c>
    </row>
    <row r="3357" spans="1:6">
      <c r="A3357" s="888" t="s">
        <v>3058</v>
      </c>
      <c r="B3357" s="888" t="s">
        <v>3059</v>
      </c>
      <c r="C3357" s="888" t="s">
        <v>1776</v>
      </c>
    </row>
    <row r="3358" spans="1:6">
      <c r="A3358" s="888">
        <v>159</v>
      </c>
      <c r="B3358" s="888" t="s">
        <v>1151</v>
      </c>
      <c r="C3358" s="888" t="s">
        <v>1468</v>
      </c>
      <c r="D3358" s="889">
        <v>46030</v>
      </c>
      <c r="E3358" s="890">
        <v>0.37690972222222224</v>
      </c>
      <c r="F3358" s="890">
        <v>0.78745370370370371</v>
      </c>
    </row>
    <row r="3359" spans="1:6">
      <c r="A3359" s="888" t="s">
        <v>3060</v>
      </c>
      <c r="B3359" s="888" t="s">
        <v>3061</v>
      </c>
      <c r="C3359" s="888" t="s">
        <v>2003</v>
      </c>
    </row>
    <row r="3360" spans="1:6">
      <c r="A3360" s="888">
        <v>159</v>
      </c>
      <c r="B3360" s="888" t="s">
        <v>1151</v>
      </c>
      <c r="C3360" s="888" t="s">
        <v>1468</v>
      </c>
      <c r="D3360" s="889">
        <v>46031</v>
      </c>
      <c r="E3360" s="888" t="s">
        <v>310</v>
      </c>
      <c r="F3360" s="888" t="s">
        <v>310</v>
      </c>
    </row>
    <row r="3361" spans="1:6">
      <c r="A3361" s="888">
        <v>159</v>
      </c>
      <c r="B3361" s="888" t="s">
        <v>1151</v>
      </c>
      <c r="C3361" s="888" t="s">
        <v>1468</v>
      </c>
      <c r="D3361" s="889">
        <v>46032</v>
      </c>
      <c r="E3361" s="888" t="s">
        <v>310</v>
      </c>
      <c r="F3361" s="888" t="s">
        <v>310</v>
      </c>
    </row>
    <row r="3362" spans="1:6">
      <c r="A3362" s="888">
        <v>159</v>
      </c>
      <c r="B3362" s="888" t="s">
        <v>1151</v>
      </c>
      <c r="C3362" s="888" t="s">
        <v>1468</v>
      </c>
      <c r="D3362" s="889">
        <v>46033</v>
      </c>
      <c r="E3362" s="888" t="s">
        <v>310</v>
      </c>
      <c r="F3362" s="888" t="s">
        <v>310</v>
      </c>
    </row>
    <row r="3363" spans="1:6">
      <c r="A3363" s="888">
        <v>159</v>
      </c>
      <c r="B3363" s="888" t="s">
        <v>1151</v>
      </c>
      <c r="C3363" s="888" t="s">
        <v>1468</v>
      </c>
      <c r="D3363" s="889">
        <v>46034</v>
      </c>
      <c r="E3363" s="890">
        <v>0.37068287037037034</v>
      </c>
      <c r="F3363" s="890">
        <v>0.76859953703703698</v>
      </c>
    </row>
    <row r="3364" spans="1:6">
      <c r="A3364" s="888" t="s">
        <v>3062</v>
      </c>
      <c r="B3364" s="888" t="s">
        <v>3063</v>
      </c>
      <c r="C3364" s="888" t="s">
        <v>1457</v>
      </c>
    </row>
    <row r="3365" spans="1:6">
      <c r="A3365" s="888">
        <v>159</v>
      </c>
      <c r="B3365" s="888" t="s">
        <v>1151</v>
      </c>
      <c r="C3365" s="888" t="s">
        <v>1468</v>
      </c>
      <c r="D3365" s="889">
        <v>46035</v>
      </c>
      <c r="E3365" s="890">
        <v>0.36623842592592593</v>
      </c>
      <c r="F3365" s="890">
        <v>0.76537037037037037</v>
      </c>
    </row>
    <row r="3366" spans="1:6">
      <c r="A3366" s="888" t="s">
        <v>3064</v>
      </c>
      <c r="B3366" s="888" t="s">
        <v>3065</v>
      </c>
      <c r="C3366" s="888" t="s">
        <v>1288</v>
      </c>
    </row>
    <row r="3367" spans="1:6">
      <c r="A3367" s="888">
        <v>159</v>
      </c>
      <c r="B3367" s="888" t="s">
        <v>1151</v>
      </c>
      <c r="C3367" s="888" t="s">
        <v>1468</v>
      </c>
      <c r="D3367" s="889">
        <v>46036</v>
      </c>
      <c r="E3367" s="890">
        <v>0.37033564814814812</v>
      </c>
      <c r="F3367" s="890">
        <v>0.81694444444444447</v>
      </c>
    </row>
    <row r="3368" spans="1:6">
      <c r="A3368" s="888" t="s">
        <v>3066</v>
      </c>
      <c r="B3368" s="888" t="s">
        <v>3067</v>
      </c>
      <c r="C3368" s="888" t="s">
        <v>1300</v>
      </c>
    </row>
    <row r="3369" spans="1:6">
      <c r="A3369" s="888">
        <v>159</v>
      </c>
      <c r="B3369" s="888" t="s">
        <v>1151</v>
      </c>
      <c r="C3369" s="888" t="s">
        <v>1468</v>
      </c>
      <c r="D3369" s="889">
        <v>46037</v>
      </c>
      <c r="E3369" s="890">
        <v>0.37613425925925925</v>
      </c>
      <c r="F3369" s="890">
        <v>0.76810185185185187</v>
      </c>
    </row>
    <row r="3370" spans="1:6">
      <c r="A3370" s="888" t="s">
        <v>3068</v>
      </c>
      <c r="B3370" s="888" t="s">
        <v>3069</v>
      </c>
      <c r="C3370" s="888" t="s">
        <v>1813</v>
      </c>
    </row>
    <row r="3371" spans="1:6">
      <c r="A3371" s="888">
        <v>159</v>
      </c>
      <c r="B3371" s="888" t="s">
        <v>1151</v>
      </c>
      <c r="C3371" s="888" t="s">
        <v>1468</v>
      </c>
      <c r="D3371" s="889">
        <v>46038</v>
      </c>
      <c r="E3371" s="888" t="s">
        <v>310</v>
      </c>
      <c r="F3371" s="888" t="s">
        <v>310</v>
      </c>
    </row>
    <row r="3372" spans="1:6">
      <c r="A3372" s="888">
        <v>159</v>
      </c>
      <c r="B3372" s="888" t="s">
        <v>1151</v>
      </c>
      <c r="C3372" s="888" t="s">
        <v>1468</v>
      </c>
      <c r="D3372" s="889">
        <v>46039</v>
      </c>
      <c r="E3372" s="888" t="s">
        <v>310</v>
      </c>
      <c r="F3372" s="888" t="s">
        <v>310</v>
      </c>
    </row>
    <row r="3373" spans="1:6">
      <c r="A3373" s="888">
        <v>159</v>
      </c>
      <c r="B3373" s="888" t="s">
        <v>1151</v>
      </c>
      <c r="C3373" s="888" t="s">
        <v>1468</v>
      </c>
      <c r="D3373" s="889">
        <v>46040</v>
      </c>
      <c r="E3373" s="888" t="s">
        <v>310</v>
      </c>
      <c r="F3373" s="888" t="s">
        <v>310</v>
      </c>
    </row>
    <row r="3374" spans="1:6">
      <c r="A3374" s="888">
        <v>159</v>
      </c>
      <c r="B3374" s="888" t="s">
        <v>1151</v>
      </c>
      <c r="C3374" s="888" t="s">
        <v>1468</v>
      </c>
      <c r="D3374" s="889">
        <v>46041</v>
      </c>
      <c r="E3374" s="890">
        <v>0.40410879629629631</v>
      </c>
      <c r="F3374" s="890">
        <v>0.76621527777777776</v>
      </c>
    </row>
    <row r="3375" spans="1:6">
      <c r="A3375" s="888" t="s">
        <v>3070</v>
      </c>
      <c r="B3375" s="888" t="s">
        <v>3071</v>
      </c>
      <c r="C3375" s="888" t="s">
        <v>3072</v>
      </c>
    </row>
    <row r="3376" spans="1:6">
      <c r="A3376" s="888">
        <v>159</v>
      </c>
      <c r="B3376" s="888" t="s">
        <v>1151</v>
      </c>
      <c r="C3376" s="888" t="s">
        <v>1468</v>
      </c>
      <c r="D3376" s="889">
        <v>46042</v>
      </c>
      <c r="E3376" s="890">
        <v>0.3709027777777778</v>
      </c>
      <c r="F3376" s="890">
        <v>0.77284722222222224</v>
      </c>
    </row>
    <row r="3377" spans="1:6">
      <c r="A3377" s="888" t="s">
        <v>3073</v>
      </c>
      <c r="B3377" s="888" t="s">
        <v>3074</v>
      </c>
      <c r="C3377" s="888" t="s">
        <v>1538</v>
      </c>
    </row>
    <row r="3378" spans="1:6">
      <c r="A3378" s="888">
        <v>159</v>
      </c>
      <c r="B3378" s="888" t="s">
        <v>1151</v>
      </c>
      <c r="C3378" s="888" t="s">
        <v>1468</v>
      </c>
      <c r="D3378" s="889">
        <v>46043</v>
      </c>
      <c r="E3378" s="890">
        <v>0.41890046296296296</v>
      </c>
      <c r="F3378" s="890">
        <v>0.79006944444444449</v>
      </c>
    </row>
    <row r="3379" spans="1:6">
      <c r="A3379" s="888" t="s">
        <v>3075</v>
      </c>
      <c r="B3379" s="888" t="s">
        <v>3076</v>
      </c>
      <c r="C3379" s="888" t="s">
        <v>1590</v>
      </c>
    </row>
    <row r="3380" spans="1:6">
      <c r="A3380" s="888">
        <v>159</v>
      </c>
      <c r="B3380" s="888" t="s">
        <v>1151</v>
      </c>
      <c r="C3380" s="888" t="s">
        <v>1468</v>
      </c>
      <c r="D3380" s="889">
        <v>46044</v>
      </c>
      <c r="E3380" s="890">
        <v>0.37473379629629627</v>
      </c>
      <c r="F3380" s="890">
        <v>0.77517361111111116</v>
      </c>
    </row>
    <row r="3381" spans="1:6">
      <c r="A3381" s="888" t="s">
        <v>3077</v>
      </c>
      <c r="B3381" s="888" t="s">
        <v>3078</v>
      </c>
      <c r="C3381" s="888" t="s">
        <v>1378</v>
      </c>
    </row>
    <row r="3382" spans="1:6">
      <c r="A3382" s="888">
        <v>159</v>
      </c>
      <c r="B3382" s="888" t="s">
        <v>1151</v>
      </c>
      <c r="C3382" s="888" t="s">
        <v>1468</v>
      </c>
      <c r="D3382" s="889">
        <v>46045</v>
      </c>
      <c r="E3382" s="888" t="s">
        <v>310</v>
      </c>
      <c r="F3382" s="888" t="s">
        <v>310</v>
      </c>
    </row>
    <row r="3383" spans="1:6">
      <c r="A3383" s="888">
        <v>159</v>
      </c>
      <c r="B3383" s="888" t="s">
        <v>1151</v>
      </c>
      <c r="C3383" s="888" t="s">
        <v>1468</v>
      </c>
      <c r="D3383" s="889">
        <v>46046</v>
      </c>
      <c r="E3383" s="888" t="s">
        <v>310</v>
      </c>
      <c r="F3383" s="888" t="s">
        <v>310</v>
      </c>
    </row>
    <row r="3384" spans="1:6">
      <c r="A3384" s="888">
        <v>159</v>
      </c>
      <c r="B3384" s="888" t="s">
        <v>1151</v>
      </c>
      <c r="C3384" s="888" t="s">
        <v>1468</v>
      </c>
      <c r="D3384" s="889">
        <v>46047</v>
      </c>
      <c r="E3384" s="888" t="s">
        <v>310</v>
      </c>
      <c r="F3384" s="888" t="s">
        <v>310</v>
      </c>
    </row>
    <row r="3385" spans="1:6">
      <c r="A3385" s="888">
        <v>159</v>
      </c>
      <c r="B3385" s="888" t="s">
        <v>1151</v>
      </c>
      <c r="C3385" s="888" t="s">
        <v>1468</v>
      </c>
      <c r="D3385" s="889">
        <v>46048</v>
      </c>
      <c r="E3385" s="890">
        <v>0.34611111111111109</v>
      </c>
      <c r="F3385" s="890">
        <v>0.77709490740740739</v>
      </c>
    </row>
    <row r="3386" spans="1:6">
      <c r="A3386" s="888" t="s">
        <v>3079</v>
      </c>
      <c r="B3386" s="888" t="s">
        <v>3080</v>
      </c>
      <c r="C3386" s="888" t="s">
        <v>3041</v>
      </c>
    </row>
    <row r="3387" spans="1:6">
      <c r="A3387" s="888">
        <v>159</v>
      </c>
      <c r="B3387" s="888" t="s">
        <v>1151</v>
      </c>
      <c r="C3387" s="888" t="s">
        <v>1468</v>
      </c>
      <c r="D3387" s="889">
        <v>46049</v>
      </c>
      <c r="E3387" s="890">
        <v>0.3611111111111111</v>
      </c>
      <c r="F3387" s="888" t="s">
        <v>310</v>
      </c>
    </row>
    <row r="3388" spans="1:6">
      <c r="A3388" s="888" t="s">
        <v>3081</v>
      </c>
      <c r="B3388" s="888" t="s">
        <v>1258</v>
      </c>
      <c r="C3388" s="888" t="s">
        <v>1259</v>
      </c>
    </row>
    <row r="3389" spans="1:6">
      <c r="A3389" s="888">
        <v>159</v>
      </c>
      <c r="B3389" s="888" t="s">
        <v>1151</v>
      </c>
      <c r="C3389" s="888" t="s">
        <v>1468</v>
      </c>
      <c r="D3389" s="889">
        <v>46050</v>
      </c>
      <c r="E3389" s="890">
        <v>0.3676388888888889</v>
      </c>
      <c r="F3389" s="890">
        <v>0.76105324074074077</v>
      </c>
    </row>
    <row r="3390" spans="1:6">
      <c r="A3390" s="888" t="s">
        <v>3082</v>
      </c>
      <c r="B3390" s="888" t="s">
        <v>3083</v>
      </c>
      <c r="C3390" s="888" t="s">
        <v>1291</v>
      </c>
    </row>
    <row r="3391" spans="1:6">
      <c r="A3391" s="888">
        <v>159</v>
      </c>
      <c r="B3391" s="888" t="s">
        <v>1151</v>
      </c>
      <c r="C3391" s="888" t="s">
        <v>1468</v>
      </c>
      <c r="D3391" s="889">
        <v>46051</v>
      </c>
      <c r="E3391" s="890">
        <v>0.36978009259259259</v>
      </c>
      <c r="F3391" s="890">
        <v>0.78106481481481482</v>
      </c>
    </row>
    <row r="3392" spans="1:6">
      <c r="A3392" s="888" t="s">
        <v>3084</v>
      </c>
      <c r="B3392" s="888" t="s">
        <v>3085</v>
      </c>
      <c r="C3392" s="888" t="s">
        <v>1613</v>
      </c>
    </row>
    <row r="3393" spans="1:6">
      <c r="A3393" s="888">
        <v>159</v>
      </c>
      <c r="B3393" s="888" t="s">
        <v>1151</v>
      </c>
      <c r="C3393" s="888" t="s">
        <v>1468</v>
      </c>
      <c r="D3393" s="889">
        <v>46052</v>
      </c>
      <c r="E3393" s="888" t="s">
        <v>310</v>
      </c>
      <c r="F3393" s="888" t="s">
        <v>310</v>
      </c>
    </row>
    <row r="3394" spans="1:6">
      <c r="A3394" s="888">
        <v>159</v>
      </c>
      <c r="B3394" s="888" t="s">
        <v>1151</v>
      </c>
      <c r="C3394" s="888" t="s">
        <v>1468</v>
      </c>
      <c r="D3394" s="889">
        <v>46053</v>
      </c>
      <c r="E3394" s="888" t="s">
        <v>310</v>
      </c>
      <c r="F3394" s="888" t="s">
        <v>310</v>
      </c>
    </row>
    <row r="3395" spans="1:6">
      <c r="A3395" s="888">
        <v>159</v>
      </c>
      <c r="B3395" s="888" t="s">
        <v>1151</v>
      </c>
      <c r="C3395" s="888" t="s">
        <v>1468</v>
      </c>
      <c r="D3395" s="889">
        <v>46054</v>
      </c>
      <c r="E3395" s="888" t="s">
        <v>310</v>
      </c>
      <c r="F3395" s="888" t="s">
        <v>310</v>
      </c>
    </row>
    <row r="3396" spans="1:6">
      <c r="A3396" s="888">
        <v>164</v>
      </c>
      <c r="B3396" s="888" t="s">
        <v>1152</v>
      </c>
      <c r="C3396" s="888" t="s">
        <v>1387</v>
      </c>
      <c r="D3396" s="889">
        <v>46023</v>
      </c>
      <c r="E3396" s="888" t="s">
        <v>310</v>
      </c>
      <c r="F3396" s="888" t="s">
        <v>310</v>
      </c>
    </row>
    <row r="3397" spans="1:6">
      <c r="A3397" s="888">
        <v>164</v>
      </c>
      <c r="B3397" s="888" t="s">
        <v>1152</v>
      </c>
      <c r="C3397" s="888" t="s">
        <v>1387</v>
      </c>
      <c r="D3397" s="889">
        <v>46024</v>
      </c>
      <c r="E3397" s="888" t="s">
        <v>310</v>
      </c>
      <c r="F3397" s="888" t="s">
        <v>310</v>
      </c>
    </row>
    <row r="3398" spans="1:6">
      <c r="A3398" s="888">
        <v>164</v>
      </c>
      <c r="B3398" s="888" t="s">
        <v>1152</v>
      </c>
      <c r="C3398" s="888" t="s">
        <v>1387</v>
      </c>
      <c r="D3398" s="889">
        <v>46025</v>
      </c>
      <c r="E3398" s="888" t="s">
        <v>310</v>
      </c>
      <c r="F3398" s="888" t="s">
        <v>310</v>
      </c>
    </row>
    <row r="3399" spans="1:6">
      <c r="A3399" s="888">
        <v>164</v>
      </c>
      <c r="B3399" s="888" t="s">
        <v>1152</v>
      </c>
      <c r="C3399" s="888" t="s">
        <v>1387</v>
      </c>
      <c r="D3399" s="889">
        <v>46026</v>
      </c>
      <c r="E3399" s="888" t="s">
        <v>310</v>
      </c>
      <c r="F3399" s="888" t="s">
        <v>310</v>
      </c>
    </row>
    <row r="3400" spans="1:6">
      <c r="A3400" s="888">
        <v>164</v>
      </c>
      <c r="B3400" s="888" t="s">
        <v>1152</v>
      </c>
      <c r="C3400" s="888" t="s">
        <v>1387</v>
      </c>
      <c r="D3400" s="889">
        <v>46027</v>
      </c>
      <c r="E3400" s="890">
        <v>0.35144675925925928</v>
      </c>
      <c r="F3400" s="890">
        <v>0.7543981481481481</v>
      </c>
    </row>
    <row r="3401" spans="1:6">
      <c r="A3401" s="888" t="s">
        <v>3086</v>
      </c>
      <c r="B3401" s="888" t="s">
        <v>3087</v>
      </c>
      <c r="C3401" s="888" t="s">
        <v>1624</v>
      </c>
    </row>
    <row r="3402" spans="1:6">
      <c r="A3402" s="888">
        <v>164</v>
      </c>
      <c r="B3402" s="888" t="s">
        <v>1152</v>
      </c>
      <c r="C3402" s="888" t="s">
        <v>1387</v>
      </c>
      <c r="D3402" s="889">
        <v>46028</v>
      </c>
      <c r="E3402" s="890">
        <v>0.35348379629629628</v>
      </c>
      <c r="F3402" s="890">
        <v>0.75304398148148144</v>
      </c>
    </row>
    <row r="3403" spans="1:6">
      <c r="A3403" s="888" t="s">
        <v>3088</v>
      </c>
      <c r="B3403" s="888" t="s">
        <v>3089</v>
      </c>
      <c r="C3403" s="888" t="s">
        <v>1288</v>
      </c>
    </row>
    <row r="3404" spans="1:6">
      <c r="A3404" s="888">
        <v>164</v>
      </c>
      <c r="B3404" s="888" t="s">
        <v>1152</v>
      </c>
      <c r="C3404" s="888" t="s">
        <v>1387</v>
      </c>
      <c r="D3404" s="889">
        <v>46029</v>
      </c>
      <c r="E3404" s="890">
        <v>0.35324074074074074</v>
      </c>
      <c r="F3404" s="890">
        <v>0.75135416666666666</v>
      </c>
    </row>
    <row r="3405" spans="1:6">
      <c r="A3405" s="888" t="s">
        <v>3090</v>
      </c>
      <c r="B3405" s="888" t="s">
        <v>3091</v>
      </c>
      <c r="C3405" s="888" t="s">
        <v>1457</v>
      </c>
    </row>
    <row r="3406" spans="1:6">
      <c r="A3406" s="888">
        <v>164</v>
      </c>
      <c r="B3406" s="888" t="s">
        <v>1152</v>
      </c>
      <c r="C3406" s="888" t="s">
        <v>1387</v>
      </c>
      <c r="D3406" s="889">
        <v>46030</v>
      </c>
      <c r="E3406" s="890">
        <v>0.35315972222222225</v>
      </c>
      <c r="F3406" s="890">
        <v>0.75275462962962958</v>
      </c>
    </row>
    <row r="3407" spans="1:6">
      <c r="A3407" s="888" t="s">
        <v>3092</v>
      </c>
      <c r="B3407" s="888" t="s">
        <v>3093</v>
      </c>
      <c r="C3407" s="888" t="s">
        <v>1288</v>
      </c>
    </row>
    <row r="3408" spans="1:6">
      <c r="A3408" s="888">
        <v>164</v>
      </c>
      <c r="B3408" s="888" t="s">
        <v>1152</v>
      </c>
      <c r="C3408" s="888" t="s">
        <v>1387</v>
      </c>
      <c r="D3408" s="889">
        <v>46031</v>
      </c>
      <c r="E3408" s="888" t="s">
        <v>310</v>
      </c>
      <c r="F3408" s="888" t="s">
        <v>310</v>
      </c>
    </row>
    <row r="3409" spans="1:6">
      <c r="A3409" s="888">
        <v>164</v>
      </c>
      <c r="B3409" s="888" t="s">
        <v>1152</v>
      </c>
      <c r="C3409" s="888" t="s">
        <v>1387</v>
      </c>
      <c r="D3409" s="889">
        <v>46032</v>
      </c>
      <c r="E3409" s="888" t="s">
        <v>310</v>
      </c>
      <c r="F3409" s="888" t="s">
        <v>310</v>
      </c>
    </row>
    <row r="3410" spans="1:6">
      <c r="A3410" s="888">
        <v>164</v>
      </c>
      <c r="B3410" s="888" t="s">
        <v>1152</v>
      </c>
      <c r="C3410" s="888" t="s">
        <v>1387</v>
      </c>
      <c r="D3410" s="889">
        <v>46033</v>
      </c>
      <c r="E3410" s="888" t="s">
        <v>310</v>
      </c>
      <c r="F3410" s="888" t="s">
        <v>310</v>
      </c>
    </row>
    <row r="3411" spans="1:6">
      <c r="A3411" s="888">
        <v>164</v>
      </c>
      <c r="B3411" s="888" t="s">
        <v>1152</v>
      </c>
      <c r="C3411" s="888" t="s">
        <v>1387</v>
      </c>
      <c r="D3411" s="889">
        <v>46034</v>
      </c>
      <c r="E3411" s="890">
        <v>0.35327546296296297</v>
      </c>
      <c r="F3411" s="890">
        <v>0.75121527777777775</v>
      </c>
    </row>
    <row r="3412" spans="1:6">
      <c r="A3412" s="888" t="s">
        <v>3094</v>
      </c>
      <c r="B3412" s="888" t="s">
        <v>3095</v>
      </c>
      <c r="C3412" s="888" t="s">
        <v>1457</v>
      </c>
    </row>
    <row r="3413" spans="1:6">
      <c r="A3413" s="888">
        <v>164</v>
      </c>
      <c r="B3413" s="888" t="s">
        <v>1152</v>
      </c>
      <c r="C3413" s="888" t="s">
        <v>1387</v>
      </c>
      <c r="D3413" s="889">
        <v>46035</v>
      </c>
      <c r="E3413" s="890">
        <v>0.35325231481481484</v>
      </c>
      <c r="F3413" s="890">
        <v>0.75137731481481485</v>
      </c>
    </row>
    <row r="3414" spans="1:6">
      <c r="A3414" s="888" t="s">
        <v>3096</v>
      </c>
      <c r="B3414" s="888" t="s">
        <v>3097</v>
      </c>
      <c r="C3414" s="888" t="s">
        <v>1457</v>
      </c>
    </row>
    <row r="3415" spans="1:6">
      <c r="A3415" s="888">
        <v>164</v>
      </c>
      <c r="B3415" s="888" t="s">
        <v>1152</v>
      </c>
      <c r="C3415" s="888" t="s">
        <v>1387</v>
      </c>
      <c r="D3415" s="889">
        <v>46036</v>
      </c>
      <c r="E3415" s="890">
        <v>0.35037037037037039</v>
      </c>
      <c r="F3415" s="890">
        <v>0.75111111111111106</v>
      </c>
    </row>
    <row r="3416" spans="1:6">
      <c r="A3416" s="888" t="s">
        <v>3098</v>
      </c>
      <c r="B3416" s="888" t="s">
        <v>3099</v>
      </c>
      <c r="C3416" s="888" t="s">
        <v>1378</v>
      </c>
    </row>
    <row r="3417" spans="1:6">
      <c r="A3417" s="888">
        <v>164</v>
      </c>
      <c r="B3417" s="888" t="s">
        <v>1152</v>
      </c>
      <c r="C3417" s="888" t="s">
        <v>1387</v>
      </c>
      <c r="D3417" s="889">
        <v>46037</v>
      </c>
      <c r="E3417" s="890">
        <v>0.35327546296296297</v>
      </c>
      <c r="F3417" s="890">
        <v>0.75111111111111106</v>
      </c>
    </row>
    <row r="3418" spans="1:6">
      <c r="A3418" s="888" t="s">
        <v>3100</v>
      </c>
      <c r="B3418" s="888" t="s">
        <v>3101</v>
      </c>
      <c r="C3418" s="888" t="s">
        <v>1457</v>
      </c>
    </row>
    <row r="3419" spans="1:6">
      <c r="A3419" s="888">
        <v>164</v>
      </c>
      <c r="B3419" s="888" t="s">
        <v>1152</v>
      </c>
      <c r="C3419" s="888" t="s">
        <v>1387</v>
      </c>
      <c r="D3419" s="889">
        <v>46038</v>
      </c>
      <c r="E3419" s="888" t="s">
        <v>310</v>
      </c>
      <c r="F3419" s="888" t="s">
        <v>310</v>
      </c>
    </row>
    <row r="3420" spans="1:6">
      <c r="A3420" s="888">
        <v>164</v>
      </c>
      <c r="B3420" s="888" t="s">
        <v>1152</v>
      </c>
      <c r="C3420" s="888" t="s">
        <v>1387</v>
      </c>
      <c r="D3420" s="889">
        <v>46039</v>
      </c>
      <c r="E3420" s="888" t="s">
        <v>310</v>
      </c>
      <c r="F3420" s="888" t="s">
        <v>310</v>
      </c>
    </row>
    <row r="3421" spans="1:6">
      <c r="A3421" s="888">
        <v>164</v>
      </c>
      <c r="B3421" s="888" t="s">
        <v>1152</v>
      </c>
      <c r="C3421" s="888" t="s">
        <v>1387</v>
      </c>
      <c r="D3421" s="889">
        <v>46040</v>
      </c>
      <c r="E3421" s="888" t="s">
        <v>310</v>
      </c>
      <c r="F3421" s="888" t="s">
        <v>310</v>
      </c>
    </row>
    <row r="3422" spans="1:6">
      <c r="A3422" s="888">
        <v>164</v>
      </c>
      <c r="B3422" s="888" t="s">
        <v>1152</v>
      </c>
      <c r="C3422" s="888" t="s">
        <v>1387</v>
      </c>
      <c r="D3422" s="889">
        <v>46041</v>
      </c>
      <c r="E3422" s="890">
        <v>0.34986111111111112</v>
      </c>
      <c r="F3422" s="890">
        <v>0.75153935185185183</v>
      </c>
    </row>
    <row r="3423" spans="1:6">
      <c r="A3423" s="888" t="s">
        <v>3102</v>
      </c>
      <c r="B3423" s="888" t="s">
        <v>3103</v>
      </c>
      <c r="C3423" s="888" t="s">
        <v>1466</v>
      </c>
    </row>
    <row r="3424" spans="1:6">
      <c r="A3424" s="888">
        <v>164</v>
      </c>
      <c r="B3424" s="888" t="s">
        <v>1152</v>
      </c>
      <c r="C3424" s="888" t="s">
        <v>1387</v>
      </c>
      <c r="D3424" s="889">
        <v>46042</v>
      </c>
      <c r="E3424" s="890">
        <v>0.35173611111111114</v>
      </c>
      <c r="F3424" s="890">
        <v>0.75151620370370376</v>
      </c>
    </row>
    <row r="3425" spans="1:6">
      <c r="A3425" s="888" t="s">
        <v>3104</v>
      </c>
      <c r="B3425" s="888" t="s">
        <v>3105</v>
      </c>
      <c r="C3425" s="888" t="s">
        <v>1526</v>
      </c>
    </row>
    <row r="3426" spans="1:6">
      <c r="A3426" s="888">
        <v>164</v>
      </c>
      <c r="B3426" s="888" t="s">
        <v>1152</v>
      </c>
      <c r="C3426" s="888" t="s">
        <v>1387</v>
      </c>
      <c r="D3426" s="889">
        <v>46043</v>
      </c>
      <c r="E3426" s="890">
        <v>0.35365740740740742</v>
      </c>
      <c r="F3426" s="890">
        <v>0.75078703703703709</v>
      </c>
    </row>
    <row r="3427" spans="1:6">
      <c r="A3427" s="888" t="s">
        <v>3106</v>
      </c>
      <c r="B3427" s="888" t="s">
        <v>3107</v>
      </c>
      <c r="C3427" s="888" t="s">
        <v>1514</v>
      </c>
    </row>
    <row r="3428" spans="1:6">
      <c r="A3428" s="888">
        <v>164</v>
      </c>
      <c r="B3428" s="888" t="s">
        <v>1152</v>
      </c>
      <c r="C3428" s="888" t="s">
        <v>1387</v>
      </c>
      <c r="D3428" s="889">
        <v>46044</v>
      </c>
      <c r="E3428" s="890">
        <v>0.35552083333333334</v>
      </c>
      <c r="F3428" s="890">
        <v>0.75177083333333339</v>
      </c>
    </row>
    <row r="3429" spans="1:6">
      <c r="A3429" s="888" t="s">
        <v>3108</v>
      </c>
      <c r="B3429" s="888" t="s">
        <v>3109</v>
      </c>
      <c r="C3429" s="888" t="s">
        <v>1452</v>
      </c>
    </row>
    <row r="3430" spans="1:6">
      <c r="A3430" s="888">
        <v>164</v>
      </c>
      <c r="B3430" s="888" t="s">
        <v>1152</v>
      </c>
      <c r="C3430" s="888" t="s">
        <v>1387</v>
      </c>
      <c r="D3430" s="889">
        <v>46045</v>
      </c>
      <c r="E3430" s="888" t="s">
        <v>310</v>
      </c>
      <c r="F3430" s="888" t="s">
        <v>310</v>
      </c>
    </row>
    <row r="3431" spans="1:6">
      <c r="A3431" s="888">
        <v>164</v>
      </c>
      <c r="B3431" s="888" t="s">
        <v>1152</v>
      </c>
      <c r="C3431" s="888" t="s">
        <v>1387</v>
      </c>
      <c r="D3431" s="889">
        <v>46046</v>
      </c>
      <c r="E3431" s="888" t="s">
        <v>310</v>
      </c>
      <c r="F3431" s="888" t="s">
        <v>310</v>
      </c>
    </row>
    <row r="3432" spans="1:6">
      <c r="A3432" s="888">
        <v>164</v>
      </c>
      <c r="B3432" s="888" t="s">
        <v>1152</v>
      </c>
      <c r="C3432" s="888" t="s">
        <v>1387</v>
      </c>
      <c r="D3432" s="889">
        <v>46047</v>
      </c>
      <c r="E3432" s="888" t="s">
        <v>310</v>
      </c>
      <c r="F3432" s="888" t="s">
        <v>310</v>
      </c>
    </row>
    <row r="3433" spans="1:6">
      <c r="A3433" s="888">
        <v>164</v>
      </c>
      <c r="B3433" s="888" t="s">
        <v>1152</v>
      </c>
      <c r="C3433" s="888" t="s">
        <v>1387</v>
      </c>
      <c r="D3433" s="889">
        <v>46048</v>
      </c>
      <c r="E3433" s="890">
        <v>0.35570601851851852</v>
      </c>
      <c r="F3433" s="890">
        <v>0.7506018518518518</v>
      </c>
    </row>
    <row r="3434" spans="1:6">
      <c r="A3434" s="888" t="s">
        <v>3110</v>
      </c>
      <c r="B3434" s="888" t="s">
        <v>3111</v>
      </c>
      <c r="C3434" s="888" t="s">
        <v>1413</v>
      </c>
    </row>
    <row r="3435" spans="1:6">
      <c r="A3435" s="888">
        <v>164</v>
      </c>
      <c r="B3435" s="888" t="s">
        <v>1152</v>
      </c>
      <c r="C3435" s="888" t="s">
        <v>1387</v>
      </c>
      <c r="D3435" s="889">
        <v>46049</v>
      </c>
      <c r="E3435" s="890">
        <v>0.3540625</v>
      </c>
      <c r="F3435" s="890">
        <v>0.7519675925925926</v>
      </c>
    </row>
    <row r="3436" spans="1:6">
      <c r="A3436" s="888" t="s">
        <v>3112</v>
      </c>
      <c r="B3436" s="888" t="s">
        <v>3113</v>
      </c>
      <c r="C3436" s="888" t="s">
        <v>1457</v>
      </c>
    </row>
    <row r="3437" spans="1:6">
      <c r="A3437" s="888">
        <v>164</v>
      </c>
      <c r="B3437" s="888" t="s">
        <v>1152</v>
      </c>
      <c r="C3437" s="888" t="s">
        <v>1387</v>
      </c>
      <c r="D3437" s="889">
        <v>46050</v>
      </c>
      <c r="E3437" s="890">
        <v>0.3558912037037037</v>
      </c>
      <c r="F3437" s="890">
        <v>0.75142361111111111</v>
      </c>
    </row>
    <row r="3438" spans="1:6">
      <c r="A3438" s="888" t="s">
        <v>3114</v>
      </c>
      <c r="B3438" s="888" t="s">
        <v>3115</v>
      </c>
      <c r="C3438" s="888" t="s">
        <v>1404</v>
      </c>
    </row>
    <row r="3439" spans="1:6">
      <c r="A3439" s="888">
        <v>164</v>
      </c>
      <c r="B3439" s="888" t="s">
        <v>1152</v>
      </c>
      <c r="C3439" s="888" t="s">
        <v>1387</v>
      </c>
      <c r="D3439" s="889">
        <v>46051</v>
      </c>
      <c r="E3439" s="890">
        <v>0.35327546296296297</v>
      </c>
      <c r="F3439" s="890">
        <v>0.75081018518518516</v>
      </c>
    </row>
    <row r="3440" spans="1:6">
      <c r="A3440" s="888" t="s">
        <v>3116</v>
      </c>
      <c r="B3440" s="888" t="s">
        <v>3117</v>
      </c>
      <c r="C3440" s="888" t="s">
        <v>1514</v>
      </c>
    </row>
    <row r="3441" spans="1:6">
      <c r="A3441" s="888">
        <v>164</v>
      </c>
      <c r="B3441" s="888" t="s">
        <v>1152</v>
      </c>
      <c r="C3441" s="888" t="s">
        <v>1387</v>
      </c>
      <c r="D3441" s="889">
        <v>46052</v>
      </c>
      <c r="E3441" s="888" t="s">
        <v>310</v>
      </c>
      <c r="F3441" s="888" t="s">
        <v>310</v>
      </c>
    </row>
    <row r="3442" spans="1:6">
      <c r="A3442" s="888">
        <v>164</v>
      </c>
      <c r="B3442" s="888" t="s">
        <v>1152</v>
      </c>
      <c r="C3442" s="888" t="s">
        <v>1387</v>
      </c>
      <c r="D3442" s="889">
        <v>46053</v>
      </c>
      <c r="E3442" s="888" t="s">
        <v>310</v>
      </c>
      <c r="F3442" s="888" t="s">
        <v>310</v>
      </c>
    </row>
    <row r="3443" spans="1:6">
      <c r="A3443" s="888">
        <v>164</v>
      </c>
      <c r="B3443" s="888" t="s">
        <v>1152</v>
      </c>
      <c r="C3443" s="888" t="s">
        <v>1387</v>
      </c>
      <c r="D3443" s="889">
        <v>46054</v>
      </c>
      <c r="E3443" s="888" t="s">
        <v>310</v>
      </c>
      <c r="F3443" s="888" t="s">
        <v>310</v>
      </c>
    </row>
    <row r="3444" spans="1:6">
      <c r="A3444" s="888">
        <v>166</v>
      </c>
      <c r="B3444" s="888" t="s">
        <v>1153</v>
      </c>
      <c r="C3444" s="888" t="s">
        <v>1468</v>
      </c>
      <c r="D3444" s="889">
        <v>46023</v>
      </c>
      <c r="E3444" s="888" t="s">
        <v>310</v>
      </c>
      <c r="F3444" s="888" t="s">
        <v>310</v>
      </c>
    </row>
    <row r="3445" spans="1:6">
      <c r="A3445" s="888">
        <v>166</v>
      </c>
      <c r="B3445" s="888" t="s">
        <v>1153</v>
      </c>
      <c r="C3445" s="888" t="s">
        <v>1468</v>
      </c>
      <c r="D3445" s="889">
        <v>46024</v>
      </c>
      <c r="E3445" s="888" t="s">
        <v>310</v>
      </c>
      <c r="F3445" s="888" t="s">
        <v>310</v>
      </c>
    </row>
    <row r="3446" spans="1:6">
      <c r="A3446" s="888">
        <v>166</v>
      </c>
      <c r="B3446" s="888" t="s">
        <v>1153</v>
      </c>
      <c r="C3446" s="888" t="s">
        <v>1468</v>
      </c>
      <c r="D3446" s="889">
        <v>46025</v>
      </c>
      <c r="E3446" s="888" t="s">
        <v>310</v>
      </c>
      <c r="F3446" s="888" t="s">
        <v>310</v>
      </c>
    </row>
    <row r="3447" spans="1:6">
      <c r="A3447" s="888">
        <v>166</v>
      </c>
      <c r="B3447" s="888" t="s">
        <v>1153</v>
      </c>
      <c r="C3447" s="888" t="s">
        <v>1468</v>
      </c>
      <c r="D3447" s="889">
        <v>46026</v>
      </c>
      <c r="E3447" s="888" t="s">
        <v>310</v>
      </c>
      <c r="F3447" s="888" t="s">
        <v>310</v>
      </c>
    </row>
    <row r="3448" spans="1:6">
      <c r="A3448" s="888">
        <v>166</v>
      </c>
      <c r="B3448" s="888" t="s">
        <v>1153</v>
      </c>
      <c r="C3448" s="888" t="s">
        <v>1468</v>
      </c>
      <c r="D3448" s="889">
        <v>46027</v>
      </c>
      <c r="E3448" s="888" t="s">
        <v>310</v>
      </c>
      <c r="F3448" s="888" t="s">
        <v>310</v>
      </c>
    </row>
    <row r="3449" spans="1:6">
      <c r="A3449" s="888">
        <v>166</v>
      </c>
      <c r="B3449" s="888" t="s">
        <v>1153</v>
      </c>
      <c r="C3449" s="888" t="s">
        <v>1468</v>
      </c>
      <c r="D3449" s="889">
        <v>46028</v>
      </c>
      <c r="E3449" s="888" t="s">
        <v>310</v>
      </c>
      <c r="F3449" s="888" t="s">
        <v>310</v>
      </c>
    </row>
    <row r="3450" spans="1:6">
      <c r="A3450" s="888">
        <v>166</v>
      </c>
      <c r="B3450" s="888" t="s">
        <v>1153</v>
      </c>
      <c r="C3450" s="888" t="s">
        <v>1468</v>
      </c>
      <c r="D3450" s="889">
        <v>46029</v>
      </c>
      <c r="E3450" s="890">
        <v>0.92756944444444445</v>
      </c>
      <c r="F3450" s="890">
        <v>0.92760416666666667</v>
      </c>
    </row>
    <row r="3451" spans="1:6">
      <c r="A3451" s="888" t="s">
        <v>3118</v>
      </c>
      <c r="B3451" s="888" t="s">
        <v>3119</v>
      </c>
      <c r="C3451" s="888" t="s">
        <v>1259</v>
      </c>
    </row>
    <row r="3452" spans="1:6">
      <c r="A3452" s="888">
        <v>166</v>
      </c>
      <c r="B3452" s="888" t="s">
        <v>1153</v>
      </c>
      <c r="C3452" s="888" t="s">
        <v>1468</v>
      </c>
      <c r="D3452" s="889">
        <v>46030</v>
      </c>
      <c r="E3452" s="888" t="s">
        <v>310</v>
      </c>
      <c r="F3452" s="888" t="s">
        <v>310</v>
      </c>
    </row>
    <row r="3453" spans="1:6">
      <c r="A3453" s="888">
        <v>166</v>
      </c>
      <c r="B3453" s="888" t="s">
        <v>1153</v>
      </c>
      <c r="C3453" s="888" t="s">
        <v>1468</v>
      </c>
      <c r="D3453" s="889">
        <v>46031</v>
      </c>
      <c r="E3453" s="888" t="s">
        <v>310</v>
      </c>
      <c r="F3453" s="888" t="s">
        <v>310</v>
      </c>
    </row>
    <row r="3454" spans="1:6">
      <c r="A3454" s="888">
        <v>166</v>
      </c>
      <c r="B3454" s="888" t="s">
        <v>1153</v>
      </c>
      <c r="C3454" s="888" t="s">
        <v>1468</v>
      </c>
      <c r="D3454" s="889">
        <v>46032</v>
      </c>
      <c r="E3454" s="888" t="s">
        <v>310</v>
      </c>
      <c r="F3454" s="888" t="s">
        <v>310</v>
      </c>
    </row>
    <row r="3455" spans="1:6">
      <c r="A3455" s="888">
        <v>166</v>
      </c>
      <c r="B3455" s="888" t="s">
        <v>1153</v>
      </c>
      <c r="C3455" s="888" t="s">
        <v>1468</v>
      </c>
      <c r="D3455" s="889">
        <v>46033</v>
      </c>
      <c r="E3455" s="888" t="s">
        <v>310</v>
      </c>
      <c r="F3455" s="888" t="s">
        <v>310</v>
      </c>
    </row>
    <row r="3456" spans="1:6">
      <c r="A3456" s="888">
        <v>166</v>
      </c>
      <c r="B3456" s="888" t="s">
        <v>1153</v>
      </c>
      <c r="C3456" s="888" t="s">
        <v>1468</v>
      </c>
      <c r="D3456" s="889">
        <v>46034</v>
      </c>
      <c r="E3456" s="888" t="s">
        <v>310</v>
      </c>
      <c r="F3456" s="888" t="s">
        <v>310</v>
      </c>
    </row>
    <row r="3457" spans="1:6">
      <c r="A3457" s="888">
        <v>166</v>
      </c>
      <c r="B3457" s="888" t="s">
        <v>1153</v>
      </c>
      <c r="C3457" s="888" t="s">
        <v>1468</v>
      </c>
      <c r="D3457" s="889">
        <v>46035</v>
      </c>
      <c r="E3457" s="888" t="s">
        <v>310</v>
      </c>
      <c r="F3457" s="888" t="s">
        <v>310</v>
      </c>
    </row>
    <row r="3458" spans="1:6">
      <c r="A3458" s="888">
        <v>166</v>
      </c>
      <c r="B3458" s="888" t="s">
        <v>1153</v>
      </c>
      <c r="C3458" s="888" t="s">
        <v>1468</v>
      </c>
      <c r="D3458" s="889">
        <v>46036</v>
      </c>
      <c r="E3458" s="888" t="s">
        <v>310</v>
      </c>
      <c r="F3458" s="888" t="s">
        <v>310</v>
      </c>
    </row>
    <row r="3459" spans="1:6">
      <c r="A3459" s="888">
        <v>166</v>
      </c>
      <c r="B3459" s="888" t="s">
        <v>1153</v>
      </c>
      <c r="C3459" s="888" t="s">
        <v>1468</v>
      </c>
      <c r="D3459" s="889">
        <v>46037</v>
      </c>
      <c r="E3459" s="888" t="s">
        <v>310</v>
      </c>
      <c r="F3459" s="888" t="s">
        <v>310</v>
      </c>
    </row>
    <row r="3460" spans="1:6">
      <c r="A3460" s="888">
        <v>166</v>
      </c>
      <c r="B3460" s="888" t="s">
        <v>1153</v>
      </c>
      <c r="C3460" s="888" t="s">
        <v>1468</v>
      </c>
      <c r="D3460" s="889">
        <v>46038</v>
      </c>
      <c r="E3460" s="888" t="s">
        <v>310</v>
      </c>
      <c r="F3460" s="888" t="s">
        <v>310</v>
      </c>
    </row>
    <row r="3461" spans="1:6">
      <c r="A3461" s="888">
        <v>166</v>
      </c>
      <c r="B3461" s="888" t="s">
        <v>1153</v>
      </c>
      <c r="C3461" s="888" t="s">
        <v>1468</v>
      </c>
      <c r="D3461" s="889">
        <v>46039</v>
      </c>
      <c r="E3461" s="888" t="s">
        <v>310</v>
      </c>
      <c r="F3461" s="888" t="s">
        <v>310</v>
      </c>
    </row>
    <row r="3462" spans="1:6">
      <c r="A3462" s="888">
        <v>166</v>
      </c>
      <c r="B3462" s="888" t="s">
        <v>1153</v>
      </c>
      <c r="C3462" s="888" t="s">
        <v>1468</v>
      </c>
      <c r="D3462" s="889">
        <v>46040</v>
      </c>
      <c r="E3462" s="888" t="s">
        <v>310</v>
      </c>
      <c r="F3462" s="888" t="s">
        <v>310</v>
      </c>
    </row>
    <row r="3463" spans="1:6">
      <c r="A3463" s="888">
        <v>166</v>
      </c>
      <c r="B3463" s="888" t="s">
        <v>1153</v>
      </c>
      <c r="C3463" s="888" t="s">
        <v>1468</v>
      </c>
      <c r="D3463" s="889">
        <v>46041</v>
      </c>
      <c r="E3463" s="888" t="s">
        <v>310</v>
      </c>
      <c r="F3463" s="888" t="s">
        <v>310</v>
      </c>
    </row>
    <row r="3464" spans="1:6">
      <c r="A3464" s="888">
        <v>166</v>
      </c>
      <c r="B3464" s="888" t="s">
        <v>1153</v>
      </c>
      <c r="C3464" s="888" t="s">
        <v>1468</v>
      </c>
      <c r="D3464" s="889">
        <v>46042</v>
      </c>
      <c r="E3464" s="888" t="s">
        <v>310</v>
      </c>
      <c r="F3464" s="888" t="s">
        <v>310</v>
      </c>
    </row>
    <row r="3465" spans="1:6">
      <c r="A3465" s="888">
        <v>166</v>
      </c>
      <c r="B3465" s="888" t="s">
        <v>1153</v>
      </c>
      <c r="C3465" s="888" t="s">
        <v>1468</v>
      </c>
      <c r="D3465" s="889">
        <v>46043</v>
      </c>
      <c r="E3465" s="888" t="s">
        <v>310</v>
      </c>
      <c r="F3465" s="888" t="s">
        <v>310</v>
      </c>
    </row>
    <row r="3466" spans="1:6">
      <c r="A3466" s="888">
        <v>166</v>
      </c>
      <c r="B3466" s="888" t="s">
        <v>1153</v>
      </c>
      <c r="C3466" s="888" t="s">
        <v>1468</v>
      </c>
      <c r="D3466" s="889">
        <v>46044</v>
      </c>
      <c r="E3466" s="888" t="s">
        <v>310</v>
      </c>
      <c r="F3466" s="888" t="s">
        <v>310</v>
      </c>
    </row>
    <row r="3467" spans="1:6">
      <c r="A3467" s="888">
        <v>166</v>
      </c>
      <c r="B3467" s="888" t="s">
        <v>1153</v>
      </c>
      <c r="C3467" s="888" t="s">
        <v>1468</v>
      </c>
      <c r="D3467" s="889">
        <v>46045</v>
      </c>
      <c r="E3467" s="888" t="s">
        <v>310</v>
      </c>
      <c r="F3467" s="888" t="s">
        <v>310</v>
      </c>
    </row>
    <row r="3468" spans="1:6">
      <c r="A3468" s="888">
        <v>166</v>
      </c>
      <c r="B3468" s="888" t="s">
        <v>1153</v>
      </c>
      <c r="C3468" s="888" t="s">
        <v>1468</v>
      </c>
      <c r="D3468" s="889">
        <v>46046</v>
      </c>
      <c r="E3468" s="888" t="s">
        <v>310</v>
      </c>
      <c r="F3468" s="888" t="s">
        <v>310</v>
      </c>
    </row>
    <row r="3469" spans="1:6">
      <c r="A3469" s="888">
        <v>166</v>
      </c>
      <c r="B3469" s="888" t="s">
        <v>1153</v>
      </c>
      <c r="C3469" s="888" t="s">
        <v>1468</v>
      </c>
      <c r="D3469" s="889">
        <v>46047</v>
      </c>
      <c r="E3469" s="888" t="s">
        <v>310</v>
      </c>
      <c r="F3469" s="888" t="s">
        <v>310</v>
      </c>
    </row>
    <row r="3470" spans="1:6">
      <c r="A3470" s="888">
        <v>166</v>
      </c>
      <c r="B3470" s="888" t="s">
        <v>1153</v>
      </c>
      <c r="C3470" s="888" t="s">
        <v>1468</v>
      </c>
      <c r="D3470" s="889">
        <v>46048</v>
      </c>
      <c r="E3470" s="888" t="s">
        <v>310</v>
      </c>
      <c r="F3470" s="888" t="s">
        <v>310</v>
      </c>
    </row>
    <row r="3471" spans="1:6">
      <c r="A3471" s="888">
        <v>166</v>
      </c>
      <c r="B3471" s="888" t="s">
        <v>1153</v>
      </c>
      <c r="C3471" s="888" t="s">
        <v>1468</v>
      </c>
      <c r="D3471" s="889">
        <v>46049</v>
      </c>
      <c r="E3471" s="888" t="s">
        <v>310</v>
      </c>
      <c r="F3471" s="888" t="s">
        <v>310</v>
      </c>
    </row>
    <row r="3472" spans="1:6">
      <c r="A3472" s="888">
        <v>166</v>
      </c>
      <c r="B3472" s="888" t="s">
        <v>1153</v>
      </c>
      <c r="C3472" s="888" t="s">
        <v>1468</v>
      </c>
      <c r="D3472" s="889">
        <v>46050</v>
      </c>
      <c r="E3472" s="888" t="s">
        <v>310</v>
      </c>
      <c r="F3472" s="888" t="s">
        <v>310</v>
      </c>
    </row>
    <row r="3473" spans="1:6">
      <c r="A3473" s="888">
        <v>166</v>
      </c>
      <c r="B3473" s="888" t="s">
        <v>1153</v>
      </c>
      <c r="C3473" s="888" t="s">
        <v>1468</v>
      </c>
      <c r="D3473" s="889">
        <v>46051</v>
      </c>
      <c r="E3473" s="888" t="s">
        <v>310</v>
      </c>
      <c r="F3473" s="888" t="s">
        <v>310</v>
      </c>
    </row>
    <row r="3474" spans="1:6">
      <c r="A3474" s="888">
        <v>166</v>
      </c>
      <c r="B3474" s="888" t="s">
        <v>1153</v>
      </c>
      <c r="C3474" s="888" t="s">
        <v>1468</v>
      </c>
      <c r="D3474" s="889">
        <v>46052</v>
      </c>
      <c r="E3474" s="888" t="s">
        <v>310</v>
      </c>
      <c r="F3474" s="888" t="s">
        <v>310</v>
      </c>
    </row>
    <row r="3475" spans="1:6">
      <c r="A3475" s="888">
        <v>166</v>
      </c>
      <c r="B3475" s="888" t="s">
        <v>1153</v>
      </c>
      <c r="C3475" s="888" t="s">
        <v>1468</v>
      </c>
      <c r="D3475" s="889">
        <v>46053</v>
      </c>
      <c r="E3475" s="888" t="s">
        <v>310</v>
      </c>
      <c r="F3475" s="888" t="s">
        <v>310</v>
      </c>
    </row>
    <row r="3476" spans="1:6">
      <c r="A3476" s="888">
        <v>166</v>
      </c>
      <c r="B3476" s="888" t="s">
        <v>1153</v>
      </c>
      <c r="C3476" s="888" t="s">
        <v>1468</v>
      </c>
      <c r="D3476" s="889">
        <v>46054</v>
      </c>
      <c r="E3476" s="888" t="s">
        <v>310</v>
      </c>
      <c r="F3476" s="888" t="s">
        <v>310</v>
      </c>
    </row>
    <row r="3477" spans="1:6">
      <c r="A3477" s="888">
        <v>171</v>
      </c>
      <c r="B3477" s="888" t="s">
        <v>1154</v>
      </c>
      <c r="C3477" s="888" t="s">
        <v>1250</v>
      </c>
      <c r="D3477" s="889">
        <v>46023</v>
      </c>
      <c r="E3477" s="888" t="s">
        <v>310</v>
      </c>
      <c r="F3477" s="888" t="s">
        <v>310</v>
      </c>
    </row>
    <row r="3478" spans="1:6">
      <c r="A3478" s="888">
        <v>171</v>
      </c>
      <c r="B3478" s="888" t="s">
        <v>1154</v>
      </c>
      <c r="C3478" s="888" t="s">
        <v>1250</v>
      </c>
      <c r="D3478" s="889">
        <v>46024</v>
      </c>
      <c r="E3478" s="888" t="s">
        <v>310</v>
      </c>
      <c r="F3478" s="888" t="s">
        <v>310</v>
      </c>
    </row>
    <row r="3479" spans="1:6">
      <c r="A3479" s="888">
        <v>171</v>
      </c>
      <c r="B3479" s="888" t="s">
        <v>1154</v>
      </c>
      <c r="C3479" s="888" t="s">
        <v>1250</v>
      </c>
      <c r="D3479" s="889">
        <v>46025</v>
      </c>
      <c r="E3479" s="888" t="s">
        <v>310</v>
      </c>
      <c r="F3479" s="888" t="s">
        <v>310</v>
      </c>
    </row>
    <row r="3480" spans="1:6">
      <c r="A3480" s="888">
        <v>171</v>
      </c>
      <c r="B3480" s="888" t="s">
        <v>1154</v>
      </c>
      <c r="C3480" s="888" t="s">
        <v>1250</v>
      </c>
      <c r="D3480" s="889">
        <v>46026</v>
      </c>
      <c r="E3480" s="888" t="s">
        <v>310</v>
      </c>
      <c r="F3480" s="888" t="s">
        <v>310</v>
      </c>
    </row>
    <row r="3481" spans="1:6">
      <c r="A3481" s="888">
        <v>171</v>
      </c>
      <c r="B3481" s="888" t="s">
        <v>1154</v>
      </c>
      <c r="C3481" s="888" t="s">
        <v>1250</v>
      </c>
      <c r="D3481" s="889">
        <v>46027</v>
      </c>
      <c r="E3481" s="890">
        <v>0.68026620370370372</v>
      </c>
      <c r="F3481" s="888" t="s">
        <v>310</v>
      </c>
    </row>
    <row r="3482" spans="1:6">
      <c r="A3482" s="888" t="s">
        <v>3120</v>
      </c>
      <c r="B3482" s="888" t="s">
        <v>1258</v>
      </c>
      <c r="C3482" s="888" t="s">
        <v>1259</v>
      </c>
    </row>
    <row r="3483" spans="1:6">
      <c r="A3483" s="888">
        <v>171</v>
      </c>
      <c r="B3483" s="888" t="s">
        <v>1154</v>
      </c>
      <c r="C3483" s="888" t="s">
        <v>1250</v>
      </c>
      <c r="D3483" s="889">
        <v>46028</v>
      </c>
      <c r="E3483" s="890">
        <v>0.58464120370370365</v>
      </c>
      <c r="F3483" s="890">
        <v>0.76153935185185184</v>
      </c>
    </row>
    <row r="3484" spans="1:6">
      <c r="A3484" s="888" t="s">
        <v>3121</v>
      </c>
      <c r="B3484" s="888" t="s">
        <v>3122</v>
      </c>
      <c r="C3484" s="888" t="s">
        <v>3123</v>
      </c>
    </row>
    <row r="3485" spans="1:6">
      <c r="A3485" s="888">
        <v>171</v>
      </c>
      <c r="B3485" s="888" t="s">
        <v>1154</v>
      </c>
      <c r="C3485" s="888" t="s">
        <v>1250</v>
      </c>
      <c r="D3485" s="889">
        <v>46029</v>
      </c>
      <c r="E3485" s="890">
        <v>0.37528935185185186</v>
      </c>
      <c r="F3485" s="890">
        <v>0.77484953703703707</v>
      </c>
    </row>
    <row r="3486" spans="1:6">
      <c r="A3486" s="888" t="s">
        <v>3124</v>
      </c>
      <c r="B3486" s="888" t="s">
        <v>3125</v>
      </c>
      <c r="C3486" s="888" t="s">
        <v>1288</v>
      </c>
    </row>
    <row r="3487" spans="1:6">
      <c r="A3487" s="888">
        <v>171</v>
      </c>
      <c r="B3487" s="888" t="s">
        <v>1154</v>
      </c>
      <c r="C3487" s="888" t="s">
        <v>1250</v>
      </c>
      <c r="D3487" s="889">
        <v>46030</v>
      </c>
      <c r="E3487" s="890">
        <v>0.79119212962962959</v>
      </c>
      <c r="F3487" s="888" t="s">
        <v>310</v>
      </c>
    </row>
    <row r="3488" spans="1:6">
      <c r="A3488" s="888" t="s">
        <v>3126</v>
      </c>
      <c r="B3488" s="888" t="s">
        <v>1258</v>
      </c>
      <c r="C3488" s="888" t="s">
        <v>1259</v>
      </c>
    </row>
    <row r="3489" spans="1:6">
      <c r="A3489" s="888">
        <v>171</v>
      </c>
      <c r="B3489" s="888" t="s">
        <v>1154</v>
      </c>
      <c r="C3489" s="888" t="s">
        <v>1250</v>
      </c>
      <c r="D3489" s="889">
        <v>46031</v>
      </c>
      <c r="E3489" s="890">
        <v>0.34649305555555554</v>
      </c>
      <c r="F3489" s="890">
        <v>0.75972222222222219</v>
      </c>
    </row>
    <row r="3490" spans="1:6">
      <c r="A3490" s="888" t="s">
        <v>3127</v>
      </c>
      <c r="B3490" s="888" t="s">
        <v>3128</v>
      </c>
      <c r="C3490" s="888" t="s">
        <v>1360</v>
      </c>
    </row>
    <row r="3491" spans="1:6">
      <c r="A3491" s="888">
        <v>171</v>
      </c>
      <c r="B3491" s="888" t="s">
        <v>1154</v>
      </c>
      <c r="C3491" s="888" t="s">
        <v>1250</v>
      </c>
      <c r="D3491" s="889">
        <v>46032</v>
      </c>
      <c r="E3491" s="888" t="s">
        <v>310</v>
      </c>
      <c r="F3491" s="888" t="s">
        <v>310</v>
      </c>
    </row>
    <row r="3492" spans="1:6">
      <c r="A3492" s="888">
        <v>171</v>
      </c>
      <c r="B3492" s="888" t="s">
        <v>1154</v>
      </c>
      <c r="C3492" s="888" t="s">
        <v>1250</v>
      </c>
      <c r="D3492" s="889">
        <v>46033</v>
      </c>
      <c r="E3492" s="888" t="s">
        <v>310</v>
      </c>
      <c r="F3492" s="888" t="s">
        <v>310</v>
      </c>
    </row>
    <row r="3493" spans="1:6">
      <c r="A3493" s="888">
        <v>171</v>
      </c>
      <c r="B3493" s="888" t="s">
        <v>1154</v>
      </c>
      <c r="C3493" s="888" t="s">
        <v>1250</v>
      </c>
      <c r="D3493" s="889">
        <v>46034</v>
      </c>
      <c r="E3493" s="890">
        <v>0.35148148148148151</v>
      </c>
      <c r="F3493" s="890">
        <v>0.75858796296296294</v>
      </c>
    </row>
    <row r="3494" spans="1:6">
      <c r="A3494" s="888" t="s">
        <v>3129</v>
      </c>
      <c r="B3494" s="888" t="s">
        <v>3130</v>
      </c>
      <c r="C3494" s="888" t="s">
        <v>1868</v>
      </c>
    </row>
    <row r="3495" spans="1:6">
      <c r="A3495" s="888">
        <v>171</v>
      </c>
      <c r="B3495" s="888" t="s">
        <v>1154</v>
      </c>
      <c r="C3495" s="888" t="s">
        <v>1250</v>
      </c>
      <c r="D3495" s="889">
        <v>46035</v>
      </c>
      <c r="E3495" s="888" t="s">
        <v>310</v>
      </c>
      <c r="F3495" s="888" t="s">
        <v>310</v>
      </c>
    </row>
    <row r="3496" spans="1:6">
      <c r="A3496" s="888">
        <v>171</v>
      </c>
      <c r="B3496" s="888" t="s">
        <v>1154</v>
      </c>
      <c r="C3496" s="888" t="s">
        <v>1250</v>
      </c>
      <c r="D3496" s="889">
        <v>46036</v>
      </c>
      <c r="E3496" s="890">
        <v>0.36310185185185184</v>
      </c>
      <c r="F3496" s="888" t="s">
        <v>310</v>
      </c>
    </row>
    <row r="3497" spans="1:6">
      <c r="A3497" s="888" t="s">
        <v>3131</v>
      </c>
      <c r="B3497" s="888" t="s">
        <v>1258</v>
      </c>
      <c r="C3497" s="888" t="s">
        <v>1259</v>
      </c>
    </row>
    <row r="3498" spans="1:6">
      <c r="A3498" s="888">
        <v>171</v>
      </c>
      <c r="B3498" s="888" t="s">
        <v>1154</v>
      </c>
      <c r="C3498" s="888" t="s">
        <v>1250</v>
      </c>
      <c r="D3498" s="889">
        <v>46037</v>
      </c>
      <c r="E3498" s="890">
        <v>0.35193287037037035</v>
      </c>
      <c r="F3498" s="890">
        <v>0.79339120370370375</v>
      </c>
    </row>
    <row r="3499" spans="1:6">
      <c r="A3499" s="888" t="s">
        <v>3132</v>
      </c>
      <c r="B3499" s="888" t="s">
        <v>3133</v>
      </c>
      <c r="C3499" s="888" t="s">
        <v>2683</v>
      </c>
    </row>
    <row r="3500" spans="1:6">
      <c r="A3500" s="888">
        <v>171</v>
      </c>
      <c r="B3500" s="888" t="s">
        <v>1154</v>
      </c>
      <c r="C3500" s="888" t="s">
        <v>1250</v>
      </c>
      <c r="D3500" s="889">
        <v>46038</v>
      </c>
      <c r="E3500" s="890">
        <v>0.78900462962962958</v>
      </c>
      <c r="F3500" s="888" t="s">
        <v>310</v>
      </c>
    </row>
    <row r="3501" spans="1:6">
      <c r="A3501" s="888" t="s">
        <v>3134</v>
      </c>
      <c r="B3501" s="888" t="s">
        <v>1258</v>
      </c>
      <c r="C3501" s="888" t="s">
        <v>1259</v>
      </c>
    </row>
    <row r="3502" spans="1:6">
      <c r="A3502" s="888">
        <v>171</v>
      </c>
      <c r="B3502" s="888" t="s">
        <v>1154</v>
      </c>
      <c r="C3502" s="888" t="s">
        <v>1250</v>
      </c>
      <c r="D3502" s="889">
        <v>46039</v>
      </c>
      <c r="E3502" s="888" t="s">
        <v>310</v>
      </c>
      <c r="F3502" s="888" t="s">
        <v>310</v>
      </c>
    </row>
    <row r="3503" spans="1:6">
      <c r="A3503" s="888">
        <v>171</v>
      </c>
      <c r="B3503" s="888" t="s">
        <v>1154</v>
      </c>
      <c r="C3503" s="888" t="s">
        <v>1250</v>
      </c>
      <c r="D3503" s="889">
        <v>46040</v>
      </c>
      <c r="E3503" s="888" t="s">
        <v>310</v>
      </c>
      <c r="F3503" s="888" t="s">
        <v>310</v>
      </c>
    </row>
    <row r="3504" spans="1:6">
      <c r="A3504" s="888">
        <v>171</v>
      </c>
      <c r="B3504" s="888" t="s">
        <v>1154</v>
      </c>
      <c r="C3504" s="888" t="s">
        <v>1250</v>
      </c>
      <c r="D3504" s="889">
        <v>46041</v>
      </c>
      <c r="E3504" s="890">
        <v>0.3561111111111111</v>
      </c>
      <c r="F3504" s="890">
        <v>0.75385416666666671</v>
      </c>
    </row>
    <row r="3505" spans="1:6">
      <c r="A3505" s="888" t="s">
        <v>3135</v>
      </c>
      <c r="B3505" s="888" t="s">
        <v>3136</v>
      </c>
      <c r="C3505" s="888" t="s">
        <v>1457</v>
      </c>
    </row>
    <row r="3506" spans="1:6">
      <c r="A3506" s="888">
        <v>171</v>
      </c>
      <c r="B3506" s="888" t="s">
        <v>1154</v>
      </c>
      <c r="C3506" s="888" t="s">
        <v>1250</v>
      </c>
      <c r="D3506" s="889">
        <v>46042</v>
      </c>
      <c r="E3506" s="888" t="s">
        <v>310</v>
      </c>
      <c r="F3506" s="888" t="s">
        <v>310</v>
      </c>
    </row>
    <row r="3507" spans="1:6">
      <c r="A3507" s="888">
        <v>171</v>
      </c>
      <c r="B3507" s="888" t="s">
        <v>1154</v>
      </c>
      <c r="C3507" s="888" t="s">
        <v>1250</v>
      </c>
      <c r="D3507" s="889">
        <v>46043</v>
      </c>
      <c r="E3507" s="888" t="s">
        <v>310</v>
      </c>
      <c r="F3507" s="888" t="s">
        <v>310</v>
      </c>
    </row>
    <row r="3508" spans="1:6">
      <c r="A3508" s="888">
        <v>171</v>
      </c>
      <c r="B3508" s="888" t="s">
        <v>1154</v>
      </c>
      <c r="C3508" s="888" t="s">
        <v>1250</v>
      </c>
      <c r="D3508" s="889">
        <v>46044</v>
      </c>
      <c r="E3508" s="890">
        <v>0.35563657407407406</v>
      </c>
      <c r="F3508" s="890">
        <v>0.76307870370370368</v>
      </c>
    </row>
    <row r="3509" spans="1:6">
      <c r="A3509" s="888" t="s">
        <v>3137</v>
      </c>
      <c r="B3509" s="888" t="s">
        <v>3138</v>
      </c>
      <c r="C3509" s="888" t="s">
        <v>1645</v>
      </c>
    </row>
    <row r="3510" spans="1:6">
      <c r="A3510" s="888">
        <v>171</v>
      </c>
      <c r="B3510" s="888" t="s">
        <v>1154</v>
      </c>
      <c r="C3510" s="888" t="s">
        <v>1250</v>
      </c>
      <c r="D3510" s="889">
        <v>46045</v>
      </c>
      <c r="E3510" s="888" t="s">
        <v>310</v>
      </c>
      <c r="F3510" s="888" t="s">
        <v>310</v>
      </c>
    </row>
    <row r="3511" spans="1:6">
      <c r="A3511" s="888">
        <v>171</v>
      </c>
      <c r="B3511" s="888" t="s">
        <v>1154</v>
      </c>
      <c r="C3511" s="888" t="s">
        <v>1250</v>
      </c>
      <c r="D3511" s="889">
        <v>46046</v>
      </c>
      <c r="E3511" s="888" t="s">
        <v>310</v>
      </c>
      <c r="F3511" s="888" t="s">
        <v>310</v>
      </c>
    </row>
    <row r="3512" spans="1:6">
      <c r="A3512" s="888">
        <v>171</v>
      </c>
      <c r="B3512" s="888" t="s">
        <v>1154</v>
      </c>
      <c r="C3512" s="888" t="s">
        <v>1250</v>
      </c>
      <c r="D3512" s="889">
        <v>46047</v>
      </c>
      <c r="E3512" s="888" t="s">
        <v>310</v>
      </c>
      <c r="F3512" s="888" t="s">
        <v>310</v>
      </c>
    </row>
    <row r="3513" spans="1:6">
      <c r="A3513" s="888">
        <v>171</v>
      </c>
      <c r="B3513" s="888" t="s">
        <v>1154</v>
      </c>
      <c r="C3513" s="888" t="s">
        <v>1250</v>
      </c>
      <c r="D3513" s="889">
        <v>46048</v>
      </c>
      <c r="E3513" s="890">
        <v>0.3535300925925926</v>
      </c>
      <c r="F3513" s="890">
        <v>0.76164351851851853</v>
      </c>
    </row>
    <row r="3514" spans="1:6">
      <c r="A3514" s="888" t="s">
        <v>3139</v>
      </c>
      <c r="B3514" s="888" t="s">
        <v>3140</v>
      </c>
      <c r="C3514" s="888" t="s">
        <v>2077</v>
      </c>
    </row>
    <row r="3515" spans="1:6">
      <c r="A3515" s="888">
        <v>171</v>
      </c>
      <c r="B3515" s="888" t="s">
        <v>1154</v>
      </c>
      <c r="C3515" s="888" t="s">
        <v>1250</v>
      </c>
      <c r="D3515" s="889">
        <v>46049</v>
      </c>
      <c r="E3515" s="890">
        <v>0.58042824074074073</v>
      </c>
      <c r="F3515" s="890">
        <v>0.75178240740740743</v>
      </c>
    </row>
    <row r="3516" spans="1:6">
      <c r="A3516" s="888" t="s">
        <v>3141</v>
      </c>
      <c r="B3516" s="888" t="s">
        <v>3142</v>
      </c>
      <c r="C3516" s="888" t="s">
        <v>3143</v>
      </c>
    </row>
    <row r="3517" spans="1:6">
      <c r="A3517" s="888">
        <v>171</v>
      </c>
      <c r="B3517" s="888" t="s">
        <v>1154</v>
      </c>
      <c r="C3517" s="888" t="s">
        <v>1250</v>
      </c>
      <c r="D3517" s="889">
        <v>46050</v>
      </c>
      <c r="E3517" s="890">
        <v>0.3512615740740741</v>
      </c>
      <c r="F3517" s="890">
        <v>0.8137847222222222</v>
      </c>
    </row>
    <row r="3518" spans="1:6">
      <c r="A3518" s="888" t="s">
        <v>3144</v>
      </c>
      <c r="B3518" s="888" t="s">
        <v>3145</v>
      </c>
      <c r="C3518" s="888" t="s">
        <v>1946</v>
      </c>
    </row>
    <row r="3519" spans="1:6">
      <c r="A3519" s="888">
        <v>171</v>
      </c>
      <c r="B3519" s="888" t="s">
        <v>1154</v>
      </c>
      <c r="C3519" s="888" t="s">
        <v>1250</v>
      </c>
      <c r="D3519" s="889">
        <v>46051</v>
      </c>
      <c r="E3519" s="890">
        <v>0.35204861111111113</v>
      </c>
      <c r="F3519" s="890">
        <v>0.75412037037037039</v>
      </c>
    </row>
    <row r="3520" spans="1:6">
      <c r="A3520" s="888" t="s">
        <v>3146</v>
      </c>
      <c r="B3520" s="888" t="s">
        <v>3147</v>
      </c>
      <c r="C3520" s="888" t="s">
        <v>1538</v>
      </c>
    </row>
    <row r="3521" spans="1:6">
      <c r="A3521" s="888">
        <v>171</v>
      </c>
      <c r="B3521" s="888" t="s">
        <v>1154</v>
      </c>
      <c r="C3521" s="888" t="s">
        <v>1250</v>
      </c>
      <c r="D3521" s="889">
        <v>46052</v>
      </c>
      <c r="E3521" s="890">
        <v>0.3490625</v>
      </c>
      <c r="F3521" s="888" t="s">
        <v>310</v>
      </c>
    </row>
    <row r="3522" spans="1:6">
      <c r="A3522" s="888" t="s">
        <v>3148</v>
      </c>
      <c r="B3522" s="888" t="s">
        <v>1258</v>
      </c>
      <c r="C3522" s="888" t="s">
        <v>1259</v>
      </c>
    </row>
    <row r="3523" spans="1:6">
      <c r="A3523" s="888">
        <v>171</v>
      </c>
      <c r="B3523" s="888" t="s">
        <v>1154</v>
      </c>
      <c r="C3523" s="888" t="s">
        <v>1250</v>
      </c>
      <c r="D3523" s="889">
        <v>46053</v>
      </c>
      <c r="E3523" s="888" t="s">
        <v>310</v>
      </c>
      <c r="F3523" s="888" t="s">
        <v>310</v>
      </c>
    </row>
    <row r="3524" spans="1:6">
      <c r="A3524" s="888">
        <v>171</v>
      </c>
      <c r="B3524" s="888" t="s">
        <v>1154</v>
      </c>
      <c r="C3524" s="888" t="s">
        <v>1250</v>
      </c>
      <c r="D3524" s="889">
        <v>46054</v>
      </c>
      <c r="E3524" s="888" t="s">
        <v>310</v>
      </c>
      <c r="F3524" s="888" t="s">
        <v>310</v>
      </c>
    </row>
    <row r="3525" spans="1:6">
      <c r="A3525" s="888">
        <v>177</v>
      </c>
      <c r="B3525" s="888" t="s">
        <v>3149</v>
      </c>
      <c r="C3525" s="888" t="s">
        <v>1767</v>
      </c>
      <c r="D3525" s="889">
        <v>46023</v>
      </c>
      <c r="E3525" s="888" t="s">
        <v>310</v>
      </c>
      <c r="F3525" s="888" t="s">
        <v>310</v>
      </c>
    </row>
    <row r="3526" spans="1:6">
      <c r="A3526" s="888">
        <v>177</v>
      </c>
      <c r="B3526" s="888" t="s">
        <v>3149</v>
      </c>
      <c r="C3526" s="888" t="s">
        <v>1767</v>
      </c>
      <c r="D3526" s="889">
        <v>46024</v>
      </c>
      <c r="E3526" s="888" t="s">
        <v>310</v>
      </c>
      <c r="F3526" s="888" t="s">
        <v>310</v>
      </c>
    </row>
    <row r="3527" spans="1:6">
      <c r="A3527" s="888">
        <v>177</v>
      </c>
      <c r="B3527" s="888" t="s">
        <v>3149</v>
      </c>
      <c r="C3527" s="888" t="s">
        <v>1767</v>
      </c>
      <c r="D3527" s="889">
        <v>46025</v>
      </c>
      <c r="E3527" s="888" t="s">
        <v>310</v>
      </c>
      <c r="F3527" s="888" t="s">
        <v>310</v>
      </c>
    </row>
    <row r="3528" spans="1:6">
      <c r="A3528" s="888">
        <v>177</v>
      </c>
      <c r="B3528" s="888" t="s">
        <v>3149</v>
      </c>
      <c r="C3528" s="888" t="s">
        <v>1767</v>
      </c>
      <c r="D3528" s="889">
        <v>46026</v>
      </c>
      <c r="E3528" s="888" t="s">
        <v>310</v>
      </c>
      <c r="F3528" s="888" t="s">
        <v>310</v>
      </c>
    </row>
    <row r="3529" spans="1:6">
      <c r="A3529" s="888">
        <v>177</v>
      </c>
      <c r="B3529" s="888" t="s">
        <v>3149</v>
      </c>
      <c r="C3529" s="888" t="s">
        <v>1767</v>
      </c>
      <c r="D3529" s="889">
        <v>46027</v>
      </c>
      <c r="E3529" s="888" t="s">
        <v>310</v>
      </c>
      <c r="F3529" s="888" t="s">
        <v>310</v>
      </c>
    </row>
    <row r="3530" spans="1:6">
      <c r="A3530" s="888">
        <v>177</v>
      </c>
      <c r="B3530" s="888" t="s">
        <v>3149</v>
      </c>
      <c r="C3530" s="888" t="s">
        <v>1767</v>
      </c>
      <c r="D3530" s="889">
        <v>46028</v>
      </c>
      <c r="E3530" s="888" t="s">
        <v>310</v>
      </c>
      <c r="F3530" s="888" t="s">
        <v>310</v>
      </c>
    </row>
    <row r="3531" spans="1:6">
      <c r="A3531" s="888">
        <v>177</v>
      </c>
      <c r="B3531" s="888" t="s">
        <v>3149</v>
      </c>
      <c r="C3531" s="888" t="s">
        <v>1767</v>
      </c>
      <c r="D3531" s="889">
        <v>46029</v>
      </c>
      <c r="E3531" s="888" t="s">
        <v>310</v>
      </c>
      <c r="F3531" s="888" t="s">
        <v>310</v>
      </c>
    </row>
    <row r="3532" spans="1:6">
      <c r="A3532" s="888">
        <v>177</v>
      </c>
      <c r="B3532" s="888" t="s">
        <v>3149</v>
      </c>
      <c r="C3532" s="888" t="s">
        <v>1767</v>
      </c>
      <c r="D3532" s="889">
        <v>46030</v>
      </c>
      <c r="E3532" s="888" t="s">
        <v>310</v>
      </c>
      <c r="F3532" s="888" t="s">
        <v>310</v>
      </c>
    </row>
    <row r="3533" spans="1:6">
      <c r="A3533" s="888">
        <v>177</v>
      </c>
      <c r="B3533" s="888" t="s">
        <v>3149</v>
      </c>
      <c r="C3533" s="888" t="s">
        <v>1767</v>
      </c>
      <c r="D3533" s="889">
        <v>46031</v>
      </c>
      <c r="E3533" s="888" t="s">
        <v>310</v>
      </c>
      <c r="F3533" s="888" t="s">
        <v>310</v>
      </c>
    </row>
    <row r="3534" spans="1:6">
      <c r="A3534" s="888">
        <v>177</v>
      </c>
      <c r="B3534" s="888" t="s">
        <v>3149</v>
      </c>
      <c r="C3534" s="888" t="s">
        <v>1767</v>
      </c>
      <c r="D3534" s="889">
        <v>46032</v>
      </c>
      <c r="E3534" s="888" t="s">
        <v>310</v>
      </c>
      <c r="F3534" s="888" t="s">
        <v>310</v>
      </c>
    </row>
    <row r="3535" spans="1:6">
      <c r="A3535" s="888">
        <v>177</v>
      </c>
      <c r="B3535" s="888" t="s">
        <v>3149</v>
      </c>
      <c r="C3535" s="888" t="s">
        <v>1767</v>
      </c>
      <c r="D3535" s="889">
        <v>46033</v>
      </c>
      <c r="E3535" s="888" t="s">
        <v>310</v>
      </c>
      <c r="F3535" s="888" t="s">
        <v>310</v>
      </c>
    </row>
    <row r="3536" spans="1:6">
      <c r="A3536" s="888">
        <v>177</v>
      </c>
      <c r="B3536" s="888" t="s">
        <v>3149</v>
      </c>
      <c r="C3536" s="888" t="s">
        <v>1767</v>
      </c>
      <c r="D3536" s="889">
        <v>46034</v>
      </c>
      <c r="E3536" s="888" t="s">
        <v>310</v>
      </c>
      <c r="F3536" s="888" t="s">
        <v>310</v>
      </c>
    </row>
    <row r="3537" spans="1:6">
      <c r="A3537" s="888">
        <v>177</v>
      </c>
      <c r="B3537" s="888" t="s">
        <v>3149</v>
      </c>
      <c r="C3537" s="888" t="s">
        <v>1767</v>
      </c>
      <c r="D3537" s="889">
        <v>46035</v>
      </c>
      <c r="E3537" s="888" t="s">
        <v>310</v>
      </c>
      <c r="F3537" s="888" t="s">
        <v>310</v>
      </c>
    </row>
    <row r="3538" spans="1:6">
      <c r="A3538" s="888">
        <v>177</v>
      </c>
      <c r="B3538" s="888" t="s">
        <v>3149</v>
      </c>
      <c r="C3538" s="888" t="s">
        <v>1767</v>
      </c>
      <c r="D3538" s="889">
        <v>46036</v>
      </c>
      <c r="E3538" s="888" t="s">
        <v>310</v>
      </c>
      <c r="F3538" s="888" t="s">
        <v>310</v>
      </c>
    </row>
    <row r="3539" spans="1:6">
      <c r="A3539" s="888">
        <v>177</v>
      </c>
      <c r="B3539" s="888" t="s">
        <v>3149</v>
      </c>
      <c r="C3539" s="888" t="s">
        <v>1767</v>
      </c>
      <c r="D3539" s="889">
        <v>46037</v>
      </c>
      <c r="E3539" s="888" t="s">
        <v>310</v>
      </c>
      <c r="F3539" s="888" t="s">
        <v>310</v>
      </c>
    </row>
    <row r="3540" spans="1:6">
      <c r="A3540" s="888">
        <v>177</v>
      </c>
      <c r="B3540" s="888" t="s">
        <v>3149</v>
      </c>
      <c r="C3540" s="888" t="s">
        <v>1767</v>
      </c>
      <c r="D3540" s="889">
        <v>46038</v>
      </c>
      <c r="E3540" s="888" t="s">
        <v>310</v>
      </c>
      <c r="F3540" s="888" t="s">
        <v>310</v>
      </c>
    </row>
    <row r="3541" spans="1:6">
      <c r="A3541" s="888">
        <v>177</v>
      </c>
      <c r="B3541" s="888" t="s">
        <v>3149</v>
      </c>
      <c r="C3541" s="888" t="s">
        <v>1767</v>
      </c>
      <c r="D3541" s="889">
        <v>46039</v>
      </c>
      <c r="E3541" s="888" t="s">
        <v>310</v>
      </c>
      <c r="F3541" s="888" t="s">
        <v>310</v>
      </c>
    </row>
    <row r="3542" spans="1:6">
      <c r="A3542" s="888">
        <v>177</v>
      </c>
      <c r="B3542" s="888" t="s">
        <v>3149</v>
      </c>
      <c r="C3542" s="888" t="s">
        <v>1767</v>
      </c>
      <c r="D3542" s="889">
        <v>46040</v>
      </c>
      <c r="E3542" s="888" t="s">
        <v>310</v>
      </c>
      <c r="F3542" s="888" t="s">
        <v>310</v>
      </c>
    </row>
    <row r="3543" spans="1:6">
      <c r="A3543" s="888">
        <v>177</v>
      </c>
      <c r="B3543" s="888" t="s">
        <v>3149</v>
      </c>
      <c r="C3543" s="888" t="s">
        <v>1767</v>
      </c>
      <c r="D3543" s="889">
        <v>46041</v>
      </c>
      <c r="E3543" s="888" t="s">
        <v>310</v>
      </c>
      <c r="F3543" s="888" t="s">
        <v>310</v>
      </c>
    </row>
    <row r="3544" spans="1:6">
      <c r="A3544" s="888">
        <v>177</v>
      </c>
      <c r="B3544" s="888" t="s">
        <v>3149</v>
      </c>
      <c r="C3544" s="888" t="s">
        <v>1767</v>
      </c>
      <c r="D3544" s="889">
        <v>46042</v>
      </c>
      <c r="E3544" s="888" t="s">
        <v>310</v>
      </c>
      <c r="F3544" s="888" t="s">
        <v>310</v>
      </c>
    </row>
    <row r="3545" spans="1:6">
      <c r="A3545" s="888">
        <v>177</v>
      </c>
      <c r="B3545" s="888" t="s">
        <v>3149</v>
      </c>
      <c r="C3545" s="888" t="s">
        <v>1767</v>
      </c>
      <c r="D3545" s="889">
        <v>46043</v>
      </c>
      <c r="E3545" s="888" t="s">
        <v>310</v>
      </c>
      <c r="F3545" s="888" t="s">
        <v>310</v>
      </c>
    </row>
    <row r="3546" spans="1:6">
      <c r="A3546" s="888">
        <v>177</v>
      </c>
      <c r="B3546" s="888" t="s">
        <v>3149</v>
      </c>
      <c r="C3546" s="888" t="s">
        <v>1767</v>
      </c>
      <c r="D3546" s="889">
        <v>46044</v>
      </c>
      <c r="E3546" s="888" t="s">
        <v>310</v>
      </c>
      <c r="F3546" s="888" t="s">
        <v>310</v>
      </c>
    </row>
    <row r="3547" spans="1:6">
      <c r="A3547" s="888">
        <v>177</v>
      </c>
      <c r="B3547" s="888" t="s">
        <v>3149</v>
      </c>
      <c r="C3547" s="888" t="s">
        <v>1767</v>
      </c>
      <c r="D3547" s="889">
        <v>46045</v>
      </c>
      <c r="E3547" s="888" t="s">
        <v>310</v>
      </c>
      <c r="F3547" s="888" t="s">
        <v>310</v>
      </c>
    </row>
    <row r="3548" spans="1:6">
      <c r="A3548" s="888">
        <v>177</v>
      </c>
      <c r="B3548" s="888" t="s">
        <v>3149</v>
      </c>
      <c r="C3548" s="888" t="s">
        <v>1767</v>
      </c>
      <c r="D3548" s="889">
        <v>46046</v>
      </c>
      <c r="E3548" s="888" t="s">
        <v>310</v>
      </c>
      <c r="F3548" s="888" t="s">
        <v>310</v>
      </c>
    </row>
    <row r="3549" spans="1:6">
      <c r="A3549" s="888">
        <v>177</v>
      </c>
      <c r="B3549" s="888" t="s">
        <v>3149</v>
      </c>
      <c r="C3549" s="888" t="s">
        <v>1767</v>
      </c>
      <c r="D3549" s="889">
        <v>46047</v>
      </c>
      <c r="E3549" s="888" t="s">
        <v>310</v>
      </c>
      <c r="F3549" s="888" t="s">
        <v>310</v>
      </c>
    </row>
    <row r="3550" spans="1:6">
      <c r="A3550" s="888">
        <v>177</v>
      </c>
      <c r="B3550" s="888" t="s">
        <v>3149</v>
      </c>
      <c r="C3550" s="888" t="s">
        <v>1767</v>
      </c>
      <c r="D3550" s="889">
        <v>46048</v>
      </c>
      <c r="E3550" s="888" t="s">
        <v>310</v>
      </c>
      <c r="F3550" s="888" t="s">
        <v>310</v>
      </c>
    </row>
    <row r="3551" spans="1:6">
      <c r="A3551" s="888">
        <v>177</v>
      </c>
      <c r="B3551" s="888" t="s">
        <v>3149</v>
      </c>
      <c r="C3551" s="888" t="s">
        <v>1767</v>
      </c>
      <c r="D3551" s="889">
        <v>46049</v>
      </c>
      <c r="E3551" s="888" t="s">
        <v>310</v>
      </c>
      <c r="F3551" s="888" t="s">
        <v>310</v>
      </c>
    </row>
    <row r="3552" spans="1:6">
      <c r="A3552" s="888">
        <v>177</v>
      </c>
      <c r="B3552" s="888" t="s">
        <v>3149</v>
      </c>
      <c r="C3552" s="888" t="s">
        <v>1767</v>
      </c>
      <c r="D3552" s="889">
        <v>46050</v>
      </c>
      <c r="E3552" s="888" t="s">
        <v>310</v>
      </c>
      <c r="F3552" s="888" t="s">
        <v>310</v>
      </c>
    </row>
    <row r="3553" spans="1:6">
      <c r="A3553" s="888">
        <v>177</v>
      </c>
      <c r="B3553" s="888" t="s">
        <v>3149</v>
      </c>
      <c r="C3553" s="888" t="s">
        <v>1767</v>
      </c>
      <c r="D3553" s="889">
        <v>46051</v>
      </c>
      <c r="E3553" s="888" t="s">
        <v>310</v>
      </c>
      <c r="F3553" s="888" t="s">
        <v>310</v>
      </c>
    </row>
    <row r="3554" spans="1:6">
      <c r="A3554" s="888">
        <v>177</v>
      </c>
      <c r="B3554" s="888" t="s">
        <v>3149</v>
      </c>
      <c r="C3554" s="888" t="s">
        <v>1767</v>
      </c>
      <c r="D3554" s="889">
        <v>46052</v>
      </c>
      <c r="E3554" s="888" t="s">
        <v>310</v>
      </c>
      <c r="F3554" s="888" t="s">
        <v>310</v>
      </c>
    </row>
    <row r="3555" spans="1:6">
      <c r="A3555" s="888">
        <v>177</v>
      </c>
      <c r="B3555" s="888" t="s">
        <v>3149</v>
      </c>
      <c r="C3555" s="888" t="s">
        <v>1767</v>
      </c>
      <c r="D3555" s="889">
        <v>46053</v>
      </c>
      <c r="E3555" s="888" t="s">
        <v>310</v>
      </c>
      <c r="F3555" s="888" t="s">
        <v>310</v>
      </c>
    </row>
    <row r="3556" spans="1:6">
      <c r="A3556" s="888">
        <v>177</v>
      </c>
      <c r="B3556" s="888" t="s">
        <v>3149</v>
      </c>
      <c r="C3556" s="888" t="s">
        <v>1767</v>
      </c>
      <c r="D3556" s="889">
        <v>46054</v>
      </c>
      <c r="E3556" s="888" t="s">
        <v>310</v>
      </c>
      <c r="F3556" s="888" t="s">
        <v>310</v>
      </c>
    </row>
    <row r="3557" spans="1:6">
      <c r="A3557" s="888">
        <v>180</v>
      </c>
      <c r="B3557" s="888" t="s">
        <v>1155</v>
      </c>
      <c r="C3557" s="888" t="s">
        <v>1652</v>
      </c>
      <c r="D3557" s="889">
        <v>46023</v>
      </c>
      <c r="E3557" s="888" t="s">
        <v>310</v>
      </c>
      <c r="F3557" s="888" t="s">
        <v>310</v>
      </c>
    </row>
    <row r="3558" spans="1:6">
      <c r="A3558" s="888">
        <v>180</v>
      </c>
      <c r="B3558" s="888" t="s">
        <v>1155</v>
      </c>
      <c r="C3558" s="888" t="s">
        <v>1652</v>
      </c>
      <c r="D3558" s="889">
        <v>46024</v>
      </c>
      <c r="E3558" s="888" t="s">
        <v>310</v>
      </c>
      <c r="F3558" s="888" t="s">
        <v>310</v>
      </c>
    </row>
    <row r="3559" spans="1:6">
      <c r="A3559" s="888">
        <v>180</v>
      </c>
      <c r="B3559" s="888" t="s">
        <v>1155</v>
      </c>
      <c r="C3559" s="888" t="s">
        <v>1652</v>
      </c>
      <c r="D3559" s="889">
        <v>46025</v>
      </c>
      <c r="E3559" s="888" t="s">
        <v>310</v>
      </c>
      <c r="F3559" s="888" t="s">
        <v>310</v>
      </c>
    </row>
    <row r="3560" spans="1:6">
      <c r="A3560" s="888">
        <v>180</v>
      </c>
      <c r="B3560" s="888" t="s">
        <v>1155</v>
      </c>
      <c r="C3560" s="888" t="s">
        <v>1652</v>
      </c>
      <c r="D3560" s="889">
        <v>46026</v>
      </c>
      <c r="E3560" s="888" t="s">
        <v>310</v>
      </c>
      <c r="F3560" s="888" t="s">
        <v>310</v>
      </c>
    </row>
    <row r="3561" spans="1:6">
      <c r="A3561" s="888">
        <v>180</v>
      </c>
      <c r="B3561" s="888" t="s">
        <v>1155</v>
      </c>
      <c r="C3561" s="888" t="s">
        <v>1652</v>
      </c>
      <c r="D3561" s="889">
        <v>46027</v>
      </c>
      <c r="E3561" s="890">
        <v>0.37870370370370371</v>
      </c>
      <c r="F3561" s="888" t="s">
        <v>310</v>
      </c>
    </row>
    <row r="3562" spans="1:6">
      <c r="A3562" s="888" t="s">
        <v>3150</v>
      </c>
      <c r="B3562" s="888" t="s">
        <v>1258</v>
      </c>
      <c r="C3562" s="888" t="s">
        <v>1259</v>
      </c>
    </row>
    <row r="3563" spans="1:6">
      <c r="A3563" s="888">
        <v>180</v>
      </c>
      <c r="B3563" s="888" t="s">
        <v>1155</v>
      </c>
      <c r="C3563" s="888" t="s">
        <v>1652</v>
      </c>
      <c r="D3563" s="889">
        <v>46028</v>
      </c>
      <c r="E3563" s="890">
        <v>0.40432870370370372</v>
      </c>
      <c r="F3563" s="890">
        <v>0.79703703703703699</v>
      </c>
    </row>
    <row r="3564" spans="1:6">
      <c r="A3564" s="888" t="s">
        <v>3151</v>
      </c>
      <c r="B3564" s="888" t="s">
        <v>3152</v>
      </c>
      <c r="C3564" s="888" t="s">
        <v>1776</v>
      </c>
    </row>
    <row r="3565" spans="1:6">
      <c r="A3565" s="888">
        <v>180</v>
      </c>
      <c r="B3565" s="888" t="s">
        <v>1155</v>
      </c>
      <c r="C3565" s="888" t="s">
        <v>1652</v>
      </c>
      <c r="D3565" s="889">
        <v>46029</v>
      </c>
      <c r="E3565" s="890">
        <v>0.37787037037037036</v>
      </c>
      <c r="F3565" s="890">
        <v>0.7560648148148148</v>
      </c>
    </row>
    <row r="3566" spans="1:6">
      <c r="A3566" s="888" t="s">
        <v>3153</v>
      </c>
      <c r="B3566" s="888" t="s">
        <v>3154</v>
      </c>
      <c r="C3566" s="888" t="s">
        <v>1336</v>
      </c>
    </row>
    <row r="3567" spans="1:6">
      <c r="A3567" s="888">
        <v>180</v>
      </c>
      <c r="B3567" s="888" t="s">
        <v>1155</v>
      </c>
      <c r="C3567" s="888" t="s">
        <v>1652</v>
      </c>
      <c r="D3567" s="889">
        <v>46030</v>
      </c>
      <c r="E3567" s="890">
        <v>0.39197916666666666</v>
      </c>
      <c r="F3567" s="890">
        <v>0.77361111111111114</v>
      </c>
    </row>
    <row r="3568" spans="1:6">
      <c r="A3568" s="888" t="s">
        <v>3155</v>
      </c>
      <c r="B3568" s="888" t="s">
        <v>3156</v>
      </c>
      <c r="C3568" s="888" t="s">
        <v>1580</v>
      </c>
    </row>
    <row r="3569" spans="1:6">
      <c r="A3569" s="888">
        <v>180</v>
      </c>
      <c r="B3569" s="888" t="s">
        <v>1155</v>
      </c>
      <c r="C3569" s="888" t="s">
        <v>1652</v>
      </c>
      <c r="D3569" s="889">
        <v>46031</v>
      </c>
      <c r="E3569" s="890">
        <v>0.3976851851851852</v>
      </c>
      <c r="F3569" s="890">
        <v>0.80631944444444448</v>
      </c>
    </row>
    <row r="3570" spans="1:6">
      <c r="A3570" s="888" t="s">
        <v>3157</v>
      </c>
      <c r="B3570" s="888" t="s">
        <v>3158</v>
      </c>
      <c r="C3570" s="888" t="s">
        <v>2077</v>
      </c>
    </row>
    <row r="3571" spans="1:6">
      <c r="A3571" s="888">
        <v>180</v>
      </c>
      <c r="B3571" s="888" t="s">
        <v>1155</v>
      </c>
      <c r="C3571" s="888" t="s">
        <v>1652</v>
      </c>
      <c r="D3571" s="889">
        <v>46032</v>
      </c>
      <c r="E3571" s="888" t="s">
        <v>310</v>
      </c>
      <c r="F3571" s="888" t="s">
        <v>310</v>
      </c>
    </row>
    <row r="3572" spans="1:6">
      <c r="A3572" s="888">
        <v>180</v>
      </c>
      <c r="B3572" s="888" t="s">
        <v>1155</v>
      </c>
      <c r="C3572" s="888" t="s">
        <v>1652</v>
      </c>
      <c r="D3572" s="889">
        <v>46033</v>
      </c>
      <c r="E3572" s="888" t="s">
        <v>310</v>
      </c>
      <c r="F3572" s="888" t="s">
        <v>310</v>
      </c>
    </row>
    <row r="3573" spans="1:6">
      <c r="A3573" s="888">
        <v>180</v>
      </c>
      <c r="B3573" s="888" t="s">
        <v>1155</v>
      </c>
      <c r="C3573" s="888" t="s">
        <v>1652</v>
      </c>
      <c r="D3573" s="889">
        <v>46034</v>
      </c>
      <c r="E3573" s="890">
        <v>0.39068287037037036</v>
      </c>
      <c r="F3573" s="890">
        <v>0.77725694444444449</v>
      </c>
    </row>
    <row r="3574" spans="1:6">
      <c r="A3574" s="888" t="s">
        <v>3159</v>
      </c>
      <c r="B3574" s="888" t="s">
        <v>3160</v>
      </c>
      <c r="C3574" s="888" t="s">
        <v>1753</v>
      </c>
    </row>
    <row r="3575" spans="1:6">
      <c r="A3575" s="888">
        <v>180</v>
      </c>
      <c r="B3575" s="888" t="s">
        <v>1155</v>
      </c>
      <c r="C3575" s="888" t="s">
        <v>1652</v>
      </c>
      <c r="D3575" s="889">
        <v>46035</v>
      </c>
      <c r="E3575" s="890">
        <v>0.3847800925925926</v>
      </c>
      <c r="F3575" s="890">
        <v>0.77497685185185183</v>
      </c>
    </row>
    <row r="3576" spans="1:6">
      <c r="A3576" s="888" t="s">
        <v>3161</v>
      </c>
      <c r="B3576" s="888" t="s">
        <v>3162</v>
      </c>
      <c r="C3576" s="888" t="s">
        <v>1661</v>
      </c>
    </row>
    <row r="3577" spans="1:6">
      <c r="A3577" s="888">
        <v>180</v>
      </c>
      <c r="B3577" s="888" t="s">
        <v>1155</v>
      </c>
      <c r="C3577" s="888" t="s">
        <v>1652</v>
      </c>
      <c r="D3577" s="889">
        <v>46036</v>
      </c>
      <c r="E3577" s="890">
        <v>0.42719907407407409</v>
      </c>
      <c r="F3577" s="890">
        <v>0.76031249999999995</v>
      </c>
    </row>
    <row r="3578" spans="1:6">
      <c r="A3578" s="888" t="s">
        <v>3163</v>
      </c>
      <c r="B3578" s="888" t="s">
        <v>3164</v>
      </c>
      <c r="C3578" s="888" t="s">
        <v>3165</v>
      </c>
    </row>
    <row r="3579" spans="1:6">
      <c r="A3579" s="888">
        <v>180</v>
      </c>
      <c r="B3579" s="888" t="s">
        <v>1155</v>
      </c>
      <c r="C3579" s="888" t="s">
        <v>1652</v>
      </c>
      <c r="D3579" s="889">
        <v>46037</v>
      </c>
      <c r="E3579" s="890">
        <v>0.46247685185185183</v>
      </c>
      <c r="F3579" s="890">
        <v>0.80983796296296295</v>
      </c>
    </row>
    <row r="3580" spans="1:6">
      <c r="A3580" s="888" t="s">
        <v>3166</v>
      </c>
      <c r="B3580" s="888" t="s">
        <v>3167</v>
      </c>
      <c r="C3580" s="888" t="s">
        <v>1988</v>
      </c>
    </row>
    <row r="3581" spans="1:6">
      <c r="A3581" s="888">
        <v>180</v>
      </c>
      <c r="B3581" s="888" t="s">
        <v>1155</v>
      </c>
      <c r="C3581" s="888" t="s">
        <v>1652</v>
      </c>
      <c r="D3581" s="889">
        <v>46038</v>
      </c>
      <c r="E3581" s="890">
        <v>0.38968750000000002</v>
      </c>
      <c r="F3581" s="890">
        <v>0.77417824074074071</v>
      </c>
    </row>
    <row r="3582" spans="1:6">
      <c r="A3582" s="888" t="s">
        <v>3168</v>
      </c>
      <c r="B3582" s="888" t="s">
        <v>3169</v>
      </c>
      <c r="C3582" s="888" t="s">
        <v>3170</v>
      </c>
    </row>
    <row r="3583" spans="1:6">
      <c r="A3583" s="888">
        <v>180</v>
      </c>
      <c r="B3583" s="888" t="s">
        <v>1155</v>
      </c>
      <c r="C3583" s="888" t="s">
        <v>1652</v>
      </c>
      <c r="D3583" s="889">
        <v>46039</v>
      </c>
      <c r="E3583" s="888" t="s">
        <v>310</v>
      </c>
      <c r="F3583" s="888" t="s">
        <v>310</v>
      </c>
    </row>
    <row r="3584" spans="1:6">
      <c r="A3584" s="888">
        <v>180</v>
      </c>
      <c r="B3584" s="888" t="s">
        <v>1155</v>
      </c>
      <c r="C3584" s="888" t="s">
        <v>1652</v>
      </c>
      <c r="D3584" s="889">
        <v>46040</v>
      </c>
      <c r="E3584" s="888" t="s">
        <v>310</v>
      </c>
      <c r="F3584" s="888" t="s">
        <v>310</v>
      </c>
    </row>
    <row r="3585" spans="1:6">
      <c r="A3585" s="888">
        <v>180</v>
      </c>
      <c r="B3585" s="888" t="s">
        <v>1155</v>
      </c>
      <c r="C3585" s="888" t="s">
        <v>1652</v>
      </c>
      <c r="D3585" s="889">
        <v>46041</v>
      </c>
      <c r="E3585" s="890">
        <v>0.37710648148148146</v>
      </c>
      <c r="F3585" s="890">
        <v>0.75519675925925922</v>
      </c>
    </row>
    <row r="3586" spans="1:6">
      <c r="A3586" s="888" t="s">
        <v>3171</v>
      </c>
      <c r="B3586" s="888" t="s">
        <v>3172</v>
      </c>
      <c r="C3586" s="888" t="s">
        <v>1317</v>
      </c>
    </row>
    <row r="3587" spans="1:6">
      <c r="A3587" s="888">
        <v>180</v>
      </c>
      <c r="B3587" s="888" t="s">
        <v>1155</v>
      </c>
      <c r="C3587" s="888" t="s">
        <v>1652</v>
      </c>
      <c r="D3587" s="889">
        <v>46042</v>
      </c>
      <c r="E3587" s="890">
        <v>0.3800115740740741</v>
      </c>
      <c r="F3587" s="890">
        <v>0.75031250000000005</v>
      </c>
    </row>
    <row r="3588" spans="1:6">
      <c r="A3588" s="888" t="s">
        <v>3173</v>
      </c>
      <c r="B3588" s="888" t="s">
        <v>3174</v>
      </c>
      <c r="C3588" s="888" t="s">
        <v>2223</v>
      </c>
    </row>
    <row r="3589" spans="1:6">
      <c r="A3589" s="888">
        <v>180</v>
      </c>
      <c r="B3589" s="888" t="s">
        <v>1155</v>
      </c>
      <c r="C3589" s="888" t="s">
        <v>1652</v>
      </c>
      <c r="D3589" s="889">
        <v>46043</v>
      </c>
      <c r="E3589" s="890">
        <v>0.42894675925925924</v>
      </c>
      <c r="F3589" s="890">
        <v>0.8080208333333333</v>
      </c>
    </row>
    <row r="3590" spans="1:6">
      <c r="A3590" s="888" t="s">
        <v>3175</v>
      </c>
      <c r="B3590" s="888" t="s">
        <v>3176</v>
      </c>
      <c r="C3590" s="888" t="s">
        <v>1323</v>
      </c>
    </row>
    <row r="3591" spans="1:6">
      <c r="A3591" s="888">
        <v>180</v>
      </c>
      <c r="B3591" s="888" t="s">
        <v>1155</v>
      </c>
      <c r="C3591" s="888" t="s">
        <v>1652</v>
      </c>
      <c r="D3591" s="889">
        <v>46044</v>
      </c>
      <c r="E3591" s="890">
        <v>0.56741898148148151</v>
      </c>
      <c r="F3591" s="890">
        <v>0.75935185185185183</v>
      </c>
    </row>
    <row r="3592" spans="1:6">
      <c r="A3592" s="888" t="s">
        <v>3177</v>
      </c>
      <c r="B3592" s="888" t="s">
        <v>3178</v>
      </c>
      <c r="C3592" s="888" t="s">
        <v>3179</v>
      </c>
    </row>
    <row r="3593" spans="1:6">
      <c r="A3593" s="888">
        <v>180</v>
      </c>
      <c r="B3593" s="888" t="s">
        <v>1155</v>
      </c>
      <c r="C3593" s="888" t="s">
        <v>1652</v>
      </c>
      <c r="D3593" s="889">
        <v>46045</v>
      </c>
      <c r="E3593" s="890">
        <v>0.40293981481481483</v>
      </c>
      <c r="F3593" s="890">
        <v>0.72195601851851854</v>
      </c>
    </row>
    <row r="3594" spans="1:6">
      <c r="A3594" s="888" t="s">
        <v>3180</v>
      </c>
      <c r="B3594" s="888" t="s">
        <v>3181</v>
      </c>
      <c r="C3594" s="888" t="s">
        <v>3182</v>
      </c>
    </row>
    <row r="3595" spans="1:6">
      <c r="A3595" s="888">
        <v>180</v>
      </c>
      <c r="B3595" s="888" t="s">
        <v>1155</v>
      </c>
      <c r="C3595" s="888" t="s">
        <v>1652</v>
      </c>
      <c r="D3595" s="889">
        <v>46046</v>
      </c>
      <c r="E3595" s="888" t="s">
        <v>310</v>
      </c>
      <c r="F3595" s="888" t="s">
        <v>310</v>
      </c>
    </row>
    <row r="3596" spans="1:6">
      <c r="A3596" s="888">
        <v>180</v>
      </c>
      <c r="B3596" s="888" t="s">
        <v>1155</v>
      </c>
      <c r="C3596" s="888" t="s">
        <v>1652</v>
      </c>
      <c r="D3596" s="889">
        <v>46047</v>
      </c>
      <c r="E3596" s="888" t="s">
        <v>310</v>
      </c>
      <c r="F3596" s="888" t="s">
        <v>310</v>
      </c>
    </row>
    <row r="3597" spans="1:6">
      <c r="A3597" s="888">
        <v>180</v>
      </c>
      <c r="B3597" s="888" t="s">
        <v>1155</v>
      </c>
      <c r="C3597" s="888" t="s">
        <v>1652</v>
      </c>
      <c r="D3597" s="889">
        <v>46048</v>
      </c>
      <c r="E3597" s="890">
        <v>0.38178240740740743</v>
      </c>
      <c r="F3597" s="890">
        <v>0.77482638888888888</v>
      </c>
    </row>
    <row r="3598" spans="1:6">
      <c r="A3598" s="888" t="s">
        <v>3183</v>
      </c>
      <c r="B3598" s="888" t="s">
        <v>3184</v>
      </c>
      <c r="C3598" s="888" t="s">
        <v>1776</v>
      </c>
    </row>
    <row r="3599" spans="1:6">
      <c r="A3599" s="888">
        <v>180</v>
      </c>
      <c r="B3599" s="888" t="s">
        <v>1155</v>
      </c>
      <c r="C3599" s="888" t="s">
        <v>1652</v>
      </c>
      <c r="D3599" s="889">
        <v>46049</v>
      </c>
      <c r="E3599" s="890">
        <v>0.42914351851851851</v>
      </c>
      <c r="F3599" s="890">
        <v>0.76048611111111108</v>
      </c>
    </row>
    <row r="3600" spans="1:6">
      <c r="A3600" s="888" t="s">
        <v>3185</v>
      </c>
      <c r="B3600" s="888" t="s">
        <v>3186</v>
      </c>
      <c r="C3600" s="888" t="s">
        <v>3187</v>
      </c>
    </row>
    <row r="3601" spans="1:6">
      <c r="A3601" s="888">
        <v>180</v>
      </c>
      <c r="B3601" s="888" t="s">
        <v>1155</v>
      </c>
      <c r="C3601" s="888" t="s">
        <v>1652</v>
      </c>
      <c r="D3601" s="889">
        <v>46050</v>
      </c>
      <c r="E3601" s="890">
        <v>0.39135416666666667</v>
      </c>
      <c r="F3601" s="890">
        <v>0.76902777777777775</v>
      </c>
    </row>
    <row r="3602" spans="1:6">
      <c r="A3602" s="888" t="s">
        <v>3188</v>
      </c>
      <c r="B3602" s="888" t="s">
        <v>3189</v>
      </c>
      <c r="C3602" s="888" t="s">
        <v>1317</v>
      </c>
    </row>
    <row r="3603" spans="1:6">
      <c r="A3603" s="888">
        <v>180</v>
      </c>
      <c r="B3603" s="888" t="s">
        <v>1155</v>
      </c>
      <c r="C3603" s="888" t="s">
        <v>1652</v>
      </c>
      <c r="D3603" s="889">
        <v>46051</v>
      </c>
      <c r="E3603" s="890">
        <v>0.59006944444444442</v>
      </c>
      <c r="F3603" s="890">
        <v>0.76711805555555557</v>
      </c>
    </row>
    <row r="3604" spans="1:6">
      <c r="A3604" s="888" t="s">
        <v>3190</v>
      </c>
      <c r="B3604" s="888" t="s">
        <v>3191</v>
      </c>
      <c r="C3604" s="888" t="s">
        <v>3123</v>
      </c>
    </row>
    <row r="3605" spans="1:6">
      <c r="A3605" s="888">
        <v>180</v>
      </c>
      <c r="B3605" s="888" t="s">
        <v>1155</v>
      </c>
      <c r="C3605" s="888" t="s">
        <v>1652</v>
      </c>
      <c r="D3605" s="889">
        <v>46052</v>
      </c>
      <c r="E3605" s="890">
        <v>0.40282407407407406</v>
      </c>
      <c r="F3605" s="890">
        <v>0.79518518518518522</v>
      </c>
    </row>
    <row r="3606" spans="1:6">
      <c r="A3606" s="888" t="s">
        <v>3192</v>
      </c>
      <c r="B3606" s="888" t="s">
        <v>3193</v>
      </c>
      <c r="C3606" s="888" t="s">
        <v>1724</v>
      </c>
    </row>
    <row r="3607" spans="1:6">
      <c r="A3607" s="888">
        <v>180</v>
      </c>
      <c r="B3607" s="888" t="s">
        <v>1155</v>
      </c>
      <c r="C3607" s="888" t="s">
        <v>1652</v>
      </c>
      <c r="D3607" s="889">
        <v>46053</v>
      </c>
      <c r="E3607" s="888" t="s">
        <v>310</v>
      </c>
      <c r="F3607" s="888" t="s">
        <v>310</v>
      </c>
    </row>
    <row r="3608" spans="1:6">
      <c r="A3608" s="888">
        <v>180</v>
      </c>
      <c r="B3608" s="888" t="s">
        <v>1155</v>
      </c>
      <c r="C3608" s="888" t="s">
        <v>1652</v>
      </c>
      <c r="D3608" s="889">
        <v>46054</v>
      </c>
      <c r="E3608" s="888" t="s">
        <v>310</v>
      </c>
      <c r="F3608" s="888" t="s">
        <v>310</v>
      </c>
    </row>
    <row r="3609" spans="1:6">
      <c r="A3609" s="888">
        <v>182</v>
      </c>
      <c r="B3609" s="888" t="s">
        <v>1156</v>
      </c>
      <c r="C3609" s="888" t="s">
        <v>1468</v>
      </c>
      <c r="D3609" s="889">
        <v>46023</v>
      </c>
      <c r="E3609" s="888" t="s">
        <v>310</v>
      </c>
      <c r="F3609" s="888" t="s">
        <v>310</v>
      </c>
    </row>
    <row r="3610" spans="1:6">
      <c r="A3610" s="888">
        <v>182</v>
      </c>
      <c r="B3610" s="888" t="s">
        <v>1156</v>
      </c>
      <c r="C3610" s="888" t="s">
        <v>1468</v>
      </c>
      <c r="D3610" s="889">
        <v>46024</v>
      </c>
      <c r="E3610" s="888" t="s">
        <v>310</v>
      </c>
      <c r="F3610" s="888" t="s">
        <v>310</v>
      </c>
    </row>
    <row r="3611" spans="1:6">
      <c r="A3611" s="888">
        <v>182</v>
      </c>
      <c r="B3611" s="888" t="s">
        <v>1156</v>
      </c>
      <c r="C3611" s="888" t="s">
        <v>1468</v>
      </c>
      <c r="D3611" s="889">
        <v>46025</v>
      </c>
      <c r="E3611" s="888" t="s">
        <v>310</v>
      </c>
      <c r="F3611" s="888" t="s">
        <v>310</v>
      </c>
    </row>
    <row r="3612" spans="1:6">
      <c r="A3612" s="888">
        <v>182</v>
      </c>
      <c r="B3612" s="888" t="s">
        <v>1156</v>
      </c>
      <c r="C3612" s="888" t="s">
        <v>1468</v>
      </c>
      <c r="D3612" s="889">
        <v>46026</v>
      </c>
      <c r="E3612" s="888" t="s">
        <v>310</v>
      </c>
      <c r="F3612" s="888" t="s">
        <v>310</v>
      </c>
    </row>
    <row r="3613" spans="1:6">
      <c r="A3613" s="888">
        <v>182</v>
      </c>
      <c r="B3613" s="888" t="s">
        <v>1156</v>
      </c>
      <c r="C3613" s="888" t="s">
        <v>1468</v>
      </c>
      <c r="D3613" s="889">
        <v>46027</v>
      </c>
      <c r="E3613" s="890">
        <v>0.56557870370370367</v>
      </c>
      <c r="F3613" s="890">
        <v>0.78303240740740743</v>
      </c>
    </row>
    <row r="3614" spans="1:6">
      <c r="A3614" s="888" t="s">
        <v>3194</v>
      </c>
      <c r="B3614" s="888" t="s">
        <v>3195</v>
      </c>
      <c r="C3614" s="888" t="s">
        <v>3196</v>
      </c>
    </row>
    <row r="3615" spans="1:6">
      <c r="A3615" s="888">
        <v>182</v>
      </c>
      <c r="B3615" s="888" t="s">
        <v>1156</v>
      </c>
      <c r="C3615" s="888" t="s">
        <v>1468</v>
      </c>
      <c r="D3615" s="889">
        <v>46028</v>
      </c>
      <c r="E3615" s="890">
        <v>0.36883101851851852</v>
      </c>
      <c r="F3615" s="890">
        <v>0.79790509259259257</v>
      </c>
    </row>
    <row r="3616" spans="1:6">
      <c r="A3616" s="888" t="s">
        <v>3197</v>
      </c>
      <c r="B3616" s="888" t="s">
        <v>3198</v>
      </c>
      <c r="C3616" s="888" t="s">
        <v>1396</v>
      </c>
    </row>
    <row r="3617" spans="1:6">
      <c r="A3617" s="888">
        <v>182</v>
      </c>
      <c r="B3617" s="888" t="s">
        <v>1156</v>
      </c>
      <c r="C3617" s="888" t="s">
        <v>1468</v>
      </c>
      <c r="D3617" s="889">
        <v>46029</v>
      </c>
      <c r="E3617" s="890">
        <v>0.37524305555555554</v>
      </c>
      <c r="F3617" s="890">
        <v>0.77038194444444441</v>
      </c>
    </row>
    <row r="3618" spans="1:6">
      <c r="A3618" s="888" t="s">
        <v>3199</v>
      </c>
      <c r="B3618" s="888" t="s">
        <v>3200</v>
      </c>
      <c r="C3618" s="888" t="s">
        <v>1413</v>
      </c>
    </row>
    <row r="3619" spans="1:6">
      <c r="A3619" s="888">
        <v>182</v>
      </c>
      <c r="B3619" s="888" t="s">
        <v>1156</v>
      </c>
      <c r="C3619" s="888" t="s">
        <v>1468</v>
      </c>
      <c r="D3619" s="889">
        <v>46030</v>
      </c>
      <c r="E3619" s="890">
        <v>0.37081018518518516</v>
      </c>
      <c r="F3619" s="890">
        <v>0.78229166666666672</v>
      </c>
    </row>
    <row r="3620" spans="1:6">
      <c r="A3620" s="888" t="s">
        <v>3201</v>
      </c>
      <c r="B3620" s="888" t="s">
        <v>3202</v>
      </c>
      <c r="C3620" s="888" t="s">
        <v>1369</v>
      </c>
    </row>
    <row r="3621" spans="1:6">
      <c r="A3621" s="888">
        <v>182</v>
      </c>
      <c r="B3621" s="888" t="s">
        <v>1156</v>
      </c>
      <c r="C3621" s="888" t="s">
        <v>1468</v>
      </c>
      <c r="D3621" s="889">
        <v>46031</v>
      </c>
      <c r="E3621" s="888" t="s">
        <v>310</v>
      </c>
      <c r="F3621" s="888" t="s">
        <v>310</v>
      </c>
    </row>
    <row r="3622" spans="1:6">
      <c r="A3622" s="888">
        <v>182</v>
      </c>
      <c r="B3622" s="888" t="s">
        <v>1156</v>
      </c>
      <c r="C3622" s="888" t="s">
        <v>1468</v>
      </c>
      <c r="D3622" s="889">
        <v>46032</v>
      </c>
      <c r="E3622" s="888" t="s">
        <v>310</v>
      </c>
      <c r="F3622" s="888" t="s">
        <v>310</v>
      </c>
    </row>
    <row r="3623" spans="1:6">
      <c r="A3623" s="888">
        <v>182</v>
      </c>
      <c r="B3623" s="888" t="s">
        <v>1156</v>
      </c>
      <c r="C3623" s="888" t="s">
        <v>1468</v>
      </c>
      <c r="D3623" s="889">
        <v>46033</v>
      </c>
      <c r="E3623" s="888" t="s">
        <v>310</v>
      </c>
      <c r="F3623" s="888" t="s">
        <v>310</v>
      </c>
    </row>
    <row r="3624" spans="1:6">
      <c r="A3624" s="888">
        <v>182</v>
      </c>
      <c r="B3624" s="888" t="s">
        <v>1156</v>
      </c>
      <c r="C3624" s="888" t="s">
        <v>1468</v>
      </c>
      <c r="D3624" s="889">
        <v>46034</v>
      </c>
      <c r="E3624" s="890">
        <v>0.36201388888888891</v>
      </c>
      <c r="F3624" s="890">
        <v>0.8409375</v>
      </c>
    </row>
    <row r="3625" spans="1:6">
      <c r="A3625" s="888" t="s">
        <v>3203</v>
      </c>
      <c r="B3625" s="888" t="s">
        <v>3204</v>
      </c>
      <c r="C3625" s="888" t="s">
        <v>3205</v>
      </c>
    </row>
    <row r="3626" spans="1:6">
      <c r="A3626" s="888">
        <v>182</v>
      </c>
      <c r="B3626" s="888" t="s">
        <v>1156</v>
      </c>
      <c r="C3626" s="888" t="s">
        <v>1468</v>
      </c>
      <c r="D3626" s="889">
        <v>46035</v>
      </c>
      <c r="E3626" s="890">
        <v>0.36304398148148148</v>
      </c>
      <c r="F3626" s="890">
        <v>0.76684027777777775</v>
      </c>
    </row>
    <row r="3627" spans="1:6">
      <c r="A3627" s="888" t="s">
        <v>3206</v>
      </c>
      <c r="B3627" s="888" t="s">
        <v>3207</v>
      </c>
      <c r="C3627" s="888" t="s">
        <v>1363</v>
      </c>
    </row>
    <row r="3628" spans="1:6">
      <c r="A3628" s="888">
        <v>182</v>
      </c>
      <c r="B3628" s="888" t="s">
        <v>1156</v>
      </c>
      <c r="C3628" s="888" t="s">
        <v>1468</v>
      </c>
      <c r="D3628" s="889">
        <v>46036</v>
      </c>
      <c r="E3628" s="890">
        <v>0.37138888888888888</v>
      </c>
      <c r="F3628" s="890">
        <v>0.79342592592592598</v>
      </c>
    </row>
    <row r="3629" spans="1:6">
      <c r="A3629" s="888" t="s">
        <v>3208</v>
      </c>
      <c r="B3629" s="888" t="s">
        <v>3209</v>
      </c>
      <c r="C3629" s="888" t="s">
        <v>1686</v>
      </c>
    </row>
    <row r="3630" spans="1:6">
      <c r="A3630" s="888">
        <v>182</v>
      </c>
      <c r="B3630" s="888" t="s">
        <v>1156</v>
      </c>
      <c r="C3630" s="888" t="s">
        <v>1468</v>
      </c>
      <c r="D3630" s="889">
        <v>46037</v>
      </c>
      <c r="E3630" s="890">
        <v>0.37063657407407408</v>
      </c>
      <c r="F3630" s="890">
        <v>0.77563657407407405</v>
      </c>
    </row>
    <row r="3631" spans="1:6">
      <c r="A3631" s="888" t="s">
        <v>3210</v>
      </c>
      <c r="B3631" s="888" t="s">
        <v>3211</v>
      </c>
      <c r="C3631" s="888" t="s">
        <v>1356</v>
      </c>
    </row>
    <row r="3632" spans="1:6">
      <c r="A3632" s="888">
        <v>182</v>
      </c>
      <c r="B3632" s="888" t="s">
        <v>1156</v>
      </c>
      <c r="C3632" s="888" t="s">
        <v>1468</v>
      </c>
      <c r="D3632" s="889">
        <v>46038</v>
      </c>
      <c r="E3632" s="888" t="s">
        <v>310</v>
      </c>
      <c r="F3632" s="888" t="s">
        <v>310</v>
      </c>
    </row>
    <row r="3633" spans="1:6">
      <c r="A3633" s="888">
        <v>182</v>
      </c>
      <c r="B3633" s="888" t="s">
        <v>1156</v>
      </c>
      <c r="C3633" s="888" t="s">
        <v>1468</v>
      </c>
      <c r="D3633" s="889">
        <v>46039</v>
      </c>
      <c r="E3633" s="888" t="s">
        <v>310</v>
      </c>
      <c r="F3633" s="888" t="s">
        <v>310</v>
      </c>
    </row>
    <row r="3634" spans="1:6">
      <c r="A3634" s="888">
        <v>182</v>
      </c>
      <c r="B3634" s="888" t="s">
        <v>1156</v>
      </c>
      <c r="C3634" s="888" t="s">
        <v>1468</v>
      </c>
      <c r="D3634" s="889">
        <v>46040</v>
      </c>
      <c r="E3634" s="888" t="s">
        <v>310</v>
      </c>
      <c r="F3634" s="888" t="s">
        <v>310</v>
      </c>
    </row>
    <row r="3635" spans="1:6">
      <c r="A3635" s="888">
        <v>182</v>
      </c>
      <c r="B3635" s="888" t="s">
        <v>1156</v>
      </c>
      <c r="C3635" s="888" t="s">
        <v>1468</v>
      </c>
      <c r="D3635" s="889">
        <v>46041</v>
      </c>
      <c r="E3635" s="890">
        <v>0.37638888888888888</v>
      </c>
      <c r="F3635" s="890">
        <v>0.81097222222222221</v>
      </c>
    </row>
    <row r="3636" spans="1:6">
      <c r="A3636" s="888" t="s">
        <v>3212</v>
      </c>
      <c r="B3636" s="888" t="s">
        <v>3213</v>
      </c>
      <c r="C3636" s="888" t="s">
        <v>1895</v>
      </c>
    </row>
    <row r="3637" spans="1:6">
      <c r="A3637" s="888">
        <v>182</v>
      </c>
      <c r="B3637" s="888" t="s">
        <v>1156</v>
      </c>
      <c r="C3637" s="888" t="s">
        <v>1468</v>
      </c>
      <c r="D3637" s="889">
        <v>46042</v>
      </c>
      <c r="E3637" s="890">
        <v>0.37082175925925925</v>
      </c>
      <c r="F3637" s="890">
        <v>0.77325231481481482</v>
      </c>
    </row>
    <row r="3638" spans="1:6">
      <c r="A3638" s="888" t="s">
        <v>3214</v>
      </c>
      <c r="B3638" s="888" t="s">
        <v>3215</v>
      </c>
      <c r="C3638" s="888" t="s">
        <v>1624</v>
      </c>
    </row>
    <row r="3639" spans="1:6">
      <c r="A3639" s="888">
        <v>182</v>
      </c>
      <c r="B3639" s="888" t="s">
        <v>1156</v>
      </c>
      <c r="C3639" s="888" t="s">
        <v>1468</v>
      </c>
      <c r="D3639" s="889">
        <v>46043</v>
      </c>
      <c r="E3639" s="890">
        <v>0.36814814814814817</v>
      </c>
      <c r="F3639" s="890">
        <v>0.76438657407407407</v>
      </c>
    </row>
    <row r="3640" spans="1:6">
      <c r="A3640" s="888" t="s">
        <v>3216</v>
      </c>
      <c r="B3640" s="888" t="s">
        <v>3217</v>
      </c>
      <c r="C3640" s="888" t="s">
        <v>1452</v>
      </c>
    </row>
    <row r="3641" spans="1:6">
      <c r="A3641" s="888">
        <v>182</v>
      </c>
      <c r="B3641" s="888" t="s">
        <v>1156</v>
      </c>
      <c r="C3641" s="888" t="s">
        <v>1468</v>
      </c>
      <c r="D3641" s="889">
        <v>46044</v>
      </c>
      <c r="E3641" s="890">
        <v>0.37802083333333331</v>
      </c>
      <c r="F3641" s="890">
        <v>0.77407407407407403</v>
      </c>
    </row>
    <row r="3642" spans="1:6">
      <c r="A3642" s="888" t="s">
        <v>3218</v>
      </c>
      <c r="B3642" s="888" t="s">
        <v>3219</v>
      </c>
      <c r="C3642" s="888" t="s">
        <v>1404</v>
      </c>
    </row>
    <row r="3643" spans="1:6">
      <c r="A3643" s="888">
        <v>182</v>
      </c>
      <c r="B3643" s="888" t="s">
        <v>1156</v>
      </c>
      <c r="C3643" s="888" t="s">
        <v>1468</v>
      </c>
      <c r="D3643" s="889">
        <v>46045</v>
      </c>
      <c r="E3643" s="888" t="s">
        <v>310</v>
      </c>
      <c r="F3643" s="888" t="s">
        <v>310</v>
      </c>
    </row>
    <row r="3644" spans="1:6">
      <c r="A3644" s="888">
        <v>182</v>
      </c>
      <c r="B3644" s="888" t="s">
        <v>1156</v>
      </c>
      <c r="C3644" s="888" t="s">
        <v>1468</v>
      </c>
      <c r="D3644" s="889">
        <v>46046</v>
      </c>
      <c r="E3644" s="888" t="s">
        <v>310</v>
      </c>
      <c r="F3644" s="888" t="s">
        <v>310</v>
      </c>
    </row>
    <row r="3645" spans="1:6">
      <c r="A3645" s="888">
        <v>182</v>
      </c>
      <c r="B3645" s="888" t="s">
        <v>1156</v>
      </c>
      <c r="C3645" s="888" t="s">
        <v>1468</v>
      </c>
      <c r="D3645" s="889">
        <v>46047</v>
      </c>
      <c r="E3645" s="888" t="s">
        <v>310</v>
      </c>
      <c r="F3645" s="888" t="s">
        <v>310</v>
      </c>
    </row>
    <row r="3646" spans="1:6">
      <c r="A3646" s="888">
        <v>182</v>
      </c>
      <c r="B3646" s="888" t="s">
        <v>1156</v>
      </c>
      <c r="C3646" s="888" t="s">
        <v>1468</v>
      </c>
      <c r="D3646" s="889">
        <v>46048</v>
      </c>
      <c r="E3646" s="890">
        <v>0.57277777777777783</v>
      </c>
      <c r="F3646" s="890">
        <v>0.864375</v>
      </c>
    </row>
    <row r="3647" spans="1:6">
      <c r="A3647" s="888" t="s">
        <v>3220</v>
      </c>
      <c r="B3647" s="888" t="s">
        <v>3221</v>
      </c>
      <c r="C3647" s="888" t="s">
        <v>3222</v>
      </c>
    </row>
    <row r="3648" spans="1:6">
      <c r="A3648" s="888">
        <v>182</v>
      </c>
      <c r="B3648" s="888" t="s">
        <v>1156</v>
      </c>
      <c r="C3648" s="888" t="s">
        <v>1468</v>
      </c>
      <c r="D3648" s="889">
        <v>46049</v>
      </c>
      <c r="E3648" s="890">
        <v>0.37689814814814815</v>
      </c>
      <c r="F3648" s="890">
        <v>0.77392361111111108</v>
      </c>
    </row>
    <row r="3649" spans="1:6">
      <c r="A3649" s="888" t="s">
        <v>3223</v>
      </c>
      <c r="B3649" s="888" t="s">
        <v>3224</v>
      </c>
      <c r="C3649" s="888" t="s">
        <v>1514</v>
      </c>
    </row>
    <row r="3650" spans="1:6">
      <c r="A3650" s="888">
        <v>182</v>
      </c>
      <c r="B3650" s="888" t="s">
        <v>1156</v>
      </c>
      <c r="C3650" s="888" t="s">
        <v>1468</v>
      </c>
      <c r="D3650" s="889">
        <v>46050</v>
      </c>
      <c r="E3650" s="890">
        <v>0.37387731481481479</v>
      </c>
      <c r="F3650" s="890">
        <v>0.77842592592592597</v>
      </c>
    </row>
    <row r="3651" spans="1:6">
      <c r="A3651" s="888" t="s">
        <v>3225</v>
      </c>
      <c r="B3651" s="888" t="s">
        <v>3226</v>
      </c>
      <c r="C3651" s="888" t="s">
        <v>1356</v>
      </c>
    </row>
    <row r="3652" spans="1:6">
      <c r="A3652" s="888">
        <v>182</v>
      </c>
      <c r="B3652" s="888" t="s">
        <v>1156</v>
      </c>
      <c r="C3652" s="888" t="s">
        <v>1468</v>
      </c>
      <c r="D3652" s="889">
        <v>46051</v>
      </c>
      <c r="E3652" s="890">
        <v>0.38826388888888891</v>
      </c>
      <c r="F3652" s="890">
        <v>0.80609953703703707</v>
      </c>
    </row>
    <row r="3653" spans="1:6">
      <c r="A3653" s="888" t="s">
        <v>3227</v>
      </c>
      <c r="B3653" s="888" t="s">
        <v>3228</v>
      </c>
      <c r="C3653" s="888" t="s">
        <v>1790</v>
      </c>
    </row>
    <row r="3654" spans="1:6">
      <c r="A3654" s="888">
        <v>182</v>
      </c>
      <c r="B3654" s="888" t="s">
        <v>1156</v>
      </c>
      <c r="C3654" s="888" t="s">
        <v>1468</v>
      </c>
      <c r="D3654" s="889">
        <v>46052</v>
      </c>
      <c r="E3654" s="888" t="s">
        <v>310</v>
      </c>
      <c r="F3654" s="888" t="s">
        <v>310</v>
      </c>
    </row>
    <row r="3655" spans="1:6">
      <c r="A3655" s="888">
        <v>182</v>
      </c>
      <c r="B3655" s="888" t="s">
        <v>1156</v>
      </c>
      <c r="C3655" s="888" t="s">
        <v>1468</v>
      </c>
      <c r="D3655" s="889">
        <v>46053</v>
      </c>
      <c r="E3655" s="888" t="s">
        <v>310</v>
      </c>
      <c r="F3655" s="888" t="s">
        <v>310</v>
      </c>
    </row>
    <row r="3656" spans="1:6">
      <c r="A3656" s="888">
        <v>182</v>
      </c>
      <c r="B3656" s="888" t="s">
        <v>1156</v>
      </c>
      <c r="C3656" s="888" t="s">
        <v>1468</v>
      </c>
      <c r="D3656" s="889">
        <v>46054</v>
      </c>
      <c r="E3656" s="888" t="s">
        <v>310</v>
      </c>
      <c r="F3656" s="888" t="s">
        <v>310</v>
      </c>
    </row>
    <row r="3657" spans="1:6">
      <c r="A3657" s="888">
        <v>186</v>
      </c>
      <c r="B3657" s="888" t="s">
        <v>1157</v>
      </c>
      <c r="C3657" s="888" t="s">
        <v>2310</v>
      </c>
      <c r="D3657" s="889">
        <v>46023</v>
      </c>
      <c r="E3657" s="888" t="s">
        <v>310</v>
      </c>
      <c r="F3657" s="888" t="s">
        <v>310</v>
      </c>
    </row>
    <row r="3658" spans="1:6">
      <c r="A3658" s="888">
        <v>186</v>
      </c>
      <c r="B3658" s="888" t="s">
        <v>1157</v>
      </c>
      <c r="C3658" s="888" t="s">
        <v>2310</v>
      </c>
      <c r="D3658" s="889">
        <v>46024</v>
      </c>
      <c r="E3658" s="888" t="s">
        <v>310</v>
      </c>
      <c r="F3658" s="888" t="s">
        <v>310</v>
      </c>
    </row>
    <row r="3659" spans="1:6">
      <c r="A3659" s="888">
        <v>186</v>
      </c>
      <c r="B3659" s="888" t="s">
        <v>1157</v>
      </c>
      <c r="C3659" s="888" t="s">
        <v>2310</v>
      </c>
      <c r="D3659" s="889">
        <v>46025</v>
      </c>
      <c r="E3659" s="888" t="s">
        <v>310</v>
      </c>
      <c r="F3659" s="888" t="s">
        <v>310</v>
      </c>
    </row>
    <row r="3660" spans="1:6">
      <c r="A3660" s="888">
        <v>186</v>
      </c>
      <c r="B3660" s="888" t="s">
        <v>1157</v>
      </c>
      <c r="C3660" s="888" t="s">
        <v>2310</v>
      </c>
      <c r="D3660" s="889">
        <v>46026</v>
      </c>
      <c r="E3660" s="888" t="s">
        <v>310</v>
      </c>
      <c r="F3660" s="888" t="s">
        <v>310</v>
      </c>
    </row>
    <row r="3661" spans="1:6">
      <c r="A3661" s="888">
        <v>186</v>
      </c>
      <c r="B3661" s="888" t="s">
        <v>1157</v>
      </c>
      <c r="C3661" s="888" t="s">
        <v>2310</v>
      </c>
      <c r="D3661" s="889">
        <v>46027</v>
      </c>
      <c r="E3661" s="888" t="s">
        <v>310</v>
      </c>
      <c r="F3661" s="888" t="s">
        <v>310</v>
      </c>
    </row>
    <row r="3662" spans="1:6">
      <c r="A3662" s="888">
        <v>186</v>
      </c>
      <c r="B3662" s="888" t="s">
        <v>1157</v>
      </c>
      <c r="C3662" s="888" t="s">
        <v>2310</v>
      </c>
      <c r="D3662" s="889">
        <v>46028</v>
      </c>
      <c r="E3662" s="888" t="s">
        <v>310</v>
      </c>
      <c r="F3662" s="888" t="s">
        <v>310</v>
      </c>
    </row>
    <row r="3663" spans="1:6">
      <c r="A3663" s="888">
        <v>186</v>
      </c>
      <c r="B3663" s="888" t="s">
        <v>1157</v>
      </c>
      <c r="C3663" s="888" t="s">
        <v>2310</v>
      </c>
      <c r="D3663" s="889">
        <v>46029</v>
      </c>
      <c r="E3663" s="890">
        <v>0.62813657407407408</v>
      </c>
      <c r="F3663" s="888" t="s">
        <v>310</v>
      </c>
    </row>
    <row r="3664" spans="1:6">
      <c r="A3664" s="888" t="s">
        <v>3229</v>
      </c>
      <c r="B3664" s="888" t="s">
        <v>1258</v>
      </c>
      <c r="C3664" s="888" t="s">
        <v>1259</v>
      </c>
    </row>
    <row r="3665" spans="1:6">
      <c r="A3665" s="888">
        <v>186</v>
      </c>
      <c r="B3665" s="888" t="s">
        <v>1157</v>
      </c>
      <c r="C3665" s="888" t="s">
        <v>2310</v>
      </c>
      <c r="D3665" s="889">
        <v>46030</v>
      </c>
      <c r="E3665" s="888" t="s">
        <v>310</v>
      </c>
      <c r="F3665" s="888" t="s">
        <v>310</v>
      </c>
    </row>
    <row r="3666" spans="1:6">
      <c r="A3666" s="888">
        <v>186</v>
      </c>
      <c r="B3666" s="888" t="s">
        <v>1157</v>
      </c>
      <c r="C3666" s="888" t="s">
        <v>2310</v>
      </c>
      <c r="D3666" s="889">
        <v>46031</v>
      </c>
      <c r="E3666" s="888" t="s">
        <v>310</v>
      </c>
      <c r="F3666" s="888" t="s">
        <v>310</v>
      </c>
    </row>
    <row r="3667" spans="1:6">
      <c r="A3667" s="888">
        <v>186</v>
      </c>
      <c r="B3667" s="888" t="s">
        <v>1157</v>
      </c>
      <c r="C3667" s="888" t="s">
        <v>2310</v>
      </c>
      <c r="D3667" s="889">
        <v>46032</v>
      </c>
      <c r="E3667" s="888" t="s">
        <v>310</v>
      </c>
      <c r="F3667" s="888" t="s">
        <v>310</v>
      </c>
    </row>
    <row r="3668" spans="1:6">
      <c r="A3668" s="888">
        <v>186</v>
      </c>
      <c r="B3668" s="888" t="s">
        <v>1157</v>
      </c>
      <c r="C3668" s="888" t="s">
        <v>2310</v>
      </c>
      <c r="D3668" s="889">
        <v>46033</v>
      </c>
      <c r="E3668" s="888" t="s">
        <v>310</v>
      </c>
      <c r="F3668" s="888" t="s">
        <v>310</v>
      </c>
    </row>
    <row r="3669" spans="1:6">
      <c r="A3669" s="888">
        <v>186</v>
      </c>
      <c r="B3669" s="888" t="s">
        <v>1157</v>
      </c>
      <c r="C3669" s="888" t="s">
        <v>2310</v>
      </c>
      <c r="D3669" s="889">
        <v>46034</v>
      </c>
      <c r="E3669" s="888" t="s">
        <v>310</v>
      </c>
      <c r="F3669" s="888" t="s">
        <v>310</v>
      </c>
    </row>
    <row r="3670" spans="1:6">
      <c r="A3670" s="888">
        <v>186</v>
      </c>
      <c r="B3670" s="888" t="s">
        <v>1157</v>
      </c>
      <c r="C3670" s="888" t="s">
        <v>2310</v>
      </c>
      <c r="D3670" s="889">
        <v>46035</v>
      </c>
      <c r="E3670" s="888" t="s">
        <v>310</v>
      </c>
      <c r="F3670" s="888" t="s">
        <v>310</v>
      </c>
    </row>
    <row r="3671" spans="1:6">
      <c r="A3671" s="888">
        <v>186</v>
      </c>
      <c r="B3671" s="888" t="s">
        <v>1157</v>
      </c>
      <c r="C3671" s="888" t="s">
        <v>2310</v>
      </c>
      <c r="D3671" s="889">
        <v>46036</v>
      </c>
      <c r="E3671" s="888" t="s">
        <v>310</v>
      </c>
      <c r="F3671" s="888" t="s">
        <v>310</v>
      </c>
    </row>
    <row r="3672" spans="1:6">
      <c r="A3672" s="888">
        <v>186</v>
      </c>
      <c r="B3672" s="888" t="s">
        <v>1157</v>
      </c>
      <c r="C3672" s="888" t="s">
        <v>2310</v>
      </c>
      <c r="D3672" s="889">
        <v>46037</v>
      </c>
      <c r="E3672" s="888" t="s">
        <v>310</v>
      </c>
      <c r="F3672" s="888" t="s">
        <v>310</v>
      </c>
    </row>
    <row r="3673" spans="1:6">
      <c r="A3673" s="888">
        <v>186</v>
      </c>
      <c r="B3673" s="888" t="s">
        <v>1157</v>
      </c>
      <c r="C3673" s="888" t="s">
        <v>2310</v>
      </c>
      <c r="D3673" s="889">
        <v>46038</v>
      </c>
      <c r="E3673" s="888" t="s">
        <v>310</v>
      </c>
      <c r="F3673" s="888" t="s">
        <v>310</v>
      </c>
    </row>
    <row r="3674" spans="1:6">
      <c r="A3674" s="888">
        <v>186</v>
      </c>
      <c r="B3674" s="888" t="s">
        <v>1157</v>
      </c>
      <c r="C3674" s="888" t="s">
        <v>2310</v>
      </c>
      <c r="D3674" s="889">
        <v>46039</v>
      </c>
      <c r="E3674" s="888" t="s">
        <v>310</v>
      </c>
      <c r="F3674" s="888" t="s">
        <v>310</v>
      </c>
    </row>
    <row r="3675" spans="1:6">
      <c r="A3675" s="888">
        <v>186</v>
      </c>
      <c r="B3675" s="888" t="s">
        <v>1157</v>
      </c>
      <c r="C3675" s="888" t="s">
        <v>2310</v>
      </c>
      <c r="D3675" s="889">
        <v>46040</v>
      </c>
      <c r="E3675" s="888" t="s">
        <v>310</v>
      </c>
      <c r="F3675" s="888" t="s">
        <v>310</v>
      </c>
    </row>
    <row r="3676" spans="1:6">
      <c r="A3676" s="888">
        <v>186</v>
      </c>
      <c r="B3676" s="888" t="s">
        <v>1157</v>
      </c>
      <c r="C3676" s="888" t="s">
        <v>2310</v>
      </c>
      <c r="D3676" s="889">
        <v>46041</v>
      </c>
      <c r="E3676" s="888" t="s">
        <v>310</v>
      </c>
      <c r="F3676" s="888" t="s">
        <v>310</v>
      </c>
    </row>
    <row r="3677" spans="1:6">
      <c r="A3677" s="888">
        <v>186</v>
      </c>
      <c r="B3677" s="888" t="s">
        <v>1157</v>
      </c>
      <c r="C3677" s="888" t="s">
        <v>2310</v>
      </c>
      <c r="D3677" s="889">
        <v>46042</v>
      </c>
      <c r="E3677" s="888" t="s">
        <v>310</v>
      </c>
      <c r="F3677" s="888" t="s">
        <v>310</v>
      </c>
    </row>
    <row r="3678" spans="1:6">
      <c r="A3678" s="888">
        <v>186</v>
      </c>
      <c r="B3678" s="888" t="s">
        <v>1157</v>
      </c>
      <c r="C3678" s="888" t="s">
        <v>2310</v>
      </c>
      <c r="D3678" s="889">
        <v>46043</v>
      </c>
      <c r="E3678" s="888" t="s">
        <v>310</v>
      </c>
      <c r="F3678" s="888" t="s">
        <v>310</v>
      </c>
    </row>
    <row r="3679" spans="1:6">
      <c r="A3679" s="888">
        <v>186</v>
      </c>
      <c r="B3679" s="888" t="s">
        <v>1157</v>
      </c>
      <c r="C3679" s="888" t="s">
        <v>2310</v>
      </c>
      <c r="D3679" s="889">
        <v>46044</v>
      </c>
      <c r="E3679" s="888" t="s">
        <v>310</v>
      </c>
      <c r="F3679" s="888" t="s">
        <v>310</v>
      </c>
    </row>
    <row r="3680" spans="1:6">
      <c r="A3680" s="888">
        <v>186</v>
      </c>
      <c r="B3680" s="888" t="s">
        <v>1157</v>
      </c>
      <c r="C3680" s="888" t="s">
        <v>2310</v>
      </c>
      <c r="D3680" s="889">
        <v>46045</v>
      </c>
      <c r="E3680" s="888" t="s">
        <v>310</v>
      </c>
      <c r="F3680" s="888" t="s">
        <v>310</v>
      </c>
    </row>
    <row r="3681" spans="1:6">
      <c r="A3681" s="888">
        <v>186</v>
      </c>
      <c r="B3681" s="888" t="s">
        <v>1157</v>
      </c>
      <c r="C3681" s="888" t="s">
        <v>2310</v>
      </c>
      <c r="D3681" s="889">
        <v>46046</v>
      </c>
      <c r="E3681" s="888" t="s">
        <v>310</v>
      </c>
      <c r="F3681" s="888" t="s">
        <v>310</v>
      </c>
    </row>
    <row r="3682" spans="1:6">
      <c r="A3682" s="888">
        <v>186</v>
      </c>
      <c r="B3682" s="888" t="s">
        <v>1157</v>
      </c>
      <c r="C3682" s="888" t="s">
        <v>2310</v>
      </c>
      <c r="D3682" s="889">
        <v>46047</v>
      </c>
      <c r="E3682" s="888" t="s">
        <v>310</v>
      </c>
      <c r="F3682" s="888" t="s">
        <v>310</v>
      </c>
    </row>
    <row r="3683" spans="1:6">
      <c r="A3683" s="888">
        <v>186</v>
      </c>
      <c r="B3683" s="888" t="s">
        <v>1157</v>
      </c>
      <c r="C3683" s="888" t="s">
        <v>2310</v>
      </c>
      <c r="D3683" s="889">
        <v>46048</v>
      </c>
      <c r="E3683" s="888" t="s">
        <v>310</v>
      </c>
      <c r="F3683" s="888" t="s">
        <v>310</v>
      </c>
    </row>
    <row r="3684" spans="1:6">
      <c r="A3684" s="888">
        <v>186</v>
      </c>
      <c r="B3684" s="888" t="s">
        <v>1157</v>
      </c>
      <c r="C3684" s="888" t="s">
        <v>2310</v>
      </c>
      <c r="D3684" s="889">
        <v>46049</v>
      </c>
      <c r="E3684" s="888" t="s">
        <v>310</v>
      </c>
      <c r="F3684" s="888" t="s">
        <v>310</v>
      </c>
    </row>
    <row r="3685" spans="1:6">
      <c r="A3685" s="888">
        <v>186</v>
      </c>
      <c r="B3685" s="888" t="s">
        <v>1157</v>
      </c>
      <c r="C3685" s="888" t="s">
        <v>2310</v>
      </c>
      <c r="D3685" s="889">
        <v>46050</v>
      </c>
      <c r="E3685" s="888" t="s">
        <v>310</v>
      </c>
      <c r="F3685" s="888" t="s">
        <v>310</v>
      </c>
    </row>
    <row r="3686" spans="1:6">
      <c r="A3686" s="888">
        <v>186</v>
      </c>
      <c r="B3686" s="888" t="s">
        <v>1157</v>
      </c>
      <c r="C3686" s="888" t="s">
        <v>2310</v>
      </c>
      <c r="D3686" s="889">
        <v>46051</v>
      </c>
      <c r="E3686" s="888" t="s">
        <v>310</v>
      </c>
      <c r="F3686" s="888" t="s">
        <v>310</v>
      </c>
    </row>
    <row r="3687" spans="1:6">
      <c r="A3687" s="888">
        <v>186</v>
      </c>
      <c r="B3687" s="888" t="s">
        <v>1157</v>
      </c>
      <c r="C3687" s="888" t="s">
        <v>2310</v>
      </c>
      <c r="D3687" s="889">
        <v>46052</v>
      </c>
      <c r="E3687" s="888" t="s">
        <v>310</v>
      </c>
      <c r="F3687" s="888" t="s">
        <v>310</v>
      </c>
    </row>
    <row r="3688" spans="1:6">
      <c r="A3688" s="888">
        <v>186</v>
      </c>
      <c r="B3688" s="888" t="s">
        <v>1157</v>
      </c>
      <c r="C3688" s="888" t="s">
        <v>2310</v>
      </c>
      <c r="D3688" s="889">
        <v>46053</v>
      </c>
      <c r="E3688" s="890">
        <v>0.57956018518518515</v>
      </c>
      <c r="F3688" s="888" t="s">
        <v>310</v>
      </c>
    </row>
    <row r="3689" spans="1:6">
      <c r="A3689" s="888" t="s">
        <v>3230</v>
      </c>
      <c r="B3689" s="888" t="s">
        <v>1258</v>
      </c>
      <c r="C3689" s="888" t="s">
        <v>1259</v>
      </c>
    </row>
    <row r="3690" spans="1:6">
      <c r="A3690" s="888">
        <v>186</v>
      </c>
      <c r="B3690" s="888" t="s">
        <v>1157</v>
      </c>
      <c r="C3690" s="888" t="s">
        <v>2310</v>
      </c>
      <c r="D3690" s="889">
        <v>46054</v>
      </c>
      <c r="E3690" s="888" t="s">
        <v>310</v>
      </c>
      <c r="F3690" s="888" t="s">
        <v>310</v>
      </c>
    </row>
    <row r="3691" spans="1:6">
      <c r="A3691" s="888">
        <v>187</v>
      </c>
      <c r="B3691" s="888" t="s">
        <v>1158</v>
      </c>
      <c r="C3691" s="888" t="s">
        <v>1767</v>
      </c>
      <c r="D3691" s="889">
        <v>46023</v>
      </c>
      <c r="E3691" s="888" t="s">
        <v>310</v>
      </c>
      <c r="F3691" s="888" t="s">
        <v>310</v>
      </c>
    </row>
    <row r="3692" spans="1:6">
      <c r="A3692" s="888">
        <v>187</v>
      </c>
      <c r="B3692" s="888" t="s">
        <v>1158</v>
      </c>
      <c r="C3692" s="888" t="s">
        <v>1767</v>
      </c>
      <c r="D3692" s="889">
        <v>46024</v>
      </c>
      <c r="E3692" s="888" t="s">
        <v>310</v>
      </c>
      <c r="F3692" s="888" t="s">
        <v>310</v>
      </c>
    </row>
    <row r="3693" spans="1:6">
      <c r="A3693" s="888">
        <v>187</v>
      </c>
      <c r="B3693" s="888" t="s">
        <v>1158</v>
      </c>
      <c r="C3693" s="888" t="s">
        <v>1767</v>
      </c>
      <c r="D3693" s="889">
        <v>46025</v>
      </c>
      <c r="E3693" s="888" t="s">
        <v>310</v>
      </c>
      <c r="F3693" s="888" t="s">
        <v>310</v>
      </c>
    </row>
    <row r="3694" spans="1:6">
      <c r="A3694" s="888">
        <v>187</v>
      </c>
      <c r="B3694" s="888" t="s">
        <v>1158</v>
      </c>
      <c r="C3694" s="888" t="s">
        <v>1767</v>
      </c>
      <c r="D3694" s="889">
        <v>46026</v>
      </c>
      <c r="E3694" s="888" t="s">
        <v>310</v>
      </c>
      <c r="F3694" s="888" t="s">
        <v>310</v>
      </c>
    </row>
    <row r="3695" spans="1:6">
      <c r="A3695" s="888">
        <v>187</v>
      </c>
      <c r="B3695" s="888" t="s">
        <v>1158</v>
      </c>
      <c r="C3695" s="888" t="s">
        <v>1767</v>
      </c>
      <c r="D3695" s="889">
        <v>46027</v>
      </c>
      <c r="E3695" s="890">
        <v>0.36949074074074073</v>
      </c>
      <c r="F3695" s="890">
        <v>0.79628472222222224</v>
      </c>
    </row>
    <row r="3696" spans="1:6">
      <c r="A3696" s="888" t="s">
        <v>3231</v>
      </c>
      <c r="B3696" s="888" t="s">
        <v>3232</v>
      </c>
      <c r="C3696" s="888" t="s">
        <v>1425</v>
      </c>
    </row>
    <row r="3697" spans="1:6">
      <c r="A3697" s="888">
        <v>187</v>
      </c>
      <c r="B3697" s="888" t="s">
        <v>1158</v>
      </c>
      <c r="C3697" s="888" t="s">
        <v>1767</v>
      </c>
      <c r="D3697" s="889">
        <v>46028</v>
      </c>
      <c r="E3697" s="890">
        <v>0.38563657407407409</v>
      </c>
      <c r="F3697" s="890">
        <v>0.7462847222222222</v>
      </c>
    </row>
    <row r="3698" spans="1:6">
      <c r="A3698" s="888" t="s">
        <v>3233</v>
      </c>
      <c r="B3698" s="888" t="s">
        <v>3234</v>
      </c>
      <c r="C3698" s="888" t="s">
        <v>3235</v>
      </c>
    </row>
    <row r="3699" spans="1:6">
      <c r="A3699" s="888">
        <v>187</v>
      </c>
      <c r="B3699" s="888" t="s">
        <v>1158</v>
      </c>
      <c r="C3699" s="888" t="s">
        <v>1767</v>
      </c>
      <c r="D3699" s="889">
        <v>46029</v>
      </c>
      <c r="E3699" s="890">
        <v>0.38013888888888892</v>
      </c>
      <c r="F3699" s="890">
        <v>0.75596064814814812</v>
      </c>
    </row>
    <row r="3700" spans="1:6">
      <c r="A3700" s="888" t="s">
        <v>3236</v>
      </c>
      <c r="B3700" s="888" t="s">
        <v>3237</v>
      </c>
      <c r="C3700" s="888" t="s">
        <v>1330</v>
      </c>
    </row>
    <row r="3701" spans="1:6">
      <c r="A3701" s="888">
        <v>187</v>
      </c>
      <c r="B3701" s="888" t="s">
        <v>1158</v>
      </c>
      <c r="C3701" s="888" t="s">
        <v>1767</v>
      </c>
      <c r="D3701" s="889">
        <v>46030</v>
      </c>
      <c r="E3701" s="890">
        <v>0.38519675925925928</v>
      </c>
      <c r="F3701" s="890">
        <v>0.77243055555555551</v>
      </c>
    </row>
    <row r="3702" spans="1:6">
      <c r="A3702" s="888" t="s">
        <v>3238</v>
      </c>
      <c r="B3702" s="888" t="s">
        <v>3239</v>
      </c>
      <c r="C3702" s="888" t="s">
        <v>1410</v>
      </c>
    </row>
    <row r="3703" spans="1:6">
      <c r="A3703" s="888">
        <v>187</v>
      </c>
      <c r="B3703" s="888" t="s">
        <v>1158</v>
      </c>
      <c r="C3703" s="888" t="s">
        <v>1767</v>
      </c>
      <c r="D3703" s="889">
        <v>46031</v>
      </c>
      <c r="E3703" s="890">
        <v>0.37796296296296295</v>
      </c>
      <c r="F3703" s="890">
        <v>0.80055555555555558</v>
      </c>
    </row>
    <row r="3704" spans="1:6">
      <c r="A3704" s="888" t="s">
        <v>3240</v>
      </c>
      <c r="B3704" s="888" t="s">
        <v>3241</v>
      </c>
      <c r="C3704" s="888" t="s">
        <v>1729</v>
      </c>
    </row>
    <row r="3705" spans="1:6">
      <c r="A3705" s="888">
        <v>187</v>
      </c>
      <c r="B3705" s="888" t="s">
        <v>1158</v>
      </c>
      <c r="C3705" s="888" t="s">
        <v>1767</v>
      </c>
      <c r="D3705" s="889">
        <v>46032</v>
      </c>
      <c r="E3705" s="890">
        <v>0.38938657407407407</v>
      </c>
      <c r="F3705" s="890">
        <v>0.80621527777777779</v>
      </c>
    </row>
    <row r="3706" spans="1:6">
      <c r="A3706" s="888" t="s">
        <v>3242</v>
      </c>
      <c r="B3706" s="888" t="s">
        <v>3243</v>
      </c>
      <c r="C3706" s="888" t="s">
        <v>1303</v>
      </c>
    </row>
    <row r="3707" spans="1:6">
      <c r="A3707" s="888">
        <v>187</v>
      </c>
      <c r="B3707" s="888" t="s">
        <v>1158</v>
      </c>
      <c r="C3707" s="888" t="s">
        <v>1767</v>
      </c>
      <c r="D3707" s="889">
        <v>46033</v>
      </c>
      <c r="E3707" s="888" t="s">
        <v>310</v>
      </c>
      <c r="F3707" s="888" t="s">
        <v>310</v>
      </c>
    </row>
    <row r="3708" spans="1:6">
      <c r="A3708" s="888">
        <v>187</v>
      </c>
      <c r="B3708" s="888" t="s">
        <v>1158</v>
      </c>
      <c r="C3708" s="888" t="s">
        <v>1767</v>
      </c>
      <c r="D3708" s="889">
        <v>46034</v>
      </c>
      <c r="E3708" s="890">
        <v>0.37570601851851854</v>
      </c>
      <c r="F3708" s="890">
        <v>0.75997685185185182</v>
      </c>
    </row>
    <row r="3709" spans="1:6">
      <c r="A3709" s="888" t="s">
        <v>3244</v>
      </c>
      <c r="B3709" s="888" t="s">
        <v>3245</v>
      </c>
      <c r="C3709" s="888" t="s">
        <v>1742</v>
      </c>
    </row>
    <row r="3710" spans="1:6">
      <c r="A3710" s="888">
        <v>187</v>
      </c>
      <c r="B3710" s="888" t="s">
        <v>1158</v>
      </c>
      <c r="C3710" s="888" t="s">
        <v>1767</v>
      </c>
      <c r="D3710" s="889">
        <v>46035</v>
      </c>
      <c r="E3710" s="890">
        <v>0.37559027777777776</v>
      </c>
      <c r="F3710" s="890">
        <v>0.76741898148148147</v>
      </c>
    </row>
    <row r="3711" spans="1:6">
      <c r="A3711" s="888" t="s">
        <v>3246</v>
      </c>
      <c r="B3711" s="888" t="s">
        <v>3247</v>
      </c>
      <c r="C3711" s="888" t="s">
        <v>1813</v>
      </c>
    </row>
    <row r="3712" spans="1:6">
      <c r="A3712" s="888">
        <v>187</v>
      </c>
      <c r="B3712" s="888" t="s">
        <v>1158</v>
      </c>
      <c r="C3712" s="888" t="s">
        <v>1767</v>
      </c>
      <c r="D3712" s="889">
        <v>46036</v>
      </c>
      <c r="E3712" s="890">
        <v>0.38223379629629628</v>
      </c>
      <c r="F3712" s="890">
        <v>0.7873148148148148</v>
      </c>
    </row>
    <row r="3713" spans="1:6">
      <c r="A3713" s="888" t="s">
        <v>3248</v>
      </c>
      <c r="B3713" s="888" t="s">
        <v>3249</v>
      </c>
      <c r="C3713" s="888" t="s">
        <v>1356</v>
      </c>
    </row>
    <row r="3714" spans="1:6">
      <c r="A3714" s="888">
        <v>187</v>
      </c>
      <c r="B3714" s="888" t="s">
        <v>1158</v>
      </c>
      <c r="C3714" s="888" t="s">
        <v>1767</v>
      </c>
      <c r="D3714" s="889">
        <v>46037</v>
      </c>
      <c r="E3714" s="890">
        <v>0.56812499999999999</v>
      </c>
      <c r="F3714" s="890">
        <v>0.76967592592592593</v>
      </c>
    </row>
    <row r="3715" spans="1:6">
      <c r="A3715" s="888" t="s">
        <v>3250</v>
      </c>
      <c r="B3715" s="888" t="s">
        <v>3251</v>
      </c>
      <c r="C3715" s="888" t="s">
        <v>3252</v>
      </c>
    </row>
    <row r="3716" spans="1:6">
      <c r="A3716" s="888">
        <v>187</v>
      </c>
      <c r="B3716" s="888" t="s">
        <v>1158</v>
      </c>
      <c r="C3716" s="888" t="s">
        <v>1767</v>
      </c>
      <c r="D3716" s="889">
        <v>46038</v>
      </c>
      <c r="E3716" s="890">
        <v>0.37925925925925924</v>
      </c>
      <c r="F3716" s="890">
        <v>0.78106481481481482</v>
      </c>
    </row>
    <row r="3717" spans="1:6">
      <c r="A3717" s="888" t="s">
        <v>3253</v>
      </c>
      <c r="B3717" s="888" t="s">
        <v>3254</v>
      </c>
      <c r="C3717" s="888" t="s">
        <v>1538</v>
      </c>
    </row>
    <row r="3718" spans="1:6">
      <c r="A3718" s="888">
        <v>187</v>
      </c>
      <c r="B3718" s="888" t="s">
        <v>1158</v>
      </c>
      <c r="C3718" s="888" t="s">
        <v>1767</v>
      </c>
      <c r="D3718" s="889">
        <v>46039</v>
      </c>
      <c r="E3718" s="888" t="s">
        <v>310</v>
      </c>
      <c r="F3718" s="888" t="s">
        <v>310</v>
      </c>
    </row>
    <row r="3719" spans="1:6">
      <c r="A3719" s="888">
        <v>187</v>
      </c>
      <c r="B3719" s="888" t="s">
        <v>1158</v>
      </c>
      <c r="C3719" s="888" t="s">
        <v>1767</v>
      </c>
      <c r="D3719" s="889">
        <v>46040</v>
      </c>
      <c r="E3719" s="888" t="s">
        <v>310</v>
      </c>
      <c r="F3719" s="888" t="s">
        <v>310</v>
      </c>
    </row>
    <row r="3720" spans="1:6">
      <c r="A3720" s="888">
        <v>187</v>
      </c>
      <c r="B3720" s="888" t="s">
        <v>1158</v>
      </c>
      <c r="C3720" s="888" t="s">
        <v>1767</v>
      </c>
      <c r="D3720" s="889">
        <v>46041</v>
      </c>
      <c r="E3720" s="890">
        <v>0.37814814814814812</v>
      </c>
      <c r="F3720" s="890">
        <v>0.76815972222222217</v>
      </c>
    </row>
    <row r="3721" spans="1:6">
      <c r="A3721" s="888" t="s">
        <v>3255</v>
      </c>
      <c r="B3721" s="888" t="s">
        <v>3256</v>
      </c>
      <c r="C3721" s="888" t="s">
        <v>1661</v>
      </c>
    </row>
    <row r="3722" spans="1:6">
      <c r="A3722" s="888">
        <v>187</v>
      </c>
      <c r="B3722" s="888" t="s">
        <v>1158</v>
      </c>
      <c r="C3722" s="888" t="s">
        <v>1767</v>
      </c>
      <c r="D3722" s="889">
        <v>46042</v>
      </c>
      <c r="E3722" s="890">
        <v>0.37084490740740739</v>
      </c>
      <c r="F3722" s="890">
        <v>0.82562500000000005</v>
      </c>
    </row>
    <row r="3723" spans="1:6">
      <c r="A3723" s="888" t="s">
        <v>3257</v>
      </c>
      <c r="B3723" s="888" t="s">
        <v>3258</v>
      </c>
      <c r="C3723" s="888" t="s">
        <v>3259</v>
      </c>
    </row>
    <row r="3724" spans="1:6">
      <c r="A3724" s="888">
        <v>187</v>
      </c>
      <c r="B3724" s="888" t="s">
        <v>1158</v>
      </c>
      <c r="C3724" s="888" t="s">
        <v>1767</v>
      </c>
      <c r="D3724" s="889">
        <v>46043</v>
      </c>
      <c r="E3724" s="890">
        <v>0.56508101851851855</v>
      </c>
      <c r="F3724" s="890">
        <v>0.75467592592592592</v>
      </c>
    </row>
    <row r="3725" spans="1:6">
      <c r="A3725" s="888" t="s">
        <v>3260</v>
      </c>
      <c r="B3725" s="888" t="s">
        <v>3261</v>
      </c>
      <c r="C3725" s="888" t="s">
        <v>2904</v>
      </c>
    </row>
    <row r="3726" spans="1:6">
      <c r="A3726" s="888">
        <v>187</v>
      </c>
      <c r="B3726" s="888" t="s">
        <v>1158</v>
      </c>
      <c r="C3726" s="888" t="s">
        <v>1767</v>
      </c>
      <c r="D3726" s="889">
        <v>46044</v>
      </c>
      <c r="E3726" s="890">
        <v>0.36947916666666669</v>
      </c>
      <c r="F3726" s="890">
        <v>0.78570601851851851</v>
      </c>
    </row>
    <row r="3727" spans="1:6">
      <c r="A3727" s="888" t="s">
        <v>3262</v>
      </c>
      <c r="B3727" s="888" t="s">
        <v>3263</v>
      </c>
      <c r="C3727" s="888" t="s">
        <v>1422</v>
      </c>
    </row>
    <row r="3728" spans="1:6">
      <c r="A3728" s="888">
        <v>187</v>
      </c>
      <c r="B3728" s="888" t="s">
        <v>1158</v>
      </c>
      <c r="C3728" s="888" t="s">
        <v>1767</v>
      </c>
      <c r="D3728" s="889">
        <v>46045</v>
      </c>
      <c r="E3728" s="890">
        <v>0.37829861111111113</v>
      </c>
      <c r="F3728" s="890">
        <v>0.78459490740740745</v>
      </c>
    </row>
    <row r="3729" spans="1:6">
      <c r="A3729" s="888" t="s">
        <v>3264</v>
      </c>
      <c r="B3729" s="888" t="s">
        <v>3265</v>
      </c>
      <c r="C3729" s="888" t="s">
        <v>1375</v>
      </c>
    </row>
    <row r="3730" spans="1:6">
      <c r="A3730" s="888">
        <v>187</v>
      </c>
      <c r="B3730" s="888" t="s">
        <v>1158</v>
      </c>
      <c r="C3730" s="888" t="s">
        <v>1767</v>
      </c>
      <c r="D3730" s="889">
        <v>46046</v>
      </c>
      <c r="E3730" s="888" t="s">
        <v>310</v>
      </c>
      <c r="F3730" s="888" t="s">
        <v>310</v>
      </c>
    </row>
    <row r="3731" spans="1:6">
      <c r="A3731" s="888">
        <v>187</v>
      </c>
      <c r="B3731" s="888" t="s">
        <v>1158</v>
      </c>
      <c r="C3731" s="888" t="s">
        <v>1767</v>
      </c>
      <c r="D3731" s="889">
        <v>46047</v>
      </c>
      <c r="E3731" s="888" t="s">
        <v>310</v>
      </c>
      <c r="F3731" s="888" t="s">
        <v>310</v>
      </c>
    </row>
    <row r="3732" spans="1:6">
      <c r="A3732" s="888">
        <v>187</v>
      </c>
      <c r="B3732" s="888" t="s">
        <v>1158</v>
      </c>
      <c r="C3732" s="888" t="s">
        <v>1767</v>
      </c>
      <c r="D3732" s="889">
        <v>46048</v>
      </c>
      <c r="E3732" s="890">
        <v>0.37844907407407408</v>
      </c>
      <c r="F3732" s="890">
        <v>0.7605439814814815</v>
      </c>
    </row>
    <row r="3733" spans="1:6">
      <c r="A3733" s="888" t="s">
        <v>3266</v>
      </c>
      <c r="B3733" s="888" t="s">
        <v>3267</v>
      </c>
      <c r="C3733" s="888" t="s">
        <v>1580</v>
      </c>
    </row>
    <row r="3734" spans="1:6">
      <c r="A3734" s="888">
        <v>187</v>
      </c>
      <c r="B3734" s="888" t="s">
        <v>1158</v>
      </c>
      <c r="C3734" s="888" t="s">
        <v>1767</v>
      </c>
      <c r="D3734" s="889">
        <v>46049</v>
      </c>
      <c r="E3734" s="890">
        <v>0.37885416666666666</v>
      </c>
      <c r="F3734" s="890">
        <v>0.77371527777777782</v>
      </c>
    </row>
    <row r="3735" spans="1:6">
      <c r="A3735" s="888" t="s">
        <v>3268</v>
      </c>
      <c r="B3735" s="888" t="s">
        <v>3269</v>
      </c>
      <c r="C3735" s="888" t="s">
        <v>1413</v>
      </c>
    </row>
    <row r="3736" spans="1:6">
      <c r="A3736" s="888">
        <v>187</v>
      </c>
      <c r="B3736" s="888" t="s">
        <v>1158</v>
      </c>
      <c r="C3736" s="888" t="s">
        <v>1767</v>
      </c>
      <c r="D3736" s="889">
        <v>46050</v>
      </c>
      <c r="E3736" s="890">
        <v>0.3608912037037037</v>
      </c>
      <c r="F3736" s="890">
        <v>0.79120370370370374</v>
      </c>
    </row>
    <row r="3737" spans="1:6">
      <c r="A3737" s="888" t="s">
        <v>3270</v>
      </c>
      <c r="B3737" s="888" t="s">
        <v>3271</v>
      </c>
      <c r="C3737" s="888" t="s">
        <v>3007</v>
      </c>
    </row>
    <row r="3738" spans="1:6">
      <c r="A3738" s="888">
        <v>187</v>
      </c>
      <c r="B3738" s="888" t="s">
        <v>1158</v>
      </c>
      <c r="C3738" s="888" t="s">
        <v>1767</v>
      </c>
      <c r="D3738" s="889">
        <v>46051</v>
      </c>
      <c r="E3738" s="890">
        <v>0.33944444444444444</v>
      </c>
      <c r="F3738" s="890">
        <v>0.34684027777777776</v>
      </c>
    </row>
    <row r="3739" spans="1:6">
      <c r="A3739" s="888" t="s">
        <v>3272</v>
      </c>
      <c r="B3739" s="888" t="s">
        <v>3273</v>
      </c>
      <c r="C3739" s="888" t="s">
        <v>3274</v>
      </c>
    </row>
    <row r="3740" spans="1:6">
      <c r="A3740" s="888">
        <v>187</v>
      </c>
      <c r="B3740" s="888" t="s">
        <v>1158</v>
      </c>
      <c r="C3740" s="888" t="s">
        <v>1767</v>
      </c>
      <c r="D3740" s="889">
        <v>46052</v>
      </c>
      <c r="E3740" s="890">
        <v>0.38160879629629629</v>
      </c>
      <c r="F3740" s="890">
        <v>0.78667824074074078</v>
      </c>
    </row>
    <row r="3741" spans="1:6">
      <c r="A3741" s="888" t="s">
        <v>3275</v>
      </c>
      <c r="B3741" s="888" t="s">
        <v>3276</v>
      </c>
      <c r="C3741" s="888" t="s">
        <v>1356</v>
      </c>
    </row>
    <row r="3742" spans="1:6">
      <c r="A3742" s="888">
        <v>187</v>
      </c>
      <c r="B3742" s="888" t="s">
        <v>1158</v>
      </c>
      <c r="C3742" s="888" t="s">
        <v>1767</v>
      </c>
      <c r="D3742" s="889">
        <v>46053</v>
      </c>
      <c r="E3742" s="888" t="s">
        <v>310</v>
      </c>
      <c r="F3742" s="888" t="s">
        <v>310</v>
      </c>
    </row>
    <row r="3743" spans="1:6">
      <c r="A3743" s="888">
        <v>187</v>
      </c>
      <c r="B3743" s="888" t="s">
        <v>1158</v>
      </c>
      <c r="C3743" s="888" t="s">
        <v>1767</v>
      </c>
      <c r="D3743" s="889">
        <v>46054</v>
      </c>
      <c r="E3743" s="888" t="s">
        <v>310</v>
      </c>
      <c r="F3743" s="888" t="s">
        <v>310</v>
      </c>
    </row>
    <row r="3744" spans="1:6">
      <c r="A3744" s="888">
        <v>191</v>
      </c>
      <c r="B3744" s="888" t="s">
        <v>1159</v>
      </c>
      <c r="C3744" s="888" t="s">
        <v>1468</v>
      </c>
      <c r="D3744" s="889">
        <v>46023</v>
      </c>
      <c r="E3744" s="888" t="s">
        <v>310</v>
      </c>
      <c r="F3744" s="888" t="s">
        <v>310</v>
      </c>
    </row>
    <row r="3745" spans="1:6">
      <c r="A3745" s="888">
        <v>191</v>
      </c>
      <c r="B3745" s="888" t="s">
        <v>1159</v>
      </c>
      <c r="C3745" s="888" t="s">
        <v>1468</v>
      </c>
      <c r="D3745" s="889">
        <v>46024</v>
      </c>
      <c r="E3745" s="888" t="s">
        <v>310</v>
      </c>
      <c r="F3745" s="888" t="s">
        <v>310</v>
      </c>
    </row>
    <row r="3746" spans="1:6">
      <c r="A3746" s="888">
        <v>191</v>
      </c>
      <c r="B3746" s="888" t="s">
        <v>1159</v>
      </c>
      <c r="C3746" s="888" t="s">
        <v>1468</v>
      </c>
      <c r="D3746" s="889">
        <v>46025</v>
      </c>
      <c r="E3746" s="888" t="s">
        <v>310</v>
      </c>
      <c r="F3746" s="888" t="s">
        <v>310</v>
      </c>
    </row>
    <row r="3747" spans="1:6">
      <c r="A3747" s="888">
        <v>191</v>
      </c>
      <c r="B3747" s="888" t="s">
        <v>1159</v>
      </c>
      <c r="C3747" s="888" t="s">
        <v>1468</v>
      </c>
      <c r="D3747" s="889">
        <v>46026</v>
      </c>
      <c r="E3747" s="888" t="s">
        <v>310</v>
      </c>
      <c r="F3747" s="888" t="s">
        <v>310</v>
      </c>
    </row>
    <row r="3748" spans="1:6">
      <c r="A3748" s="888">
        <v>191</v>
      </c>
      <c r="B3748" s="888" t="s">
        <v>1159</v>
      </c>
      <c r="C3748" s="888" t="s">
        <v>1468</v>
      </c>
      <c r="D3748" s="889">
        <v>46027</v>
      </c>
      <c r="E3748" s="890">
        <v>0.37667824074074074</v>
      </c>
      <c r="F3748" s="890">
        <v>0.77835648148148151</v>
      </c>
    </row>
    <row r="3749" spans="1:6">
      <c r="A3749" s="888" t="s">
        <v>3277</v>
      </c>
      <c r="B3749" s="888" t="s">
        <v>3278</v>
      </c>
      <c r="C3749" s="888" t="s">
        <v>1466</v>
      </c>
    </row>
    <row r="3750" spans="1:6">
      <c r="A3750" s="888">
        <v>191</v>
      </c>
      <c r="B3750" s="888" t="s">
        <v>1159</v>
      </c>
      <c r="C3750" s="888" t="s">
        <v>1468</v>
      </c>
      <c r="D3750" s="889">
        <v>46028</v>
      </c>
      <c r="E3750" s="890">
        <v>0.57041666666666668</v>
      </c>
      <c r="F3750" s="890">
        <v>0.89620370370370372</v>
      </c>
    </row>
    <row r="3751" spans="1:6">
      <c r="A3751" s="888" t="s">
        <v>3279</v>
      </c>
      <c r="B3751" s="888" t="s">
        <v>3280</v>
      </c>
      <c r="C3751" s="888" t="s">
        <v>3281</v>
      </c>
    </row>
    <row r="3752" spans="1:6">
      <c r="A3752" s="888">
        <v>191</v>
      </c>
      <c r="B3752" s="888" t="s">
        <v>1159</v>
      </c>
      <c r="C3752" s="888" t="s">
        <v>1468</v>
      </c>
      <c r="D3752" s="889">
        <v>46029</v>
      </c>
      <c r="E3752" s="890">
        <v>0.37797453703703704</v>
      </c>
      <c r="F3752" s="890">
        <v>0.77033564814814814</v>
      </c>
    </row>
    <row r="3753" spans="1:6">
      <c r="A3753" s="888" t="s">
        <v>3282</v>
      </c>
      <c r="B3753" s="888" t="s">
        <v>3283</v>
      </c>
      <c r="C3753" s="888" t="s">
        <v>1724</v>
      </c>
    </row>
    <row r="3754" spans="1:6">
      <c r="A3754" s="888">
        <v>191</v>
      </c>
      <c r="B3754" s="888" t="s">
        <v>1159</v>
      </c>
      <c r="C3754" s="888" t="s">
        <v>1468</v>
      </c>
      <c r="D3754" s="889">
        <v>46030</v>
      </c>
      <c r="E3754" s="888" t="s">
        <v>310</v>
      </c>
      <c r="F3754" s="888" t="s">
        <v>310</v>
      </c>
    </row>
    <row r="3755" spans="1:6">
      <c r="A3755" s="888">
        <v>191</v>
      </c>
      <c r="B3755" s="888" t="s">
        <v>1159</v>
      </c>
      <c r="C3755" s="888" t="s">
        <v>1468</v>
      </c>
      <c r="D3755" s="889">
        <v>46031</v>
      </c>
      <c r="E3755" s="888" t="s">
        <v>310</v>
      </c>
      <c r="F3755" s="888" t="s">
        <v>310</v>
      </c>
    </row>
    <row r="3756" spans="1:6">
      <c r="A3756" s="888">
        <v>191</v>
      </c>
      <c r="B3756" s="888" t="s">
        <v>1159</v>
      </c>
      <c r="C3756" s="888" t="s">
        <v>1468</v>
      </c>
      <c r="D3756" s="889">
        <v>46032</v>
      </c>
      <c r="E3756" s="888" t="s">
        <v>310</v>
      </c>
      <c r="F3756" s="888" t="s">
        <v>310</v>
      </c>
    </row>
    <row r="3757" spans="1:6">
      <c r="A3757" s="888">
        <v>191</v>
      </c>
      <c r="B3757" s="888" t="s">
        <v>1159</v>
      </c>
      <c r="C3757" s="888" t="s">
        <v>1468</v>
      </c>
      <c r="D3757" s="889">
        <v>46033</v>
      </c>
      <c r="E3757" s="888" t="s">
        <v>310</v>
      </c>
      <c r="F3757" s="888" t="s">
        <v>310</v>
      </c>
    </row>
    <row r="3758" spans="1:6">
      <c r="A3758" s="888">
        <v>191</v>
      </c>
      <c r="B3758" s="888" t="s">
        <v>1159</v>
      </c>
      <c r="C3758" s="888" t="s">
        <v>1468</v>
      </c>
      <c r="D3758" s="889">
        <v>46034</v>
      </c>
      <c r="E3758" s="890">
        <v>0.39026620370370368</v>
      </c>
      <c r="F3758" s="890">
        <v>0.84091435185185182</v>
      </c>
    </row>
    <row r="3759" spans="1:6">
      <c r="A3759" s="888" t="s">
        <v>3284</v>
      </c>
      <c r="B3759" s="888" t="s">
        <v>3285</v>
      </c>
      <c r="C3759" s="888" t="s">
        <v>3286</v>
      </c>
    </row>
    <row r="3760" spans="1:6">
      <c r="A3760" s="888">
        <v>191</v>
      </c>
      <c r="B3760" s="888" t="s">
        <v>1159</v>
      </c>
      <c r="C3760" s="888" t="s">
        <v>1468</v>
      </c>
      <c r="D3760" s="889">
        <v>46035</v>
      </c>
      <c r="E3760" s="890">
        <v>0.57438657407407412</v>
      </c>
      <c r="F3760" s="890">
        <v>0.94371527777777775</v>
      </c>
    </row>
    <row r="3761" spans="1:6">
      <c r="A3761" s="888" t="s">
        <v>3287</v>
      </c>
      <c r="B3761" s="888" t="s">
        <v>3288</v>
      </c>
      <c r="C3761" s="888" t="s">
        <v>1958</v>
      </c>
    </row>
    <row r="3762" spans="1:6">
      <c r="A3762" s="888">
        <v>191</v>
      </c>
      <c r="B3762" s="888" t="s">
        <v>1159</v>
      </c>
      <c r="C3762" s="888" t="s">
        <v>1468</v>
      </c>
      <c r="D3762" s="889">
        <v>46036</v>
      </c>
      <c r="E3762" s="890">
        <v>0.37354166666666666</v>
      </c>
      <c r="F3762" s="890">
        <v>0.79353009259259255</v>
      </c>
    </row>
    <row r="3763" spans="1:6">
      <c r="A3763" s="888" t="s">
        <v>3289</v>
      </c>
      <c r="B3763" s="888" t="s">
        <v>3290</v>
      </c>
      <c r="C3763" s="888" t="s">
        <v>2639</v>
      </c>
    </row>
    <row r="3764" spans="1:6">
      <c r="A3764" s="888">
        <v>191</v>
      </c>
      <c r="B3764" s="888" t="s">
        <v>1159</v>
      </c>
      <c r="C3764" s="888" t="s">
        <v>1468</v>
      </c>
      <c r="D3764" s="889">
        <v>46037</v>
      </c>
      <c r="E3764" s="890">
        <v>0.56709490740740742</v>
      </c>
      <c r="F3764" s="890">
        <v>0.91756944444444444</v>
      </c>
    </row>
    <row r="3765" spans="1:6">
      <c r="A3765" s="888" t="s">
        <v>3291</v>
      </c>
      <c r="B3765" s="888" t="s">
        <v>3292</v>
      </c>
      <c r="C3765" s="888" t="s">
        <v>2127</v>
      </c>
    </row>
    <row r="3766" spans="1:6">
      <c r="A3766" s="888">
        <v>191</v>
      </c>
      <c r="B3766" s="888" t="s">
        <v>1159</v>
      </c>
      <c r="C3766" s="888" t="s">
        <v>1468</v>
      </c>
      <c r="D3766" s="889">
        <v>46038</v>
      </c>
      <c r="E3766" s="890">
        <v>0.35556712962962961</v>
      </c>
      <c r="F3766" s="890">
        <v>0.80950231481481483</v>
      </c>
    </row>
    <row r="3767" spans="1:6">
      <c r="A3767" s="888" t="s">
        <v>3293</v>
      </c>
      <c r="B3767" s="888" t="s">
        <v>3294</v>
      </c>
      <c r="C3767" s="888" t="s">
        <v>2064</v>
      </c>
    </row>
    <row r="3768" spans="1:6">
      <c r="A3768" s="888">
        <v>191</v>
      </c>
      <c r="B3768" s="888" t="s">
        <v>1159</v>
      </c>
      <c r="C3768" s="888" t="s">
        <v>1468</v>
      </c>
      <c r="D3768" s="889">
        <v>46039</v>
      </c>
      <c r="E3768" s="888" t="s">
        <v>310</v>
      </c>
      <c r="F3768" s="888" t="s">
        <v>310</v>
      </c>
    </row>
    <row r="3769" spans="1:6">
      <c r="A3769" s="888">
        <v>191</v>
      </c>
      <c r="B3769" s="888" t="s">
        <v>1159</v>
      </c>
      <c r="C3769" s="888" t="s">
        <v>1468</v>
      </c>
      <c r="D3769" s="889">
        <v>46040</v>
      </c>
      <c r="E3769" s="888" t="s">
        <v>310</v>
      </c>
      <c r="F3769" s="888" t="s">
        <v>310</v>
      </c>
    </row>
    <row r="3770" spans="1:6">
      <c r="A3770" s="888">
        <v>191</v>
      </c>
      <c r="B3770" s="888" t="s">
        <v>1159</v>
      </c>
      <c r="C3770" s="888" t="s">
        <v>1468</v>
      </c>
      <c r="D3770" s="889">
        <v>46041</v>
      </c>
      <c r="E3770" s="890">
        <v>0.38879629629629631</v>
      </c>
      <c r="F3770" s="890">
        <v>0.83226851851851846</v>
      </c>
    </row>
    <row r="3771" spans="1:6">
      <c r="A3771" s="888" t="s">
        <v>3295</v>
      </c>
      <c r="B3771" s="888" t="s">
        <v>3296</v>
      </c>
      <c r="C3771" s="888" t="s">
        <v>1270</v>
      </c>
    </row>
    <row r="3772" spans="1:6">
      <c r="A3772" s="888">
        <v>191</v>
      </c>
      <c r="B3772" s="888" t="s">
        <v>1159</v>
      </c>
      <c r="C3772" s="888" t="s">
        <v>1468</v>
      </c>
      <c r="D3772" s="889">
        <v>46042</v>
      </c>
      <c r="E3772" s="890">
        <v>0.56879629629629624</v>
      </c>
      <c r="F3772" s="890">
        <v>0.89696759259259262</v>
      </c>
    </row>
    <row r="3773" spans="1:6">
      <c r="A3773" s="888" t="s">
        <v>3297</v>
      </c>
      <c r="B3773" s="888" t="s">
        <v>3298</v>
      </c>
      <c r="C3773" s="888" t="s">
        <v>2596</v>
      </c>
    </row>
    <row r="3774" spans="1:6">
      <c r="A3774" s="888">
        <v>191</v>
      </c>
      <c r="B3774" s="888" t="s">
        <v>1159</v>
      </c>
      <c r="C3774" s="888" t="s">
        <v>1468</v>
      </c>
      <c r="D3774" s="889">
        <v>46043</v>
      </c>
      <c r="E3774" s="890">
        <v>0.40251157407407406</v>
      </c>
      <c r="F3774" s="890">
        <v>0.80061342592592588</v>
      </c>
    </row>
    <row r="3775" spans="1:6">
      <c r="A3775" s="888" t="s">
        <v>3299</v>
      </c>
      <c r="B3775" s="888" t="s">
        <v>3300</v>
      </c>
      <c r="C3775" s="888" t="s">
        <v>1457</v>
      </c>
    </row>
    <row r="3776" spans="1:6">
      <c r="A3776" s="888">
        <v>191</v>
      </c>
      <c r="B3776" s="888" t="s">
        <v>1159</v>
      </c>
      <c r="C3776" s="888" t="s">
        <v>1468</v>
      </c>
      <c r="D3776" s="889">
        <v>46044</v>
      </c>
      <c r="E3776" s="890">
        <v>0.56724537037037037</v>
      </c>
      <c r="F3776" s="890">
        <v>0.92699074074074073</v>
      </c>
    </row>
    <row r="3777" spans="1:10">
      <c r="A3777" s="888" t="s">
        <v>3301</v>
      </c>
      <c r="B3777" s="888" t="s">
        <v>3302</v>
      </c>
      <c r="C3777" s="888" t="s">
        <v>3303</v>
      </c>
    </row>
    <row r="3778" spans="1:10">
      <c r="A3778" s="888">
        <v>191</v>
      </c>
      <c r="B3778" s="888" t="s">
        <v>1159</v>
      </c>
      <c r="C3778" s="888" t="s">
        <v>1468</v>
      </c>
      <c r="D3778" s="889">
        <v>46045</v>
      </c>
      <c r="E3778" s="888" t="s">
        <v>310</v>
      </c>
      <c r="F3778" s="888" t="s">
        <v>310</v>
      </c>
    </row>
    <row r="3779" spans="1:10">
      <c r="A3779" s="888">
        <v>191</v>
      </c>
      <c r="B3779" s="888" t="s">
        <v>1159</v>
      </c>
      <c r="C3779" s="888" t="s">
        <v>1468</v>
      </c>
      <c r="D3779" s="889">
        <v>46046</v>
      </c>
      <c r="E3779" s="888" t="s">
        <v>310</v>
      </c>
      <c r="F3779" s="888" t="s">
        <v>310</v>
      </c>
    </row>
    <row r="3780" spans="1:10">
      <c r="A3780" s="888">
        <v>191</v>
      </c>
      <c r="B3780" s="888" t="s">
        <v>1159</v>
      </c>
      <c r="C3780" s="888" t="s">
        <v>1468</v>
      </c>
      <c r="D3780" s="889">
        <v>46047</v>
      </c>
      <c r="E3780" s="888" t="s">
        <v>310</v>
      </c>
      <c r="F3780" s="888" t="s">
        <v>310</v>
      </c>
    </row>
    <row r="3781" spans="1:10">
      <c r="A3781" s="888">
        <v>191</v>
      </c>
      <c r="B3781" s="888" t="s">
        <v>1159</v>
      </c>
      <c r="C3781" s="888" t="s">
        <v>1468</v>
      </c>
      <c r="D3781" s="889">
        <v>46048</v>
      </c>
      <c r="E3781" s="890">
        <v>0.39431712962962961</v>
      </c>
      <c r="F3781" s="890">
        <v>0.86291666666666667</v>
      </c>
    </row>
    <row r="3782" spans="1:10">
      <c r="A3782" s="888" t="s">
        <v>3304</v>
      </c>
      <c r="B3782" s="888" t="s">
        <v>3305</v>
      </c>
      <c r="C3782" s="888" t="s">
        <v>1297</v>
      </c>
    </row>
    <row r="3783" spans="1:10">
      <c r="A3783" s="888">
        <v>191</v>
      </c>
      <c r="B3783" s="888" t="s">
        <v>1159</v>
      </c>
      <c r="C3783" s="888" t="s">
        <v>1468</v>
      </c>
      <c r="D3783" s="889">
        <v>46049</v>
      </c>
      <c r="E3783" s="890">
        <v>0.57130787037037034</v>
      </c>
      <c r="F3783" s="890">
        <v>0.90555555555555556</v>
      </c>
    </row>
    <row r="3784" spans="1:10">
      <c r="A3784" s="888" t="s">
        <v>3306</v>
      </c>
      <c r="B3784" s="888" t="s">
        <v>3307</v>
      </c>
      <c r="C3784" s="888" t="s">
        <v>1474</v>
      </c>
    </row>
    <row r="3785" spans="1:10">
      <c r="A3785" s="888">
        <v>191</v>
      </c>
      <c r="B3785" s="888" t="s">
        <v>1159</v>
      </c>
      <c r="C3785" s="888" t="s">
        <v>1468</v>
      </c>
      <c r="D3785" s="889">
        <v>46050</v>
      </c>
      <c r="E3785" s="890">
        <v>0.40954861111111113</v>
      </c>
      <c r="F3785" s="890">
        <v>0.75696759259259261</v>
      </c>
    </row>
    <row r="3786" spans="1:10">
      <c r="A3786" s="888" t="s">
        <v>3308</v>
      </c>
      <c r="B3786" s="888" t="s">
        <v>3309</v>
      </c>
      <c r="C3786" s="888" t="s">
        <v>1988</v>
      </c>
    </row>
    <row r="3787" spans="1:10">
      <c r="A3787" s="888">
        <v>191</v>
      </c>
      <c r="B3787" s="888" t="s">
        <v>1159</v>
      </c>
      <c r="C3787" s="888" t="s">
        <v>1468</v>
      </c>
      <c r="D3787" s="889">
        <v>46051</v>
      </c>
      <c r="E3787" s="890">
        <v>0.56575231481481481</v>
      </c>
      <c r="F3787" s="890">
        <v>0.92876157407407411</v>
      </c>
    </row>
    <row r="3788" spans="1:10">
      <c r="A3788" s="888" t="s">
        <v>3310</v>
      </c>
      <c r="B3788" s="888" t="s">
        <v>3311</v>
      </c>
      <c r="C3788" s="888" t="s">
        <v>3312</v>
      </c>
    </row>
    <row r="3789" spans="1:10">
      <c r="A3789" s="888">
        <v>191</v>
      </c>
      <c r="B3789" s="888" t="s">
        <v>1159</v>
      </c>
      <c r="C3789" s="888" t="s">
        <v>1468</v>
      </c>
      <c r="D3789" s="889">
        <v>46052</v>
      </c>
      <c r="E3789" s="888" t="s">
        <v>310</v>
      </c>
      <c r="F3789" s="888" t="s">
        <v>310</v>
      </c>
    </row>
    <row r="3790" spans="1:10">
      <c r="A3790" s="888">
        <v>191</v>
      </c>
      <c r="B3790" s="888" t="s">
        <v>1159</v>
      </c>
      <c r="C3790" s="888" t="s">
        <v>1468</v>
      </c>
      <c r="D3790" s="889">
        <v>46053</v>
      </c>
      <c r="E3790" s="888" t="s">
        <v>310</v>
      </c>
      <c r="F3790" s="888" t="s">
        <v>310</v>
      </c>
    </row>
    <row r="3791" spans="1:10">
      <c r="A3791" s="888">
        <v>191</v>
      </c>
      <c r="B3791" s="888" t="s">
        <v>1159</v>
      </c>
      <c r="C3791" s="888" t="s">
        <v>1468</v>
      </c>
      <c r="D3791" s="889">
        <v>46054</v>
      </c>
      <c r="E3791" s="888" t="s">
        <v>310</v>
      </c>
      <c r="F3791" s="888" t="s">
        <v>310</v>
      </c>
    </row>
    <row r="3792" spans="1:10">
      <c r="A3792" s="888">
        <v>198</v>
      </c>
      <c r="B3792" s="888" t="s">
        <v>1160</v>
      </c>
      <c r="C3792" s="888" t="s">
        <v>1468</v>
      </c>
      <c r="D3792" s="889">
        <v>46023</v>
      </c>
      <c r="E3792" s="888" t="s">
        <v>310</v>
      </c>
      <c r="F3792" s="888" t="s">
        <v>310</v>
      </c>
      <c r="G3792" s="891" t="s">
        <v>1040</v>
      </c>
      <c r="H3792" s="891" t="s">
        <v>1343</v>
      </c>
      <c r="I3792" s="891" t="s">
        <v>1040</v>
      </c>
      <c r="J3792" s="891" t="s">
        <v>1343</v>
      </c>
    </row>
    <row r="3793" spans="1:6">
      <c r="A3793" s="888">
        <v>198</v>
      </c>
      <c r="B3793" s="888" t="s">
        <v>1160</v>
      </c>
      <c r="C3793" s="888" t="s">
        <v>1468</v>
      </c>
      <c r="D3793" s="889">
        <v>46024</v>
      </c>
      <c r="E3793" s="888" t="s">
        <v>310</v>
      </c>
      <c r="F3793" s="888" t="s">
        <v>310</v>
      </c>
    </row>
    <row r="3794" spans="1:6">
      <c r="A3794" s="888">
        <v>198</v>
      </c>
      <c r="B3794" s="888" t="s">
        <v>1160</v>
      </c>
      <c r="C3794" s="888" t="s">
        <v>1468</v>
      </c>
      <c r="D3794" s="889">
        <v>46025</v>
      </c>
      <c r="E3794" s="888" t="s">
        <v>310</v>
      </c>
      <c r="F3794" s="888" t="s">
        <v>310</v>
      </c>
    </row>
    <row r="3795" spans="1:6">
      <c r="A3795" s="888">
        <v>198</v>
      </c>
      <c r="B3795" s="888" t="s">
        <v>1160</v>
      </c>
      <c r="C3795" s="888" t="s">
        <v>1468</v>
      </c>
      <c r="D3795" s="889">
        <v>46026</v>
      </c>
      <c r="E3795" s="888" t="s">
        <v>310</v>
      </c>
      <c r="F3795" s="888" t="s">
        <v>310</v>
      </c>
    </row>
    <row r="3796" spans="1:6">
      <c r="A3796" s="888">
        <v>198</v>
      </c>
      <c r="B3796" s="888" t="s">
        <v>1160</v>
      </c>
      <c r="C3796" s="888" t="s">
        <v>1468</v>
      </c>
      <c r="D3796" s="889">
        <v>46027</v>
      </c>
      <c r="E3796" s="890">
        <v>0.40592592592592591</v>
      </c>
      <c r="F3796" s="890">
        <v>0.77296296296296296</v>
      </c>
    </row>
    <row r="3797" spans="1:6">
      <c r="A3797" s="888" t="s">
        <v>3313</v>
      </c>
      <c r="B3797" s="888" t="s">
        <v>3314</v>
      </c>
      <c r="C3797" s="888" t="s">
        <v>2014</v>
      </c>
    </row>
    <row r="3798" spans="1:6">
      <c r="A3798" s="888">
        <v>198</v>
      </c>
      <c r="B3798" s="888" t="s">
        <v>1160</v>
      </c>
      <c r="C3798" s="888" t="s">
        <v>1468</v>
      </c>
      <c r="D3798" s="889">
        <v>46028</v>
      </c>
      <c r="E3798" s="890">
        <v>0.41467592592592595</v>
      </c>
      <c r="F3798" s="890">
        <v>0.77642361111111113</v>
      </c>
    </row>
    <row r="3799" spans="1:6">
      <c r="A3799" s="888" t="s">
        <v>3315</v>
      </c>
      <c r="B3799" s="888" t="s">
        <v>3316</v>
      </c>
      <c r="C3799" s="888" t="s">
        <v>3072</v>
      </c>
    </row>
    <row r="3800" spans="1:6">
      <c r="A3800" s="888">
        <v>198</v>
      </c>
      <c r="B3800" s="888" t="s">
        <v>1160</v>
      </c>
      <c r="C3800" s="888" t="s">
        <v>1468</v>
      </c>
      <c r="D3800" s="889">
        <v>46029</v>
      </c>
      <c r="E3800" s="890">
        <v>0.40671296296296294</v>
      </c>
      <c r="F3800" s="890">
        <v>0.80590277777777775</v>
      </c>
    </row>
    <row r="3801" spans="1:6">
      <c r="A3801" s="888" t="s">
        <v>3317</v>
      </c>
      <c r="B3801" s="888" t="s">
        <v>3318</v>
      </c>
      <c r="C3801" s="888" t="s">
        <v>1288</v>
      </c>
    </row>
    <row r="3802" spans="1:6">
      <c r="A3802" s="888">
        <v>198</v>
      </c>
      <c r="B3802" s="888" t="s">
        <v>1160</v>
      </c>
      <c r="C3802" s="888" t="s">
        <v>1468</v>
      </c>
      <c r="D3802" s="889">
        <v>46030</v>
      </c>
      <c r="E3802" s="890">
        <v>0.42231481481481481</v>
      </c>
      <c r="F3802" s="890">
        <v>0.80552083333333335</v>
      </c>
    </row>
    <row r="3803" spans="1:6">
      <c r="A3803" s="888" t="s">
        <v>3319</v>
      </c>
      <c r="B3803" s="888" t="s">
        <v>3320</v>
      </c>
      <c r="C3803" s="888" t="s">
        <v>1576</v>
      </c>
    </row>
    <row r="3804" spans="1:6">
      <c r="A3804" s="888">
        <v>198</v>
      </c>
      <c r="B3804" s="888" t="s">
        <v>1160</v>
      </c>
      <c r="C3804" s="888" t="s">
        <v>1468</v>
      </c>
      <c r="D3804" s="889">
        <v>46031</v>
      </c>
      <c r="E3804" s="888" t="s">
        <v>310</v>
      </c>
      <c r="F3804" s="888" t="s">
        <v>310</v>
      </c>
    </row>
    <row r="3805" spans="1:6">
      <c r="A3805" s="888">
        <v>198</v>
      </c>
      <c r="B3805" s="888" t="s">
        <v>1160</v>
      </c>
      <c r="C3805" s="888" t="s">
        <v>1468</v>
      </c>
      <c r="D3805" s="889">
        <v>46032</v>
      </c>
      <c r="E3805" s="888" t="s">
        <v>310</v>
      </c>
      <c r="F3805" s="888" t="s">
        <v>310</v>
      </c>
    </row>
    <row r="3806" spans="1:6">
      <c r="A3806" s="888">
        <v>198</v>
      </c>
      <c r="B3806" s="888" t="s">
        <v>1160</v>
      </c>
      <c r="C3806" s="888" t="s">
        <v>1468</v>
      </c>
      <c r="D3806" s="889">
        <v>46033</v>
      </c>
      <c r="E3806" s="890">
        <v>0.59630787037037036</v>
      </c>
      <c r="F3806" s="890">
        <v>0.72160879629629626</v>
      </c>
    </row>
    <row r="3807" spans="1:6">
      <c r="A3807" s="888" t="s">
        <v>3321</v>
      </c>
      <c r="B3807" s="888" t="s">
        <v>3322</v>
      </c>
      <c r="C3807" s="888" t="s">
        <v>3323</v>
      </c>
    </row>
    <row r="3808" spans="1:6">
      <c r="A3808" s="888">
        <v>198</v>
      </c>
      <c r="B3808" s="888" t="s">
        <v>1160</v>
      </c>
      <c r="C3808" s="888" t="s">
        <v>1468</v>
      </c>
      <c r="D3808" s="889">
        <v>46034</v>
      </c>
      <c r="E3808" s="890">
        <v>0.40307870370370369</v>
      </c>
      <c r="F3808" s="890">
        <v>0.85629629629629633</v>
      </c>
    </row>
    <row r="3809" spans="1:6">
      <c r="A3809" s="888" t="s">
        <v>3324</v>
      </c>
      <c r="B3809" s="888" t="s">
        <v>3325</v>
      </c>
      <c r="C3809" s="888" t="s">
        <v>1279</v>
      </c>
    </row>
    <row r="3810" spans="1:6">
      <c r="A3810" s="888">
        <v>198</v>
      </c>
      <c r="B3810" s="888" t="s">
        <v>1160</v>
      </c>
      <c r="C3810" s="888" t="s">
        <v>1468</v>
      </c>
      <c r="D3810" s="889">
        <v>46035</v>
      </c>
      <c r="E3810" s="890">
        <v>0.3543634259259259</v>
      </c>
      <c r="F3810" s="890">
        <v>0.72133101851851855</v>
      </c>
    </row>
    <row r="3811" spans="1:6">
      <c r="A3811" s="888" t="s">
        <v>3326</v>
      </c>
      <c r="B3811" s="888" t="s">
        <v>3327</v>
      </c>
      <c r="C3811" s="888" t="s">
        <v>2508</v>
      </c>
    </row>
    <row r="3812" spans="1:6">
      <c r="A3812" s="888">
        <v>198</v>
      </c>
      <c r="B3812" s="888" t="s">
        <v>1160</v>
      </c>
      <c r="C3812" s="888" t="s">
        <v>1468</v>
      </c>
      <c r="D3812" s="889">
        <v>46036</v>
      </c>
      <c r="E3812" s="890">
        <v>0.35572916666666665</v>
      </c>
      <c r="F3812" s="890">
        <v>0.68314814814814817</v>
      </c>
    </row>
    <row r="3813" spans="1:6">
      <c r="A3813" s="888" t="s">
        <v>3328</v>
      </c>
      <c r="B3813" s="888" t="s">
        <v>3329</v>
      </c>
      <c r="C3813" s="888" t="s">
        <v>2658</v>
      </c>
    </row>
    <row r="3814" spans="1:6">
      <c r="A3814" s="888">
        <v>198</v>
      </c>
      <c r="B3814" s="888" t="s">
        <v>1160</v>
      </c>
      <c r="C3814" s="888" t="s">
        <v>1468</v>
      </c>
      <c r="D3814" s="889">
        <v>46037</v>
      </c>
      <c r="E3814" s="890">
        <v>0.3574074074074074</v>
      </c>
      <c r="F3814" s="890">
        <v>0.91759259259259263</v>
      </c>
    </row>
    <row r="3815" spans="1:6">
      <c r="A3815" s="888" t="s">
        <v>3330</v>
      </c>
      <c r="B3815" s="888" t="s">
        <v>3331</v>
      </c>
      <c r="C3815" s="888" t="s">
        <v>3332</v>
      </c>
    </row>
    <row r="3816" spans="1:6">
      <c r="A3816" s="888">
        <v>198</v>
      </c>
      <c r="B3816" s="888" t="s">
        <v>1160</v>
      </c>
      <c r="C3816" s="888" t="s">
        <v>1468</v>
      </c>
      <c r="D3816" s="889">
        <v>46038</v>
      </c>
      <c r="E3816" s="890">
        <v>0.3555902777777778</v>
      </c>
      <c r="F3816" s="890">
        <v>0.64743055555555551</v>
      </c>
    </row>
    <row r="3817" spans="1:6">
      <c r="A3817" s="888" t="s">
        <v>3333</v>
      </c>
      <c r="B3817" s="888" t="s">
        <v>3334</v>
      </c>
      <c r="C3817" s="888" t="s">
        <v>3222</v>
      </c>
    </row>
    <row r="3818" spans="1:6">
      <c r="A3818" s="888">
        <v>198</v>
      </c>
      <c r="B3818" s="888" t="s">
        <v>1160</v>
      </c>
      <c r="C3818" s="888" t="s">
        <v>1468</v>
      </c>
      <c r="D3818" s="889">
        <v>46039</v>
      </c>
      <c r="E3818" s="888" t="s">
        <v>310</v>
      </c>
      <c r="F3818" s="888" t="s">
        <v>310</v>
      </c>
    </row>
    <row r="3819" spans="1:6">
      <c r="A3819" s="888">
        <v>198</v>
      </c>
      <c r="B3819" s="888" t="s">
        <v>1160</v>
      </c>
      <c r="C3819" s="888" t="s">
        <v>1468</v>
      </c>
      <c r="D3819" s="889">
        <v>46040</v>
      </c>
      <c r="E3819" s="888" t="s">
        <v>310</v>
      </c>
      <c r="F3819" s="888" t="s">
        <v>310</v>
      </c>
    </row>
    <row r="3820" spans="1:6">
      <c r="A3820" s="888">
        <v>198</v>
      </c>
      <c r="B3820" s="888" t="s">
        <v>1160</v>
      </c>
      <c r="C3820" s="888" t="s">
        <v>1468</v>
      </c>
      <c r="D3820" s="889">
        <v>46041</v>
      </c>
      <c r="E3820" s="890">
        <v>0.40849537037037037</v>
      </c>
      <c r="F3820" s="890">
        <v>0.87307870370370366</v>
      </c>
    </row>
    <row r="3821" spans="1:6">
      <c r="A3821" s="888" t="s">
        <v>3335</v>
      </c>
      <c r="B3821" s="888" t="s">
        <v>3336</v>
      </c>
      <c r="C3821" s="888" t="s">
        <v>2699</v>
      </c>
    </row>
    <row r="3822" spans="1:6">
      <c r="A3822" s="888">
        <v>198</v>
      </c>
      <c r="B3822" s="888" t="s">
        <v>1160</v>
      </c>
      <c r="C3822" s="888" t="s">
        <v>1468</v>
      </c>
      <c r="D3822" s="889">
        <v>46042</v>
      </c>
      <c r="E3822" s="890">
        <v>0.36733796296296295</v>
      </c>
      <c r="F3822" s="890">
        <v>0.86499999999999999</v>
      </c>
    </row>
    <row r="3823" spans="1:6">
      <c r="A3823" s="888" t="s">
        <v>3337</v>
      </c>
      <c r="B3823" s="888" t="s">
        <v>3338</v>
      </c>
      <c r="C3823" s="888" t="s">
        <v>3339</v>
      </c>
    </row>
    <row r="3824" spans="1:6">
      <c r="A3824" s="888">
        <v>198</v>
      </c>
      <c r="B3824" s="888" t="s">
        <v>1160</v>
      </c>
      <c r="C3824" s="888" t="s">
        <v>1468</v>
      </c>
      <c r="D3824" s="889">
        <v>46043</v>
      </c>
      <c r="E3824" s="890">
        <v>0.42322916666666666</v>
      </c>
      <c r="F3824" s="890">
        <v>0.77166666666666661</v>
      </c>
    </row>
    <row r="3825" spans="1:6">
      <c r="A3825" s="888" t="s">
        <v>3340</v>
      </c>
      <c r="B3825" s="888" t="s">
        <v>3341</v>
      </c>
      <c r="C3825" s="888" t="s">
        <v>3342</v>
      </c>
    </row>
    <row r="3826" spans="1:6">
      <c r="A3826" s="888">
        <v>198</v>
      </c>
      <c r="B3826" s="888" t="s">
        <v>1160</v>
      </c>
      <c r="C3826" s="888" t="s">
        <v>1468</v>
      </c>
      <c r="D3826" s="889">
        <v>46044</v>
      </c>
      <c r="E3826" s="888" t="s">
        <v>310</v>
      </c>
      <c r="F3826" s="888" t="s">
        <v>310</v>
      </c>
    </row>
    <row r="3827" spans="1:6">
      <c r="A3827" s="888">
        <v>198</v>
      </c>
      <c r="B3827" s="888" t="s">
        <v>1160</v>
      </c>
      <c r="C3827" s="888" t="s">
        <v>1468</v>
      </c>
      <c r="D3827" s="889">
        <v>46045</v>
      </c>
      <c r="E3827" s="888" t="s">
        <v>310</v>
      </c>
      <c r="F3827" s="888" t="s">
        <v>310</v>
      </c>
    </row>
    <row r="3828" spans="1:6">
      <c r="A3828" s="888">
        <v>198</v>
      </c>
      <c r="B3828" s="888" t="s">
        <v>1160</v>
      </c>
      <c r="C3828" s="888" t="s">
        <v>1468</v>
      </c>
      <c r="D3828" s="889">
        <v>46046</v>
      </c>
      <c r="E3828" s="888" t="s">
        <v>310</v>
      </c>
      <c r="F3828" s="888" t="s">
        <v>310</v>
      </c>
    </row>
    <row r="3829" spans="1:6">
      <c r="A3829" s="888">
        <v>198</v>
      </c>
      <c r="B3829" s="888" t="s">
        <v>1160</v>
      </c>
      <c r="C3829" s="888" t="s">
        <v>1468</v>
      </c>
      <c r="D3829" s="889">
        <v>46047</v>
      </c>
      <c r="E3829" s="888" t="s">
        <v>310</v>
      </c>
      <c r="F3829" s="888" t="s">
        <v>310</v>
      </c>
    </row>
    <row r="3830" spans="1:6">
      <c r="A3830" s="888">
        <v>198</v>
      </c>
      <c r="B3830" s="888" t="s">
        <v>1160</v>
      </c>
      <c r="C3830" s="888" t="s">
        <v>1468</v>
      </c>
      <c r="D3830" s="889">
        <v>46048</v>
      </c>
      <c r="E3830" s="888" t="s">
        <v>310</v>
      </c>
      <c r="F3830" s="888" t="s">
        <v>310</v>
      </c>
    </row>
    <row r="3831" spans="1:6">
      <c r="A3831" s="888">
        <v>198</v>
      </c>
      <c r="B3831" s="888" t="s">
        <v>1160</v>
      </c>
      <c r="C3831" s="888" t="s">
        <v>1468</v>
      </c>
      <c r="D3831" s="889">
        <v>46049</v>
      </c>
      <c r="E3831" s="890">
        <v>0.40055555555555555</v>
      </c>
      <c r="F3831" s="890">
        <v>0.78759259259259262</v>
      </c>
    </row>
    <row r="3832" spans="1:6">
      <c r="A3832" s="888" t="s">
        <v>3343</v>
      </c>
      <c r="B3832" s="888" t="s">
        <v>3344</v>
      </c>
      <c r="C3832" s="888" t="s">
        <v>1753</v>
      </c>
    </row>
    <row r="3833" spans="1:6">
      <c r="A3833" s="888">
        <v>198</v>
      </c>
      <c r="B3833" s="888" t="s">
        <v>1160</v>
      </c>
      <c r="C3833" s="888" t="s">
        <v>1468</v>
      </c>
      <c r="D3833" s="889">
        <v>46050</v>
      </c>
      <c r="E3833" s="890">
        <v>0.41981481481481481</v>
      </c>
      <c r="F3833" s="890">
        <v>0.80577546296296299</v>
      </c>
    </row>
    <row r="3834" spans="1:6">
      <c r="A3834" s="888" t="s">
        <v>3345</v>
      </c>
      <c r="B3834" s="888" t="s">
        <v>3346</v>
      </c>
      <c r="C3834" s="888" t="s">
        <v>1598</v>
      </c>
    </row>
    <row r="3835" spans="1:6">
      <c r="A3835" s="888">
        <v>198</v>
      </c>
      <c r="B3835" s="888" t="s">
        <v>1160</v>
      </c>
      <c r="C3835" s="888" t="s">
        <v>1468</v>
      </c>
      <c r="D3835" s="889">
        <v>46051</v>
      </c>
      <c r="E3835" s="890">
        <v>0.41663194444444446</v>
      </c>
      <c r="F3835" s="890">
        <v>0.79214120370370367</v>
      </c>
    </row>
    <row r="3836" spans="1:6">
      <c r="A3836" s="888" t="s">
        <v>3347</v>
      </c>
      <c r="B3836" s="888" t="s">
        <v>3348</v>
      </c>
      <c r="C3836" s="888" t="s">
        <v>1330</v>
      </c>
    </row>
    <row r="3837" spans="1:6">
      <c r="A3837" s="888">
        <v>198</v>
      </c>
      <c r="B3837" s="888" t="s">
        <v>1160</v>
      </c>
      <c r="C3837" s="888" t="s">
        <v>1468</v>
      </c>
      <c r="D3837" s="889">
        <v>46052</v>
      </c>
      <c r="E3837" s="888" t="s">
        <v>310</v>
      </c>
      <c r="F3837" s="888" t="s">
        <v>310</v>
      </c>
    </row>
    <row r="3838" spans="1:6">
      <c r="A3838" s="888">
        <v>198</v>
      </c>
      <c r="B3838" s="888" t="s">
        <v>1160</v>
      </c>
      <c r="C3838" s="888" t="s">
        <v>1468</v>
      </c>
      <c r="D3838" s="889">
        <v>46053</v>
      </c>
      <c r="E3838" s="888" t="s">
        <v>310</v>
      </c>
      <c r="F3838" s="888" t="s">
        <v>310</v>
      </c>
    </row>
    <row r="3839" spans="1:6">
      <c r="A3839" s="888">
        <v>198</v>
      </c>
      <c r="B3839" s="888" t="s">
        <v>1160</v>
      </c>
      <c r="C3839" s="888" t="s">
        <v>1468</v>
      </c>
      <c r="D3839" s="889">
        <v>46054</v>
      </c>
      <c r="E3839" s="888" t="s">
        <v>310</v>
      </c>
      <c r="F3839" s="888" t="s">
        <v>310</v>
      </c>
    </row>
    <row r="3840" spans="1:6">
      <c r="A3840" s="888">
        <v>199</v>
      </c>
      <c r="B3840" s="888" t="s">
        <v>1161</v>
      </c>
      <c r="C3840" s="888" t="s">
        <v>1767</v>
      </c>
      <c r="D3840" s="889">
        <v>46023</v>
      </c>
      <c r="E3840" s="888" t="s">
        <v>310</v>
      </c>
      <c r="F3840" s="888" t="s">
        <v>310</v>
      </c>
    </row>
    <row r="3841" spans="1:6">
      <c r="A3841" s="888">
        <v>199</v>
      </c>
      <c r="B3841" s="888" t="s">
        <v>1161</v>
      </c>
      <c r="C3841" s="888" t="s">
        <v>1767</v>
      </c>
      <c r="D3841" s="889">
        <v>46024</v>
      </c>
      <c r="E3841" s="888" t="s">
        <v>310</v>
      </c>
      <c r="F3841" s="888" t="s">
        <v>310</v>
      </c>
    </row>
    <row r="3842" spans="1:6">
      <c r="A3842" s="888">
        <v>199</v>
      </c>
      <c r="B3842" s="888" t="s">
        <v>1161</v>
      </c>
      <c r="C3842" s="888" t="s">
        <v>1767</v>
      </c>
      <c r="D3842" s="889">
        <v>46025</v>
      </c>
      <c r="E3842" s="888" t="s">
        <v>310</v>
      </c>
      <c r="F3842" s="888" t="s">
        <v>310</v>
      </c>
    </row>
    <row r="3843" spans="1:6">
      <c r="A3843" s="888">
        <v>199</v>
      </c>
      <c r="B3843" s="888" t="s">
        <v>1161</v>
      </c>
      <c r="C3843" s="888" t="s">
        <v>1767</v>
      </c>
      <c r="D3843" s="889">
        <v>46026</v>
      </c>
      <c r="E3843" s="888" t="s">
        <v>310</v>
      </c>
      <c r="F3843" s="888" t="s">
        <v>310</v>
      </c>
    </row>
    <row r="3844" spans="1:6">
      <c r="A3844" s="888">
        <v>199</v>
      </c>
      <c r="B3844" s="888" t="s">
        <v>1161</v>
      </c>
      <c r="C3844" s="888" t="s">
        <v>1767</v>
      </c>
      <c r="D3844" s="889">
        <v>46027</v>
      </c>
      <c r="E3844" s="890">
        <v>0.35597222222222225</v>
      </c>
      <c r="F3844" s="890">
        <v>0.79729166666666662</v>
      </c>
    </row>
    <row r="3845" spans="1:6">
      <c r="A3845" s="888" t="s">
        <v>3349</v>
      </c>
      <c r="B3845" s="888" t="s">
        <v>3350</v>
      </c>
      <c r="C3845" s="888" t="s">
        <v>2683</v>
      </c>
    </row>
    <row r="3846" spans="1:6">
      <c r="A3846" s="888">
        <v>199</v>
      </c>
      <c r="B3846" s="888" t="s">
        <v>1161</v>
      </c>
      <c r="C3846" s="888" t="s">
        <v>1767</v>
      </c>
      <c r="D3846" s="889">
        <v>46028</v>
      </c>
      <c r="E3846" s="890">
        <v>0.36152777777777778</v>
      </c>
      <c r="F3846" s="890">
        <v>0.86660879629629628</v>
      </c>
    </row>
    <row r="3847" spans="1:6">
      <c r="A3847" s="888" t="s">
        <v>3351</v>
      </c>
      <c r="B3847" s="888" t="s">
        <v>3352</v>
      </c>
      <c r="C3847" s="888" t="s">
        <v>3353</v>
      </c>
    </row>
    <row r="3848" spans="1:6">
      <c r="A3848" s="888">
        <v>199</v>
      </c>
      <c r="B3848" s="888" t="s">
        <v>1161</v>
      </c>
      <c r="C3848" s="888" t="s">
        <v>1767</v>
      </c>
      <c r="D3848" s="889">
        <v>46029</v>
      </c>
      <c r="E3848" s="890">
        <v>0.35988425925925926</v>
      </c>
      <c r="F3848" s="890">
        <v>0.64030092592592591</v>
      </c>
    </row>
    <row r="3849" spans="1:6">
      <c r="A3849" s="888" t="s">
        <v>3354</v>
      </c>
      <c r="B3849" s="888" t="s">
        <v>3355</v>
      </c>
      <c r="C3849" s="888" t="s">
        <v>3356</v>
      </c>
    </row>
    <row r="3850" spans="1:6">
      <c r="A3850" s="888">
        <v>199</v>
      </c>
      <c r="B3850" s="888" t="s">
        <v>1161</v>
      </c>
      <c r="C3850" s="888" t="s">
        <v>1767</v>
      </c>
      <c r="D3850" s="889">
        <v>46030</v>
      </c>
      <c r="E3850" s="890">
        <v>0.3601273148148148</v>
      </c>
      <c r="F3850" s="890">
        <v>0.80103009259259261</v>
      </c>
    </row>
    <row r="3851" spans="1:6">
      <c r="A3851" s="888" t="s">
        <v>3357</v>
      </c>
      <c r="B3851" s="888" t="s">
        <v>3358</v>
      </c>
      <c r="C3851" s="888" t="s">
        <v>2569</v>
      </c>
    </row>
    <row r="3852" spans="1:6">
      <c r="A3852" s="888">
        <v>199</v>
      </c>
      <c r="B3852" s="888" t="s">
        <v>1161</v>
      </c>
      <c r="C3852" s="888" t="s">
        <v>1767</v>
      </c>
      <c r="D3852" s="889">
        <v>46031</v>
      </c>
      <c r="E3852" s="890">
        <v>0.35442129629629632</v>
      </c>
      <c r="F3852" s="890">
        <v>0.7788194444444444</v>
      </c>
    </row>
    <row r="3853" spans="1:6">
      <c r="A3853" s="888" t="s">
        <v>3359</v>
      </c>
      <c r="B3853" s="888" t="s">
        <v>3360</v>
      </c>
      <c r="C3853" s="888" t="s">
        <v>1393</v>
      </c>
    </row>
    <row r="3854" spans="1:6">
      <c r="A3854" s="888">
        <v>199</v>
      </c>
      <c r="B3854" s="888" t="s">
        <v>1161</v>
      </c>
      <c r="C3854" s="888" t="s">
        <v>1767</v>
      </c>
      <c r="D3854" s="889">
        <v>46032</v>
      </c>
      <c r="E3854" s="890">
        <v>0.36710648148148151</v>
      </c>
      <c r="F3854" s="890">
        <v>0.78844907407407405</v>
      </c>
    </row>
    <row r="3855" spans="1:6">
      <c r="A3855" s="888" t="s">
        <v>3361</v>
      </c>
      <c r="B3855" s="888" t="s">
        <v>3362</v>
      </c>
      <c r="C3855" s="888" t="s">
        <v>1390</v>
      </c>
    </row>
    <row r="3856" spans="1:6">
      <c r="A3856" s="888">
        <v>199</v>
      </c>
      <c r="B3856" s="888" t="s">
        <v>1161</v>
      </c>
      <c r="C3856" s="888" t="s">
        <v>1767</v>
      </c>
      <c r="D3856" s="889">
        <v>46033</v>
      </c>
      <c r="E3856" s="888" t="s">
        <v>310</v>
      </c>
      <c r="F3856" s="888" t="s">
        <v>310</v>
      </c>
    </row>
    <row r="3857" spans="1:6">
      <c r="A3857" s="888">
        <v>199</v>
      </c>
      <c r="B3857" s="888" t="s">
        <v>1161</v>
      </c>
      <c r="C3857" s="888" t="s">
        <v>1767</v>
      </c>
      <c r="D3857" s="889">
        <v>46034</v>
      </c>
      <c r="E3857" s="890">
        <v>0.33930555555555558</v>
      </c>
      <c r="F3857" s="890">
        <v>0.7546180555555555</v>
      </c>
    </row>
    <row r="3858" spans="1:6">
      <c r="A3858" s="888" t="s">
        <v>3363</v>
      </c>
      <c r="B3858" s="888" t="s">
        <v>3364</v>
      </c>
      <c r="C3858" s="888" t="s">
        <v>1879</v>
      </c>
    </row>
    <row r="3859" spans="1:6">
      <c r="A3859" s="888">
        <v>199</v>
      </c>
      <c r="B3859" s="888" t="s">
        <v>1161</v>
      </c>
      <c r="C3859" s="888" t="s">
        <v>1767</v>
      </c>
      <c r="D3859" s="889">
        <v>46035</v>
      </c>
      <c r="E3859" s="890">
        <v>0.54762731481481486</v>
      </c>
      <c r="F3859" s="890">
        <v>0.77381944444444439</v>
      </c>
    </row>
    <row r="3860" spans="1:6">
      <c r="A3860" s="888" t="s">
        <v>3365</v>
      </c>
      <c r="B3860" s="888" t="s">
        <v>3366</v>
      </c>
      <c r="C3860" s="888" t="s">
        <v>3367</v>
      </c>
    </row>
    <row r="3861" spans="1:6">
      <c r="A3861" s="888">
        <v>199</v>
      </c>
      <c r="B3861" s="888" t="s">
        <v>1161</v>
      </c>
      <c r="C3861" s="888" t="s">
        <v>1767</v>
      </c>
      <c r="D3861" s="889">
        <v>46036</v>
      </c>
      <c r="E3861" s="890">
        <v>0.36403935185185188</v>
      </c>
      <c r="F3861" s="890">
        <v>0.77322916666666663</v>
      </c>
    </row>
    <row r="3862" spans="1:6">
      <c r="A3862" s="888" t="s">
        <v>3368</v>
      </c>
      <c r="B3862" s="888" t="s">
        <v>3369</v>
      </c>
      <c r="C3862" s="888" t="s">
        <v>1372</v>
      </c>
    </row>
    <row r="3863" spans="1:6">
      <c r="A3863" s="888">
        <v>199</v>
      </c>
      <c r="B3863" s="888" t="s">
        <v>1161</v>
      </c>
      <c r="C3863" s="888" t="s">
        <v>1767</v>
      </c>
      <c r="D3863" s="889">
        <v>46037</v>
      </c>
      <c r="E3863" s="890">
        <v>0.33378472222222222</v>
      </c>
      <c r="F3863" s="890">
        <v>0.77543981481481483</v>
      </c>
    </row>
    <row r="3864" spans="1:6">
      <c r="A3864" s="888" t="s">
        <v>3370</v>
      </c>
      <c r="B3864" s="888" t="s">
        <v>3371</v>
      </c>
      <c r="C3864" s="888" t="s">
        <v>2683</v>
      </c>
    </row>
    <row r="3865" spans="1:6">
      <c r="A3865" s="888">
        <v>199</v>
      </c>
      <c r="B3865" s="888" t="s">
        <v>1161</v>
      </c>
      <c r="C3865" s="888" t="s">
        <v>1767</v>
      </c>
      <c r="D3865" s="889">
        <v>46038</v>
      </c>
      <c r="E3865" s="890">
        <v>0.33917824074074077</v>
      </c>
      <c r="F3865" s="890">
        <v>0.79831018518518515</v>
      </c>
    </row>
    <row r="3866" spans="1:6">
      <c r="A3866" s="888" t="s">
        <v>3372</v>
      </c>
      <c r="B3866" s="888" t="s">
        <v>3373</v>
      </c>
      <c r="C3866" s="888" t="s">
        <v>3374</v>
      </c>
    </row>
    <row r="3867" spans="1:6">
      <c r="A3867" s="888">
        <v>199</v>
      </c>
      <c r="B3867" s="888" t="s">
        <v>1161</v>
      </c>
      <c r="C3867" s="888" t="s">
        <v>1767</v>
      </c>
      <c r="D3867" s="889">
        <v>46039</v>
      </c>
      <c r="E3867" s="888" t="s">
        <v>310</v>
      </c>
      <c r="F3867" s="888" t="s">
        <v>310</v>
      </c>
    </row>
    <row r="3868" spans="1:6">
      <c r="A3868" s="888">
        <v>199</v>
      </c>
      <c r="B3868" s="888" t="s">
        <v>1161</v>
      </c>
      <c r="C3868" s="888" t="s">
        <v>1767</v>
      </c>
      <c r="D3868" s="889">
        <v>46040</v>
      </c>
      <c r="E3868" s="888" t="s">
        <v>310</v>
      </c>
      <c r="F3868" s="888" t="s">
        <v>310</v>
      </c>
    </row>
    <row r="3869" spans="1:6">
      <c r="A3869" s="888">
        <v>199</v>
      </c>
      <c r="B3869" s="888" t="s">
        <v>1161</v>
      </c>
      <c r="C3869" s="888" t="s">
        <v>1767</v>
      </c>
      <c r="D3869" s="889">
        <v>46041</v>
      </c>
      <c r="E3869" s="890">
        <v>0.36509259259259258</v>
      </c>
      <c r="F3869" s="890">
        <v>0.80133101851851851</v>
      </c>
    </row>
    <row r="3870" spans="1:6">
      <c r="A3870" s="888" t="s">
        <v>3375</v>
      </c>
      <c r="B3870" s="888" t="s">
        <v>3376</v>
      </c>
      <c r="C3870" s="888" t="s">
        <v>2268</v>
      </c>
    </row>
    <row r="3871" spans="1:6">
      <c r="A3871" s="888">
        <v>199</v>
      </c>
      <c r="B3871" s="888" t="s">
        <v>1161</v>
      </c>
      <c r="C3871" s="888" t="s">
        <v>1767</v>
      </c>
      <c r="D3871" s="889">
        <v>46042</v>
      </c>
      <c r="E3871" s="890">
        <v>0.35876157407407405</v>
      </c>
      <c r="F3871" s="890">
        <v>0.8294097222222222</v>
      </c>
    </row>
    <row r="3872" spans="1:6">
      <c r="A3872" s="888" t="s">
        <v>3377</v>
      </c>
      <c r="B3872" s="888" t="s">
        <v>3378</v>
      </c>
      <c r="C3872" s="888" t="s">
        <v>3028</v>
      </c>
    </row>
    <row r="3873" spans="1:6">
      <c r="A3873" s="888">
        <v>199</v>
      </c>
      <c r="B3873" s="888" t="s">
        <v>1161</v>
      </c>
      <c r="C3873" s="888" t="s">
        <v>1767</v>
      </c>
      <c r="D3873" s="889">
        <v>46043</v>
      </c>
      <c r="E3873" s="890">
        <v>0.56729166666666664</v>
      </c>
      <c r="F3873" s="890">
        <v>0.78626157407407404</v>
      </c>
    </row>
    <row r="3874" spans="1:6">
      <c r="A3874" s="888" t="s">
        <v>3379</v>
      </c>
      <c r="B3874" s="888" t="s">
        <v>3380</v>
      </c>
      <c r="C3874" s="888" t="s">
        <v>3381</v>
      </c>
    </row>
    <row r="3875" spans="1:6">
      <c r="A3875" s="888">
        <v>199</v>
      </c>
      <c r="B3875" s="888" t="s">
        <v>1161</v>
      </c>
      <c r="C3875" s="888" t="s">
        <v>1767</v>
      </c>
      <c r="D3875" s="889">
        <v>46044</v>
      </c>
      <c r="E3875" s="890">
        <v>0.35988425925925926</v>
      </c>
      <c r="F3875" s="890">
        <v>0.79612268518518514</v>
      </c>
    </row>
    <row r="3876" spans="1:6">
      <c r="A3876" s="888" t="s">
        <v>3382</v>
      </c>
      <c r="B3876" s="888" t="s">
        <v>3383</v>
      </c>
      <c r="C3876" s="888" t="s">
        <v>2268</v>
      </c>
    </row>
    <row r="3877" spans="1:6">
      <c r="A3877" s="888">
        <v>199</v>
      </c>
      <c r="B3877" s="888" t="s">
        <v>1161</v>
      </c>
      <c r="C3877" s="888" t="s">
        <v>1767</v>
      </c>
      <c r="D3877" s="889">
        <v>46045</v>
      </c>
      <c r="E3877" s="890">
        <v>0.35151620370370368</v>
      </c>
      <c r="F3877" s="890">
        <v>0.76359953703703709</v>
      </c>
    </row>
    <row r="3878" spans="1:6">
      <c r="A3878" s="888" t="s">
        <v>3384</v>
      </c>
      <c r="B3878" s="888" t="s">
        <v>3385</v>
      </c>
      <c r="C3878" s="888" t="s">
        <v>1369</v>
      </c>
    </row>
    <row r="3879" spans="1:6">
      <c r="A3879" s="888">
        <v>199</v>
      </c>
      <c r="B3879" s="888" t="s">
        <v>1161</v>
      </c>
      <c r="C3879" s="888" t="s">
        <v>1767</v>
      </c>
      <c r="D3879" s="889">
        <v>46046</v>
      </c>
      <c r="E3879" s="888" t="s">
        <v>310</v>
      </c>
      <c r="F3879" s="888" t="s">
        <v>310</v>
      </c>
    </row>
    <row r="3880" spans="1:6">
      <c r="A3880" s="888">
        <v>199</v>
      </c>
      <c r="B3880" s="888" t="s">
        <v>1161</v>
      </c>
      <c r="C3880" s="888" t="s">
        <v>1767</v>
      </c>
      <c r="D3880" s="889">
        <v>46047</v>
      </c>
      <c r="E3880" s="888" t="s">
        <v>310</v>
      </c>
      <c r="F3880" s="888" t="s">
        <v>310</v>
      </c>
    </row>
    <row r="3881" spans="1:6">
      <c r="A3881" s="888">
        <v>199</v>
      </c>
      <c r="B3881" s="888" t="s">
        <v>1161</v>
      </c>
      <c r="C3881" s="888" t="s">
        <v>1767</v>
      </c>
      <c r="D3881" s="889">
        <v>46048</v>
      </c>
      <c r="E3881" s="890">
        <v>0.35511574074074076</v>
      </c>
      <c r="F3881" s="890">
        <v>0.76478009259259261</v>
      </c>
    </row>
    <row r="3882" spans="1:6">
      <c r="A3882" s="888" t="s">
        <v>3386</v>
      </c>
      <c r="B3882" s="888" t="s">
        <v>3387</v>
      </c>
      <c r="C3882" s="888" t="s">
        <v>1874</v>
      </c>
    </row>
    <row r="3883" spans="1:6">
      <c r="A3883" s="888">
        <v>199</v>
      </c>
      <c r="B3883" s="888" t="s">
        <v>1161</v>
      </c>
      <c r="C3883" s="888" t="s">
        <v>1767</v>
      </c>
      <c r="D3883" s="889">
        <v>46049</v>
      </c>
      <c r="E3883" s="890">
        <v>0.34958333333333336</v>
      </c>
      <c r="F3883" s="890">
        <v>0.78211805555555558</v>
      </c>
    </row>
    <row r="3884" spans="1:6">
      <c r="A3884" s="888" t="s">
        <v>3388</v>
      </c>
      <c r="B3884" s="888" t="s">
        <v>3389</v>
      </c>
      <c r="C3884" s="888" t="s">
        <v>1849</v>
      </c>
    </row>
    <row r="3885" spans="1:6">
      <c r="A3885" s="888">
        <v>199</v>
      </c>
      <c r="B3885" s="888" t="s">
        <v>1161</v>
      </c>
      <c r="C3885" s="888" t="s">
        <v>1767</v>
      </c>
      <c r="D3885" s="889">
        <v>46050</v>
      </c>
      <c r="E3885" s="890">
        <v>0.36424768518518519</v>
      </c>
      <c r="F3885" s="890">
        <v>0.75618055555555552</v>
      </c>
    </row>
    <row r="3886" spans="1:6">
      <c r="A3886" s="888" t="s">
        <v>3390</v>
      </c>
      <c r="B3886" s="888" t="s">
        <v>3391</v>
      </c>
      <c r="C3886" s="888" t="s">
        <v>1813</v>
      </c>
    </row>
    <row r="3887" spans="1:6">
      <c r="A3887" s="888">
        <v>199</v>
      </c>
      <c r="B3887" s="888" t="s">
        <v>1161</v>
      </c>
      <c r="C3887" s="888" t="s">
        <v>1767</v>
      </c>
      <c r="D3887" s="889">
        <v>46051</v>
      </c>
      <c r="E3887" s="888" t="s">
        <v>310</v>
      </c>
      <c r="F3887" s="888" t="s">
        <v>310</v>
      </c>
    </row>
    <row r="3888" spans="1:6">
      <c r="A3888" s="888">
        <v>199</v>
      </c>
      <c r="B3888" s="888" t="s">
        <v>1161</v>
      </c>
      <c r="C3888" s="888" t="s">
        <v>1767</v>
      </c>
      <c r="D3888" s="889">
        <v>46052</v>
      </c>
      <c r="E3888" s="890">
        <v>0.34328703703703706</v>
      </c>
      <c r="F3888" s="890">
        <v>0.76637731481481486</v>
      </c>
    </row>
    <row r="3889" spans="1:6">
      <c r="A3889" s="888" t="s">
        <v>3392</v>
      </c>
      <c r="B3889" s="888" t="s">
        <v>3393</v>
      </c>
      <c r="C3889" s="888" t="s">
        <v>1729</v>
      </c>
    </row>
    <row r="3890" spans="1:6">
      <c r="A3890" s="888">
        <v>199</v>
      </c>
      <c r="B3890" s="888" t="s">
        <v>1161</v>
      </c>
      <c r="C3890" s="888" t="s">
        <v>1767</v>
      </c>
      <c r="D3890" s="889">
        <v>46053</v>
      </c>
      <c r="E3890" s="888" t="s">
        <v>310</v>
      </c>
      <c r="F3890" s="888" t="s">
        <v>310</v>
      </c>
    </row>
    <row r="3891" spans="1:6">
      <c r="A3891" s="888">
        <v>199</v>
      </c>
      <c r="B3891" s="888" t="s">
        <v>1161</v>
      </c>
      <c r="C3891" s="888" t="s">
        <v>1767</v>
      </c>
      <c r="D3891" s="889">
        <v>46054</v>
      </c>
      <c r="E3891" s="888" t="s">
        <v>310</v>
      </c>
      <c r="F3891" s="888" t="s">
        <v>310</v>
      </c>
    </row>
    <row r="3892" spans="1:6">
      <c r="A3892" s="888">
        <v>2</v>
      </c>
      <c r="B3892" s="888" t="s">
        <v>1106</v>
      </c>
      <c r="C3892" s="888" t="s">
        <v>1387</v>
      </c>
      <c r="D3892" s="889">
        <v>46023</v>
      </c>
      <c r="E3892" s="888" t="s">
        <v>310</v>
      </c>
      <c r="F3892" s="888" t="s">
        <v>310</v>
      </c>
    </row>
    <row r="3893" spans="1:6">
      <c r="A3893" s="888">
        <v>2</v>
      </c>
      <c r="B3893" s="888" t="s">
        <v>1106</v>
      </c>
      <c r="C3893" s="888" t="s">
        <v>1387</v>
      </c>
      <c r="D3893" s="889">
        <v>46024</v>
      </c>
      <c r="E3893" s="888" t="s">
        <v>310</v>
      </c>
      <c r="F3893" s="888" t="s">
        <v>310</v>
      </c>
    </row>
    <row r="3894" spans="1:6">
      <c r="A3894" s="888">
        <v>2</v>
      </c>
      <c r="B3894" s="888" t="s">
        <v>1106</v>
      </c>
      <c r="C3894" s="888" t="s">
        <v>1387</v>
      </c>
      <c r="D3894" s="889">
        <v>46025</v>
      </c>
      <c r="E3894" s="888" t="s">
        <v>310</v>
      </c>
      <c r="F3894" s="888" t="s">
        <v>310</v>
      </c>
    </row>
    <row r="3895" spans="1:6">
      <c r="A3895" s="888">
        <v>2</v>
      </c>
      <c r="B3895" s="888" t="s">
        <v>1106</v>
      </c>
      <c r="C3895" s="888" t="s">
        <v>1387</v>
      </c>
      <c r="D3895" s="889">
        <v>46026</v>
      </c>
      <c r="E3895" s="888" t="s">
        <v>310</v>
      </c>
      <c r="F3895" s="888" t="s">
        <v>310</v>
      </c>
    </row>
    <row r="3896" spans="1:6">
      <c r="A3896" s="888">
        <v>2</v>
      </c>
      <c r="B3896" s="888" t="s">
        <v>1106</v>
      </c>
      <c r="C3896" s="888" t="s">
        <v>1387</v>
      </c>
      <c r="D3896" s="889">
        <v>46027</v>
      </c>
      <c r="E3896" s="890">
        <v>0.3765162037037037</v>
      </c>
      <c r="F3896" s="890">
        <v>0.75520833333333337</v>
      </c>
    </row>
    <row r="3897" spans="1:6">
      <c r="A3897" s="888" t="s">
        <v>3394</v>
      </c>
      <c r="B3897" s="888" t="s">
        <v>3395</v>
      </c>
      <c r="C3897" s="888" t="s">
        <v>1336</v>
      </c>
    </row>
    <row r="3898" spans="1:6">
      <c r="A3898" s="888">
        <v>2</v>
      </c>
      <c r="B3898" s="888" t="s">
        <v>1106</v>
      </c>
      <c r="C3898" s="888" t="s">
        <v>1387</v>
      </c>
      <c r="D3898" s="889">
        <v>46028</v>
      </c>
      <c r="E3898" s="890">
        <v>0.5612152777777778</v>
      </c>
      <c r="F3898" s="890">
        <v>0.75260416666666663</v>
      </c>
    </row>
    <row r="3899" spans="1:6">
      <c r="A3899" s="888" t="s">
        <v>3396</v>
      </c>
      <c r="B3899" s="888" t="s">
        <v>3397</v>
      </c>
      <c r="C3899" s="888" t="s">
        <v>3179</v>
      </c>
    </row>
    <row r="3900" spans="1:6">
      <c r="A3900" s="888">
        <v>2</v>
      </c>
      <c r="B3900" s="888" t="s">
        <v>1106</v>
      </c>
      <c r="C3900" s="888" t="s">
        <v>1387</v>
      </c>
      <c r="D3900" s="889">
        <v>46029</v>
      </c>
      <c r="E3900" s="890">
        <v>0.56466435185185182</v>
      </c>
      <c r="F3900" s="890">
        <v>0.75288194444444445</v>
      </c>
    </row>
    <row r="3901" spans="1:6">
      <c r="A3901" s="888" t="s">
        <v>3398</v>
      </c>
      <c r="B3901" s="888" t="s">
        <v>3399</v>
      </c>
      <c r="C3901" s="888" t="s">
        <v>2153</v>
      </c>
    </row>
    <row r="3902" spans="1:6">
      <c r="A3902" s="888">
        <v>2</v>
      </c>
      <c r="B3902" s="888" t="s">
        <v>1106</v>
      </c>
      <c r="C3902" s="888" t="s">
        <v>1387</v>
      </c>
      <c r="D3902" s="889">
        <v>46030</v>
      </c>
      <c r="E3902" s="890">
        <v>0.36004629629629631</v>
      </c>
      <c r="F3902" s="890">
        <v>0.75141203703703707</v>
      </c>
    </row>
    <row r="3903" spans="1:6">
      <c r="A3903" s="888" t="s">
        <v>3400</v>
      </c>
      <c r="B3903" s="888" t="s">
        <v>3401</v>
      </c>
      <c r="C3903" s="888" t="s">
        <v>1813</v>
      </c>
    </row>
    <row r="3904" spans="1:6">
      <c r="A3904" s="888">
        <v>2</v>
      </c>
      <c r="B3904" s="888" t="s">
        <v>1106</v>
      </c>
      <c r="C3904" s="888" t="s">
        <v>1387</v>
      </c>
      <c r="D3904" s="889">
        <v>46031</v>
      </c>
      <c r="E3904" s="888" t="s">
        <v>310</v>
      </c>
      <c r="F3904" s="888" t="s">
        <v>310</v>
      </c>
    </row>
    <row r="3905" spans="1:6">
      <c r="A3905" s="888">
        <v>2</v>
      </c>
      <c r="B3905" s="888" t="s">
        <v>1106</v>
      </c>
      <c r="C3905" s="888" t="s">
        <v>1387</v>
      </c>
      <c r="D3905" s="889">
        <v>46032</v>
      </c>
      <c r="E3905" s="888" t="s">
        <v>310</v>
      </c>
      <c r="F3905" s="888" t="s">
        <v>310</v>
      </c>
    </row>
    <row r="3906" spans="1:6">
      <c r="A3906" s="888">
        <v>2</v>
      </c>
      <c r="B3906" s="888" t="s">
        <v>1106</v>
      </c>
      <c r="C3906" s="888" t="s">
        <v>1387</v>
      </c>
      <c r="D3906" s="889">
        <v>46033</v>
      </c>
      <c r="E3906" s="888" t="s">
        <v>310</v>
      </c>
      <c r="F3906" s="888" t="s">
        <v>310</v>
      </c>
    </row>
    <row r="3907" spans="1:6">
      <c r="A3907" s="888">
        <v>2</v>
      </c>
      <c r="B3907" s="888" t="s">
        <v>1106</v>
      </c>
      <c r="C3907" s="888" t="s">
        <v>1387</v>
      </c>
      <c r="D3907" s="889">
        <v>46034</v>
      </c>
      <c r="E3907" s="890">
        <v>0.35811342592592593</v>
      </c>
      <c r="F3907" s="890">
        <v>0.75318287037037035</v>
      </c>
    </row>
    <row r="3908" spans="1:6">
      <c r="A3908" s="888" t="s">
        <v>3402</v>
      </c>
      <c r="B3908" s="888" t="s">
        <v>3403</v>
      </c>
      <c r="C3908" s="888" t="s">
        <v>1413</v>
      </c>
    </row>
    <row r="3909" spans="1:6">
      <c r="A3909" s="888">
        <v>2</v>
      </c>
      <c r="B3909" s="888" t="s">
        <v>1106</v>
      </c>
      <c r="C3909" s="888" t="s">
        <v>1387</v>
      </c>
      <c r="D3909" s="889">
        <v>46035</v>
      </c>
      <c r="E3909" s="890">
        <v>0.37148148148148147</v>
      </c>
      <c r="F3909" s="890">
        <v>0.7528125</v>
      </c>
    </row>
    <row r="3910" spans="1:6">
      <c r="A3910" s="888" t="s">
        <v>3404</v>
      </c>
      <c r="B3910" s="888" t="s">
        <v>3405</v>
      </c>
      <c r="C3910" s="888" t="s">
        <v>1607</v>
      </c>
    </row>
    <row r="3911" spans="1:6">
      <c r="A3911" s="888">
        <v>2</v>
      </c>
      <c r="B3911" s="888" t="s">
        <v>1106</v>
      </c>
      <c r="C3911" s="888" t="s">
        <v>1387</v>
      </c>
      <c r="D3911" s="889">
        <v>46036</v>
      </c>
      <c r="E3911" s="890">
        <v>0.56347222222222226</v>
      </c>
      <c r="F3911" s="890">
        <v>0.75146990740740738</v>
      </c>
    </row>
    <row r="3912" spans="1:6">
      <c r="A3912" s="888" t="s">
        <v>3406</v>
      </c>
      <c r="B3912" s="888" t="s">
        <v>3407</v>
      </c>
      <c r="C3912" s="888" t="s">
        <v>2153</v>
      </c>
    </row>
    <row r="3913" spans="1:6">
      <c r="A3913" s="888">
        <v>2</v>
      </c>
      <c r="B3913" s="888" t="s">
        <v>1106</v>
      </c>
      <c r="C3913" s="888" t="s">
        <v>1387</v>
      </c>
      <c r="D3913" s="889">
        <v>46037</v>
      </c>
      <c r="E3913" s="890">
        <v>0.36324074074074075</v>
      </c>
      <c r="F3913" s="890">
        <v>0.75244212962962964</v>
      </c>
    </row>
    <row r="3914" spans="1:6">
      <c r="A3914" s="888" t="s">
        <v>3408</v>
      </c>
      <c r="B3914" s="888" t="s">
        <v>3409</v>
      </c>
      <c r="C3914" s="888" t="s">
        <v>2232</v>
      </c>
    </row>
    <row r="3915" spans="1:6">
      <c r="A3915" s="888">
        <v>2</v>
      </c>
      <c r="B3915" s="888" t="s">
        <v>1106</v>
      </c>
      <c r="C3915" s="888" t="s">
        <v>1387</v>
      </c>
      <c r="D3915" s="889">
        <v>46038</v>
      </c>
      <c r="E3915" s="888" t="s">
        <v>310</v>
      </c>
      <c r="F3915" s="888" t="s">
        <v>310</v>
      </c>
    </row>
    <row r="3916" spans="1:6">
      <c r="A3916" s="888">
        <v>2</v>
      </c>
      <c r="B3916" s="888" t="s">
        <v>1106</v>
      </c>
      <c r="C3916" s="888" t="s">
        <v>1387</v>
      </c>
      <c r="D3916" s="889">
        <v>46039</v>
      </c>
      <c r="E3916" s="888" t="s">
        <v>310</v>
      </c>
      <c r="F3916" s="888" t="s">
        <v>310</v>
      </c>
    </row>
    <row r="3917" spans="1:6">
      <c r="A3917" s="888">
        <v>2</v>
      </c>
      <c r="B3917" s="888" t="s">
        <v>1106</v>
      </c>
      <c r="C3917" s="888" t="s">
        <v>1387</v>
      </c>
      <c r="D3917" s="889">
        <v>46040</v>
      </c>
      <c r="E3917" s="888" t="s">
        <v>310</v>
      </c>
      <c r="F3917" s="888" t="s">
        <v>310</v>
      </c>
    </row>
    <row r="3918" spans="1:6">
      <c r="A3918" s="888">
        <v>2</v>
      </c>
      <c r="B3918" s="888" t="s">
        <v>1106</v>
      </c>
      <c r="C3918" s="888" t="s">
        <v>1387</v>
      </c>
      <c r="D3918" s="889">
        <v>46041</v>
      </c>
      <c r="E3918" s="890">
        <v>0.37498842592592591</v>
      </c>
      <c r="F3918" s="890">
        <v>0.75268518518518523</v>
      </c>
    </row>
    <row r="3919" spans="1:6">
      <c r="A3919" s="888" t="s">
        <v>3410</v>
      </c>
      <c r="B3919" s="888" t="s">
        <v>3411</v>
      </c>
      <c r="C3919" s="888" t="s">
        <v>1317</v>
      </c>
    </row>
    <row r="3920" spans="1:6">
      <c r="A3920" s="888">
        <v>2</v>
      </c>
      <c r="B3920" s="888" t="s">
        <v>1106</v>
      </c>
      <c r="C3920" s="888" t="s">
        <v>1387</v>
      </c>
      <c r="D3920" s="889">
        <v>46042</v>
      </c>
      <c r="E3920" s="890">
        <v>0.39961805555555557</v>
      </c>
      <c r="F3920" s="890">
        <v>0.75218750000000001</v>
      </c>
    </row>
    <row r="3921" spans="1:6">
      <c r="A3921" s="888" t="s">
        <v>3412</v>
      </c>
      <c r="B3921" s="888" t="s">
        <v>3413</v>
      </c>
      <c r="C3921" s="888" t="s">
        <v>3414</v>
      </c>
    </row>
    <row r="3922" spans="1:6">
      <c r="A3922" s="888">
        <v>2</v>
      </c>
      <c r="B3922" s="888" t="s">
        <v>1106</v>
      </c>
      <c r="C3922" s="888" t="s">
        <v>1387</v>
      </c>
      <c r="D3922" s="889">
        <v>46043</v>
      </c>
      <c r="E3922" s="890">
        <v>0.36348379629629629</v>
      </c>
      <c r="F3922" s="890">
        <v>0.7519675925925926</v>
      </c>
    </row>
    <row r="3923" spans="1:6">
      <c r="A3923" s="888" t="s">
        <v>3415</v>
      </c>
      <c r="B3923" s="888" t="s">
        <v>3416</v>
      </c>
      <c r="C3923" s="888" t="s">
        <v>1484</v>
      </c>
    </row>
    <row r="3924" spans="1:6">
      <c r="A3924" s="888">
        <v>2</v>
      </c>
      <c r="B3924" s="888" t="s">
        <v>1106</v>
      </c>
      <c r="C3924" s="888" t="s">
        <v>1387</v>
      </c>
      <c r="D3924" s="889">
        <v>46044</v>
      </c>
      <c r="E3924" s="890">
        <v>0.37479166666666669</v>
      </c>
      <c r="F3924" s="890">
        <v>0.75141203703703707</v>
      </c>
    </row>
    <row r="3925" spans="1:6">
      <c r="A3925" s="888" t="s">
        <v>3417</v>
      </c>
      <c r="B3925" s="888" t="s">
        <v>3418</v>
      </c>
      <c r="C3925" s="888" t="s">
        <v>1308</v>
      </c>
    </row>
    <row r="3926" spans="1:6">
      <c r="A3926" s="888">
        <v>2</v>
      </c>
      <c r="B3926" s="888" t="s">
        <v>1106</v>
      </c>
      <c r="C3926" s="888" t="s">
        <v>1387</v>
      </c>
      <c r="D3926" s="889">
        <v>46045</v>
      </c>
      <c r="E3926" s="888" t="s">
        <v>310</v>
      </c>
      <c r="F3926" s="888" t="s">
        <v>310</v>
      </c>
    </row>
    <row r="3927" spans="1:6">
      <c r="A3927" s="888">
        <v>2</v>
      </c>
      <c r="B3927" s="888" t="s">
        <v>1106</v>
      </c>
      <c r="C3927" s="888" t="s">
        <v>1387</v>
      </c>
      <c r="D3927" s="889">
        <v>46046</v>
      </c>
      <c r="E3927" s="888" t="s">
        <v>310</v>
      </c>
      <c r="F3927" s="888" t="s">
        <v>310</v>
      </c>
    </row>
    <row r="3928" spans="1:6">
      <c r="A3928" s="888">
        <v>2</v>
      </c>
      <c r="B3928" s="888" t="s">
        <v>1106</v>
      </c>
      <c r="C3928" s="888" t="s">
        <v>1387</v>
      </c>
      <c r="D3928" s="889">
        <v>46047</v>
      </c>
      <c r="E3928" s="888" t="s">
        <v>310</v>
      </c>
      <c r="F3928" s="888" t="s">
        <v>310</v>
      </c>
    </row>
    <row r="3929" spans="1:6">
      <c r="A3929" s="888">
        <v>2</v>
      </c>
      <c r="B3929" s="888" t="s">
        <v>1106</v>
      </c>
      <c r="C3929" s="888" t="s">
        <v>1387</v>
      </c>
      <c r="D3929" s="889">
        <v>46048</v>
      </c>
      <c r="E3929" s="890">
        <v>0.36050925925925925</v>
      </c>
      <c r="F3929" s="890">
        <v>0.75673611111111116</v>
      </c>
    </row>
    <row r="3930" spans="1:6">
      <c r="A3930" s="888" t="s">
        <v>3419</v>
      </c>
      <c r="B3930" s="888" t="s">
        <v>3420</v>
      </c>
      <c r="C3930" s="888" t="s">
        <v>1452</v>
      </c>
    </row>
    <row r="3931" spans="1:6">
      <c r="A3931" s="888">
        <v>2</v>
      </c>
      <c r="B3931" s="888" t="s">
        <v>1106</v>
      </c>
      <c r="C3931" s="888" t="s">
        <v>1387</v>
      </c>
      <c r="D3931" s="889">
        <v>46049</v>
      </c>
      <c r="E3931" s="890">
        <v>0.54828703703703707</v>
      </c>
      <c r="F3931" s="890">
        <v>0.75406249999999997</v>
      </c>
    </row>
    <row r="3932" spans="1:6">
      <c r="A3932" s="888" t="s">
        <v>3421</v>
      </c>
      <c r="B3932" s="888" t="s">
        <v>3422</v>
      </c>
      <c r="C3932" s="888" t="s">
        <v>1698</v>
      </c>
    </row>
    <row r="3933" spans="1:6">
      <c r="A3933" s="888">
        <v>2</v>
      </c>
      <c r="B3933" s="888" t="s">
        <v>1106</v>
      </c>
      <c r="C3933" s="888" t="s">
        <v>1387</v>
      </c>
      <c r="D3933" s="889">
        <v>46050</v>
      </c>
      <c r="E3933" s="890">
        <v>0.36283564814814817</v>
      </c>
      <c r="F3933" s="890">
        <v>0.75805555555555559</v>
      </c>
    </row>
    <row r="3934" spans="1:6">
      <c r="A3934" s="888" t="s">
        <v>3423</v>
      </c>
      <c r="B3934" s="888" t="s">
        <v>3424</v>
      </c>
      <c r="C3934" s="888" t="s">
        <v>1413</v>
      </c>
    </row>
    <row r="3935" spans="1:6">
      <c r="A3935" s="888">
        <v>2</v>
      </c>
      <c r="B3935" s="888" t="s">
        <v>1106</v>
      </c>
      <c r="C3935" s="888" t="s">
        <v>1387</v>
      </c>
      <c r="D3935" s="889">
        <v>46051</v>
      </c>
      <c r="E3935" s="890">
        <v>0.42125000000000001</v>
      </c>
      <c r="F3935" s="890">
        <v>0.7572106481481482</v>
      </c>
    </row>
    <row r="3936" spans="1:6">
      <c r="A3936" s="888" t="s">
        <v>3425</v>
      </c>
      <c r="B3936" s="888" t="s">
        <v>3426</v>
      </c>
      <c r="C3936" s="888" t="s">
        <v>3427</v>
      </c>
    </row>
    <row r="3937" spans="1:6">
      <c r="A3937" s="888">
        <v>2</v>
      </c>
      <c r="B3937" s="888" t="s">
        <v>1106</v>
      </c>
      <c r="C3937" s="888" t="s">
        <v>1387</v>
      </c>
      <c r="D3937" s="889">
        <v>46052</v>
      </c>
      <c r="E3937" s="888" t="s">
        <v>310</v>
      </c>
      <c r="F3937" s="888" t="s">
        <v>310</v>
      </c>
    </row>
    <row r="3938" spans="1:6">
      <c r="A3938" s="888">
        <v>2</v>
      </c>
      <c r="B3938" s="888" t="s">
        <v>1106</v>
      </c>
      <c r="C3938" s="888" t="s">
        <v>1387</v>
      </c>
      <c r="D3938" s="889">
        <v>46053</v>
      </c>
      <c r="E3938" s="888" t="s">
        <v>310</v>
      </c>
      <c r="F3938" s="888" t="s">
        <v>310</v>
      </c>
    </row>
    <row r="3939" spans="1:6">
      <c r="A3939" s="888">
        <v>2</v>
      </c>
      <c r="B3939" s="888" t="s">
        <v>1106</v>
      </c>
      <c r="C3939" s="888" t="s">
        <v>1387</v>
      </c>
      <c r="D3939" s="889">
        <v>46054</v>
      </c>
      <c r="E3939" s="888" t="s">
        <v>310</v>
      </c>
      <c r="F3939" s="888" t="s">
        <v>310</v>
      </c>
    </row>
    <row r="3940" spans="1:6">
      <c r="A3940" s="888">
        <v>202</v>
      </c>
      <c r="B3940" s="888" t="s">
        <v>3428</v>
      </c>
      <c r="C3940" s="888" t="s">
        <v>3429</v>
      </c>
      <c r="D3940" s="889">
        <v>46023</v>
      </c>
      <c r="E3940" s="888" t="s">
        <v>310</v>
      </c>
      <c r="F3940" s="888" t="s">
        <v>310</v>
      </c>
    </row>
    <row r="3941" spans="1:6">
      <c r="A3941" s="888">
        <v>202</v>
      </c>
      <c r="B3941" s="888" t="s">
        <v>3428</v>
      </c>
      <c r="C3941" s="888" t="s">
        <v>3429</v>
      </c>
      <c r="D3941" s="889">
        <v>46024</v>
      </c>
      <c r="E3941" s="888" t="s">
        <v>310</v>
      </c>
      <c r="F3941" s="888" t="s">
        <v>310</v>
      </c>
    </row>
    <row r="3942" spans="1:6">
      <c r="A3942" s="888">
        <v>202</v>
      </c>
      <c r="B3942" s="888" t="s">
        <v>3428</v>
      </c>
      <c r="C3942" s="888" t="s">
        <v>3429</v>
      </c>
      <c r="D3942" s="889">
        <v>46025</v>
      </c>
      <c r="E3942" s="888" t="s">
        <v>310</v>
      </c>
      <c r="F3942" s="888" t="s">
        <v>310</v>
      </c>
    </row>
    <row r="3943" spans="1:6">
      <c r="A3943" s="888">
        <v>202</v>
      </c>
      <c r="B3943" s="888" t="s">
        <v>3428</v>
      </c>
      <c r="C3943" s="888" t="s">
        <v>3429</v>
      </c>
      <c r="D3943" s="889">
        <v>46026</v>
      </c>
      <c r="E3943" s="888" t="s">
        <v>310</v>
      </c>
      <c r="F3943" s="888" t="s">
        <v>310</v>
      </c>
    </row>
    <row r="3944" spans="1:6">
      <c r="A3944" s="888">
        <v>202</v>
      </c>
      <c r="B3944" s="888" t="s">
        <v>3428</v>
      </c>
      <c r="C3944" s="888" t="s">
        <v>3429</v>
      </c>
      <c r="D3944" s="889">
        <v>46027</v>
      </c>
      <c r="E3944" s="888" t="s">
        <v>310</v>
      </c>
      <c r="F3944" s="888" t="s">
        <v>310</v>
      </c>
    </row>
    <row r="3945" spans="1:6">
      <c r="A3945" s="888">
        <v>202</v>
      </c>
      <c r="B3945" s="888" t="s">
        <v>3428</v>
      </c>
      <c r="C3945" s="888" t="s">
        <v>3429</v>
      </c>
      <c r="D3945" s="889">
        <v>46028</v>
      </c>
      <c r="E3945" s="888" t="s">
        <v>310</v>
      </c>
      <c r="F3945" s="888" t="s">
        <v>310</v>
      </c>
    </row>
    <row r="3946" spans="1:6">
      <c r="A3946" s="888">
        <v>202</v>
      </c>
      <c r="B3946" s="888" t="s">
        <v>3428</v>
      </c>
      <c r="C3946" s="888" t="s">
        <v>3429</v>
      </c>
      <c r="D3946" s="889">
        <v>46029</v>
      </c>
      <c r="E3946" s="888" t="s">
        <v>310</v>
      </c>
      <c r="F3946" s="888" t="s">
        <v>310</v>
      </c>
    </row>
    <row r="3947" spans="1:6">
      <c r="A3947" s="888">
        <v>202</v>
      </c>
      <c r="B3947" s="888" t="s">
        <v>3428</v>
      </c>
      <c r="C3947" s="888" t="s">
        <v>3429</v>
      </c>
      <c r="D3947" s="889">
        <v>46030</v>
      </c>
      <c r="E3947" s="888" t="s">
        <v>310</v>
      </c>
      <c r="F3947" s="888" t="s">
        <v>310</v>
      </c>
    </row>
    <row r="3948" spans="1:6">
      <c r="A3948" s="888">
        <v>202</v>
      </c>
      <c r="B3948" s="888" t="s">
        <v>3428</v>
      </c>
      <c r="C3948" s="888" t="s">
        <v>3429</v>
      </c>
      <c r="D3948" s="889">
        <v>46031</v>
      </c>
      <c r="E3948" s="888" t="s">
        <v>310</v>
      </c>
      <c r="F3948" s="888" t="s">
        <v>310</v>
      </c>
    </row>
    <row r="3949" spans="1:6">
      <c r="A3949" s="888">
        <v>202</v>
      </c>
      <c r="B3949" s="888" t="s">
        <v>3428</v>
      </c>
      <c r="C3949" s="888" t="s">
        <v>3429</v>
      </c>
      <c r="D3949" s="889">
        <v>46032</v>
      </c>
      <c r="E3949" s="888" t="s">
        <v>310</v>
      </c>
      <c r="F3949" s="888" t="s">
        <v>310</v>
      </c>
    </row>
    <row r="3950" spans="1:6">
      <c r="A3950" s="888">
        <v>202</v>
      </c>
      <c r="B3950" s="888" t="s">
        <v>3428</v>
      </c>
      <c r="C3950" s="888" t="s">
        <v>3429</v>
      </c>
      <c r="D3950" s="889">
        <v>46033</v>
      </c>
      <c r="E3950" s="888" t="s">
        <v>310</v>
      </c>
      <c r="F3950" s="888" t="s">
        <v>310</v>
      </c>
    </row>
    <row r="3951" spans="1:6">
      <c r="A3951" s="888">
        <v>202</v>
      </c>
      <c r="B3951" s="888" t="s">
        <v>3428</v>
      </c>
      <c r="C3951" s="888" t="s">
        <v>3429</v>
      </c>
      <c r="D3951" s="889">
        <v>46034</v>
      </c>
      <c r="E3951" s="888" t="s">
        <v>310</v>
      </c>
      <c r="F3951" s="888" t="s">
        <v>310</v>
      </c>
    </row>
    <row r="3952" spans="1:6">
      <c r="A3952" s="888">
        <v>202</v>
      </c>
      <c r="B3952" s="888" t="s">
        <v>3428</v>
      </c>
      <c r="C3952" s="888" t="s">
        <v>3429</v>
      </c>
      <c r="D3952" s="889">
        <v>46035</v>
      </c>
      <c r="E3952" s="888" t="s">
        <v>310</v>
      </c>
      <c r="F3952" s="888" t="s">
        <v>310</v>
      </c>
    </row>
    <row r="3953" spans="1:6">
      <c r="A3953" s="888">
        <v>202</v>
      </c>
      <c r="B3953" s="888" t="s">
        <v>3428</v>
      </c>
      <c r="C3953" s="888" t="s">
        <v>3429</v>
      </c>
      <c r="D3953" s="889">
        <v>46036</v>
      </c>
      <c r="E3953" s="888" t="s">
        <v>310</v>
      </c>
      <c r="F3953" s="888" t="s">
        <v>310</v>
      </c>
    </row>
    <row r="3954" spans="1:6">
      <c r="A3954" s="888">
        <v>202</v>
      </c>
      <c r="B3954" s="888" t="s">
        <v>3428</v>
      </c>
      <c r="C3954" s="888" t="s">
        <v>3429</v>
      </c>
      <c r="D3954" s="889">
        <v>46037</v>
      </c>
      <c r="E3954" s="888" t="s">
        <v>310</v>
      </c>
      <c r="F3954" s="888" t="s">
        <v>310</v>
      </c>
    </row>
    <row r="3955" spans="1:6">
      <c r="A3955" s="888">
        <v>202</v>
      </c>
      <c r="B3955" s="888" t="s">
        <v>3428</v>
      </c>
      <c r="C3955" s="888" t="s">
        <v>3429</v>
      </c>
      <c r="D3955" s="889">
        <v>46038</v>
      </c>
      <c r="E3955" s="888" t="s">
        <v>310</v>
      </c>
      <c r="F3955" s="888" t="s">
        <v>310</v>
      </c>
    </row>
    <row r="3956" spans="1:6">
      <c r="A3956" s="888">
        <v>202</v>
      </c>
      <c r="B3956" s="888" t="s">
        <v>3428</v>
      </c>
      <c r="C3956" s="888" t="s">
        <v>3429</v>
      </c>
      <c r="D3956" s="889">
        <v>46039</v>
      </c>
      <c r="E3956" s="888" t="s">
        <v>310</v>
      </c>
      <c r="F3956" s="888" t="s">
        <v>310</v>
      </c>
    </row>
    <row r="3957" spans="1:6">
      <c r="A3957" s="888">
        <v>202</v>
      </c>
      <c r="B3957" s="888" t="s">
        <v>3428</v>
      </c>
      <c r="C3957" s="888" t="s">
        <v>3429</v>
      </c>
      <c r="D3957" s="889">
        <v>46040</v>
      </c>
      <c r="E3957" s="888" t="s">
        <v>310</v>
      </c>
      <c r="F3957" s="888" t="s">
        <v>310</v>
      </c>
    </row>
    <row r="3958" spans="1:6">
      <c r="A3958" s="888">
        <v>202</v>
      </c>
      <c r="B3958" s="888" t="s">
        <v>3428</v>
      </c>
      <c r="C3958" s="888" t="s">
        <v>3429</v>
      </c>
      <c r="D3958" s="889">
        <v>46041</v>
      </c>
      <c r="E3958" s="888" t="s">
        <v>310</v>
      </c>
      <c r="F3958" s="888" t="s">
        <v>310</v>
      </c>
    </row>
    <row r="3959" spans="1:6">
      <c r="A3959" s="888">
        <v>202</v>
      </c>
      <c r="B3959" s="888" t="s">
        <v>3428</v>
      </c>
      <c r="C3959" s="888" t="s">
        <v>3429</v>
      </c>
      <c r="D3959" s="889">
        <v>46042</v>
      </c>
      <c r="E3959" s="888" t="s">
        <v>310</v>
      </c>
      <c r="F3959" s="888" t="s">
        <v>310</v>
      </c>
    </row>
    <row r="3960" spans="1:6">
      <c r="A3960" s="888">
        <v>202</v>
      </c>
      <c r="B3960" s="888" t="s">
        <v>3428</v>
      </c>
      <c r="C3960" s="888" t="s">
        <v>3429</v>
      </c>
      <c r="D3960" s="889">
        <v>46043</v>
      </c>
      <c r="E3960" s="888" t="s">
        <v>310</v>
      </c>
      <c r="F3960" s="888" t="s">
        <v>310</v>
      </c>
    </row>
    <row r="3961" spans="1:6">
      <c r="A3961" s="888">
        <v>202</v>
      </c>
      <c r="B3961" s="888" t="s">
        <v>3428</v>
      </c>
      <c r="C3961" s="888" t="s">
        <v>3429</v>
      </c>
      <c r="D3961" s="889">
        <v>46044</v>
      </c>
      <c r="E3961" s="888" t="s">
        <v>310</v>
      </c>
      <c r="F3961" s="888" t="s">
        <v>310</v>
      </c>
    </row>
    <row r="3962" spans="1:6">
      <c r="A3962" s="888">
        <v>202</v>
      </c>
      <c r="B3962" s="888" t="s">
        <v>3428</v>
      </c>
      <c r="C3962" s="888" t="s">
        <v>3429</v>
      </c>
      <c r="D3962" s="889">
        <v>46045</v>
      </c>
      <c r="E3962" s="888" t="s">
        <v>310</v>
      </c>
      <c r="F3962" s="888" t="s">
        <v>310</v>
      </c>
    </row>
    <row r="3963" spans="1:6">
      <c r="A3963" s="888">
        <v>202</v>
      </c>
      <c r="B3963" s="888" t="s">
        <v>3428</v>
      </c>
      <c r="C3963" s="888" t="s">
        <v>3429</v>
      </c>
      <c r="D3963" s="889">
        <v>46046</v>
      </c>
      <c r="E3963" s="888" t="s">
        <v>310</v>
      </c>
      <c r="F3963" s="888" t="s">
        <v>310</v>
      </c>
    </row>
    <row r="3964" spans="1:6">
      <c r="A3964" s="888">
        <v>202</v>
      </c>
      <c r="B3964" s="888" t="s">
        <v>3428</v>
      </c>
      <c r="C3964" s="888" t="s">
        <v>3429</v>
      </c>
      <c r="D3964" s="889">
        <v>46047</v>
      </c>
      <c r="E3964" s="888" t="s">
        <v>310</v>
      </c>
      <c r="F3964" s="888" t="s">
        <v>310</v>
      </c>
    </row>
    <row r="3965" spans="1:6">
      <c r="A3965" s="888">
        <v>202</v>
      </c>
      <c r="B3965" s="888" t="s">
        <v>3428</v>
      </c>
      <c r="C3965" s="888" t="s">
        <v>3429</v>
      </c>
      <c r="D3965" s="889">
        <v>46048</v>
      </c>
      <c r="E3965" s="888" t="s">
        <v>310</v>
      </c>
      <c r="F3965" s="888" t="s">
        <v>310</v>
      </c>
    </row>
    <row r="3966" spans="1:6">
      <c r="A3966" s="888">
        <v>202</v>
      </c>
      <c r="B3966" s="888" t="s">
        <v>3428</v>
      </c>
      <c r="C3966" s="888" t="s">
        <v>3429</v>
      </c>
      <c r="D3966" s="889">
        <v>46049</v>
      </c>
      <c r="E3966" s="888" t="s">
        <v>310</v>
      </c>
      <c r="F3966" s="888" t="s">
        <v>310</v>
      </c>
    </row>
    <row r="3967" spans="1:6">
      <c r="A3967" s="888">
        <v>202</v>
      </c>
      <c r="B3967" s="888" t="s">
        <v>3428</v>
      </c>
      <c r="C3967" s="888" t="s">
        <v>3429</v>
      </c>
      <c r="D3967" s="889">
        <v>46050</v>
      </c>
      <c r="E3967" s="888" t="s">
        <v>310</v>
      </c>
      <c r="F3967" s="888" t="s">
        <v>310</v>
      </c>
    </row>
    <row r="3968" spans="1:6">
      <c r="A3968" s="888">
        <v>202</v>
      </c>
      <c r="B3968" s="888" t="s">
        <v>3428</v>
      </c>
      <c r="C3968" s="888" t="s">
        <v>3429</v>
      </c>
      <c r="D3968" s="889">
        <v>46051</v>
      </c>
      <c r="E3968" s="888" t="s">
        <v>310</v>
      </c>
      <c r="F3968" s="888" t="s">
        <v>310</v>
      </c>
    </row>
    <row r="3969" spans="1:6">
      <c r="A3969" s="888">
        <v>202</v>
      </c>
      <c r="B3969" s="888" t="s">
        <v>3428</v>
      </c>
      <c r="C3969" s="888" t="s">
        <v>3429</v>
      </c>
      <c r="D3969" s="889">
        <v>46052</v>
      </c>
      <c r="E3969" s="888" t="s">
        <v>310</v>
      </c>
      <c r="F3969" s="888" t="s">
        <v>310</v>
      </c>
    </row>
    <row r="3970" spans="1:6">
      <c r="A3970" s="888">
        <v>202</v>
      </c>
      <c r="B3970" s="888" t="s">
        <v>3428</v>
      </c>
      <c r="C3970" s="888" t="s">
        <v>3429</v>
      </c>
      <c r="D3970" s="889">
        <v>46053</v>
      </c>
      <c r="E3970" s="888" t="s">
        <v>310</v>
      </c>
      <c r="F3970" s="888" t="s">
        <v>310</v>
      </c>
    </row>
    <row r="3971" spans="1:6">
      <c r="A3971" s="888">
        <v>202</v>
      </c>
      <c r="B3971" s="888" t="s">
        <v>3428</v>
      </c>
      <c r="C3971" s="888" t="s">
        <v>3429</v>
      </c>
      <c r="D3971" s="889">
        <v>46054</v>
      </c>
      <c r="E3971" s="888" t="s">
        <v>310</v>
      </c>
      <c r="F3971" s="888" t="s">
        <v>310</v>
      </c>
    </row>
    <row r="3972" spans="1:6">
      <c r="A3972" s="888">
        <v>203</v>
      </c>
      <c r="B3972" s="888" t="s">
        <v>1162</v>
      </c>
      <c r="C3972" s="888" t="s">
        <v>1565</v>
      </c>
      <c r="D3972" s="889">
        <v>46023</v>
      </c>
      <c r="E3972" s="888" t="s">
        <v>310</v>
      </c>
      <c r="F3972" s="888" t="s">
        <v>310</v>
      </c>
    </row>
    <row r="3973" spans="1:6">
      <c r="A3973" s="888">
        <v>203</v>
      </c>
      <c r="B3973" s="888" t="s">
        <v>1162</v>
      </c>
      <c r="C3973" s="888" t="s">
        <v>1565</v>
      </c>
      <c r="D3973" s="889">
        <v>46024</v>
      </c>
      <c r="E3973" s="888" t="s">
        <v>310</v>
      </c>
      <c r="F3973" s="888" t="s">
        <v>310</v>
      </c>
    </row>
    <row r="3974" spans="1:6">
      <c r="A3974" s="888">
        <v>203</v>
      </c>
      <c r="B3974" s="888" t="s">
        <v>1162</v>
      </c>
      <c r="C3974" s="888" t="s">
        <v>1565</v>
      </c>
      <c r="D3974" s="889">
        <v>46025</v>
      </c>
      <c r="E3974" s="888" t="s">
        <v>310</v>
      </c>
      <c r="F3974" s="888" t="s">
        <v>310</v>
      </c>
    </row>
    <row r="3975" spans="1:6">
      <c r="A3975" s="888">
        <v>203</v>
      </c>
      <c r="B3975" s="888" t="s">
        <v>1162</v>
      </c>
      <c r="C3975" s="888" t="s">
        <v>1565</v>
      </c>
      <c r="D3975" s="889">
        <v>46026</v>
      </c>
      <c r="E3975" s="888" t="s">
        <v>310</v>
      </c>
      <c r="F3975" s="888" t="s">
        <v>310</v>
      </c>
    </row>
    <row r="3976" spans="1:6">
      <c r="A3976" s="888">
        <v>203</v>
      </c>
      <c r="B3976" s="888" t="s">
        <v>1162</v>
      </c>
      <c r="C3976" s="888" t="s">
        <v>1565</v>
      </c>
      <c r="D3976" s="889">
        <v>46027</v>
      </c>
      <c r="E3976" s="890">
        <v>0.34342592592592591</v>
      </c>
      <c r="F3976" s="890">
        <v>0.7857291666666667</v>
      </c>
    </row>
    <row r="3977" spans="1:6">
      <c r="A3977" s="888" t="s">
        <v>3430</v>
      </c>
      <c r="B3977" s="888" t="s">
        <v>3431</v>
      </c>
      <c r="C3977" s="888" t="s">
        <v>3432</v>
      </c>
    </row>
    <row r="3978" spans="1:6">
      <c r="A3978" s="888">
        <v>203</v>
      </c>
      <c r="B3978" s="888" t="s">
        <v>1162</v>
      </c>
      <c r="C3978" s="888" t="s">
        <v>1565</v>
      </c>
      <c r="D3978" s="889">
        <v>46028</v>
      </c>
      <c r="E3978" s="890">
        <v>0.3659722222222222</v>
      </c>
      <c r="F3978" s="890">
        <v>0.76424768518518515</v>
      </c>
    </row>
    <row r="3979" spans="1:6">
      <c r="A3979" s="888" t="s">
        <v>3433</v>
      </c>
      <c r="B3979" s="888" t="s">
        <v>3434</v>
      </c>
      <c r="C3979" s="888" t="s">
        <v>1383</v>
      </c>
    </row>
    <row r="3980" spans="1:6">
      <c r="A3980" s="888">
        <v>203</v>
      </c>
      <c r="B3980" s="888" t="s">
        <v>1162</v>
      </c>
      <c r="C3980" s="888" t="s">
        <v>1565</v>
      </c>
      <c r="D3980" s="889">
        <v>46029</v>
      </c>
      <c r="E3980" s="890">
        <v>0.34440972222222221</v>
      </c>
      <c r="F3980" s="890">
        <v>0.78194444444444444</v>
      </c>
    </row>
    <row r="3981" spans="1:6">
      <c r="A3981" s="888" t="s">
        <v>3435</v>
      </c>
      <c r="B3981" s="888" t="s">
        <v>3436</v>
      </c>
      <c r="C3981" s="888" t="s">
        <v>2634</v>
      </c>
    </row>
    <row r="3982" spans="1:6">
      <c r="A3982" s="888">
        <v>203</v>
      </c>
      <c r="B3982" s="888" t="s">
        <v>1162</v>
      </c>
      <c r="C3982" s="888" t="s">
        <v>1565</v>
      </c>
      <c r="D3982" s="889">
        <v>46030</v>
      </c>
      <c r="E3982" s="890">
        <v>0.34459490740740739</v>
      </c>
      <c r="F3982" s="890">
        <v>0.79049768518518515</v>
      </c>
    </row>
    <row r="3983" spans="1:6">
      <c r="A3983" s="888" t="s">
        <v>3437</v>
      </c>
      <c r="B3983" s="888" t="s">
        <v>3438</v>
      </c>
      <c r="C3983" s="888" t="s">
        <v>2281</v>
      </c>
    </row>
    <row r="3984" spans="1:6">
      <c r="A3984" s="888">
        <v>203</v>
      </c>
      <c r="B3984" s="888" t="s">
        <v>1162</v>
      </c>
      <c r="C3984" s="888" t="s">
        <v>1565</v>
      </c>
      <c r="D3984" s="889">
        <v>46031</v>
      </c>
      <c r="E3984" s="890">
        <v>0.33362268518518517</v>
      </c>
      <c r="F3984" s="890">
        <v>0.52295138888888892</v>
      </c>
    </row>
    <row r="3985" spans="1:6">
      <c r="A3985" s="888" t="s">
        <v>3439</v>
      </c>
      <c r="B3985" s="888" t="s">
        <v>3440</v>
      </c>
      <c r="C3985" s="888" t="s">
        <v>2904</v>
      </c>
    </row>
    <row r="3986" spans="1:6">
      <c r="A3986" s="888">
        <v>203</v>
      </c>
      <c r="B3986" s="888" t="s">
        <v>1162</v>
      </c>
      <c r="C3986" s="888" t="s">
        <v>1565</v>
      </c>
      <c r="D3986" s="889">
        <v>46032</v>
      </c>
      <c r="E3986" s="888" t="s">
        <v>310</v>
      </c>
      <c r="F3986" s="888" t="s">
        <v>310</v>
      </c>
    </row>
    <row r="3987" spans="1:6">
      <c r="A3987" s="888">
        <v>203</v>
      </c>
      <c r="B3987" s="888" t="s">
        <v>1162</v>
      </c>
      <c r="C3987" s="888" t="s">
        <v>1565</v>
      </c>
      <c r="D3987" s="889">
        <v>46033</v>
      </c>
      <c r="E3987" s="888" t="s">
        <v>310</v>
      </c>
      <c r="F3987" s="888" t="s">
        <v>310</v>
      </c>
    </row>
    <row r="3988" spans="1:6">
      <c r="A3988" s="888">
        <v>203</v>
      </c>
      <c r="B3988" s="888" t="s">
        <v>1162</v>
      </c>
      <c r="C3988" s="888" t="s">
        <v>1565</v>
      </c>
      <c r="D3988" s="889">
        <v>46034</v>
      </c>
      <c r="E3988" s="890">
        <v>0.35013888888888889</v>
      </c>
      <c r="F3988" s="890">
        <v>0.7777546296296296</v>
      </c>
    </row>
    <row r="3989" spans="1:6">
      <c r="A3989" s="888" t="s">
        <v>3441</v>
      </c>
      <c r="B3989" s="888" t="s">
        <v>3442</v>
      </c>
      <c r="C3989" s="888" t="s">
        <v>1430</v>
      </c>
    </row>
    <row r="3990" spans="1:6">
      <c r="A3990" s="888">
        <v>203</v>
      </c>
      <c r="B3990" s="888" t="s">
        <v>1162</v>
      </c>
      <c r="C3990" s="888" t="s">
        <v>1565</v>
      </c>
      <c r="D3990" s="889">
        <v>46035</v>
      </c>
      <c r="E3990" s="890">
        <v>0.35442129629629632</v>
      </c>
      <c r="F3990" s="890">
        <v>0.77708333333333335</v>
      </c>
    </row>
    <row r="3991" spans="1:6">
      <c r="A3991" s="888" t="s">
        <v>3443</v>
      </c>
      <c r="B3991" s="888" t="s">
        <v>3444</v>
      </c>
      <c r="C3991" s="888" t="s">
        <v>1729</v>
      </c>
    </row>
    <row r="3992" spans="1:6">
      <c r="A3992" s="888">
        <v>203</v>
      </c>
      <c r="B3992" s="888" t="s">
        <v>1162</v>
      </c>
      <c r="C3992" s="888" t="s">
        <v>1565</v>
      </c>
      <c r="D3992" s="889">
        <v>46036</v>
      </c>
      <c r="E3992" s="890">
        <v>0.35773148148148148</v>
      </c>
      <c r="F3992" s="890">
        <v>0.81806712962962957</v>
      </c>
    </row>
    <row r="3993" spans="1:6">
      <c r="A3993" s="888" t="s">
        <v>3445</v>
      </c>
      <c r="B3993" s="888" t="s">
        <v>3446</v>
      </c>
      <c r="C3993" s="888" t="s">
        <v>2593</v>
      </c>
    </row>
    <row r="3994" spans="1:6">
      <c r="A3994" s="888">
        <v>203</v>
      </c>
      <c r="B3994" s="888" t="s">
        <v>1162</v>
      </c>
      <c r="C3994" s="888" t="s">
        <v>1565</v>
      </c>
      <c r="D3994" s="889">
        <v>46037</v>
      </c>
      <c r="E3994" s="890">
        <v>0.35217592592592595</v>
      </c>
      <c r="F3994" s="890">
        <v>0.78202546296296294</v>
      </c>
    </row>
    <row r="3995" spans="1:6">
      <c r="A3995" s="888" t="s">
        <v>3447</v>
      </c>
      <c r="B3995" s="888" t="s">
        <v>3448</v>
      </c>
      <c r="C3995" s="888" t="s">
        <v>1282</v>
      </c>
    </row>
    <row r="3996" spans="1:6">
      <c r="A3996" s="888">
        <v>203</v>
      </c>
      <c r="B3996" s="888" t="s">
        <v>1162</v>
      </c>
      <c r="C3996" s="888" t="s">
        <v>1565</v>
      </c>
      <c r="D3996" s="889">
        <v>46038</v>
      </c>
      <c r="E3996" s="890">
        <v>0.35415509259259259</v>
      </c>
      <c r="F3996" s="890">
        <v>0.35423611111111108</v>
      </c>
    </row>
    <row r="3997" spans="1:6">
      <c r="A3997" s="888" t="s">
        <v>3449</v>
      </c>
      <c r="B3997" s="888" t="s">
        <v>3450</v>
      </c>
      <c r="C3997" s="888" t="s">
        <v>1259</v>
      </c>
    </row>
    <row r="3998" spans="1:6">
      <c r="A3998" s="888">
        <v>203</v>
      </c>
      <c r="B3998" s="888" t="s">
        <v>1162</v>
      </c>
      <c r="C3998" s="888" t="s">
        <v>1565</v>
      </c>
      <c r="D3998" s="889">
        <v>46039</v>
      </c>
      <c r="E3998" s="888" t="s">
        <v>310</v>
      </c>
      <c r="F3998" s="888" t="s">
        <v>310</v>
      </c>
    </row>
    <row r="3999" spans="1:6">
      <c r="A3999" s="888">
        <v>203</v>
      </c>
      <c r="B3999" s="888" t="s">
        <v>1162</v>
      </c>
      <c r="C3999" s="888" t="s">
        <v>1565</v>
      </c>
      <c r="D3999" s="889">
        <v>46040</v>
      </c>
      <c r="E3999" s="888" t="s">
        <v>310</v>
      </c>
      <c r="F3999" s="888" t="s">
        <v>310</v>
      </c>
    </row>
    <row r="4000" spans="1:6">
      <c r="A4000" s="888">
        <v>203</v>
      </c>
      <c r="B4000" s="888" t="s">
        <v>1162</v>
      </c>
      <c r="C4000" s="888" t="s">
        <v>1565</v>
      </c>
      <c r="D4000" s="889">
        <v>46041</v>
      </c>
      <c r="E4000" s="890">
        <v>0.34540509259259261</v>
      </c>
      <c r="F4000" s="890">
        <v>0.78265046296296292</v>
      </c>
    </row>
    <row r="4001" spans="1:6">
      <c r="A4001" s="888" t="s">
        <v>3451</v>
      </c>
      <c r="B4001" s="888" t="s">
        <v>3452</v>
      </c>
      <c r="C4001" s="888" t="s">
        <v>2634</v>
      </c>
    </row>
    <row r="4002" spans="1:6">
      <c r="A4002" s="888">
        <v>203</v>
      </c>
      <c r="B4002" s="888" t="s">
        <v>1162</v>
      </c>
      <c r="C4002" s="888" t="s">
        <v>1565</v>
      </c>
      <c r="D4002" s="889">
        <v>46042</v>
      </c>
      <c r="E4002" s="890">
        <v>0.3457986111111111</v>
      </c>
      <c r="F4002" s="890">
        <v>0.76055555555555554</v>
      </c>
    </row>
    <row r="4003" spans="1:6">
      <c r="A4003" s="888" t="s">
        <v>3453</v>
      </c>
      <c r="B4003" s="888" t="s">
        <v>3454</v>
      </c>
      <c r="C4003" s="888" t="s">
        <v>2009</v>
      </c>
    </row>
    <row r="4004" spans="1:6">
      <c r="A4004" s="888">
        <v>203</v>
      </c>
      <c r="B4004" s="888" t="s">
        <v>1162</v>
      </c>
      <c r="C4004" s="888" t="s">
        <v>1565</v>
      </c>
      <c r="D4004" s="889">
        <v>46043</v>
      </c>
      <c r="E4004" s="890">
        <v>0.34818287037037038</v>
      </c>
      <c r="F4004" s="890">
        <v>0.78754629629629624</v>
      </c>
    </row>
    <row r="4005" spans="1:6">
      <c r="A4005" s="888" t="s">
        <v>3455</v>
      </c>
      <c r="B4005" s="888" t="s">
        <v>3456</v>
      </c>
      <c r="C4005" s="888" t="s">
        <v>1766</v>
      </c>
    </row>
    <row r="4006" spans="1:6">
      <c r="A4006" s="888">
        <v>203</v>
      </c>
      <c r="B4006" s="888" t="s">
        <v>1162</v>
      </c>
      <c r="C4006" s="888" t="s">
        <v>1565</v>
      </c>
      <c r="D4006" s="889">
        <v>46044</v>
      </c>
      <c r="E4006" s="888" t="s">
        <v>310</v>
      </c>
      <c r="F4006" s="888" t="s">
        <v>310</v>
      </c>
    </row>
    <row r="4007" spans="1:6">
      <c r="A4007" s="888">
        <v>203</v>
      </c>
      <c r="B4007" s="888" t="s">
        <v>1162</v>
      </c>
      <c r="C4007" s="888" t="s">
        <v>1565</v>
      </c>
      <c r="D4007" s="889">
        <v>46045</v>
      </c>
      <c r="E4007" s="888" t="s">
        <v>310</v>
      </c>
      <c r="F4007" s="888" t="s">
        <v>310</v>
      </c>
    </row>
    <row r="4008" spans="1:6">
      <c r="A4008" s="888">
        <v>203</v>
      </c>
      <c r="B4008" s="888" t="s">
        <v>1162</v>
      </c>
      <c r="C4008" s="888" t="s">
        <v>1565</v>
      </c>
      <c r="D4008" s="889">
        <v>46046</v>
      </c>
      <c r="E4008" s="888" t="s">
        <v>310</v>
      </c>
      <c r="F4008" s="888" t="s">
        <v>310</v>
      </c>
    </row>
    <row r="4009" spans="1:6">
      <c r="A4009" s="888">
        <v>203</v>
      </c>
      <c r="B4009" s="888" t="s">
        <v>1162</v>
      </c>
      <c r="C4009" s="888" t="s">
        <v>1565</v>
      </c>
      <c r="D4009" s="889">
        <v>46047</v>
      </c>
      <c r="E4009" s="888" t="s">
        <v>310</v>
      </c>
      <c r="F4009" s="888" t="s">
        <v>310</v>
      </c>
    </row>
    <row r="4010" spans="1:6">
      <c r="A4010" s="888">
        <v>203</v>
      </c>
      <c r="B4010" s="888" t="s">
        <v>1162</v>
      </c>
      <c r="C4010" s="888" t="s">
        <v>1565</v>
      </c>
      <c r="D4010" s="889">
        <v>46048</v>
      </c>
      <c r="E4010" s="890">
        <v>0.35674768518518518</v>
      </c>
      <c r="F4010" s="890">
        <v>0.72578703703703706</v>
      </c>
    </row>
    <row r="4011" spans="1:6">
      <c r="A4011" s="888" t="s">
        <v>3457</v>
      </c>
      <c r="B4011" s="888" t="s">
        <v>3458</v>
      </c>
      <c r="C4011" s="888" t="s">
        <v>3459</v>
      </c>
    </row>
    <row r="4012" spans="1:6">
      <c r="A4012" s="888">
        <v>203</v>
      </c>
      <c r="B4012" s="888" t="s">
        <v>1162</v>
      </c>
      <c r="C4012" s="888" t="s">
        <v>1565</v>
      </c>
      <c r="D4012" s="889">
        <v>46049</v>
      </c>
      <c r="E4012" s="890">
        <v>0.33966435185185184</v>
      </c>
      <c r="F4012" s="890">
        <v>0.8004282407407407</v>
      </c>
    </row>
    <row r="4013" spans="1:6">
      <c r="A4013" s="888" t="s">
        <v>3460</v>
      </c>
      <c r="B4013" s="888" t="s">
        <v>3461</v>
      </c>
      <c r="C4013" s="888" t="s">
        <v>3462</v>
      </c>
    </row>
    <row r="4014" spans="1:6">
      <c r="A4014" s="888">
        <v>203</v>
      </c>
      <c r="B4014" s="888" t="s">
        <v>1162</v>
      </c>
      <c r="C4014" s="888" t="s">
        <v>1565</v>
      </c>
      <c r="D4014" s="889">
        <v>46050</v>
      </c>
      <c r="E4014" s="890">
        <v>0.35248842592592594</v>
      </c>
      <c r="F4014" s="890">
        <v>0.80827546296296293</v>
      </c>
    </row>
    <row r="4015" spans="1:6">
      <c r="A4015" s="888" t="s">
        <v>3463</v>
      </c>
      <c r="B4015" s="888" t="s">
        <v>3464</v>
      </c>
      <c r="C4015" s="888" t="s">
        <v>1819</v>
      </c>
    </row>
    <row r="4016" spans="1:6">
      <c r="A4016" s="888">
        <v>203</v>
      </c>
      <c r="B4016" s="888" t="s">
        <v>1162</v>
      </c>
      <c r="C4016" s="888" t="s">
        <v>1565</v>
      </c>
      <c r="D4016" s="889">
        <v>46051</v>
      </c>
      <c r="E4016" s="890">
        <v>0.35256944444444444</v>
      </c>
      <c r="F4016" s="890">
        <v>0.80685185185185182</v>
      </c>
    </row>
    <row r="4017" spans="1:6">
      <c r="A4017" s="888" t="s">
        <v>3465</v>
      </c>
      <c r="B4017" s="888" t="s">
        <v>3466</v>
      </c>
      <c r="C4017" s="888" t="s">
        <v>2064</v>
      </c>
    </row>
    <row r="4018" spans="1:6">
      <c r="A4018" s="888">
        <v>203</v>
      </c>
      <c r="B4018" s="888" t="s">
        <v>1162</v>
      </c>
      <c r="C4018" s="888" t="s">
        <v>1565</v>
      </c>
      <c r="D4018" s="889">
        <v>46052</v>
      </c>
      <c r="E4018" s="890">
        <v>0.76633101851851848</v>
      </c>
      <c r="F4018" s="890">
        <v>0.76651620370370366</v>
      </c>
    </row>
    <row r="4019" spans="1:6">
      <c r="A4019" s="888" t="s">
        <v>3467</v>
      </c>
      <c r="B4019" s="888" t="s">
        <v>3468</v>
      </c>
      <c r="C4019" s="888" t="s">
        <v>1259</v>
      </c>
    </row>
    <row r="4020" spans="1:6">
      <c r="A4020" s="888">
        <v>203</v>
      </c>
      <c r="B4020" s="888" t="s">
        <v>1162</v>
      </c>
      <c r="C4020" s="888" t="s">
        <v>1565</v>
      </c>
      <c r="D4020" s="889">
        <v>46053</v>
      </c>
      <c r="E4020" s="888" t="s">
        <v>310</v>
      </c>
      <c r="F4020" s="888" t="s">
        <v>310</v>
      </c>
    </row>
    <row r="4021" spans="1:6">
      <c r="A4021" s="888">
        <v>203</v>
      </c>
      <c r="B4021" s="888" t="s">
        <v>1162</v>
      </c>
      <c r="C4021" s="888" t="s">
        <v>1565</v>
      </c>
      <c r="D4021" s="889">
        <v>46054</v>
      </c>
      <c r="E4021" s="888" t="s">
        <v>310</v>
      </c>
      <c r="F4021" s="888" t="s">
        <v>310</v>
      </c>
    </row>
    <row r="4022" spans="1:6">
      <c r="A4022" s="888">
        <v>205</v>
      </c>
      <c r="B4022" s="888" t="s">
        <v>1163</v>
      </c>
      <c r="C4022" s="888" t="s">
        <v>1767</v>
      </c>
      <c r="D4022" s="889">
        <v>46023</v>
      </c>
      <c r="E4022" s="888" t="s">
        <v>310</v>
      </c>
      <c r="F4022" s="888" t="s">
        <v>310</v>
      </c>
    </row>
    <row r="4023" spans="1:6">
      <c r="A4023" s="888">
        <v>205</v>
      </c>
      <c r="B4023" s="888" t="s">
        <v>1163</v>
      </c>
      <c r="C4023" s="888" t="s">
        <v>1767</v>
      </c>
      <c r="D4023" s="889">
        <v>46024</v>
      </c>
      <c r="E4023" s="888" t="s">
        <v>310</v>
      </c>
      <c r="F4023" s="888" t="s">
        <v>310</v>
      </c>
    </row>
    <row r="4024" spans="1:6">
      <c r="A4024" s="888">
        <v>205</v>
      </c>
      <c r="B4024" s="888" t="s">
        <v>1163</v>
      </c>
      <c r="C4024" s="888" t="s">
        <v>1767</v>
      </c>
      <c r="D4024" s="889">
        <v>46025</v>
      </c>
      <c r="E4024" s="888" t="s">
        <v>310</v>
      </c>
      <c r="F4024" s="888" t="s">
        <v>310</v>
      </c>
    </row>
    <row r="4025" spans="1:6">
      <c r="A4025" s="888">
        <v>205</v>
      </c>
      <c r="B4025" s="888" t="s">
        <v>1163</v>
      </c>
      <c r="C4025" s="888" t="s">
        <v>1767</v>
      </c>
      <c r="D4025" s="889">
        <v>46026</v>
      </c>
      <c r="E4025" s="888" t="s">
        <v>310</v>
      </c>
      <c r="F4025" s="888" t="s">
        <v>310</v>
      </c>
    </row>
    <row r="4026" spans="1:6">
      <c r="A4026" s="888">
        <v>205</v>
      </c>
      <c r="B4026" s="888" t="s">
        <v>1163</v>
      </c>
      <c r="C4026" s="888" t="s">
        <v>1767</v>
      </c>
      <c r="D4026" s="889">
        <v>46027</v>
      </c>
      <c r="E4026" s="890">
        <v>0.36174768518518519</v>
      </c>
      <c r="F4026" s="890">
        <v>0.77370370370370367</v>
      </c>
    </row>
    <row r="4027" spans="1:6">
      <c r="A4027" s="888" t="s">
        <v>3469</v>
      </c>
      <c r="B4027" s="888" t="s">
        <v>3470</v>
      </c>
      <c r="C4027" s="888" t="s">
        <v>1369</v>
      </c>
    </row>
    <row r="4028" spans="1:6">
      <c r="A4028" s="888">
        <v>205</v>
      </c>
      <c r="B4028" s="888" t="s">
        <v>1163</v>
      </c>
      <c r="C4028" s="888" t="s">
        <v>1767</v>
      </c>
      <c r="D4028" s="889">
        <v>46028</v>
      </c>
      <c r="E4028" s="890">
        <v>0.38135416666666666</v>
      </c>
      <c r="F4028" s="890">
        <v>0.7739583333333333</v>
      </c>
    </row>
    <row r="4029" spans="1:6">
      <c r="A4029" s="888" t="s">
        <v>3471</v>
      </c>
      <c r="B4029" s="888" t="s">
        <v>3472</v>
      </c>
      <c r="C4029" s="888" t="s">
        <v>1724</v>
      </c>
    </row>
    <row r="4030" spans="1:6">
      <c r="A4030" s="888">
        <v>205</v>
      </c>
      <c r="B4030" s="888" t="s">
        <v>1163</v>
      </c>
      <c r="C4030" s="888" t="s">
        <v>1767</v>
      </c>
      <c r="D4030" s="889">
        <v>46029</v>
      </c>
      <c r="E4030" s="890">
        <v>0.37509259259259259</v>
      </c>
      <c r="F4030" s="890">
        <v>0.78204861111111112</v>
      </c>
    </row>
    <row r="4031" spans="1:6">
      <c r="A4031" s="888" t="s">
        <v>3473</v>
      </c>
      <c r="B4031" s="888" t="s">
        <v>3474</v>
      </c>
      <c r="C4031" s="888" t="s">
        <v>1868</v>
      </c>
    </row>
    <row r="4032" spans="1:6">
      <c r="A4032" s="888">
        <v>205</v>
      </c>
      <c r="B4032" s="888" t="s">
        <v>1163</v>
      </c>
      <c r="C4032" s="888" t="s">
        <v>1767</v>
      </c>
      <c r="D4032" s="889">
        <v>46030</v>
      </c>
      <c r="E4032" s="890">
        <v>0.36009259259259258</v>
      </c>
      <c r="F4032" s="890">
        <v>0.75548611111111108</v>
      </c>
    </row>
    <row r="4033" spans="1:6">
      <c r="A4033" s="888" t="s">
        <v>3475</v>
      </c>
      <c r="B4033" s="888" t="s">
        <v>3476</v>
      </c>
      <c r="C4033" s="888" t="s">
        <v>1413</v>
      </c>
    </row>
    <row r="4034" spans="1:6">
      <c r="A4034" s="888">
        <v>205</v>
      </c>
      <c r="B4034" s="888" t="s">
        <v>1163</v>
      </c>
      <c r="C4034" s="888" t="s">
        <v>1767</v>
      </c>
      <c r="D4034" s="889">
        <v>46031</v>
      </c>
      <c r="E4034" s="890">
        <v>0.36115740740740743</v>
      </c>
      <c r="F4034" s="890">
        <v>0.76383101851851853</v>
      </c>
    </row>
    <row r="4035" spans="1:6">
      <c r="A4035" s="888" t="s">
        <v>3477</v>
      </c>
      <c r="B4035" s="888" t="s">
        <v>3478</v>
      </c>
      <c r="C4035" s="888" t="s">
        <v>1624</v>
      </c>
    </row>
    <row r="4036" spans="1:6">
      <c r="A4036" s="888">
        <v>205</v>
      </c>
      <c r="B4036" s="888" t="s">
        <v>1163</v>
      </c>
      <c r="C4036" s="888" t="s">
        <v>1767</v>
      </c>
      <c r="D4036" s="889">
        <v>46032</v>
      </c>
      <c r="E4036" s="890">
        <v>0.36075231481481479</v>
      </c>
      <c r="F4036" s="890">
        <v>0.50853009259259263</v>
      </c>
    </row>
    <row r="4037" spans="1:6">
      <c r="A4037" s="888" t="s">
        <v>3479</v>
      </c>
      <c r="B4037" s="888" t="s">
        <v>3480</v>
      </c>
      <c r="C4037" s="888" t="s">
        <v>3481</v>
      </c>
    </row>
    <row r="4038" spans="1:6">
      <c r="A4038" s="888">
        <v>205</v>
      </c>
      <c r="B4038" s="888" t="s">
        <v>1163</v>
      </c>
      <c r="C4038" s="888" t="s">
        <v>1767</v>
      </c>
      <c r="D4038" s="889">
        <v>46033</v>
      </c>
      <c r="E4038" s="888" t="s">
        <v>310</v>
      </c>
      <c r="F4038" s="888" t="s">
        <v>310</v>
      </c>
    </row>
    <row r="4039" spans="1:6">
      <c r="A4039" s="888">
        <v>205</v>
      </c>
      <c r="B4039" s="888" t="s">
        <v>1163</v>
      </c>
      <c r="C4039" s="888" t="s">
        <v>1767</v>
      </c>
      <c r="D4039" s="889">
        <v>46034</v>
      </c>
      <c r="E4039" s="890">
        <v>0.36182870370370368</v>
      </c>
      <c r="F4039" s="890">
        <v>0.75997685185185182</v>
      </c>
    </row>
    <row r="4040" spans="1:6">
      <c r="A4040" s="888" t="s">
        <v>3482</v>
      </c>
      <c r="B4040" s="888" t="s">
        <v>3245</v>
      </c>
      <c r="C4040" s="888" t="s">
        <v>1457</v>
      </c>
    </row>
    <row r="4041" spans="1:6">
      <c r="A4041" s="888">
        <v>205</v>
      </c>
      <c r="B4041" s="888" t="s">
        <v>1163</v>
      </c>
      <c r="C4041" s="888" t="s">
        <v>1767</v>
      </c>
      <c r="D4041" s="889">
        <v>46035</v>
      </c>
      <c r="E4041" s="890">
        <v>0.36512731481481481</v>
      </c>
      <c r="F4041" s="890">
        <v>0.76906249999999998</v>
      </c>
    </row>
    <row r="4042" spans="1:6">
      <c r="A4042" s="888" t="s">
        <v>3483</v>
      </c>
      <c r="B4042" s="888" t="s">
        <v>3484</v>
      </c>
      <c r="C4042" s="888" t="s">
        <v>1266</v>
      </c>
    </row>
    <row r="4043" spans="1:6">
      <c r="A4043" s="888">
        <v>205</v>
      </c>
      <c r="B4043" s="888" t="s">
        <v>1163</v>
      </c>
      <c r="C4043" s="888" t="s">
        <v>1767</v>
      </c>
      <c r="D4043" s="889">
        <v>46036</v>
      </c>
      <c r="E4043" s="890">
        <v>0.36875000000000002</v>
      </c>
      <c r="F4043" s="890">
        <v>0.7836805555555556</v>
      </c>
    </row>
    <row r="4044" spans="1:6">
      <c r="A4044" s="888" t="s">
        <v>3485</v>
      </c>
      <c r="B4044" s="888" t="s">
        <v>3486</v>
      </c>
      <c r="C4044" s="888" t="s">
        <v>1879</v>
      </c>
    </row>
    <row r="4045" spans="1:6">
      <c r="A4045" s="888">
        <v>205</v>
      </c>
      <c r="B4045" s="888" t="s">
        <v>1163</v>
      </c>
      <c r="C4045" s="888" t="s">
        <v>1767</v>
      </c>
      <c r="D4045" s="889">
        <v>46037</v>
      </c>
      <c r="E4045" s="890">
        <v>0.36901620370370369</v>
      </c>
      <c r="F4045" s="890">
        <v>0.76729166666666671</v>
      </c>
    </row>
    <row r="4046" spans="1:6">
      <c r="A4046" s="888" t="s">
        <v>3487</v>
      </c>
      <c r="B4046" s="888" t="s">
        <v>3488</v>
      </c>
      <c r="C4046" s="888" t="s">
        <v>1383</v>
      </c>
    </row>
    <row r="4047" spans="1:6">
      <c r="A4047" s="888">
        <v>205</v>
      </c>
      <c r="B4047" s="888" t="s">
        <v>1163</v>
      </c>
      <c r="C4047" s="888" t="s">
        <v>1767</v>
      </c>
      <c r="D4047" s="889">
        <v>46038</v>
      </c>
      <c r="E4047" s="890">
        <v>0.36861111111111111</v>
      </c>
      <c r="F4047" s="890">
        <v>0.78109953703703705</v>
      </c>
    </row>
    <row r="4048" spans="1:6">
      <c r="A4048" s="888" t="s">
        <v>3489</v>
      </c>
      <c r="B4048" s="888" t="s">
        <v>3490</v>
      </c>
      <c r="C4048" s="888" t="s">
        <v>1816</v>
      </c>
    </row>
    <row r="4049" spans="1:6">
      <c r="A4049" s="888">
        <v>205</v>
      </c>
      <c r="B4049" s="888" t="s">
        <v>1163</v>
      </c>
      <c r="C4049" s="888" t="s">
        <v>1767</v>
      </c>
      <c r="D4049" s="889">
        <v>46039</v>
      </c>
      <c r="E4049" s="888" t="s">
        <v>310</v>
      </c>
      <c r="F4049" s="888" t="s">
        <v>310</v>
      </c>
    </row>
    <row r="4050" spans="1:6">
      <c r="A4050" s="888">
        <v>205</v>
      </c>
      <c r="B4050" s="888" t="s">
        <v>1163</v>
      </c>
      <c r="C4050" s="888" t="s">
        <v>1767</v>
      </c>
      <c r="D4050" s="889">
        <v>46040</v>
      </c>
      <c r="E4050" s="888" t="s">
        <v>310</v>
      </c>
      <c r="F4050" s="888" t="s">
        <v>310</v>
      </c>
    </row>
    <row r="4051" spans="1:6">
      <c r="A4051" s="888">
        <v>205</v>
      </c>
      <c r="B4051" s="888" t="s">
        <v>1163</v>
      </c>
      <c r="C4051" s="888" t="s">
        <v>1767</v>
      </c>
      <c r="D4051" s="889">
        <v>46041</v>
      </c>
      <c r="E4051" s="888" t="s">
        <v>310</v>
      </c>
      <c r="F4051" s="888" t="s">
        <v>310</v>
      </c>
    </row>
    <row r="4052" spans="1:6">
      <c r="A4052" s="888">
        <v>205</v>
      </c>
      <c r="B4052" s="888" t="s">
        <v>1163</v>
      </c>
      <c r="C4052" s="888" t="s">
        <v>1767</v>
      </c>
      <c r="D4052" s="889">
        <v>46042</v>
      </c>
      <c r="E4052" s="888" t="s">
        <v>310</v>
      </c>
      <c r="F4052" s="888" t="s">
        <v>310</v>
      </c>
    </row>
    <row r="4053" spans="1:6">
      <c r="A4053" s="888">
        <v>205</v>
      </c>
      <c r="B4053" s="888" t="s">
        <v>1163</v>
      </c>
      <c r="C4053" s="888" t="s">
        <v>1767</v>
      </c>
      <c r="D4053" s="889">
        <v>46043</v>
      </c>
      <c r="E4053" s="890">
        <v>0.36091435185185183</v>
      </c>
      <c r="F4053" s="890">
        <v>0.77697916666666667</v>
      </c>
    </row>
    <row r="4054" spans="1:6">
      <c r="A4054" s="888" t="s">
        <v>3491</v>
      </c>
      <c r="B4054" s="888" t="s">
        <v>3492</v>
      </c>
      <c r="C4054" s="888" t="s">
        <v>1422</v>
      </c>
    </row>
    <row r="4055" spans="1:6">
      <c r="A4055" s="888">
        <v>205</v>
      </c>
      <c r="B4055" s="888" t="s">
        <v>1163</v>
      </c>
      <c r="C4055" s="888" t="s">
        <v>1767</v>
      </c>
      <c r="D4055" s="889">
        <v>46044</v>
      </c>
      <c r="E4055" s="890">
        <v>0.36548611111111112</v>
      </c>
      <c r="F4055" s="890">
        <v>0.76833333333333331</v>
      </c>
    </row>
    <row r="4056" spans="1:6">
      <c r="A4056" s="888" t="s">
        <v>3493</v>
      </c>
      <c r="B4056" s="888" t="s">
        <v>3494</v>
      </c>
      <c r="C4056" s="888" t="s">
        <v>1624</v>
      </c>
    </row>
    <row r="4057" spans="1:6">
      <c r="A4057" s="888">
        <v>205</v>
      </c>
      <c r="B4057" s="888" t="s">
        <v>1163</v>
      </c>
      <c r="C4057" s="888" t="s">
        <v>1767</v>
      </c>
      <c r="D4057" s="889">
        <v>46045</v>
      </c>
      <c r="E4057" s="890">
        <v>0.36406250000000001</v>
      </c>
      <c r="F4057" s="890">
        <v>0.78197916666666667</v>
      </c>
    </row>
    <row r="4058" spans="1:6">
      <c r="A4058" s="888" t="s">
        <v>3495</v>
      </c>
      <c r="B4058" s="888" t="s">
        <v>3496</v>
      </c>
      <c r="C4058" s="888" t="s">
        <v>1790</v>
      </c>
    </row>
    <row r="4059" spans="1:6">
      <c r="A4059" s="888">
        <v>205</v>
      </c>
      <c r="B4059" s="888" t="s">
        <v>1163</v>
      </c>
      <c r="C4059" s="888" t="s">
        <v>1767</v>
      </c>
      <c r="D4059" s="889">
        <v>46046</v>
      </c>
      <c r="E4059" s="888" t="s">
        <v>310</v>
      </c>
      <c r="F4059" s="888" t="s">
        <v>310</v>
      </c>
    </row>
    <row r="4060" spans="1:6">
      <c r="A4060" s="888">
        <v>205</v>
      </c>
      <c r="B4060" s="888" t="s">
        <v>1163</v>
      </c>
      <c r="C4060" s="888" t="s">
        <v>1767</v>
      </c>
      <c r="D4060" s="889">
        <v>46047</v>
      </c>
      <c r="E4060" s="888" t="s">
        <v>310</v>
      </c>
      <c r="F4060" s="888" t="s">
        <v>310</v>
      </c>
    </row>
    <row r="4061" spans="1:6">
      <c r="A4061" s="888">
        <v>205</v>
      </c>
      <c r="B4061" s="888" t="s">
        <v>1163</v>
      </c>
      <c r="C4061" s="888" t="s">
        <v>1767</v>
      </c>
      <c r="D4061" s="889">
        <v>46048</v>
      </c>
      <c r="E4061" s="890">
        <v>0.35966435185185186</v>
      </c>
      <c r="F4061" s="890">
        <v>0.75937500000000002</v>
      </c>
    </row>
    <row r="4062" spans="1:6">
      <c r="A4062" s="888" t="s">
        <v>3497</v>
      </c>
      <c r="B4062" s="888" t="s">
        <v>3498</v>
      </c>
      <c r="C4062" s="888" t="s">
        <v>1526</v>
      </c>
    </row>
    <row r="4063" spans="1:6">
      <c r="A4063" s="888">
        <v>205</v>
      </c>
      <c r="B4063" s="888" t="s">
        <v>1163</v>
      </c>
      <c r="C4063" s="888" t="s">
        <v>1767</v>
      </c>
      <c r="D4063" s="889">
        <v>46049</v>
      </c>
      <c r="E4063" s="890">
        <v>0.36070601851851852</v>
      </c>
      <c r="F4063" s="890">
        <v>0.75434027777777779</v>
      </c>
    </row>
    <row r="4064" spans="1:6">
      <c r="A4064" s="888" t="s">
        <v>3499</v>
      </c>
      <c r="B4064" s="888" t="s">
        <v>3500</v>
      </c>
      <c r="C4064" s="888" t="s">
        <v>1291</v>
      </c>
    </row>
    <row r="4065" spans="1:6">
      <c r="A4065" s="888">
        <v>205</v>
      </c>
      <c r="B4065" s="888" t="s">
        <v>1163</v>
      </c>
      <c r="C4065" s="888" t="s">
        <v>1767</v>
      </c>
      <c r="D4065" s="889">
        <v>46050</v>
      </c>
      <c r="E4065" s="890">
        <v>0.36181712962962964</v>
      </c>
      <c r="F4065" s="890">
        <v>0.77546296296296291</v>
      </c>
    </row>
    <row r="4066" spans="1:6">
      <c r="A4066" s="888" t="s">
        <v>3501</v>
      </c>
      <c r="B4066" s="888" t="s">
        <v>3502</v>
      </c>
      <c r="C4066" s="888" t="s">
        <v>1407</v>
      </c>
    </row>
    <row r="4067" spans="1:6">
      <c r="A4067" s="888">
        <v>205</v>
      </c>
      <c r="B4067" s="888" t="s">
        <v>1163</v>
      </c>
      <c r="C4067" s="888" t="s">
        <v>1767</v>
      </c>
      <c r="D4067" s="889">
        <v>46051</v>
      </c>
      <c r="E4067" s="890">
        <v>0.37125000000000002</v>
      </c>
      <c r="F4067" s="890">
        <v>0.77034722222222218</v>
      </c>
    </row>
    <row r="4068" spans="1:6">
      <c r="A4068" s="888" t="s">
        <v>3503</v>
      </c>
      <c r="B4068" s="888" t="s">
        <v>3504</v>
      </c>
      <c r="C4068" s="888" t="s">
        <v>1288</v>
      </c>
    </row>
    <row r="4069" spans="1:6">
      <c r="A4069" s="888">
        <v>205</v>
      </c>
      <c r="B4069" s="888" t="s">
        <v>1163</v>
      </c>
      <c r="C4069" s="888" t="s">
        <v>1767</v>
      </c>
      <c r="D4069" s="889">
        <v>46052</v>
      </c>
      <c r="E4069" s="890">
        <v>0.3717361111111111</v>
      </c>
      <c r="F4069" s="890">
        <v>0.78627314814814819</v>
      </c>
    </row>
    <row r="4070" spans="1:6">
      <c r="A4070" s="888" t="s">
        <v>3505</v>
      </c>
      <c r="B4070" s="888" t="s">
        <v>3506</v>
      </c>
      <c r="C4070" s="888" t="s">
        <v>2009</v>
      </c>
    </row>
    <row r="4071" spans="1:6">
      <c r="A4071" s="888">
        <v>205</v>
      </c>
      <c r="B4071" s="888" t="s">
        <v>1163</v>
      </c>
      <c r="C4071" s="888" t="s">
        <v>1767</v>
      </c>
      <c r="D4071" s="889">
        <v>46053</v>
      </c>
      <c r="E4071" s="888" t="s">
        <v>310</v>
      </c>
      <c r="F4071" s="888" t="s">
        <v>310</v>
      </c>
    </row>
    <row r="4072" spans="1:6">
      <c r="A4072" s="888">
        <v>205</v>
      </c>
      <c r="B4072" s="888" t="s">
        <v>1163</v>
      </c>
      <c r="C4072" s="888" t="s">
        <v>1767</v>
      </c>
      <c r="D4072" s="889">
        <v>46054</v>
      </c>
      <c r="E4072" s="888" t="s">
        <v>310</v>
      </c>
      <c r="F4072" s="888" t="s">
        <v>310</v>
      </c>
    </row>
    <row r="4073" spans="1:6">
      <c r="A4073" s="888">
        <v>206</v>
      </c>
      <c r="B4073" s="888" t="s">
        <v>1164</v>
      </c>
      <c r="C4073" s="888" t="s">
        <v>1468</v>
      </c>
      <c r="D4073" s="889">
        <v>46023</v>
      </c>
      <c r="E4073" s="888" t="s">
        <v>310</v>
      </c>
      <c r="F4073" s="888" t="s">
        <v>310</v>
      </c>
    </row>
    <row r="4074" spans="1:6">
      <c r="A4074" s="888">
        <v>206</v>
      </c>
      <c r="B4074" s="888" t="s">
        <v>1164</v>
      </c>
      <c r="C4074" s="888" t="s">
        <v>1468</v>
      </c>
      <c r="D4074" s="889">
        <v>46024</v>
      </c>
      <c r="E4074" s="888" t="s">
        <v>310</v>
      </c>
      <c r="F4074" s="888" t="s">
        <v>310</v>
      </c>
    </row>
    <row r="4075" spans="1:6">
      <c r="A4075" s="888">
        <v>206</v>
      </c>
      <c r="B4075" s="888" t="s">
        <v>1164</v>
      </c>
      <c r="C4075" s="888" t="s">
        <v>1468</v>
      </c>
      <c r="D4075" s="889">
        <v>46025</v>
      </c>
      <c r="E4075" s="888" t="s">
        <v>310</v>
      </c>
      <c r="F4075" s="888" t="s">
        <v>310</v>
      </c>
    </row>
    <row r="4076" spans="1:6">
      <c r="A4076" s="888">
        <v>206</v>
      </c>
      <c r="B4076" s="888" t="s">
        <v>1164</v>
      </c>
      <c r="C4076" s="888" t="s">
        <v>1468</v>
      </c>
      <c r="D4076" s="889">
        <v>46026</v>
      </c>
      <c r="E4076" s="888" t="s">
        <v>310</v>
      </c>
      <c r="F4076" s="888" t="s">
        <v>310</v>
      </c>
    </row>
    <row r="4077" spans="1:6">
      <c r="A4077" s="888">
        <v>206</v>
      </c>
      <c r="B4077" s="888" t="s">
        <v>1164</v>
      </c>
      <c r="C4077" s="888" t="s">
        <v>1468</v>
      </c>
      <c r="D4077" s="889">
        <v>46027</v>
      </c>
      <c r="E4077" s="890">
        <v>0.60479166666666662</v>
      </c>
      <c r="F4077" s="888" t="s">
        <v>310</v>
      </c>
    </row>
    <row r="4078" spans="1:6">
      <c r="A4078" s="888" t="s">
        <v>3507</v>
      </c>
      <c r="B4078" s="888" t="s">
        <v>1258</v>
      </c>
      <c r="C4078" s="888" t="s">
        <v>1259</v>
      </c>
    </row>
    <row r="4079" spans="1:6">
      <c r="A4079" s="888">
        <v>206</v>
      </c>
      <c r="B4079" s="888" t="s">
        <v>1164</v>
      </c>
      <c r="C4079" s="888" t="s">
        <v>1468</v>
      </c>
      <c r="D4079" s="889">
        <v>46028</v>
      </c>
      <c r="E4079" s="888" t="s">
        <v>310</v>
      </c>
      <c r="F4079" s="888" t="s">
        <v>310</v>
      </c>
    </row>
    <row r="4080" spans="1:6">
      <c r="A4080" s="888">
        <v>206</v>
      </c>
      <c r="B4080" s="888" t="s">
        <v>1164</v>
      </c>
      <c r="C4080" s="888" t="s">
        <v>1468</v>
      </c>
      <c r="D4080" s="889">
        <v>46029</v>
      </c>
      <c r="E4080" s="888" t="s">
        <v>310</v>
      </c>
      <c r="F4080" s="888" t="s">
        <v>310</v>
      </c>
    </row>
    <row r="4081" spans="1:6">
      <c r="A4081" s="888">
        <v>206</v>
      </c>
      <c r="B4081" s="888" t="s">
        <v>1164</v>
      </c>
      <c r="C4081" s="888" t="s">
        <v>1468</v>
      </c>
      <c r="D4081" s="889">
        <v>46030</v>
      </c>
      <c r="E4081" s="888" t="s">
        <v>310</v>
      </c>
      <c r="F4081" s="888" t="s">
        <v>310</v>
      </c>
    </row>
    <row r="4082" spans="1:6">
      <c r="A4082" s="888">
        <v>206</v>
      </c>
      <c r="B4082" s="888" t="s">
        <v>1164</v>
      </c>
      <c r="C4082" s="888" t="s">
        <v>1468</v>
      </c>
      <c r="D4082" s="889">
        <v>46031</v>
      </c>
      <c r="E4082" s="888" t="s">
        <v>310</v>
      </c>
      <c r="F4082" s="888" t="s">
        <v>310</v>
      </c>
    </row>
    <row r="4083" spans="1:6">
      <c r="A4083" s="888">
        <v>206</v>
      </c>
      <c r="B4083" s="888" t="s">
        <v>1164</v>
      </c>
      <c r="C4083" s="888" t="s">
        <v>1468</v>
      </c>
      <c r="D4083" s="889">
        <v>46032</v>
      </c>
      <c r="E4083" s="888" t="s">
        <v>310</v>
      </c>
      <c r="F4083" s="888" t="s">
        <v>310</v>
      </c>
    </row>
    <row r="4084" spans="1:6">
      <c r="A4084" s="888">
        <v>206</v>
      </c>
      <c r="B4084" s="888" t="s">
        <v>1164</v>
      </c>
      <c r="C4084" s="888" t="s">
        <v>1468</v>
      </c>
      <c r="D4084" s="889">
        <v>46033</v>
      </c>
      <c r="E4084" s="888" t="s">
        <v>310</v>
      </c>
      <c r="F4084" s="888" t="s">
        <v>310</v>
      </c>
    </row>
    <row r="4085" spans="1:6">
      <c r="A4085" s="888">
        <v>206</v>
      </c>
      <c r="B4085" s="888" t="s">
        <v>1164</v>
      </c>
      <c r="C4085" s="888" t="s">
        <v>1468</v>
      </c>
      <c r="D4085" s="889">
        <v>46034</v>
      </c>
      <c r="E4085" s="888" t="s">
        <v>310</v>
      </c>
      <c r="F4085" s="888" t="s">
        <v>310</v>
      </c>
    </row>
    <row r="4086" spans="1:6">
      <c r="A4086" s="888">
        <v>206</v>
      </c>
      <c r="B4086" s="888" t="s">
        <v>1164</v>
      </c>
      <c r="C4086" s="888" t="s">
        <v>1468</v>
      </c>
      <c r="D4086" s="889">
        <v>46035</v>
      </c>
      <c r="E4086" s="890">
        <v>0.46149305555555553</v>
      </c>
      <c r="F4086" s="890">
        <v>0.68208333333333337</v>
      </c>
    </row>
    <row r="4087" spans="1:6">
      <c r="A4087" s="888" t="s">
        <v>3508</v>
      </c>
      <c r="B4087" s="888" t="s">
        <v>3509</v>
      </c>
      <c r="C4087" s="888" t="s">
        <v>1860</v>
      </c>
    </row>
    <row r="4088" spans="1:6">
      <c r="A4088" s="888">
        <v>206</v>
      </c>
      <c r="B4088" s="888" t="s">
        <v>1164</v>
      </c>
      <c r="C4088" s="888" t="s">
        <v>1468</v>
      </c>
      <c r="D4088" s="889">
        <v>46036</v>
      </c>
      <c r="E4088" s="890">
        <v>0.78356481481481477</v>
      </c>
      <c r="F4088" s="890">
        <v>0.82884259259259263</v>
      </c>
    </row>
    <row r="4089" spans="1:6">
      <c r="A4089" s="888" t="s">
        <v>3510</v>
      </c>
      <c r="B4089" s="888" t="s">
        <v>3511</v>
      </c>
      <c r="C4089" s="888" t="s">
        <v>3512</v>
      </c>
    </row>
    <row r="4090" spans="1:6">
      <c r="A4090" s="888">
        <v>206</v>
      </c>
      <c r="B4090" s="888" t="s">
        <v>1164</v>
      </c>
      <c r="C4090" s="888" t="s">
        <v>1468</v>
      </c>
      <c r="D4090" s="889">
        <v>46037</v>
      </c>
      <c r="E4090" s="888" t="s">
        <v>310</v>
      </c>
      <c r="F4090" s="888" t="s">
        <v>310</v>
      </c>
    </row>
    <row r="4091" spans="1:6">
      <c r="A4091" s="888">
        <v>206</v>
      </c>
      <c r="B4091" s="888" t="s">
        <v>1164</v>
      </c>
      <c r="C4091" s="888" t="s">
        <v>1468</v>
      </c>
      <c r="D4091" s="889">
        <v>46038</v>
      </c>
      <c r="E4091" s="888" t="s">
        <v>310</v>
      </c>
      <c r="F4091" s="888" t="s">
        <v>310</v>
      </c>
    </row>
    <row r="4092" spans="1:6">
      <c r="A4092" s="888">
        <v>206</v>
      </c>
      <c r="B4092" s="888" t="s">
        <v>1164</v>
      </c>
      <c r="C4092" s="888" t="s">
        <v>1468</v>
      </c>
      <c r="D4092" s="889">
        <v>46039</v>
      </c>
      <c r="E4092" s="888" t="s">
        <v>310</v>
      </c>
      <c r="F4092" s="888" t="s">
        <v>310</v>
      </c>
    </row>
    <row r="4093" spans="1:6">
      <c r="A4093" s="888">
        <v>206</v>
      </c>
      <c r="B4093" s="888" t="s">
        <v>1164</v>
      </c>
      <c r="C4093" s="888" t="s">
        <v>1468</v>
      </c>
      <c r="D4093" s="889">
        <v>46040</v>
      </c>
      <c r="E4093" s="888" t="s">
        <v>310</v>
      </c>
      <c r="F4093" s="888" t="s">
        <v>310</v>
      </c>
    </row>
    <row r="4094" spans="1:6">
      <c r="A4094" s="888">
        <v>206</v>
      </c>
      <c r="B4094" s="888" t="s">
        <v>1164</v>
      </c>
      <c r="C4094" s="888" t="s">
        <v>1468</v>
      </c>
      <c r="D4094" s="889">
        <v>46041</v>
      </c>
      <c r="E4094" s="888" t="s">
        <v>310</v>
      </c>
      <c r="F4094" s="888" t="s">
        <v>310</v>
      </c>
    </row>
    <row r="4095" spans="1:6">
      <c r="A4095" s="888">
        <v>206</v>
      </c>
      <c r="B4095" s="888" t="s">
        <v>1164</v>
      </c>
      <c r="C4095" s="888" t="s">
        <v>1468</v>
      </c>
      <c r="D4095" s="889">
        <v>46042</v>
      </c>
      <c r="E4095" s="888" t="s">
        <v>310</v>
      </c>
      <c r="F4095" s="888" t="s">
        <v>310</v>
      </c>
    </row>
    <row r="4096" spans="1:6">
      <c r="A4096" s="888">
        <v>206</v>
      </c>
      <c r="B4096" s="888" t="s">
        <v>1164</v>
      </c>
      <c r="C4096" s="888" t="s">
        <v>1468</v>
      </c>
      <c r="D4096" s="889">
        <v>46043</v>
      </c>
      <c r="E4096" s="888" t="s">
        <v>310</v>
      </c>
      <c r="F4096" s="888" t="s">
        <v>310</v>
      </c>
    </row>
    <row r="4097" spans="1:6">
      <c r="A4097" s="888">
        <v>206</v>
      </c>
      <c r="B4097" s="888" t="s">
        <v>1164</v>
      </c>
      <c r="C4097" s="888" t="s">
        <v>1468</v>
      </c>
      <c r="D4097" s="889">
        <v>46044</v>
      </c>
      <c r="E4097" s="888" t="s">
        <v>310</v>
      </c>
      <c r="F4097" s="888" t="s">
        <v>310</v>
      </c>
    </row>
    <row r="4098" spans="1:6">
      <c r="A4098" s="888">
        <v>206</v>
      </c>
      <c r="B4098" s="888" t="s">
        <v>1164</v>
      </c>
      <c r="C4098" s="888" t="s">
        <v>1468</v>
      </c>
      <c r="D4098" s="889">
        <v>46045</v>
      </c>
      <c r="E4098" s="888" t="s">
        <v>310</v>
      </c>
      <c r="F4098" s="888" t="s">
        <v>310</v>
      </c>
    </row>
    <row r="4099" spans="1:6">
      <c r="A4099" s="888">
        <v>206</v>
      </c>
      <c r="B4099" s="888" t="s">
        <v>1164</v>
      </c>
      <c r="C4099" s="888" t="s">
        <v>1468</v>
      </c>
      <c r="D4099" s="889">
        <v>46046</v>
      </c>
      <c r="E4099" s="888" t="s">
        <v>310</v>
      </c>
      <c r="F4099" s="888" t="s">
        <v>310</v>
      </c>
    </row>
    <row r="4100" spans="1:6">
      <c r="A4100" s="888">
        <v>206</v>
      </c>
      <c r="B4100" s="888" t="s">
        <v>1164</v>
      </c>
      <c r="C4100" s="888" t="s">
        <v>1468</v>
      </c>
      <c r="D4100" s="889">
        <v>46047</v>
      </c>
      <c r="E4100" s="888" t="s">
        <v>310</v>
      </c>
      <c r="F4100" s="888" t="s">
        <v>310</v>
      </c>
    </row>
    <row r="4101" spans="1:6">
      <c r="A4101" s="888">
        <v>206</v>
      </c>
      <c r="B4101" s="888" t="s">
        <v>1164</v>
      </c>
      <c r="C4101" s="888" t="s">
        <v>1468</v>
      </c>
      <c r="D4101" s="889">
        <v>46048</v>
      </c>
      <c r="E4101" s="888" t="s">
        <v>310</v>
      </c>
      <c r="F4101" s="888" t="s">
        <v>310</v>
      </c>
    </row>
    <row r="4102" spans="1:6">
      <c r="A4102" s="888">
        <v>206</v>
      </c>
      <c r="B4102" s="888" t="s">
        <v>1164</v>
      </c>
      <c r="C4102" s="888" t="s">
        <v>1468</v>
      </c>
      <c r="D4102" s="889">
        <v>46049</v>
      </c>
      <c r="E4102" s="888" t="s">
        <v>310</v>
      </c>
      <c r="F4102" s="888" t="s">
        <v>310</v>
      </c>
    </row>
    <row r="4103" spans="1:6">
      <c r="A4103" s="888">
        <v>206</v>
      </c>
      <c r="B4103" s="888" t="s">
        <v>1164</v>
      </c>
      <c r="C4103" s="888" t="s">
        <v>1468</v>
      </c>
      <c r="D4103" s="889">
        <v>46050</v>
      </c>
      <c r="E4103" s="888" t="s">
        <v>310</v>
      </c>
      <c r="F4103" s="888" t="s">
        <v>310</v>
      </c>
    </row>
    <row r="4104" spans="1:6">
      <c r="A4104" s="888">
        <v>206</v>
      </c>
      <c r="B4104" s="888" t="s">
        <v>1164</v>
      </c>
      <c r="C4104" s="888" t="s">
        <v>1468</v>
      </c>
      <c r="D4104" s="889">
        <v>46051</v>
      </c>
      <c r="E4104" s="888" t="s">
        <v>310</v>
      </c>
      <c r="F4104" s="888" t="s">
        <v>310</v>
      </c>
    </row>
    <row r="4105" spans="1:6">
      <c r="A4105" s="888">
        <v>206</v>
      </c>
      <c r="B4105" s="888" t="s">
        <v>1164</v>
      </c>
      <c r="C4105" s="888" t="s">
        <v>1468</v>
      </c>
      <c r="D4105" s="889">
        <v>46052</v>
      </c>
      <c r="E4105" s="888" t="s">
        <v>310</v>
      </c>
      <c r="F4105" s="888" t="s">
        <v>310</v>
      </c>
    </row>
    <row r="4106" spans="1:6">
      <c r="A4106" s="888">
        <v>206</v>
      </c>
      <c r="B4106" s="888" t="s">
        <v>1164</v>
      </c>
      <c r="C4106" s="888" t="s">
        <v>1468</v>
      </c>
      <c r="D4106" s="889">
        <v>46053</v>
      </c>
      <c r="E4106" s="888" t="s">
        <v>310</v>
      </c>
      <c r="F4106" s="888" t="s">
        <v>310</v>
      </c>
    </row>
    <row r="4107" spans="1:6">
      <c r="A4107" s="888">
        <v>206</v>
      </c>
      <c r="B4107" s="888" t="s">
        <v>1164</v>
      </c>
      <c r="C4107" s="888" t="s">
        <v>1468</v>
      </c>
      <c r="D4107" s="889">
        <v>46054</v>
      </c>
      <c r="E4107" s="888" t="s">
        <v>310</v>
      </c>
      <c r="F4107" s="888" t="s">
        <v>310</v>
      </c>
    </row>
    <row r="4108" spans="1:6">
      <c r="A4108" s="888">
        <v>208</v>
      </c>
      <c r="B4108" s="888" t="s">
        <v>3513</v>
      </c>
      <c r="C4108" s="888" t="s">
        <v>1468</v>
      </c>
      <c r="D4108" s="889">
        <v>46023</v>
      </c>
      <c r="E4108" s="888" t="s">
        <v>310</v>
      </c>
      <c r="F4108" s="888" t="s">
        <v>310</v>
      </c>
    </row>
    <row r="4109" spans="1:6">
      <c r="A4109" s="888">
        <v>208</v>
      </c>
      <c r="B4109" s="888" t="s">
        <v>3513</v>
      </c>
      <c r="C4109" s="888" t="s">
        <v>1468</v>
      </c>
      <c r="D4109" s="889">
        <v>46024</v>
      </c>
      <c r="E4109" s="888" t="s">
        <v>310</v>
      </c>
      <c r="F4109" s="888" t="s">
        <v>310</v>
      </c>
    </row>
    <row r="4110" spans="1:6">
      <c r="A4110" s="888">
        <v>208</v>
      </c>
      <c r="B4110" s="888" t="s">
        <v>3513</v>
      </c>
      <c r="C4110" s="888" t="s">
        <v>1468</v>
      </c>
      <c r="D4110" s="889">
        <v>46025</v>
      </c>
      <c r="E4110" s="888" t="s">
        <v>310</v>
      </c>
      <c r="F4110" s="888" t="s">
        <v>310</v>
      </c>
    </row>
    <row r="4111" spans="1:6">
      <c r="A4111" s="888">
        <v>208</v>
      </c>
      <c r="B4111" s="888" t="s">
        <v>3513</v>
      </c>
      <c r="C4111" s="888" t="s">
        <v>1468</v>
      </c>
      <c r="D4111" s="889">
        <v>46026</v>
      </c>
      <c r="E4111" s="888" t="s">
        <v>310</v>
      </c>
      <c r="F4111" s="888" t="s">
        <v>310</v>
      </c>
    </row>
    <row r="4112" spans="1:6">
      <c r="A4112" s="888">
        <v>208</v>
      </c>
      <c r="B4112" s="888" t="s">
        <v>3513</v>
      </c>
      <c r="C4112" s="888" t="s">
        <v>1468</v>
      </c>
      <c r="D4112" s="889">
        <v>46027</v>
      </c>
      <c r="E4112" s="888" t="s">
        <v>310</v>
      </c>
      <c r="F4112" s="888" t="s">
        <v>310</v>
      </c>
    </row>
    <row r="4113" spans="1:6">
      <c r="A4113" s="888">
        <v>208</v>
      </c>
      <c r="B4113" s="888" t="s">
        <v>3513</v>
      </c>
      <c r="C4113" s="888" t="s">
        <v>1468</v>
      </c>
      <c r="D4113" s="889">
        <v>46028</v>
      </c>
      <c r="E4113" s="888" t="s">
        <v>310</v>
      </c>
      <c r="F4113" s="888" t="s">
        <v>310</v>
      </c>
    </row>
    <row r="4114" spans="1:6">
      <c r="A4114" s="888">
        <v>208</v>
      </c>
      <c r="B4114" s="888" t="s">
        <v>3513</v>
      </c>
      <c r="C4114" s="888" t="s">
        <v>1468</v>
      </c>
      <c r="D4114" s="889">
        <v>46029</v>
      </c>
      <c r="E4114" s="888" t="s">
        <v>310</v>
      </c>
      <c r="F4114" s="888" t="s">
        <v>310</v>
      </c>
    </row>
    <row r="4115" spans="1:6">
      <c r="A4115" s="888">
        <v>208</v>
      </c>
      <c r="B4115" s="888" t="s">
        <v>3513</v>
      </c>
      <c r="C4115" s="888" t="s">
        <v>1468</v>
      </c>
      <c r="D4115" s="889">
        <v>46030</v>
      </c>
      <c r="E4115" s="888" t="s">
        <v>310</v>
      </c>
      <c r="F4115" s="888" t="s">
        <v>310</v>
      </c>
    </row>
    <row r="4116" spans="1:6">
      <c r="A4116" s="888">
        <v>208</v>
      </c>
      <c r="B4116" s="888" t="s">
        <v>3513</v>
      </c>
      <c r="C4116" s="888" t="s">
        <v>1468</v>
      </c>
      <c r="D4116" s="889">
        <v>46031</v>
      </c>
      <c r="E4116" s="888" t="s">
        <v>310</v>
      </c>
      <c r="F4116" s="888" t="s">
        <v>310</v>
      </c>
    </row>
    <row r="4117" spans="1:6">
      <c r="A4117" s="888">
        <v>208</v>
      </c>
      <c r="B4117" s="888" t="s">
        <v>3513</v>
      </c>
      <c r="C4117" s="888" t="s">
        <v>1468</v>
      </c>
      <c r="D4117" s="889">
        <v>46032</v>
      </c>
      <c r="E4117" s="888" t="s">
        <v>310</v>
      </c>
      <c r="F4117" s="888" t="s">
        <v>310</v>
      </c>
    </row>
    <row r="4118" spans="1:6">
      <c r="A4118" s="888">
        <v>208</v>
      </c>
      <c r="B4118" s="888" t="s">
        <v>3513</v>
      </c>
      <c r="C4118" s="888" t="s">
        <v>1468</v>
      </c>
      <c r="D4118" s="889">
        <v>46033</v>
      </c>
      <c r="E4118" s="888" t="s">
        <v>310</v>
      </c>
      <c r="F4118" s="888" t="s">
        <v>310</v>
      </c>
    </row>
    <row r="4119" spans="1:6">
      <c r="A4119" s="888">
        <v>208</v>
      </c>
      <c r="B4119" s="888" t="s">
        <v>3513</v>
      </c>
      <c r="C4119" s="888" t="s">
        <v>1468</v>
      </c>
      <c r="D4119" s="889">
        <v>46034</v>
      </c>
      <c r="E4119" s="888" t="s">
        <v>310</v>
      </c>
      <c r="F4119" s="888" t="s">
        <v>310</v>
      </c>
    </row>
    <row r="4120" spans="1:6">
      <c r="A4120" s="888">
        <v>208</v>
      </c>
      <c r="B4120" s="888" t="s">
        <v>3513</v>
      </c>
      <c r="C4120" s="888" t="s">
        <v>1468</v>
      </c>
      <c r="D4120" s="889">
        <v>46035</v>
      </c>
      <c r="E4120" s="888" t="s">
        <v>310</v>
      </c>
      <c r="F4120" s="888" t="s">
        <v>310</v>
      </c>
    </row>
    <row r="4121" spans="1:6">
      <c r="A4121" s="888">
        <v>208</v>
      </c>
      <c r="B4121" s="888" t="s">
        <v>3513</v>
      </c>
      <c r="C4121" s="888" t="s">
        <v>1468</v>
      </c>
      <c r="D4121" s="889">
        <v>46036</v>
      </c>
      <c r="E4121" s="888" t="s">
        <v>310</v>
      </c>
      <c r="F4121" s="888" t="s">
        <v>310</v>
      </c>
    </row>
    <row r="4122" spans="1:6">
      <c r="A4122" s="888">
        <v>208</v>
      </c>
      <c r="B4122" s="888" t="s">
        <v>3513</v>
      </c>
      <c r="C4122" s="888" t="s">
        <v>1468</v>
      </c>
      <c r="D4122" s="889">
        <v>46037</v>
      </c>
      <c r="E4122" s="888" t="s">
        <v>310</v>
      </c>
      <c r="F4122" s="888" t="s">
        <v>310</v>
      </c>
    </row>
    <row r="4123" spans="1:6">
      <c r="A4123" s="888">
        <v>208</v>
      </c>
      <c r="B4123" s="888" t="s">
        <v>3513</v>
      </c>
      <c r="C4123" s="888" t="s">
        <v>1468</v>
      </c>
      <c r="D4123" s="889">
        <v>46038</v>
      </c>
      <c r="E4123" s="888" t="s">
        <v>310</v>
      </c>
      <c r="F4123" s="888" t="s">
        <v>310</v>
      </c>
    </row>
    <row r="4124" spans="1:6">
      <c r="A4124" s="888">
        <v>208</v>
      </c>
      <c r="B4124" s="888" t="s">
        <v>3513</v>
      </c>
      <c r="C4124" s="888" t="s">
        <v>1468</v>
      </c>
      <c r="D4124" s="889">
        <v>46039</v>
      </c>
      <c r="E4124" s="888" t="s">
        <v>310</v>
      </c>
      <c r="F4124" s="888" t="s">
        <v>310</v>
      </c>
    </row>
    <row r="4125" spans="1:6">
      <c r="A4125" s="888">
        <v>208</v>
      </c>
      <c r="B4125" s="888" t="s">
        <v>3513</v>
      </c>
      <c r="C4125" s="888" t="s">
        <v>1468</v>
      </c>
      <c r="D4125" s="889">
        <v>46040</v>
      </c>
      <c r="E4125" s="888" t="s">
        <v>310</v>
      </c>
      <c r="F4125" s="888" t="s">
        <v>310</v>
      </c>
    </row>
    <row r="4126" spans="1:6">
      <c r="A4126" s="888">
        <v>208</v>
      </c>
      <c r="B4126" s="888" t="s">
        <v>3513</v>
      </c>
      <c r="C4126" s="888" t="s">
        <v>1468</v>
      </c>
      <c r="D4126" s="889">
        <v>46041</v>
      </c>
      <c r="E4126" s="888" t="s">
        <v>310</v>
      </c>
      <c r="F4126" s="888" t="s">
        <v>310</v>
      </c>
    </row>
    <row r="4127" spans="1:6">
      <c r="A4127" s="888">
        <v>208</v>
      </c>
      <c r="B4127" s="888" t="s">
        <v>3513</v>
      </c>
      <c r="C4127" s="888" t="s">
        <v>1468</v>
      </c>
      <c r="D4127" s="889">
        <v>46042</v>
      </c>
      <c r="E4127" s="888" t="s">
        <v>310</v>
      </c>
      <c r="F4127" s="888" t="s">
        <v>310</v>
      </c>
    </row>
    <row r="4128" spans="1:6">
      <c r="A4128" s="888">
        <v>208</v>
      </c>
      <c r="B4128" s="888" t="s">
        <v>3513</v>
      </c>
      <c r="C4128" s="888" t="s">
        <v>1468</v>
      </c>
      <c r="D4128" s="889">
        <v>46043</v>
      </c>
      <c r="E4128" s="888" t="s">
        <v>310</v>
      </c>
      <c r="F4128" s="888" t="s">
        <v>310</v>
      </c>
    </row>
    <row r="4129" spans="1:6">
      <c r="A4129" s="888">
        <v>208</v>
      </c>
      <c r="B4129" s="888" t="s">
        <v>3513</v>
      </c>
      <c r="C4129" s="888" t="s">
        <v>1468</v>
      </c>
      <c r="D4129" s="889">
        <v>46044</v>
      </c>
      <c r="E4129" s="888" t="s">
        <v>310</v>
      </c>
      <c r="F4129" s="888" t="s">
        <v>310</v>
      </c>
    </row>
    <row r="4130" spans="1:6">
      <c r="A4130" s="888">
        <v>208</v>
      </c>
      <c r="B4130" s="888" t="s">
        <v>3513</v>
      </c>
      <c r="C4130" s="888" t="s">
        <v>1468</v>
      </c>
      <c r="D4130" s="889">
        <v>46045</v>
      </c>
      <c r="E4130" s="888" t="s">
        <v>310</v>
      </c>
      <c r="F4130" s="888" t="s">
        <v>310</v>
      </c>
    </row>
    <row r="4131" spans="1:6">
      <c r="A4131" s="888">
        <v>208</v>
      </c>
      <c r="B4131" s="888" t="s">
        <v>3513</v>
      </c>
      <c r="C4131" s="888" t="s">
        <v>1468</v>
      </c>
      <c r="D4131" s="889">
        <v>46046</v>
      </c>
      <c r="E4131" s="888" t="s">
        <v>310</v>
      </c>
      <c r="F4131" s="888" t="s">
        <v>310</v>
      </c>
    </row>
    <row r="4132" spans="1:6">
      <c r="A4132" s="888">
        <v>208</v>
      </c>
      <c r="B4132" s="888" t="s">
        <v>3513</v>
      </c>
      <c r="C4132" s="888" t="s">
        <v>1468</v>
      </c>
      <c r="D4132" s="889">
        <v>46047</v>
      </c>
      <c r="E4132" s="888" t="s">
        <v>310</v>
      </c>
      <c r="F4132" s="888" t="s">
        <v>310</v>
      </c>
    </row>
    <row r="4133" spans="1:6">
      <c r="A4133" s="888">
        <v>208</v>
      </c>
      <c r="B4133" s="888" t="s">
        <v>3513</v>
      </c>
      <c r="C4133" s="888" t="s">
        <v>1468</v>
      </c>
      <c r="D4133" s="889">
        <v>46048</v>
      </c>
      <c r="E4133" s="888" t="s">
        <v>310</v>
      </c>
      <c r="F4133" s="888" t="s">
        <v>310</v>
      </c>
    </row>
    <row r="4134" spans="1:6">
      <c r="A4134" s="888">
        <v>208</v>
      </c>
      <c r="B4134" s="888" t="s">
        <v>3513</v>
      </c>
      <c r="C4134" s="888" t="s">
        <v>1468</v>
      </c>
      <c r="D4134" s="889">
        <v>46049</v>
      </c>
      <c r="E4134" s="888" t="s">
        <v>310</v>
      </c>
      <c r="F4134" s="888" t="s">
        <v>310</v>
      </c>
    </row>
    <row r="4135" spans="1:6">
      <c r="A4135" s="888">
        <v>208</v>
      </c>
      <c r="B4135" s="888" t="s">
        <v>3513</v>
      </c>
      <c r="C4135" s="888" t="s">
        <v>1468</v>
      </c>
      <c r="D4135" s="889">
        <v>46050</v>
      </c>
      <c r="E4135" s="888" t="s">
        <v>310</v>
      </c>
      <c r="F4135" s="888" t="s">
        <v>310</v>
      </c>
    </row>
    <row r="4136" spans="1:6">
      <c r="A4136" s="888">
        <v>208</v>
      </c>
      <c r="B4136" s="888" t="s">
        <v>3513</v>
      </c>
      <c r="C4136" s="888" t="s">
        <v>1468</v>
      </c>
      <c r="D4136" s="889">
        <v>46051</v>
      </c>
      <c r="E4136" s="888" t="s">
        <v>310</v>
      </c>
      <c r="F4136" s="888" t="s">
        <v>310</v>
      </c>
    </row>
    <row r="4137" spans="1:6">
      <c r="A4137" s="888">
        <v>208</v>
      </c>
      <c r="B4137" s="888" t="s">
        <v>3513</v>
      </c>
      <c r="C4137" s="888" t="s">
        <v>1468</v>
      </c>
      <c r="D4137" s="889">
        <v>46052</v>
      </c>
      <c r="E4137" s="888" t="s">
        <v>310</v>
      </c>
      <c r="F4137" s="888" t="s">
        <v>310</v>
      </c>
    </row>
    <row r="4138" spans="1:6">
      <c r="A4138" s="888">
        <v>208</v>
      </c>
      <c r="B4138" s="888" t="s">
        <v>3513</v>
      </c>
      <c r="C4138" s="888" t="s">
        <v>1468</v>
      </c>
      <c r="D4138" s="889">
        <v>46053</v>
      </c>
      <c r="E4138" s="888" t="s">
        <v>310</v>
      </c>
      <c r="F4138" s="888" t="s">
        <v>310</v>
      </c>
    </row>
    <row r="4139" spans="1:6">
      <c r="A4139" s="888">
        <v>208</v>
      </c>
      <c r="B4139" s="888" t="s">
        <v>3513</v>
      </c>
      <c r="C4139" s="888" t="s">
        <v>1468</v>
      </c>
      <c r="D4139" s="889">
        <v>46054</v>
      </c>
      <c r="E4139" s="888" t="s">
        <v>310</v>
      </c>
      <c r="F4139" s="888" t="s">
        <v>310</v>
      </c>
    </row>
    <row r="4140" spans="1:6">
      <c r="A4140" s="888">
        <v>213</v>
      </c>
      <c r="B4140" s="888" t="s">
        <v>1165</v>
      </c>
      <c r="C4140" s="888" t="s">
        <v>1565</v>
      </c>
      <c r="D4140" s="889">
        <v>46023</v>
      </c>
      <c r="E4140" s="888" t="s">
        <v>310</v>
      </c>
      <c r="F4140" s="888" t="s">
        <v>310</v>
      </c>
    </row>
    <row r="4141" spans="1:6">
      <c r="A4141" s="888">
        <v>213</v>
      </c>
      <c r="B4141" s="888" t="s">
        <v>1165</v>
      </c>
      <c r="C4141" s="888" t="s">
        <v>1565</v>
      </c>
      <c r="D4141" s="889">
        <v>46024</v>
      </c>
      <c r="E4141" s="888" t="s">
        <v>310</v>
      </c>
      <c r="F4141" s="888" t="s">
        <v>310</v>
      </c>
    </row>
    <row r="4142" spans="1:6">
      <c r="A4142" s="888">
        <v>213</v>
      </c>
      <c r="B4142" s="888" t="s">
        <v>1165</v>
      </c>
      <c r="C4142" s="888" t="s">
        <v>1565</v>
      </c>
      <c r="D4142" s="889">
        <v>46025</v>
      </c>
      <c r="E4142" s="888" t="s">
        <v>310</v>
      </c>
      <c r="F4142" s="888" t="s">
        <v>310</v>
      </c>
    </row>
    <row r="4143" spans="1:6">
      <c r="A4143" s="888">
        <v>213</v>
      </c>
      <c r="B4143" s="888" t="s">
        <v>1165</v>
      </c>
      <c r="C4143" s="888" t="s">
        <v>1565</v>
      </c>
      <c r="D4143" s="889">
        <v>46026</v>
      </c>
      <c r="E4143" s="888" t="s">
        <v>310</v>
      </c>
      <c r="F4143" s="888" t="s">
        <v>310</v>
      </c>
    </row>
    <row r="4144" spans="1:6">
      <c r="A4144" s="888">
        <v>213</v>
      </c>
      <c r="B4144" s="888" t="s">
        <v>1165</v>
      </c>
      <c r="C4144" s="888" t="s">
        <v>1565</v>
      </c>
      <c r="D4144" s="889">
        <v>46027</v>
      </c>
      <c r="E4144" s="890">
        <v>0.36021990740740739</v>
      </c>
      <c r="F4144" s="890">
        <v>0.76093750000000004</v>
      </c>
    </row>
    <row r="4145" spans="1:6">
      <c r="A4145" s="888" t="s">
        <v>3514</v>
      </c>
      <c r="B4145" s="888" t="s">
        <v>3515</v>
      </c>
      <c r="C4145" s="888" t="s">
        <v>1378</v>
      </c>
    </row>
    <row r="4146" spans="1:6">
      <c r="A4146" s="888">
        <v>213</v>
      </c>
      <c r="B4146" s="888" t="s">
        <v>1165</v>
      </c>
      <c r="C4146" s="888" t="s">
        <v>1565</v>
      </c>
      <c r="D4146" s="889">
        <v>46028</v>
      </c>
      <c r="E4146" s="890">
        <v>0.35584490740740743</v>
      </c>
      <c r="F4146" s="890">
        <v>0.76613425925925926</v>
      </c>
    </row>
    <row r="4147" spans="1:6">
      <c r="A4147" s="888" t="s">
        <v>3516</v>
      </c>
      <c r="B4147" s="888" t="s">
        <v>3517</v>
      </c>
      <c r="C4147" s="888" t="s">
        <v>2003</v>
      </c>
    </row>
    <row r="4148" spans="1:6">
      <c r="A4148" s="888">
        <v>213</v>
      </c>
      <c r="B4148" s="888" t="s">
        <v>1165</v>
      </c>
      <c r="C4148" s="888" t="s">
        <v>1565</v>
      </c>
      <c r="D4148" s="889">
        <v>46029</v>
      </c>
      <c r="E4148" s="890">
        <v>0.35851851851851851</v>
      </c>
      <c r="F4148" s="890">
        <v>0.76530092592592591</v>
      </c>
    </row>
    <row r="4149" spans="1:6">
      <c r="A4149" s="888" t="s">
        <v>3518</v>
      </c>
      <c r="B4149" s="888" t="s">
        <v>3519</v>
      </c>
      <c r="C4149" s="888" t="s">
        <v>1868</v>
      </c>
    </row>
    <row r="4150" spans="1:6">
      <c r="A4150" s="888">
        <v>213</v>
      </c>
      <c r="B4150" s="888" t="s">
        <v>1165</v>
      </c>
      <c r="C4150" s="888" t="s">
        <v>1565</v>
      </c>
      <c r="D4150" s="889">
        <v>46030</v>
      </c>
      <c r="E4150" s="890">
        <v>0.35854166666666665</v>
      </c>
      <c r="F4150" s="890">
        <v>0.76907407407407402</v>
      </c>
    </row>
    <row r="4151" spans="1:6">
      <c r="A4151" s="888" t="s">
        <v>3520</v>
      </c>
      <c r="B4151" s="888" t="s">
        <v>3521</v>
      </c>
      <c r="C4151" s="888" t="s">
        <v>2003</v>
      </c>
    </row>
    <row r="4152" spans="1:6">
      <c r="A4152" s="888">
        <v>213</v>
      </c>
      <c r="B4152" s="888" t="s">
        <v>1165</v>
      </c>
      <c r="C4152" s="888" t="s">
        <v>1565</v>
      </c>
      <c r="D4152" s="889">
        <v>46031</v>
      </c>
      <c r="E4152" s="890">
        <v>0.37236111111111109</v>
      </c>
      <c r="F4152" s="890">
        <v>0.51042824074074078</v>
      </c>
    </row>
    <row r="4153" spans="1:6">
      <c r="A4153" s="888" t="s">
        <v>3522</v>
      </c>
      <c r="B4153" s="888" t="s">
        <v>3523</v>
      </c>
      <c r="C4153" s="888" t="s">
        <v>3524</v>
      </c>
    </row>
    <row r="4154" spans="1:6">
      <c r="A4154" s="888">
        <v>213</v>
      </c>
      <c r="B4154" s="888" t="s">
        <v>1165</v>
      </c>
      <c r="C4154" s="888" t="s">
        <v>1565</v>
      </c>
      <c r="D4154" s="889">
        <v>46032</v>
      </c>
      <c r="E4154" s="888" t="s">
        <v>310</v>
      </c>
      <c r="F4154" s="888" t="s">
        <v>310</v>
      </c>
    </row>
    <row r="4155" spans="1:6">
      <c r="A4155" s="888">
        <v>213</v>
      </c>
      <c r="B4155" s="888" t="s">
        <v>1165</v>
      </c>
      <c r="C4155" s="888" t="s">
        <v>1565</v>
      </c>
      <c r="D4155" s="889">
        <v>46033</v>
      </c>
      <c r="E4155" s="888" t="s">
        <v>310</v>
      </c>
      <c r="F4155" s="888" t="s">
        <v>310</v>
      </c>
    </row>
    <row r="4156" spans="1:6">
      <c r="A4156" s="888">
        <v>213</v>
      </c>
      <c r="B4156" s="888" t="s">
        <v>1165</v>
      </c>
      <c r="C4156" s="888" t="s">
        <v>1565</v>
      </c>
      <c r="D4156" s="889">
        <v>46034</v>
      </c>
      <c r="E4156" s="890">
        <v>0.35922453703703705</v>
      </c>
      <c r="F4156" s="890">
        <v>0.77311342592592591</v>
      </c>
    </row>
    <row r="4157" spans="1:6">
      <c r="A4157" s="888" t="s">
        <v>3525</v>
      </c>
      <c r="B4157" s="888" t="s">
        <v>3526</v>
      </c>
      <c r="C4157" s="888" t="s">
        <v>1407</v>
      </c>
    </row>
    <row r="4158" spans="1:6">
      <c r="A4158" s="888">
        <v>213</v>
      </c>
      <c r="B4158" s="888" t="s">
        <v>1165</v>
      </c>
      <c r="C4158" s="888" t="s">
        <v>1565</v>
      </c>
      <c r="D4158" s="889">
        <v>46035</v>
      </c>
      <c r="E4158" s="890">
        <v>0.35431712962962963</v>
      </c>
      <c r="F4158" s="890">
        <v>0.76310185185185186</v>
      </c>
    </row>
    <row r="4159" spans="1:6">
      <c r="A4159" s="888" t="s">
        <v>3527</v>
      </c>
      <c r="B4159" s="888" t="s">
        <v>3528</v>
      </c>
      <c r="C4159" s="888" t="s">
        <v>1372</v>
      </c>
    </row>
    <row r="4160" spans="1:6">
      <c r="A4160" s="888">
        <v>213</v>
      </c>
      <c r="B4160" s="888" t="s">
        <v>1165</v>
      </c>
      <c r="C4160" s="888" t="s">
        <v>1565</v>
      </c>
      <c r="D4160" s="889">
        <v>46036</v>
      </c>
      <c r="E4160" s="890">
        <v>0.3558912037037037</v>
      </c>
      <c r="F4160" s="890">
        <v>0.75583333333333336</v>
      </c>
    </row>
    <row r="4161" spans="1:6">
      <c r="A4161" s="888" t="s">
        <v>3529</v>
      </c>
      <c r="B4161" s="888" t="s">
        <v>3530</v>
      </c>
      <c r="C4161" s="888" t="s">
        <v>1526</v>
      </c>
    </row>
    <row r="4162" spans="1:6">
      <c r="A4162" s="888">
        <v>213</v>
      </c>
      <c r="B4162" s="888" t="s">
        <v>1165</v>
      </c>
      <c r="C4162" s="888" t="s">
        <v>1565</v>
      </c>
      <c r="D4162" s="889">
        <v>46037</v>
      </c>
      <c r="E4162" s="890">
        <v>0.36122685185185183</v>
      </c>
      <c r="F4162" s="890">
        <v>0.78387731481481482</v>
      </c>
    </row>
    <row r="4163" spans="1:6">
      <c r="A4163" s="888" t="s">
        <v>3531</v>
      </c>
      <c r="B4163" s="888" t="s">
        <v>3532</v>
      </c>
      <c r="C4163" s="888" t="s">
        <v>1729</v>
      </c>
    </row>
    <row r="4164" spans="1:6">
      <c r="A4164" s="888">
        <v>213</v>
      </c>
      <c r="B4164" s="888" t="s">
        <v>1165</v>
      </c>
      <c r="C4164" s="888" t="s">
        <v>1565</v>
      </c>
      <c r="D4164" s="889">
        <v>46038</v>
      </c>
      <c r="E4164" s="888" t="s">
        <v>310</v>
      </c>
      <c r="F4164" s="888" t="s">
        <v>310</v>
      </c>
    </row>
    <row r="4165" spans="1:6">
      <c r="A4165" s="888">
        <v>213</v>
      </c>
      <c r="B4165" s="888" t="s">
        <v>1165</v>
      </c>
      <c r="C4165" s="888" t="s">
        <v>1565</v>
      </c>
      <c r="D4165" s="889">
        <v>46039</v>
      </c>
      <c r="E4165" s="888" t="s">
        <v>310</v>
      </c>
      <c r="F4165" s="888" t="s">
        <v>310</v>
      </c>
    </row>
    <row r="4166" spans="1:6">
      <c r="A4166" s="888">
        <v>213</v>
      </c>
      <c r="B4166" s="888" t="s">
        <v>1165</v>
      </c>
      <c r="C4166" s="888" t="s">
        <v>1565</v>
      </c>
      <c r="D4166" s="889">
        <v>46040</v>
      </c>
      <c r="E4166" s="888" t="s">
        <v>310</v>
      </c>
      <c r="F4166" s="888" t="s">
        <v>310</v>
      </c>
    </row>
    <row r="4167" spans="1:6">
      <c r="A4167" s="888">
        <v>213</v>
      </c>
      <c r="B4167" s="888" t="s">
        <v>1165</v>
      </c>
      <c r="C4167" s="888" t="s">
        <v>1565</v>
      </c>
      <c r="D4167" s="889">
        <v>46041</v>
      </c>
      <c r="E4167" s="888" t="s">
        <v>310</v>
      </c>
      <c r="F4167" s="888" t="s">
        <v>310</v>
      </c>
    </row>
    <row r="4168" spans="1:6">
      <c r="A4168" s="888">
        <v>213</v>
      </c>
      <c r="B4168" s="888" t="s">
        <v>1165</v>
      </c>
      <c r="C4168" s="888" t="s">
        <v>1565</v>
      </c>
      <c r="D4168" s="889">
        <v>46042</v>
      </c>
      <c r="E4168" s="890">
        <v>0.36140046296296297</v>
      </c>
      <c r="F4168" s="890">
        <v>0.76057870370370373</v>
      </c>
    </row>
    <row r="4169" spans="1:6">
      <c r="A4169" s="888" t="s">
        <v>3533</v>
      </c>
      <c r="B4169" s="888" t="s">
        <v>3534</v>
      </c>
      <c r="C4169" s="888" t="s">
        <v>1288</v>
      </c>
    </row>
    <row r="4170" spans="1:6">
      <c r="A4170" s="888">
        <v>213</v>
      </c>
      <c r="B4170" s="888" t="s">
        <v>1165</v>
      </c>
      <c r="C4170" s="888" t="s">
        <v>1565</v>
      </c>
      <c r="D4170" s="889">
        <v>46043</v>
      </c>
      <c r="E4170" s="890">
        <v>0.35313657407407406</v>
      </c>
      <c r="F4170" s="890">
        <v>0.75483796296296302</v>
      </c>
    </row>
    <row r="4171" spans="1:6">
      <c r="A4171" s="888" t="s">
        <v>3535</v>
      </c>
      <c r="B4171" s="888" t="s">
        <v>3536</v>
      </c>
      <c r="C4171" s="888" t="s">
        <v>1466</v>
      </c>
    </row>
    <row r="4172" spans="1:6">
      <c r="A4172" s="888">
        <v>213</v>
      </c>
      <c r="B4172" s="888" t="s">
        <v>1165</v>
      </c>
      <c r="C4172" s="888" t="s">
        <v>1565</v>
      </c>
      <c r="D4172" s="889">
        <v>46044</v>
      </c>
      <c r="E4172" s="890">
        <v>0.35790509259259257</v>
      </c>
      <c r="F4172" s="890">
        <v>0.79065972222222225</v>
      </c>
    </row>
    <row r="4173" spans="1:6">
      <c r="A4173" s="888" t="s">
        <v>3537</v>
      </c>
      <c r="B4173" s="888" t="s">
        <v>3538</v>
      </c>
      <c r="C4173" s="888" t="s">
        <v>1849</v>
      </c>
    </row>
    <row r="4174" spans="1:6">
      <c r="A4174" s="888">
        <v>213</v>
      </c>
      <c r="B4174" s="888" t="s">
        <v>1165</v>
      </c>
      <c r="C4174" s="888" t="s">
        <v>1565</v>
      </c>
      <c r="D4174" s="889">
        <v>46045</v>
      </c>
      <c r="E4174" s="888" t="s">
        <v>310</v>
      </c>
      <c r="F4174" s="888" t="s">
        <v>310</v>
      </c>
    </row>
    <row r="4175" spans="1:6">
      <c r="A4175" s="888">
        <v>213</v>
      </c>
      <c r="B4175" s="888" t="s">
        <v>1165</v>
      </c>
      <c r="C4175" s="888" t="s">
        <v>1565</v>
      </c>
      <c r="D4175" s="889">
        <v>46046</v>
      </c>
      <c r="E4175" s="888" t="s">
        <v>310</v>
      </c>
      <c r="F4175" s="888" t="s">
        <v>310</v>
      </c>
    </row>
    <row r="4176" spans="1:6">
      <c r="A4176" s="888">
        <v>213</v>
      </c>
      <c r="B4176" s="888" t="s">
        <v>1165</v>
      </c>
      <c r="C4176" s="888" t="s">
        <v>1565</v>
      </c>
      <c r="D4176" s="889">
        <v>46047</v>
      </c>
      <c r="E4176" s="888" t="s">
        <v>310</v>
      </c>
      <c r="F4176" s="888" t="s">
        <v>310</v>
      </c>
    </row>
    <row r="4177" spans="1:6">
      <c r="A4177" s="888">
        <v>213</v>
      </c>
      <c r="B4177" s="888" t="s">
        <v>1165</v>
      </c>
      <c r="C4177" s="888" t="s">
        <v>1565</v>
      </c>
      <c r="D4177" s="889">
        <v>46048</v>
      </c>
      <c r="E4177" s="890">
        <v>0.36054398148148148</v>
      </c>
      <c r="F4177" s="890">
        <v>0.77225694444444448</v>
      </c>
    </row>
    <row r="4178" spans="1:6">
      <c r="A4178" s="888" t="s">
        <v>3539</v>
      </c>
      <c r="B4178" s="888" t="s">
        <v>3540</v>
      </c>
      <c r="C4178" s="888" t="s">
        <v>1369</v>
      </c>
    </row>
    <row r="4179" spans="1:6">
      <c r="A4179" s="888">
        <v>213</v>
      </c>
      <c r="B4179" s="888" t="s">
        <v>1165</v>
      </c>
      <c r="C4179" s="888" t="s">
        <v>1565</v>
      </c>
      <c r="D4179" s="889">
        <v>46049</v>
      </c>
      <c r="E4179" s="890">
        <v>0.35542824074074075</v>
      </c>
      <c r="F4179" s="890">
        <v>0.7729166666666667</v>
      </c>
    </row>
    <row r="4180" spans="1:6">
      <c r="A4180" s="888" t="s">
        <v>3541</v>
      </c>
      <c r="B4180" s="888" t="s">
        <v>3542</v>
      </c>
      <c r="C4180" s="888" t="s">
        <v>2035</v>
      </c>
    </row>
    <row r="4181" spans="1:6">
      <c r="A4181" s="888">
        <v>213</v>
      </c>
      <c r="B4181" s="888" t="s">
        <v>1165</v>
      </c>
      <c r="C4181" s="888" t="s">
        <v>1565</v>
      </c>
      <c r="D4181" s="889">
        <v>46050</v>
      </c>
      <c r="E4181" s="890">
        <v>0.3563425925925926</v>
      </c>
      <c r="F4181" s="890">
        <v>0.76171296296296298</v>
      </c>
    </row>
    <row r="4182" spans="1:6">
      <c r="A4182" s="888" t="s">
        <v>3543</v>
      </c>
      <c r="B4182" s="888" t="s">
        <v>3544</v>
      </c>
      <c r="C4182" s="888" t="s">
        <v>2340</v>
      </c>
    </row>
    <row r="4183" spans="1:6">
      <c r="A4183" s="888">
        <v>213</v>
      </c>
      <c r="B4183" s="888" t="s">
        <v>1165</v>
      </c>
      <c r="C4183" s="888" t="s">
        <v>1565</v>
      </c>
      <c r="D4183" s="889">
        <v>46051</v>
      </c>
      <c r="E4183" s="890">
        <v>0.3588425925925926</v>
      </c>
      <c r="F4183" s="890">
        <v>0.76010416666666669</v>
      </c>
    </row>
    <row r="4184" spans="1:6">
      <c r="A4184" s="888" t="s">
        <v>3545</v>
      </c>
      <c r="B4184" s="888" t="s">
        <v>3546</v>
      </c>
      <c r="C4184" s="888" t="s">
        <v>1466</v>
      </c>
    </row>
    <row r="4185" spans="1:6">
      <c r="A4185" s="888">
        <v>213</v>
      </c>
      <c r="B4185" s="888" t="s">
        <v>1165</v>
      </c>
      <c r="C4185" s="888" t="s">
        <v>1565</v>
      </c>
      <c r="D4185" s="889">
        <v>46052</v>
      </c>
      <c r="E4185" s="888" t="s">
        <v>310</v>
      </c>
      <c r="F4185" s="888" t="s">
        <v>310</v>
      </c>
    </row>
    <row r="4186" spans="1:6">
      <c r="A4186" s="888">
        <v>213</v>
      </c>
      <c r="B4186" s="888" t="s">
        <v>1165</v>
      </c>
      <c r="C4186" s="888" t="s">
        <v>1565</v>
      </c>
      <c r="D4186" s="889">
        <v>46053</v>
      </c>
      <c r="E4186" s="888" t="s">
        <v>310</v>
      </c>
      <c r="F4186" s="888" t="s">
        <v>310</v>
      </c>
    </row>
    <row r="4187" spans="1:6">
      <c r="A4187" s="888">
        <v>213</v>
      </c>
      <c r="B4187" s="888" t="s">
        <v>1165</v>
      </c>
      <c r="C4187" s="888" t="s">
        <v>1565</v>
      </c>
      <c r="D4187" s="889">
        <v>46054</v>
      </c>
      <c r="E4187" s="888" t="s">
        <v>310</v>
      </c>
      <c r="F4187" s="888" t="s">
        <v>310</v>
      </c>
    </row>
    <row r="4188" spans="1:6">
      <c r="A4188" s="888">
        <v>228</v>
      </c>
      <c r="B4188" s="888" t="s">
        <v>1166</v>
      </c>
      <c r="C4188" s="888" t="s">
        <v>1652</v>
      </c>
      <c r="D4188" s="889">
        <v>46023</v>
      </c>
      <c r="E4188" s="888" t="s">
        <v>310</v>
      </c>
      <c r="F4188" s="888" t="s">
        <v>310</v>
      </c>
    </row>
    <row r="4189" spans="1:6">
      <c r="A4189" s="888">
        <v>228</v>
      </c>
      <c r="B4189" s="888" t="s">
        <v>1166</v>
      </c>
      <c r="C4189" s="888" t="s">
        <v>1652</v>
      </c>
      <c r="D4189" s="889">
        <v>46024</v>
      </c>
      <c r="E4189" s="888" t="s">
        <v>310</v>
      </c>
      <c r="F4189" s="888" t="s">
        <v>310</v>
      </c>
    </row>
    <row r="4190" spans="1:6">
      <c r="A4190" s="888">
        <v>228</v>
      </c>
      <c r="B4190" s="888" t="s">
        <v>1166</v>
      </c>
      <c r="C4190" s="888" t="s">
        <v>1652</v>
      </c>
      <c r="D4190" s="889">
        <v>46025</v>
      </c>
      <c r="E4190" s="888" t="s">
        <v>310</v>
      </c>
      <c r="F4190" s="888" t="s">
        <v>310</v>
      </c>
    </row>
    <row r="4191" spans="1:6">
      <c r="A4191" s="888">
        <v>228</v>
      </c>
      <c r="B4191" s="888" t="s">
        <v>1166</v>
      </c>
      <c r="C4191" s="888" t="s">
        <v>1652</v>
      </c>
      <c r="D4191" s="889">
        <v>46026</v>
      </c>
      <c r="E4191" s="888" t="s">
        <v>310</v>
      </c>
      <c r="F4191" s="888" t="s">
        <v>310</v>
      </c>
    </row>
    <row r="4192" spans="1:6">
      <c r="A4192" s="888">
        <v>228</v>
      </c>
      <c r="B4192" s="888" t="s">
        <v>1166</v>
      </c>
      <c r="C4192" s="888" t="s">
        <v>1652</v>
      </c>
      <c r="D4192" s="889">
        <v>46027</v>
      </c>
      <c r="E4192" s="890">
        <v>0.37555555555555553</v>
      </c>
      <c r="F4192" s="890">
        <v>0.7648611111111111</v>
      </c>
    </row>
    <row r="4193" spans="1:6">
      <c r="A4193" s="888" t="s">
        <v>3547</v>
      </c>
      <c r="B4193" s="888" t="s">
        <v>3548</v>
      </c>
      <c r="C4193" s="888" t="s">
        <v>1737</v>
      </c>
    </row>
    <row r="4194" spans="1:6">
      <c r="A4194" s="888">
        <v>228</v>
      </c>
      <c r="B4194" s="888" t="s">
        <v>1166</v>
      </c>
      <c r="C4194" s="888" t="s">
        <v>1652</v>
      </c>
      <c r="D4194" s="889">
        <v>46028</v>
      </c>
      <c r="E4194" s="890">
        <v>0.38734953703703706</v>
      </c>
      <c r="F4194" s="890">
        <v>0.76210648148148152</v>
      </c>
    </row>
    <row r="4195" spans="1:6">
      <c r="A4195" s="888" t="s">
        <v>3549</v>
      </c>
      <c r="B4195" s="888" t="s">
        <v>3550</v>
      </c>
      <c r="C4195" s="888" t="s">
        <v>1442</v>
      </c>
    </row>
    <row r="4196" spans="1:6">
      <c r="A4196" s="888">
        <v>228</v>
      </c>
      <c r="B4196" s="888" t="s">
        <v>1166</v>
      </c>
      <c r="C4196" s="888" t="s">
        <v>1652</v>
      </c>
      <c r="D4196" s="889">
        <v>46029</v>
      </c>
      <c r="E4196" s="888" t="s">
        <v>310</v>
      </c>
      <c r="F4196" s="888" t="s">
        <v>310</v>
      </c>
    </row>
    <row r="4197" spans="1:6">
      <c r="A4197" s="888">
        <v>228</v>
      </c>
      <c r="B4197" s="888" t="s">
        <v>1166</v>
      </c>
      <c r="C4197" s="888" t="s">
        <v>1652</v>
      </c>
      <c r="D4197" s="889">
        <v>46030</v>
      </c>
      <c r="E4197" s="890">
        <v>0.37900462962962961</v>
      </c>
      <c r="F4197" s="890">
        <v>0.92017361111111107</v>
      </c>
    </row>
    <row r="4198" spans="1:6">
      <c r="A4198" s="888" t="s">
        <v>3551</v>
      </c>
      <c r="B4198" s="888" t="s">
        <v>3552</v>
      </c>
      <c r="C4198" s="888" t="s">
        <v>3553</v>
      </c>
    </row>
    <row r="4199" spans="1:6">
      <c r="A4199" s="888">
        <v>228</v>
      </c>
      <c r="B4199" s="888" t="s">
        <v>1166</v>
      </c>
      <c r="C4199" s="888" t="s">
        <v>1652</v>
      </c>
      <c r="D4199" s="889">
        <v>46031</v>
      </c>
      <c r="E4199" s="890">
        <v>0.36790509259259258</v>
      </c>
      <c r="F4199" s="890">
        <v>0.89094907407407409</v>
      </c>
    </row>
    <row r="4200" spans="1:6">
      <c r="A4200" s="888" t="s">
        <v>3554</v>
      </c>
      <c r="B4200" s="888" t="s">
        <v>3555</v>
      </c>
      <c r="C4200" s="888" t="s">
        <v>1852</v>
      </c>
    </row>
    <row r="4201" spans="1:6">
      <c r="A4201" s="888">
        <v>228</v>
      </c>
      <c r="B4201" s="888" t="s">
        <v>1166</v>
      </c>
      <c r="C4201" s="888" t="s">
        <v>1652</v>
      </c>
      <c r="D4201" s="889">
        <v>46032</v>
      </c>
      <c r="E4201" s="890">
        <v>0.44284722222222223</v>
      </c>
      <c r="F4201" s="888" t="s">
        <v>310</v>
      </c>
    </row>
    <row r="4202" spans="1:6">
      <c r="A4202" s="888" t="s">
        <v>3556</v>
      </c>
      <c r="B4202" s="888" t="s">
        <v>1258</v>
      </c>
      <c r="C4202" s="888" t="s">
        <v>1259</v>
      </c>
    </row>
    <row r="4203" spans="1:6">
      <c r="A4203" s="888">
        <v>228</v>
      </c>
      <c r="B4203" s="888" t="s">
        <v>1166</v>
      </c>
      <c r="C4203" s="888" t="s">
        <v>1652</v>
      </c>
      <c r="D4203" s="889">
        <v>46033</v>
      </c>
      <c r="E4203" s="888" t="s">
        <v>310</v>
      </c>
      <c r="F4203" s="888" t="s">
        <v>310</v>
      </c>
    </row>
    <row r="4204" spans="1:6">
      <c r="A4204" s="888">
        <v>228</v>
      </c>
      <c r="B4204" s="888" t="s">
        <v>1166</v>
      </c>
      <c r="C4204" s="888" t="s">
        <v>1652</v>
      </c>
      <c r="D4204" s="889">
        <v>46034</v>
      </c>
      <c r="E4204" s="890">
        <v>0.36938657407407405</v>
      </c>
      <c r="F4204" s="890">
        <v>0.86197916666666663</v>
      </c>
    </row>
    <row r="4205" spans="1:6">
      <c r="A4205" s="888" t="s">
        <v>3557</v>
      </c>
      <c r="B4205" s="888" t="s">
        <v>3558</v>
      </c>
      <c r="C4205" s="888" t="s">
        <v>3559</v>
      </c>
    </row>
    <row r="4206" spans="1:6">
      <c r="A4206" s="888">
        <v>228</v>
      </c>
      <c r="B4206" s="888" t="s">
        <v>1166</v>
      </c>
      <c r="C4206" s="888" t="s">
        <v>1652</v>
      </c>
      <c r="D4206" s="889">
        <v>46035</v>
      </c>
      <c r="E4206" s="890">
        <v>0.38327546296296294</v>
      </c>
      <c r="F4206" s="890">
        <v>0.7678935185185185</v>
      </c>
    </row>
    <row r="4207" spans="1:6">
      <c r="A4207" s="888" t="s">
        <v>3560</v>
      </c>
      <c r="B4207" s="888" t="s">
        <v>3561</v>
      </c>
      <c r="C4207" s="888" t="s">
        <v>3170</v>
      </c>
    </row>
    <row r="4208" spans="1:6">
      <c r="A4208" s="888">
        <v>228</v>
      </c>
      <c r="B4208" s="888" t="s">
        <v>1166</v>
      </c>
      <c r="C4208" s="888" t="s">
        <v>1652</v>
      </c>
      <c r="D4208" s="889">
        <v>46036</v>
      </c>
      <c r="E4208" s="890">
        <v>0.5766782407407407</v>
      </c>
      <c r="F4208" s="890">
        <v>0.9278819444444445</v>
      </c>
    </row>
    <row r="4209" spans="1:6">
      <c r="A4209" s="888" t="s">
        <v>3562</v>
      </c>
      <c r="B4209" s="888" t="s">
        <v>3563</v>
      </c>
      <c r="C4209" s="888" t="s">
        <v>1531</v>
      </c>
    </row>
    <row r="4210" spans="1:6">
      <c r="A4210" s="888">
        <v>228</v>
      </c>
      <c r="B4210" s="888" t="s">
        <v>1166</v>
      </c>
      <c r="C4210" s="888" t="s">
        <v>1652</v>
      </c>
      <c r="D4210" s="889">
        <v>46037</v>
      </c>
      <c r="E4210" s="890">
        <v>0.41753472222222221</v>
      </c>
      <c r="F4210" s="890">
        <v>0.78049768518518514</v>
      </c>
    </row>
    <row r="4211" spans="1:6">
      <c r="A4211" s="888" t="s">
        <v>3564</v>
      </c>
      <c r="B4211" s="888" t="s">
        <v>3565</v>
      </c>
      <c r="C4211" s="888" t="s">
        <v>3312</v>
      </c>
    </row>
    <row r="4212" spans="1:6">
      <c r="A4212" s="888">
        <v>228</v>
      </c>
      <c r="B4212" s="888" t="s">
        <v>1166</v>
      </c>
      <c r="C4212" s="888" t="s">
        <v>1652</v>
      </c>
      <c r="D4212" s="889">
        <v>46038</v>
      </c>
      <c r="E4212" s="890">
        <v>0.41085648148148146</v>
      </c>
      <c r="F4212" s="890">
        <v>0.78355324074074073</v>
      </c>
    </row>
    <row r="4213" spans="1:6">
      <c r="A4213" s="888" t="s">
        <v>3566</v>
      </c>
      <c r="B4213" s="888" t="s">
        <v>3567</v>
      </c>
      <c r="C4213" s="888" t="s">
        <v>3568</v>
      </c>
    </row>
    <row r="4214" spans="1:6">
      <c r="A4214" s="888">
        <v>228</v>
      </c>
      <c r="B4214" s="888" t="s">
        <v>1166</v>
      </c>
      <c r="C4214" s="888" t="s">
        <v>1652</v>
      </c>
      <c r="D4214" s="889">
        <v>46039</v>
      </c>
      <c r="E4214" s="888" t="s">
        <v>310</v>
      </c>
      <c r="F4214" s="888" t="s">
        <v>310</v>
      </c>
    </row>
    <row r="4215" spans="1:6">
      <c r="A4215" s="888">
        <v>228</v>
      </c>
      <c r="B4215" s="888" t="s">
        <v>1166</v>
      </c>
      <c r="C4215" s="888" t="s">
        <v>1652</v>
      </c>
      <c r="D4215" s="889">
        <v>46040</v>
      </c>
      <c r="E4215" s="888" t="s">
        <v>310</v>
      </c>
      <c r="F4215" s="888" t="s">
        <v>310</v>
      </c>
    </row>
    <row r="4216" spans="1:6">
      <c r="A4216" s="888">
        <v>228</v>
      </c>
      <c r="B4216" s="888" t="s">
        <v>1166</v>
      </c>
      <c r="C4216" s="888" t="s">
        <v>1652</v>
      </c>
      <c r="D4216" s="889">
        <v>46041</v>
      </c>
      <c r="E4216" s="890">
        <v>0.41998842592592595</v>
      </c>
      <c r="F4216" s="890">
        <v>0.78438657407407408</v>
      </c>
    </row>
    <row r="4217" spans="1:6">
      <c r="A4217" s="888" t="s">
        <v>3569</v>
      </c>
      <c r="B4217" s="888" t="s">
        <v>3570</v>
      </c>
      <c r="C4217" s="888" t="s">
        <v>3571</v>
      </c>
    </row>
    <row r="4218" spans="1:6">
      <c r="A4218" s="888">
        <v>228</v>
      </c>
      <c r="B4218" s="888" t="s">
        <v>1166</v>
      </c>
      <c r="C4218" s="888" t="s">
        <v>1652</v>
      </c>
      <c r="D4218" s="889">
        <v>46042</v>
      </c>
      <c r="E4218" s="890">
        <v>0.57548611111111114</v>
      </c>
      <c r="F4218" s="890">
        <v>0.79055555555555557</v>
      </c>
    </row>
    <row r="4219" spans="1:6">
      <c r="A4219" s="888" t="s">
        <v>3572</v>
      </c>
      <c r="B4219" s="888" t="s">
        <v>3573</v>
      </c>
      <c r="C4219" s="888" t="s">
        <v>3574</v>
      </c>
    </row>
    <row r="4220" spans="1:6">
      <c r="A4220" s="888">
        <v>228</v>
      </c>
      <c r="B4220" s="888" t="s">
        <v>1166</v>
      </c>
      <c r="C4220" s="888" t="s">
        <v>1652</v>
      </c>
      <c r="D4220" s="889">
        <v>46043</v>
      </c>
      <c r="E4220" s="890">
        <v>0.42334490740740743</v>
      </c>
      <c r="F4220" s="890">
        <v>0.80820601851851848</v>
      </c>
    </row>
    <row r="4221" spans="1:6">
      <c r="A4221" s="888" t="s">
        <v>3575</v>
      </c>
      <c r="B4221" s="888" t="s">
        <v>3576</v>
      </c>
      <c r="C4221" s="888" t="s">
        <v>3170</v>
      </c>
    </row>
    <row r="4222" spans="1:6">
      <c r="A4222" s="888">
        <v>228</v>
      </c>
      <c r="B4222" s="888" t="s">
        <v>1166</v>
      </c>
      <c r="C4222" s="888" t="s">
        <v>1652</v>
      </c>
      <c r="D4222" s="889">
        <v>46044</v>
      </c>
      <c r="E4222" s="890">
        <v>0.40819444444444447</v>
      </c>
      <c r="F4222" s="890">
        <v>0.77907407407407403</v>
      </c>
    </row>
    <row r="4223" spans="1:6">
      <c r="A4223" s="888" t="s">
        <v>3577</v>
      </c>
      <c r="B4223" s="888" t="s">
        <v>3578</v>
      </c>
      <c r="C4223" s="888" t="s">
        <v>1590</v>
      </c>
    </row>
    <row r="4224" spans="1:6">
      <c r="A4224" s="888">
        <v>228</v>
      </c>
      <c r="B4224" s="888" t="s">
        <v>1166</v>
      </c>
      <c r="C4224" s="888" t="s">
        <v>1652</v>
      </c>
      <c r="D4224" s="889">
        <v>46045</v>
      </c>
      <c r="E4224" s="890">
        <v>0.56428240740740743</v>
      </c>
      <c r="F4224" s="890">
        <v>0.78835648148148152</v>
      </c>
    </row>
    <row r="4225" spans="1:6">
      <c r="A4225" s="888" t="s">
        <v>3579</v>
      </c>
      <c r="B4225" s="888" t="s">
        <v>3580</v>
      </c>
      <c r="C4225" s="888" t="s">
        <v>3581</v>
      </c>
    </row>
    <row r="4226" spans="1:6">
      <c r="A4226" s="888">
        <v>228</v>
      </c>
      <c r="B4226" s="888" t="s">
        <v>1166</v>
      </c>
      <c r="C4226" s="888" t="s">
        <v>1652</v>
      </c>
      <c r="D4226" s="889">
        <v>46046</v>
      </c>
      <c r="E4226" s="888" t="s">
        <v>310</v>
      </c>
      <c r="F4226" s="888" t="s">
        <v>310</v>
      </c>
    </row>
    <row r="4227" spans="1:6">
      <c r="A4227" s="888">
        <v>228</v>
      </c>
      <c r="B4227" s="888" t="s">
        <v>1166</v>
      </c>
      <c r="C4227" s="888" t="s">
        <v>1652</v>
      </c>
      <c r="D4227" s="889">
        <v>46047</v>
      </c>
      <c r="E4227" s="888" t="s">
        <v>310</v>
      </c>
      <c r="F4227" s="888" t="s">
        <v>310</v>
      </c>
    </row>
    <row r="4228" spans="1:6">
      <c r="A4228" s="888">
        <v>228</v>
      </c>
      <c r="B4228" s="888" t="s">
        <v>1166</v>
      </c>
      <c r="C4228" s="888" t="s">
        <v>1652</v>
      </c>
      <c r="D4228" s="889">
        <v>46048</v>
      </c>
      <c r="E4228" s="888" t="s">
        <v>310</v>
      </c>
      <c r="F4228" s="888" t="s">
        <v>310</v>
      </c>
    </row>
    <row r="4229" spans="1:6">
      <c r="A4229" s="888">
        <v>228</v>
      </c>
      <c r="B4229" s="888" t="s">
        <v>1166</v>
      </c>
      <c r="C4229" s="888" t="s">
        <v>1652</v>
      </c>
      <c r="D4229" s="889">
        <v>46049</v>
      </c>
      <c r="E4229" s="888" t="s">
        <v>310</v>
      </c>
      <c r="F4229" s="888" t="s">
        <v>310</v>
      </c>
    </row>
    <row r="4230" spans="1:6">
      <c r="A4230" s="888">
        <v>228</v>
      </c>
      <c r="B4230" s="888" t="s">
        <v>1166</v>
      </c>
      <c r="C4230" s="888" t="s">
        <v>1652</v>
      </c>
      <c r="D4230" s="889">
        <v>46050</v>
      </c>
      <c r="E4230" s="890">
        <v>0.39230324074074074</v>
      </c>
      <c r="F4230" s="890">
        <v>0.81699074074074074</v>
      </c>
    </row>
    <row r="4231" spans="1:6">
      <c r="A4231" s="888" t="s">
        <v>3582</v>
      </c>
      <c r="B4231" s="888" t="s">
        <v>3583</v>
      </c>
      <c r="C4231" s="888" t="s">
        <v>1399</v>
      </c>
    </row>
    <row r="4232" spans="1:6">
      <c r="A4232" s="888">
        <v>228</v>
      </c>
      <c r="B4232" s="888" t="s">
        <v>1166</v>
      </c>
      <c r="C4232" s="888" t="s">
        <v>1652</v>
      </c>
      <c r="D4232" s="889">
        <v>46051</v>
      </c>
      <c r="E4232" s="890">
        <v>0.39802083333333332</v>
      </c>
      <c r="F4232" s="890">
        <v>0.78074074074074074</v>
      </c>
    </row>
    <row r="4233" spans="1:6">
      <c r="A4233" s="888" t="s">
        <v>3584</v>
      </c>
      <c r="B4233" s="888" t="s">
        <v>3585</v>
      </c>
      <c r="C4233" s="888" t="s">
        <v>1314</v>
      </c>
    </row>
    <row r="4234" spans="1:6">
      <c r="A4234" s="888">
        <v>228</v>
      </c>
      <c r="B4234" s="888" t="s">
        <v>1166</v>
      </c>
      <c r="C4234" s="888" t="s">
        <v>1652</v>
      </c>
      <c r="D4234" s="889">
        <v>46052</v>
      </c>
      <c r="E4234" s="890">
        <v>0.41472222222222221</v>
      </c>
      <c r="F4234" s="890">
        <v>0.79146990740740741</v>
      </c>
    </row>
    <row r="4235" spans="1:6">
      <c r="A4235" s="888" t="s">
        <v>3586</v>
      </c>
      <c r="B4235" s="888" t="s">
        <v>3587</v>
      </c>
      <c r="C4235" s="888" t="s">
        <v>1610</v>
      </c>
    </row>
    <row r="4236" spans="1:6">
      <c r="A4236" s="888">
        <v>228</v>
      </c>
      <c r="B4236" s="888" t="s">
        <v>1166</v>
      </c>
      <c r="C4236" s="888" t="s">
        <v>1652</v>
      </c>
      <c r="D4236" s="889">
        <v>46053</v>
      </c>
      <c r="E4236" s="888" t="s">
        <v>310</v>
      </c>
      <c r="F4236" s="888" t="s">
        <v>310</v>
      </c>
    </row>
    <row r="4237" spans="1:6">
      <c r="A4237" s="888">
        <v>228</v>
      </c>
      <c r="B4237" s="888" t="s">
        <v>1166</v>
      </c>
      <c r="C4237" s="888" t="s">
        <v>1652</v>
      </c>
      <c r="D4237" s="889">
        <v>46054</v>
      </c>
      <c r="E4237" s="888" t="s">
        <v>310</v>
      </c>
      <c r="F4237" s="888" t="s">
        <v>310</v>
      </c>
    </row>
    <row r="4238" spans="1:6">
      <c r="A4238" s="888">
        <v>229</v>
      </c>
      <c r="B4238" s="888" t="s">
        <v>1167</v>
      </c>
      <c r="C4238" s="888" t="s">
        <v>2310</v>
      </c>
      <c r="D4238" s="889">
        <v>46023</v>
      </c>
      <c r="E4238" s="888" t="s">
        <v>310</v>
      </c>
      <c r="F4238" s="888" t="s">
        <v>310</v>
      </c>
    </row>
    <row r="4239" spans="1:6">
      <c r="A4239" s="888">
        <v>229</v>
      </c>
      <c r="B4239" s="888" t="s">
        <v>1167</v>
      </c>
      <c r="C4239" s="888" t="s">
        <v>2310</v>
      </c>
      <c r="D4239" s="889">
        <v>46024</v>
      </c>
      <c r="E4239" s="888" t="s">
        <v>310</v>
      </c>
      <c r="F4239" s="888" t="s">
        <v>310</v>
      </c>
    </row>
    <row r="4240" spans="1:6">
      <c r="A4240" s="888">
        <v>229</v>
      </c>
      <c r="B4240" s="888" t="s">
        <v>1167</v>
      </c>
      <c r="C4240" s="888" t="s">
        <v>2310</v>
      </c>
      <c r="D4240" s="889">
        <v>46025</v>
      </c>
      <c r="E4240" s="888" t="s">
        <v>310</v>
      </c>
      <c r="F4240" s="888" t="s">
        <v>310</v>
      </c>
    </row>
    <row r="4241" spans="1:6">
      <c r="A4241" s="888">
        <v>229</v>
      </c>
      <c r="B4241" s="888" t="s">
        <v>1167</v>
      </c>
      <c r="C4241" s="888" t="s">
        <v>2310</v>
      </c>
      <c r="D4241" s="889">
        <v>46026</v>
      </c>
      <c r="E4241" s="888" t="s">
        <v>310</v>
      </c>
      <c r="F4241" s="888" t="s">
        <v>310</v>
      </c>
    </row>
    <row r="4242" spans="1:6">
      <c r="A4242" s="888">
        <v>229</v>
      </c>
      <c r="B4242" s="888" t="s">
        <v>1167</v>
      </c>
      <c r="C4242" s="888" t="s">
        <v>2310</v>
      </c>
      <c r="D4242" s="889">
        <v>46027</v>
      </c>
      <c r="E4242" s="890">
        <v>0.47890046296296296</v>
      </c>
      <c r="F4242" s="890">
        <v>0.75310185185185186</v>
      </c>
    </row>
    <row r="4243" spans="1:6">
      <c r="A4243" s="888" t="s">
        <v>3588</v>
      </c>
      <c r="B4243" s="888" t="s">
        <v>3589</v>
      </c>
      <c r="C4243" s="888" t="s">
        <v>3590</v>
      </c>
    </row>
    <row r="4244" spans="1:6">
      <c r="A4244" s="888">
        <v>229</v>
      </c>
      <c r="B4244" s="888" t="s">
        <v>1167</v>
      </c>
      <c r="C4244" s="888" t="s">
        <v>2310</v>
      </c>
      <c r="D4244" s="889">
        <v>46028</v>
      </c>
      <c r="E4244" s="890">
        <v>0.35251157407407407</v>
      </c>
      <c r="F4244" s="890">
        <v>0.89141203703703709</v>
      </c>
    </row>
    <row r="4245" spans="1:6">
      <c r="A4245" s="888" t="s">
        <v>3591</v>
      </c>
      <c r="B4245" s="888" t="s">
        <v>3592</v>
      </c>
      <c r="C4245" s="888" t="s">
        <v>2914</v>
      </c>
    </row>
    <row r="4246" spans="1:6">
      <c r="A4246" s="888">
        <v>229</v>
      </c>
      <c r="B4246" s="888" t="s">
        <v>1167</v>
      </c>
      <c r="C4246" s="888" t="s">
        <v>2310</v>
      </c>
      <c r="D4246" s="889">
        <v>46029</v>
      </c>
      <c r="E4246" s="890">
        <v>0.39456018518518521</v>
      </c>
      <c r="F4246" s="890">
        <v>0.75415509259259261</v>
      </c>
    </row>
    <row r="4247" spans="1:6">
      <c r="A4247" s="888" t="s">
        <v>3593</v>
      </c>
      <c r="B4247" s="888" t="s">
        <v>3594</v>
      </c>
      <c r="C4247" s="888" t="s">
        <v>3303</v>
      </c>
    </row>
    <row r="4248" spans="1:6">
      <c r="A4248" s="888">
        <v>229</v>
      </c>
      <c r="B4248" s="888" t="s">
        <v>1167</v>
      </c>
      <c r="C4248" s="888" t="s">
        <v>2310</v>
      </c>
      <c r="D4248" s="889">
        <v>46030</v>
      </c>
      <c r="E4248" s="890">
        <v>0.35115740740740742</v>
      </c>
      <c r="F4248" s="890">
        <v>0.7564467592592593</v>
      </c>
    </row>
    <row r="4249" spans="1:6">
      <c r="A4249" s="888" t="s">
        <v>3595</v>
      </c>
      <c r="B4249" s="888" t="s">
        <v>3596</v>
      </c>
      <c r="C4249" s="888" t="s">
        <v>2340</v>
      </c>
    </row>
    <row r="4250" spans="1:6">
      <c r="A4250" s="888">
        <v>229</v>
      </c>
      <c r="B4250" s="888" t="s">
        <v>1167</v>
      </c>
      <c r="C4250" s="888" t="s">
        <v>2310</v>
      </c>
      <c r="D4250" s="889">
        <v>46031</v>
      </c>
      <c r="E4250" s="890">
        <v>0.35116898148148146</v>
      </c>
      <c r="F4250" s="890">
        <v>0.7560069444444445</v>
      </c>
    </row>
    <row r="4251" spans="1:6">
      <c r="A4251" s="888" t="s">
        <v>3597</v>
      </c>
      <c r="B4251" s="888" t="s">
        <v>3598</v>
      </c>
      <c r="C4251" s="888" t="s">
        <v>1356</v>
      </c>
    </row>
    <row r="4252" spans="1:6">
      <c r="A4252" s="888">
        <v>229</v>
      </c>
      <c r="B4252" s="888" t="s">
        <v>1167</v>
      </c>
      <c r="C4252" s="888" t="s">
        <v>2310</v>
      </c>
      <c r="D4252" s="889">
        <v>46032</v>
      </c>
      <c r="E4252" s="890">
        <v>0.34961805555555553</v>
      </c>
      <c r="F4252" s="890">
        <v>0.7553819444444444</v>
      </c>
    </row>
    <row r="4253" spans="1:6">
      <c r="A4253" s="888" t="s">
        <v>3599</v>
      </c>
      <c r="B4253" s="888" t="s">
        <v>3600</v>
      </c>
      <c r="C4253" s="888" t="s">
        <v>2340</v>
      </c>
    </row>
    <row r="4254" spans="1:6">
      <c r="A4254" s="888">
        <v>229</v>
      </c>
      <c r="B4254" s="888" t="s">
        <v>1167</v>
      </c>
      <c r="C4254" s="888" t="s">
        <v>2310</v>
      </c>
      <c r="D4254" s="889">
        <v>46033</v>
      </c>
      <c r="E4254" s="888" t="s">
        <v>310</v>
      </c>
      <c r="F4254" s="888" t="s">
        <v>310</v>
      </c>
    </row>
    <row r="4255" spans="1:6">
      <c r="A4255" s="888">
        <v>229</v>
      </c>
      <c r="B4255" s="888" t="s">
        <v>1167</v>
      </c>
      <c r="C4255" s="888" t="s">
        <v>2310</v>
      </c>
      <c r="D4255" s="889">
        <v>46034</v>
      </c>
      <c r="E4255" s="890">
        <v>0.3523148148148148</v>
      </c>
      <c r="F4255" s="890">
        <v>0.73371527777777779</v>
      </c>
    </row>
    <row r="4256" spans="1:6">
      <c r="A4256" s="888" t="s">
        <v>3601</v>
      </c>
      <c r="B4256" s="888" t="s">
        <v>3602</v>
      </c>
      <c r="C4256" s="888" t="s">
        <v>1607</v>
      </c>
    </row>
    <row r="4257" spans="1:6">
      <c r="A4257" s="888">
        <v>229</v>
      </c>
      <c r="B4257" s="888" t="s">
        <v>1167</v>
      </c>
      <c r="C4257" s="888" t="s">
        <v>2310</v>
      </c>
      <c r="D4257" s="889">
        <v>46035</v>
      </c>
      <c r="E4257" s="890">
        <v>0.35435185185185186</v>
      </c>
      <c r="F4257" s="890">
        <v>0.73366898148148152</v>
      </c>
    </row>
    <row r="4258" spans="1:6">
      <c r="A4258" s="888" t="s">
        <v>3603</v>
      </c>
      <c r="B4258" s="888" t="s">
        <v>3604</v>
      </c>
      <c r="C4258" s="888" t="s">
        <v>1323</v>
      </c>
    </row>
    <row r="4259" spans="1:6">
      <c r="A4259" s="888">
        <v>229</v>
      </c>
      <c r="B4259" s="888" t="s">
        <v>1167</v>
      </c>
      <c r="C4259" s="888" t="s">
        <v>2310</v>
      </c>
      <c r="D4259" s="889">
        <v>46036</v>
      </c>
      <c r="E4259" s="890">
        <v>0.35233796296296294</v>
      </c>
      <c r="F4259" s="890">
        <v>0.73052083333333329</v>
      </c>
    </row>
    <row r="4260" spans="1:6">
      <c r="A4260" s="888" t="s">
        <v>3605</v>
      </c>
      <c r="B4260" s="888" t="s">
        <v>3606</v>
      </c>
      <c r="C4260" s="888" t="s">
        <v>1336</v>
      </c>
    </row>
    <row r="4261" spans="1:6">
      <c r="A4261" s="888">
        <v>229</v>
      </c>
      <c r="B4261" s="888" t="s">
        <v>1167</v>
      </c>
      <c r="C4261" s="888" t="s">
        <v>2310</v>
      </c>
      <c r="D4261" s="889">
        <v>46037</v>
      </c>
      <c r="E4261" s="890">
        <v>0.35444444444444445</v>
      </c>
      <c r="F4261" s="890">
        <v>0.8661226851851852</v>
      </c>
    </row>
    <row r="4262" spans="1:6">
      <c r="A4262" s="888" t="s">
        <v>3607</v>
      </c>
      <c r="B4262" s="888" t="s">
        <v>3608</v>
      </c>
      <c r="C4262" s="888" t="s">
        <v>3609</v>
      </c>
    </row>
    <row r="4263" spans="1:6">
      <c r="A4263" s="888">
        <v>229</v>
      </c>
      <c r="B4263" s="888" t="s">
        <v>1167</v>
      </c>
      <c r="C4263" s="888" t="s">
        <v>2310</v>
      </c>
      <c r="D4263" s="889">
        <v>46038</v>
      </c>
      <c r="E4263" s="890">
        <v>0.43957175925925923</v>
      </c>
      <c r="F4263" s="890">
        <v>0.75685185185185189</v>
      </c>
    </row>
    <row r="4264" spans="1:6">
      <c r="A4264" s="888" t="s">
        <v>3610</v>
      </c>
      <c r="B4264" s="888" t="s">
        <v>3611</v>
      </c>
      <c r="C4264" s="888" t="s">
        <v>3612</v>
      </c>
    </row>
    <row r="4265" spans="1:6">
      <c r="A4265" s="888">
        <v>229</v>
      </c>
      <c r="B4265" s="888" t="s">
        <v>1167</v>
      </c>
      <c r="C4265" s="888" t="s">
        <v>2310</v>
      </c>
      <c r="D4265" s="889">
        <v>46039</v>
      </c>
      <c r="E4265" s="888" t="s">
        <v>310</v>
      </c>
      <c r="F4265" s="888" t="s">
        <v>310</v>
      </c>
    </row>
    <row r="4266" spans="1:6">
      <c r="A4266" s="888">
        <v>229</v>
      </c>
      <c r="B4266" s="888" t="s">
        <v>1167</v>
      </c>
      <c r="C4266" s="888" t="s">
        <v>2310</v>
      </c>
      <c r="D4266" s="889">
        <v>46040</v>
      </c>
      <c r="E4266" s="888" t="s">
        <v>310</v>
      </c>
      <c r="F4266" s="888" t="s">
        <v>310</v>
      </c>
    </row>
    <row r="4267" spans="1:6">
      <c r="A4267" s="888">
        <v>229</v>
      </c>
      <c r="B4267" s="888" t="s">
        <v>1167</v>
      </c>
      <c r="C4267" s="888" t="s">
        <v>2310</v>
      </c>
      <c r="D4267" s="889">
        <v>46041</v>
      </c>
      <c r="E4267" s="890">
        <v>0.35369212962962965</v>
      </c>
      <c r="F4267" s="890">
        <v>0.7525694444444444</v>
      </c>
    </row>
    <row r="4268" spans="1:6">
      <c r="A4268" s="888" t="s">
        <v>3613</v>
      </c>
      <c r="B4268" s="888" t="s">
        <v>3614</v>
      </c>
      <c r="C4268" s="888" t="s">
        <v>1383</v>
      </c>
    </row>
    <row r="4269" spans="1:6">
      <c r="A4269" s="888">
        <v>229</v>
      </c>
      <c r="B4269" s="888" t="s">
        <v>1167</v>
      </c>
      <c r="C4269" s="888" t="s">
        <v>2310</v>
      </c>
      <c r="D4269" s="889">
        <v>46042</v>
      </c>
      <c r="E4269" s="890">
        <v>0.35483796296296294</v>
      </c>
      <c r="F4269" s="890">
        <v>0.75542824074074078</v>
      </c>
    </row>
    <row r="4270" spans="1:6">
      <c r="A4270" s="888" t="s">
        <v>3615</v>
      </c>
      <c r="B4270" s="888" t="s">
        <v>3616</v>
      </c>
      <c r="C4270" s="888" t="s">
        <v>1378</v>
      </c>
    </row>
    <row r="4271" spans="1:6">
      <c r="A4271" s="888">
        <v>229</v>
      </c>
      <c r="B4271" s="888" t="s">
        <v>1167</v>
      </c>
      <c r="C4271" s="888" t="s">
        <v>2310</v>
      </c>
      <c r="D4271" s="889">
        <v>46043</v>
      </c>
      <c r="E4271" s="890">
        <v>0.35045138888888888</v>
      </c>
      <c r="F4271" s="890">
        <v>0.75474537037037037</v>
      </c>
    </row>
    <row r="4272" spans="1:6">
      <c r="A4272" s="888" t="s">
        <v>3617</v>
      </c>
      <c r="B4272" s="888" t="s">
        <v>3618</v>
      </c>
      <c r="C4272" s="888" t="s">
        <v>1266</v>
      </c>
    </row>
    <row r="4273" spans="1:6">
      <c r="A4273" s="888">
        <v>229</v>
      </c>
      <c r="B4273" s="888" t="s">
        <v>1167</v>
      </c>
      <c r="C4273" s="888" t="s">
        <v>2310</v>
      </c>
      <c r="D4273" s="889">
        <v>46044</v>
      </c>
      <c r="E4273" s="890">
        <v>0.35207175925925926</v>
      </c>
      <c r="F4273" s="890">
        <v>0.75728009259259255</v>
      </c>
    </row>
    <row r="4274" spans="1:6">
      <c r="A4274" s="888" t="s">
        <v>3619</v>
      </c>
      <c r="B4274" s="888" t="s">
        <v>3620</v>
      </c>
      <c r="C4274" s="888" t="s">
        <v>2340</v>
      </c>
    </row>
    <row r="4275" spans="1:6">
      <c r="A4275" s="888">
        <v>229</v>
      </c>
      <c r="B4275" s="888" t="s">
        <v>1167</v>
      </c>
      <c r="C4275" s="888" t="s">
        <v>2310</v>
      </c>
      <c r="D4275" s="889">
        <v>46045</v>
      </c>
      <c r="E4275" s="890">
        <v>0.35379629629629628</v>
      </c>
      <c r="F4275" s="890">
        <v>0.75462962962962965</v>
      </c>
    </row>
    <row r="4276" spans="1:6">
      <c r="A4276" s="888" t="s">
        <v>3621</v>
      </c>
      <c r="B4276" s="888" t="s">
        <v>3622</v>
      </c>
      <c r="C4276" s="888" t="s">
        <v>1378</v>
      </c>
    </row>
    <row r="4277" spans="1:6">
      <c r="A4277" s="888">
        <v>229</v>
      </c>
      <c r="B4277" s="888" t="s">
        <v>1167</v>
      </c>
      <c r="C4277" s="888" t="s">
        <v>2310</v>
      </c>
      <c r="D4277" s="889">
        <v>46046</v>
      </c>
      <c r="E4277" s="888" t="s">
        <v>310</v>
      </c>
      <c r="F4277" s="888" t="s">
        <v>310</v>
      </c>
    </row>
    <row r="4278" spans="1:6">
      <c r="A4278" s="888">
        <v>229</v>
      </c>
      <c r="B4278" s="888" t="s">
        <v>1167</v>
      </c>
      <c r="C4278" s="888" t="s">
        <v>2310</v>
      </c>
      <c r="D4278" s="889">
        <v>46047</v>
      </c>
      <c r="E4278" s="888" t="s">
        <v>310</v>
      </c>
      <c r="F4278" s="888" t="s">
        <v>310</v>
      </c>
    </row>
    <row r="4279" spans="1:6">
      <c r="A4279" s="888">
        <v>229</v>
      </c>
      <c r="B4279" s="888" t="s">
        <v>1167</v>
      </c>
      <c r="C4279" s="888" t="s">
        <v>2310</v>
      </c>
      <c r="D4279" s="889">
        <v>46048</v>
      </c>
      <c r="E4279" s="890">
        <v>0.35454861111111113</v>
      </c>
      <c r="F4279" s="890">
        <v>0.75701388888888888</v>
      </c>
    </row>
    <row r="4280" spans="1:6">
      <c r="A4280" s="888" t="s">
        <v>3623</v>
      </c>
      <c r="B4280" s="888" t="s">
        <v>3624</v>
      </c>
      <c r="C4280" s="888" t="s">
        <v>1624</v>
      </c>
    </row>
    <row r="4281" spans="1:6">
      <c r="A4281" s="888">
        <v>229</v>
      </c>
      <c r="B4281" s="888" t="s">
        <v>1167</v>
      </c>
      <c r="C4281" s="888" t="s">
        <v>2310</v>
      </c>
      <c r="D4281" s="889">
        <v>46049</v>
      </c>
      <c r="E4281" s="890">
        <v>0.35423611111111108</v>
      </c>
      <c r="F4281" s="890">
        <v>0.75744212962962965</v>
      </c>
    </row>
    <row r="4282" spans="1:6">
      <c r="A4282" s="888" t="s">
        <v>3625</v>
      </c>
      <c r="B4282" s="888" t="s">
        <v>3626</v>
      </c>
      <c r="C4282" s="888" t="s">
        <v>1363</v>
      </c>
    </row>
    <row r="4283" spans="1:6">
      <c r="A4283" s="888">
        <v>229</v>
      </c>
      <c r="B4283" s="888" t="s">
        <v>1167</v>
      </c>
      <c r="C4283" s="888" t="s">
        <v>2310</v>
      </c>
      <c r="D4283" s="889">
        <v>46050</v>
      </c>
      <c r="E4283" s="890">
        <v>0.35171296296296295</v>
      </c>
      <c r="F4283" s="890">
        <v>0.76195601851851846</v>
      </c>
    </row>
    <row r="4284" spans="1:6">
      <c r="A4284" s="888" t="s">
        <v>3627</v>
      </c>
      <c r="B4284" s="888" t="s">
        <v>3628</v>
      </c>
      <c r="C4284" s="888" t="s">
        <v>2003</v>
      </c>
    </row>
    <row r="4285" spans="1:6">
      <c r="A4285" s="888">
        <v>229</v>
      </c>
      <c r="B4285" s="888" t="s">
        <v>1167</v>
      </c>
      <c r="C4285" s="888" t="s">
        <v>2310</v>
      </c>
      <c r="D4285" s="889">
        <v>46051</v>
      </c>
      <c r="E4285" s="890">
        <v>0.35261574074074076</v>
      </c>
      <c r="F4285" s="890">
        <v>0.75557870370370372</v>
      </c>
    </row>
    <row r="4286" spans="1:6">
      <c r="A4286" s="888" t="s">
        <v>3629</v>
      </c>
      <c r="B4286" s="888" t="s">
        <v>3630</v>
      </c>
      <c r="C4286" s="888" t="s">
        <v>1624</v>
      </c>
    </row>
    <row r="4287" spans="1:6">
      <c r="A4287" s="888">
        <v>229</v>
      </c>
      <c r="B4287" s="888" t="s">
        <v>1167</v>
      </c>
      <c r="C4287" s="888" t="s">
        <v>2310</v>
      </c>
      <c r="D4287" s="889">
        <v>46052</v>
      </c>
      <c r="E4287" s="890">
        <v>0.35270833333333335</v>
      </c>
      <c r="F4287" s="890">
        <v>0.77042824074074079</v>
      </c>
    </row>
    <row r="4288" spans="1:6">
      <c r="A4288" s="888" t="s">
        <v>3631</v>
      </c>
      <c r="B4288" s="888" t="s">
        <v>3632</v>
      </c>
      <c r="C4288" s="888" t="s">
        <v>1790</v>
      </c>
    </row>
    <row r="4289" spans="1:6">
      <c r="A4289" s="888">
        <v>229</v>
      </c>
      <c r="B4289" s="888" t="s">
        <v>1167</v>
      </c>
      <c r="C4289" s="888" t="s">
        <v>2310</v>
      </c>
      <c r="D4289" s="889">
        <v>46053</v>
      </c>
      <c r="E4289" s="888" t="s">
        <v>310</v>
      </c>
      <c r="F4289" s="888" t="s">
        <v>310</v>
      </c>
    </row>
    <row r="4290" spans="1:6">
      <c r="A4290" s="888">
        <v>229</v>
      </c>
      <c r="B4290" s="888" t="s">
        <v>1167</v>
      </c>
      <c r="C4290" s="888" t="s">
        <v>2310</v>
      </c>
      <c r="D4290" s="889">
        <v>46054</v>
      </c>
      <c r="E4290" s="888" t="s">
        <v>310</v>
      </c>
      <c r="F4290" s="888" t="s">
        <v>310</v>
      </c>
    </row>
    <row r="4291" spans="1:6">
      <c r="A4291" s="888">
        <v>232</v>
      </c>
      <c r="B4291" s="888" t="s">
        <v>1168</v>
      </c>
      <c r="C4291" s="888" t="s">
        <v>2488</v>
      </c>
      <c r="D4291" s="889">
        <v>46023</v>
      </c>
      <c r="E4291" s="888" t="s">
        <v>310</v>
      </c>
      <c r="F4291" s="888" t="s">
        <v>310</v>
      </c>
    </row>
    <row r="4292" spans="1:6">
      <c r="A4292" s="888">
        <v>232</v>
      </c>
      <c r="B4292" s="888" t="s">
        <v>1168</v>
      </c>
      <c r="C4292" s="888" t="s">
        <v>2488</v>
      </c>
      <c r="D4292" s="889">
        <v>46024</v>
      </c>
      <c r="E4292" s="888" t="s">
        <v>310</v>
      </c>
      <c r="F4292" s="888" t="s">
        <v>310</v>
      </c>
    </row>
    <row r="4293" spans="1:6">
      <c r="A4293" s="888">
        <v>232</v>
      </c>
      <c r="B4293" s="888" t="s">
        <v>1168</v>
      </c>
      <c r="C4293" s="888" t="s">
        <v>2488</v>
      </c>
      <c r="D4293" s="889">
        <v>46025</v>
      </c>
      <c r="E4293" s="888" t="s">
        <v>310</v>
      </c>
      <c r="F4293" s="888" t="s">
        <v>310</v>
      </c>
    </row>
    <row r="4294" spans="1:6">
      <c r="A4294" s="888">
        <v>232</v>
      </c>
      <c r="B4294" s="888" t="s">
        <v>1168</v>
      </c>
      <c r="C4294" s="888" t="s">
        <v>2488</v>
      </c>
      <c r="D4294" s="889">
        <v>46026</v>
      </c>
      <c r="E4294" s="888" t="s">
        <v>310</v>
      </c>
      <c r="F4294" s="888" t="s">
        <v>310</v>
      </c>
    </row>
    <row r="4295" spans="1:6">
      <c r="A4295" s="888">
        <v>232</v>
      </c>
      <c r="B4295" s="888" t="s">
        <v>1168</v>
      </c>
      <c r="C4295" s="888" t="s">
        <v>2488</v>
      </c>
      <c r="D4295" s="889">
        <v>46027</v>
      </c>
      <c r="E4295" s="890">
        <v>0.3752314814814815</v>
      </c>
      <c r="F4295" s="890">
        <v>0.76452546296296298</v>
      </c>
    </row>
    <row r="4296" spans="1:6">
      <c r="A4296" s="888" t="s">
        <v>3633</v>
      </c>
      <c r="B4296" s="888" t="s">
        <v>3634</v>
      </c>
      <c r="C4296" s="888" t="s">
        <v>1737</v>
      </c>
    </row>
    <row r="4297" spans="1:6">
      <c r="A4297" s="888">
        <v>232</v>
      </c>
      <c r="B4297" s="888" t="s">
        <v>1168</v>
      </c>
      <c r="C4297" s="888" t="s">
        <v>2488</v>
      </c>
      <c r="D4297" s="889">
        <v>46028</v>
      </c>
      <c r="E4297" s="890">
        <v>0.3762847222222222</v>
      </c>
      <c r="F4297" s="890">
        <v>0.76862268518518517</v>
      </c>
    </row>
    <row r="4298" spans="1:6">
      <c r="A4298" s="888" t="s">
        <v>3635</v>
      </c>
      <c r="B4298" s="888" t="s">
        <v>3636</v>
      </c>
      <c r="C4298" s="888" t="s">
        <v>1724</v>
      </c>
    </row>
    <row r="4299" spans="1:6">
      <c r="A4299" s="888">
        <v>232</v>
      </c>
      <c r="B4299" s="888" t="s">
        <v>1168</v>
      </c>
      <c r="C4299" s="888" t="s">
        <v>2488</v>
      </c>
      <c r="D4299" s="889">
        <v>46029</v>
      </c>
      <c r="E4299" s="890">
        <v>0.36878472222222225</v>
      </c>
      <c r="F4299" s="890">
        <v>0.7560069444444445</v>
      </c>
    </row>
    <row r="4300" spans="1:6">
      <c r="A4300" s="888" t="s">
        <v>3637</v>
      </c>
      <c r="B4300" s="888" t="s">
        <v>3638</v>
      </c>
      <c r="C4300" s="888" t="s">
        <v>1410</v>
      </c>
    </row>
    <row r="4301" spans="1:6">
      <c r="A4301" s="888">
        <v>232</v>
      </c>
      <c r="B4301" s="888" t="s">
        <v>1168</v>
      </c>
      <c r="C4301" s="888" t="s">
        <v>2488</v>
      </c>
      <c r="D4301" s="889">
        <v>46030</v>
      </c>
      <c r="E4301" s="890">
        <v>0.38071759259259258</v>
      </c>
      <c r="F4301" s="890">
        <v>0.76240740740740742</v>
      </c>
    </row>
    <row r="4302" spans="1:6">
      <c r="A4302" s="888" t="s">
        <v>3639</v>
      </c>
      <c r="B4302" s="888" t="s">
        <v>3640</v>
      </c>
      <c r="C4302" s="888" t="s">
        <v>1580</v>
      </c>
    </row>
    <row r="4303" spans="1:6">
      <c r="A4303" s="888">
        <v>232</v>
      </c>
      <c r="B4303" s="888" t="s">
        <v>1168</v>
      </c>
      <c r="C4303" s="888" t="s">
        <v>2488</v>
      </c>
      <c r="D4303" s="889">
        <v>46031</v>
      </c>
      <c r="E4303" s="890">
        <v>0.34922453703703704</v>
      </c>
      <c r="F4303" s="890">
        <v>0.78754629629629624</v>
      </c>
    </row>
    <row r="4304" spans="1:6">
      <c r="A4304" s="888" t="s">
        <v>3641</v>
      </c>
      <c r="B4304" s="888" t="s">
        <v>3642</v>
      </c>
      <c r="C4304" s="888" t="s">
        <v>1787</v>
      </c>
    </row>
    <row r="4305" spans="1:6">
      <c r="A4305" s="888">
        <v>232</v>
      </c>
      <c r="B4305" s="888" t="s">
        <v>1168</v>
      </c>
      <c r="C4305" s="888" t="s">
        <v>2488</v>
      </c>
      <c r="D4305" s="889">
        <v>46032</v>
      </c>
      <c r="E4305" s="890">
        <v>0.60616898148148146</v>
      </c>
      <c r="F4305" s="890">
        <v>0.78954861111111108</v>
      </c>
    </row>
    <row r="4306" spans="1:6">
      <c r="A4306" s="888" t="s">
        <v>3643</v>
      </c>
      <c r="B4306" s="888" t="s">
        <v>3644</v>
      </c>
      <c r="C4306" s="888" t="s">
        <v>3645</v>
      </c>
    </row>
    <row r="4307" spans="1:6">
      <c r="A4307" s="888">
        <v>232</v>
      </c>
      <c r="B4307" s="888" t="s">
        <v>1168</v>
      </c>
      <c r="C4307" s="888" t="s">
        <v>2488</v>
      </c>
      <c r="D4307" s="889">
        <v>46033</v>
      </c>
      <c r="E4307" s="888" t="s">
        <v>310</v>
      </c>
      <c r="F4307" s="888" t="s">
        <v>310</v>
      </c>
    </row>
    <row r="4308" spans="1:6">
      <c r="A4308" s="888">
        <v>232</v>
      </c>
      <c r="B4308" s="888" t="s">
        <v>1168</v>
      </c>
      <c r="C4308" s="888" t="s">
        <v>2488</v>
      </c>
      <c r="D4308" s="889">
        <v>46034</v>
      </c>
      <c r="E4308" s="890">
        <v>0.36881944444444442</v>
      </c>
      <c r="F4308" s="890">
        <v>0.76971064814814816</v>
      </c>
    </row>
    <row r="4309" spans="1:6">
      <c r="A4309" s="888" t="s">
        <v>3646</v>
      </c>
      <c r="B4309" s="888" t="s">
        <v>3647</v>
      </c>
      <c r="C4309" s="888" t="s">
        <v>1378</v>
      </c>
    </row>
    <row r="4310" spans="1:6">
      <c r="A4310" s="888">
        <v>232</v>
      </c>
      <c r="B4310" s="888" t="s">
        <v>1168</v>
      </c>
      <c r="C4310" s="888" t="s">
        <v>2488</v>
      </c>
      <c r="D4310" s="889">
        <v>46035</v>
      </c>
      <c r="E4310" s="890">
        <v>0.75681712962962966</v>
      </c>
      <c r="F4310" s="888" t="s">
        <v>310</v>
      </c>
    </row>
    <row r="4311" spans="1:6">
      <c r="A4311" s="888" t="s">
        <v>3648</v>
      </c>
      <c r="B4311" s="888" t="s">
        <v>1258</v>
      </c>
      <c r="C4311" s="888" t="s">
        <v>1259</v>
      </c>
    </row>
    <row r="4312" spans="1:6">
      <c r="A4312" s="888">
        <v>232</v>
      </c>
      <c r="B4312" s="888" t="s">
        <v>1168</v>
      </c>
      <c r="C4312" s="888" t="s">
        <v>2488</v>
      </c>
      <c r="D4312" s="889">
        <v>46036</v>
      </c>
      <c r="E4312" s="890">
        <v>0.3691550925925926</v>
      </c>
      <c r="F4312" s="890">
        <v>0.75702546296296291</v>
      </c>
    </row>
    <row r="4313" spans="1:6">
      <c r="A4313" s="888" t="s">
        <v>3649</v>
      </c>
      <c r="B4313" s="888" t="s">
        <v>3650</v>
      </c>
      <c r="C4313" s="888" t="s">
        <v>1484</v>
      </c>
    </row>
    <row r="4314" spans="1:6">
      <c r="A4314" s="888">
        <v>232</v>
      </c>
      <c r="B4314" s="888" t="s">
        <v>1168</v>
      </c>
      <c r="C4314" s="888" t="s">
        <v>2488</v>
      </c>
      <c r="D4314" s="889">
        <v>46037</v>
      </c>
      <c r="E4314" s="890">
        <v>0.36300925925925925</v>
      </c>
      <c r="F4314" s="890">
        <v>0.75414351851851846</v>
      </c>
    </row>
    <row r="4315" spans="1:6">
      <c r="A4315" s="888" t="s">
        <v>3651</v>
      </c>
      <c r="B4315" s="888" t="s">
        <v>3652</v>
      </c>
      <c r="C4315" s="888" t="s">
        <v>1437</v>
      </c>
    </row>
    <row r="4316" spans="1:6">
      <c r="A4316" s="888">
        <v>232</v>
      </c>
      <c r="B4316" s="888" t="s">
        <v>1168</v>
      </c>
      <c r="C4316" s="888" t="s">
        <v>2488</v>
      </c>
      <c r="D4316" s="889">
        <v>46038</v>
      </c>
      <c r="E4316" s="890">
        <v>0.37175925925925923</v>
      </c>
      <c r="F4316" s="890">
        <v>0.76670138888888884</v>
      </c>
    </row>
    <row r="4317" spans="1:6">
      <c r="A4317" s="888" t="s">
        <v>3653</v>
      </c>
      <c r="B4317" s="888" t="s">
        <v>3654</v>
      </c>
      <c r="C4317" s="888" t="s">
        <v>1413</v>
      </c>
    </row>
    <row r="4318" spans="1:6">
      <c r="A4318" s="888">
        <v>232</v>
      </c>
      <c r="B4318" s="888" t="s">
        <v>1168</v>
      </c>
      <c r="C4318" s="888" t="s">
        <v>2488</v>
      </c>
      <c r="D4318" s="889">
        <v>46039</v>
      </c>
      <c r="E4318" s="888" t="s">
        <v>310</v>
      </c>
      <c r="F4318" s="888" t="s">
        <v>310</v>
      </c>
    </row>
    <row r="4319" spans="1:6">
      <c r="A4319" s="888">
        <v>232</v>
      </c>
      <c r="B4319" s="888" t="s">
        <v>1168</v>
      </c>
      <c r="C4319" s="888" t="s">
        <v>2488</v>
      </c>
      <c r="D4319" s="889">
        <v>46040</v>
      </c>
      <c r="E4319" s="888" t="s">
        <v>310</v>
      </c>
      <c r="F4319" s="888" t="s">
        <v>310</v>
      </c>
    </row>
    <row r="4320" spans="1:6">
      <c r="A4320" s="888">
        <v>232</v>
      </c>
      <c r="B4320" s="888" t="s">
        <v>1168</v>
      </c>
      <c r="C4320" s="888" t="s">
        <v>2488</v>
      </c>
      <c r="D4320" s="889">
        <v>46041</v>
      </c>
      <c r="E4320" s="890">
        <v>0.37001157407407409</v>
      </c>
      <c r="F4320" s="890">
        <v>0.76012731481481477</v>
      </c>
    </row>
    <row r="4321" spans="1:6">
      <c r="A4321" s="888" t="s">
        <v>3655</v>
      </c>
      <c r="B4321" s="888" t="s">
        <v>3656</v>
      </c>
      <c r="C4321" s="888" t="s">
        <v>1661</v>
      </c>
    </row>
    <row r="4322" spans="1:6">
      <c r="A4322" s="888">
        <v>232</v>
      </c>
      <c r="B4322" s="888" t="s">
        <v>1168</v>
      </c>
      <c r="C4322" s="888" t="s">
        <v>2488</v>
      </c>
      <c r="D4322" s="889">
        <v>46042</v>
      </c>
      <c r="E4322" s="890">
        <v>0.3691550925925926</v>
      </c>
      <c r="F4322" s="890">
        <v>0.7534143518518519</v>
      </c>
    </row>
    <row r="4323" spans="1:6">
      <c r="A4323" s="888" t="s">
        <v>3657</v>
      </c>
      <c r="B4323" s="888" t="s">
        <v>3658</v>
      </c>
      <c r="C4323" s="888" t="s">
        <v>1742</v>
      </c>
    </row>
    <row r="4324" spans="1:6">
      <c r="A4324" s="888">
        <v>232</v>
      </c>
      <c r="B4324" s="888" t="s">
        <v>1168</v>
      </c>
      <c r="C4324" s="888" t="s">
        <v>2488</v>
      </c>
      <c r="D4324" s="889">
        <v>46043</v>
      </c>
      <c r="E4324" s="890">
        <v>0.36820601851851853</v>
      </c>
      <c r="F4324" s="890">
        <v>0.76672453703703702</v>
      </c>
    </row>
    <row r="4325" spans="1:6">
      <c r="A4325" s="888" t="s">
        <v>3659</v>
      </c>
      <c r="B4325" s="888" t="s">
        <v>3660</v>
      </c>
      <c r="C4325" s="888" t="s">
        <v>1383</v>
      </c>
    </row>
    <row r="4326" spans="1:6">
      <c r="A4326" s="888">
        <v>232</v>
      </c>
      <c r="B4326" s="888" t="s">
        <v>1168</v>
      </c>
      <c r="C4326" s="888" t="s">
        <v>2488</v>
      </c>
      <c r="D4326" s="889">
        <v>46044</v>
      </c>
      <c r="E4326" s="890">
        <v>0.37287037037037035</v>
      </c>
      <c r="F4326" s="890">
        <v>0.75758101851851856</v>
      </c>
    </row>
    <row r="4327" spans="1:6">
      <c r="A4327" s="888" t="s">
        <v>3661</v>
      </c>
      <c r="B4327" s="888" t="s">
        <v>3662</v>
      </c>
      <c r="C4327" s="888" t="s">
        <v>3170</v>
      </c>
    </row>
    <row r="4328" spans="1:6">
      <c r="A4328" s="888">
        <v>232</v>
      </c>
      <c r="B4328" s="888" t="s">
        <v>1168</v>
      </c>
      <c r="C4328" s="888" t="s">
        <v>2488</v>
      </c>
      <c r="D4328" s="889">
        <v>46045</v>
      </c>
      <c r="E4328" s="890">
        <v>0.36300925925925925</v>
      </c>
      <c r="F4328" s="890">
        <v>0.75951388888888893</v>
      </c>
    </row>
    <row r="4329" spans="1:6">
      <c r="A4329" s="888" t="s">
        <v>3663</v>
      </c>
      <c r="B4329" s="888" t="s">
        <v>3664</v>
      </c>
      <c r="C4329" s="888" t="s">
        <v>1452</v>
      </c>
    </row>
    <row r="4330" spans="1:6">
      <c r="A4330" s="888">
        <v>232</v>
      </c>
      <c r="B4330" s="888" t="s">
        <v>1168</v>
      </c>
      <c r="C4330" s="888" t="s">
        <v>2488</v>
      </c>
      <c r="D4330" s="889">
        <v>46046</v>
      </c>
      <c r="E4330" s="888" t="s">
        <v>310</v>
      </c>
      <c r="F4330" s="888" t="s">
        <v>310</v>
      </c>
    </row>
    <row r="4331" spans="1:6">
      <c r="A4331" s="888">
        <v>232</v>
      </c>
      <c r="B4331" s="888" t="s">
        <v>1168</v>
      </c>
      <c r="C4331" s="888" t="s">
        <v>2488</v>
      </c>
      <c r="D4331" s="889">
        <v>46047</v>
      </c>
      <c r="E4331" s="888" t="s">
        <v>310</v>
      </c>
      <c r="F4331" s="888" t="s">
        <v>310</v>
      </c>
    </row>
    <row r="4332" spans="1:6">
      <c r="A4332" s="888">
        <v>232</v>
      </c>
      <c r="B4332" s="888" t="s">
        <v>1168</v>
      </c>
      <c r="C4332" s="888" t="s">
        <v>2488</v>
      </c>
      <c r="D4332" s="889">
        <v>46048</v>
      </c>
      <c r="E4332" s="890">
        <v>0.37906250000000002</v>
      </c>
      <c r="F4332" s="890">
        <v>0.75649305555555557</v>
      </c>
    </row>
    <row r="4333" spans="1:6">
      <c r="A4333" s="888" t="s">
        <v>3665</v>
      </c>
      <c r="B4333" s="888" t="s">
        <v>3666</v>
      </c>
      <c r="C4333" s="888" t="s">
        <v>1317</v>
      </c>
    </row>
    <row r="4334" spans="1:6">
      <c r="A4334" s="888">
        <v>232</v>
      </c>
      <c r="B4334" s="888" t="s">
        <v>1168</v>
      </c>
      <c r="C4334" s="888" t="s">
        <v>2488</v>
      </c>
      <c r="D4334" s="889">
        <v>46049</v>
      </c>
      <c r="E4334" s="890">
        <v>0.3691550925925926</v>
      </c>
      <c r="F4334" s="890">
        <v>0.75775462962962958</v>
      </c>
    </row>
    <row r="4335" spans="1:6">
      <c r="A4335" s="888" t="s">
        <v>3667</v>
      </c>
      <c r="B4335" s="888" t="s">
        <v>3668</v>
      </c>
      <c r="C4335" s="888" t="s">
        <v>2232</v>
      </c>
    </row>
    <row r="4336" spans="1:6">
      <c r="A4336" s="888">
        <v>232</v>
      </c>
      <c r="B4336" s="888" t="s">
        <v>1168</v>
      </c>
      <c r="C4336" s="888" t="s">
        <v>2488</v>
      </c>
      <c r="D4336" s="889">
        <v>46050</v>
      </c>
      <c r="E4336" s="890">
        <v>0.36151620370370369</v>
      </c>
      <c r="F4336" s="890">
        <v>0.76215277777777779</v>
      </c>
    </row>
    <row r="4337" spans="1:6">
      <c r="A4337" s="888" t="s">
        <v>3669</v>
      </c>
      <c r="B4337" s="888" t="s">
        <v>3670</v>
      </c>
      <c r="C4337" s="888" t="s">
        <v>1378</v>
      </c>
    </row>
    <row r="4338" spans="1:6">
      <c r="A4338" s="888">
        <v>232</v>
      </c>
      <c r="B4338" s="888" t="s">
        <v>1168</v>
      </c>
      <c r="C4338" s="888" t="s">
        <v>2488</v>
      </c>
      <c r="D4338" s="889">
        <v>46051</v>
      </c>
      <c r="E4338" s="890">
        <v>0.37307870370370372</v>
      </c>
      <c r="F4338" s="890">
        <v>0.76416666666666666</v>
      </c>
    </row>
    <row r="4339" spans="1:6">
      <c r="A4339" s="888" t="s">
        <v>3671</v>
      </c>
      <c r="B4339" s="888" t="s">
        <v>3672</v>
      </c>
      <c r="C4339" s="888" t="s">
        <v>1437</v>
      </c>
    </row>
    <row r="4340" spans="1:6">
      <c r="A4340" s="888">
        <v>232</v>
      </c>
      <c r="B4340" s="888" t="s">
        <v>1168</v>
      </c>
      <c r="C4340" s="888" t="s">
        <v>2488</v>
      </c>
      <c r="D4340" s="889">
        <v>46052</v>
      </c>
      <c r="E4340" s="890">
        <v>0.36055555555555557</v>
      </c>
      <c r="F4340" s="890">
        <v>0.80937499999999996</v>
      </c>
    </row>
    <row r="4341" spans="1:6">
      <c r="A4341" s="888" t="s">
        <v>3673</v>
      </c>
      <c r="B4341" s="888" t="s">
        <v>3674</v>
      </c>
      <c r="C4341" s="888" t="s">
        <v>1256</v>
      </c>
    </row>
    <row r="4342" spans="1:6">
      <c r="A4342" s="888">
        <v>232</v>
      </c>
      <c r="B4342" s="888" t="s">
        <v>1168</v>
      </c>
      <c r="C4342" s="888" t="s">
        <v>2488</v>
      </c>
      <c r="D4342" s="889">
        <v>46053</v>
      </c>
      <c r="E4342" s="888" t="s">
        <v>310</v>
      </c>
      <c r="F4342" s="888" t="s">
        <v>310</v>
      </c>
    </row>
    <row r="4343" spans="1:6">
      <c r="A4343" s="888">
        <v>232</v>
      </c>
      <c r="B4343" s="888" t="s">
        <v>1168</v>
      </c>
      <c r="C4343" s="888" t="s">
        <v>2488</v>
      </c>
      <c r="D4343" s="889">
        <v>46054</v>
      </c>
      <c r="E4343" s="888" t="s">
        <v>310</v>
      </c>
      <c r="F4343" s="888" t="s">
        <v>310</v>
      </c>
    </row>
    <row r="4344" spans="1:6">
      <c r="A4344" s="888">
        <v>233</v>
      </c>
      <c r="B4344" s="888" t="s">
        <v>1169</v>
      </c>
      <c r="C4344" s="888" t="s">
        <v>147</v>
      </c>
      <c r="D4344" s="889">
        <v>46023</v>
      </c>
      <c r="E4344" s="888" t="s">
        <v>310</v>
      </c>
      <c r="F4344" s="888" t="s">
        <v>310</v>
      </c>
    </row>
    <row r="4345" spans="1:6">
      <c r="A4345" s="888">
        <v>233</v>
      </c>
      <c r="B4345" s="888" t="s">
        <v>1169</v>
      </c>
      <c r="C4345" s="888" t="s">
        <v>147</v>
      </c>
      <c r="D4345" s="889">
        <v>46024</v>
      </c>
      <c r="E4345" s="888" t="s">
        <v>310</v>
      </c>
      <c r="F4345" s="888" t="s">
        <v>310</v>
      </c>
    </row>
    <row r="4346" spans="1:6">
      <c r="A4346" s="888">
        <v>233</v>
      </c>
      <c r="B4346" s="888" t="s">
        <v>1169</v>
      </c>
      <c r="C4346" s="888" t="s">
        <v>147</v>
      </c>
      <c r="D4346" s="889">
        <v>46025</v>
      </c>
      <c r="E4346" s="888" t="s">
        <v>310</v>
      </c>
      <c r="F4346" s="888" t="s">
        <v>310</v>
      </c>
    </row>
    <row r="4347" spans="1:6">
      <c r="A4347" s="888">
        <v>233</v>
      </c>
      <c r="B4347" s="888" t="s">
        <v>1169</v>
      </c>
      <c r="C4347" s="888" t="s">
        <v>147</v>
      </c>
      <c r="D4347" s="889">
        <v>46026</v>
      </c>
      <c r="E4347" s="888" t="s">
        <v>310</v>
      </c>
      <c r="F4347" s="888" t="s">
        <v>310</v>
      </c>
    </row>
    <row r="4348" spans="1:6">
      <c r="A4348" s="888">
        <v>233</v>
      </c>
      <c r="B4348" s="888" t="s">
        <v>1169</v>
      </c>
      <c r="C4348" s="888" t="s">
        <v>147</v>
      </c>
      <c r="D4348" s="889">
        <v>46027</v>
      </c>
      <c r="E4348" s="890">
        <v>0.47046296296296297</v>
      </c>
      <c r="F4348" s="890">
        <v>0.76318287037037036</v>
      </c>
    </row>
    <row r="4349" spans="1:6">
      <c r="A4349" s="888" t="s">
        <v>3675</v>
      </c>
      <c r="B4349" s="888" t="s">
        <v>3676</v>
      </c>
      <c r="C4349" s="888" t="s">
        <v>2889</v>
      </c>
    </row>
    <row r="4350" spans="1:6">
      <c r="A4350" s="888">
        <v>233</v>
      </c>
      <c r="B4350" s="888" t="s">
        <v>1169</v>
      </c>
      <c r="C4350" s="888" t="s">
        <v>147</v>
      </c>
      <c r="D4350" s="889">
        <v>46028</v>
      </c>
      <c r="E4350" s="890">
        <v>0.50395833333333329</v>
      </c>
      <c r="F4350" s="890">
        <v>0.75548611111111108</v>
      </c>
    </row>
    <row r="4351" spans="1:6">
      <c r="A4351" s="888" t="s">
        <v>3677</v>
      </c>
      <c r="B4351" s="888" t="s">
        <v>3678</v>
      </c>
      <c r="C4351" s="888" t="s">
        <v>3679</v>
      </c>
    </row>
    <row r="4352" spans="1:6">
      <c r="A4352" s="888">
        <v>233</v>
      </c>
      <c r="B4352" s="888" t="s">
        <v>1169</v>
      </c>
      <c r="C4352" s="888" t="s">
        <v>147</v>
      </c>
      <c r="D4352" s="889">
        <v>46029</v>
      </c>
      <c r="E4352" s="890">
        <v>0.80131944444444447</v>
      </c>
      <c r="F4352" s="888" t="s">
        <v>310</v>
      </c>
    </row>
    <row r="4353" spans="1:6">
      <c r="A4353" s="888" t="s">
        <v>3680</v>
      </c>
      <c r="B4353" s="888" t="s">
        <v>1258</v>
      </c>
      <c r="C4353" s="888" t="s">
        <v>1259</v>
      </c>
    </row>
    <row r="4354" spans="1:6">
      <c r="A4354" s="888">
        <v>233</v>
      </c>
      <c r="B4354" s="888" t="s">
        <v>1169</v>
      </c>
      <c r="C4354" s="888" t="s">
        <v>147</v>
      </c>
      <c r="D4354" s="889">
        <v>46030</v>
      </c>
      <c r="E4354" s="888" t="s">
        <v>310</v>
      </c>
      <c r="F4354" s="888" t="s">
        <v>310</v>
      </c>
    </row>
    <row r="4355" spans="1:6">
      <c r="A4355" s="888">
        <v>233</v>
      </c>
      <c r="B4355" s="888" t="s">
        <v>1169</v>
      </c>
      <c r="C4355" s="888" t="s">
        <v>147</v>
      </c>
      <c r="D4355" s="889">
        <v>46031</v>
      </c>
      <c r="E4355" s="890">
        <v>0.75969907407407411</v>
      </c>
      <c r="F4355" s="888" t="s">
        <v>310</v>
      </c>
    </row>
    <row r="4356" spans="1:6">
      <c r="A4356" s="888" t="s">
        <v>3681</v>
      </c>
      <c r="B4356" s="888" t="s">
        <v>1258</v>
      </c>
      <c r="C4356" s="888" t="s">
        <v>1259</v>
      </c>
    </row>
    <row r="4357" spans="1:6">
      <c r="A4357" s="888">
        <v>233</v>
      </c>
      <c r="B4357" s="888" t="s">
        <v>1169</v>
      </c>
      <c r="C4357" s="888" t="s">
        <v>147</v>
      </c>
      <c r="D4357" s="889">
        <v>46032</v>
      </c>
      <c r="E4357" s="888" t="s">
        <v>310</v>
      </c>
      <c r="F4357" s="888" t="s">
        <v>310</v>
      </c>
    </row>
    <row r="4358" spans="1:6">
      <c r="A4358" s="888">
        <v>233</v>
      </c>
      <c r="B4358" s="888" t="s">
        <v>1169</v>
      </c>
      <c r="C4358" s="888" t="s">
        <v>147</v>
      </c>
      <c r="D4358" s="889">
        <v>46033</v>
      </c>
      <c r="E4358" s="888" t="s">
        <v>310</v>
      </c>
      <c r="F4358" s="888" t="s">
        <v>310</v>
      </c>
    </row>
    <row r="4359" spans="1:6">
      <c r="A4359" s="888">
        <v>233</v>
      </c>
      <c r="B4359" s="888" t="s">
        <v>1169</v>
      </c>
      <c r="C4359" s="888" t="s">
        <v>147</v>
      </c>
      <c r="D4359" s="889">
        <v>46034</v>
      </c>
      <c r="E4359" s="888" t="s">
        <v>310</v>
      </c>
      <c r="F4359" s="888" t="s">
        <v>310</v>
      </c>
    </row>
    <row r="4360" spans="1:6">
      <c r="A4360" s="888">
        <v>233</v>
      </c>
      <c r="B4360" s="888" t="s">
        <v>1169</v>
      </c>
      <c r="C4360" s="888" t="s">
        <v>147</v>
      </c>
      <c r="D4360" s="889">
        <v>46035</v>
      </c>
      <c r="E4360" s="888" t="s">
        <v>310</v>
      </c>
      <c r="F4360" s="888" t="s">
        <v>310</v>
      </c>
    </row>
    <row r="4361" spans="1:6">
      <c r="A4361" s="888">
        <v>233</v>
      </c>
      <c r="B4361" s="888" t="s">
        <v>1169</v>
      </c>
      <c r="C4361" s="888" t="s">
        <v>147</v>
      </c>
      <c r="D4361" s="889">
        <v>46036</v>
      </c>
      <c r="E4361" s="890">
        <v>0.43453703703703705</v>
      </c>
      <c r="F4361" s="890">
        <v>0.75162037037037033</v>
      </c>
    </row>
    <row r="4362" spans="1:6">
      <c r="A4362" s="888" t="s">
        <v>3682</v>
      </c>
      <c r="B4362" s="888" t="s">
        <v>3683</v>
      </c>
      <c r="C4362" s="888" t="s">
        <v>3612</v>
      </c>
    </row>
    <row r="4363" spans="1:6">
      <c r="A4363" s="888">
        <v>233</v>
      </c>
      <c r="B4363" s="888" t="s">
        <v>1169</v>
      </c>
      <c r="C4363" s="888" t="s">
        <v>147</v>
      </c>
      <c r="D4363" s="889">
        <v>46037</v>
      </c>
      <c r="E4363" s="888" t="s">
        <v>310</v>
      </c>
      <c r="F4363" s="888" t="s">
        <v>310</v>
      </c>
    </row>
    <row r="4364" spans="1:6">
      <c r="A4364" s="888">
        <v>233</v>
      </c>
      <c r="B4364" s="888" t="s">
        <v>1169</v>
      </c>
      <c r="C4364" s="888" t="s">
        <v>147</v>
      </c>
      <c r="D4364" s="889">
        <v>46038</v>
      </c>
      <c r="E4364" s="890">
        <v>0.58708333333333329</v>
      </c>
      <c r="F4364" s="890">
        <v>0.75193287037037038</v>
      </c>
    </row>
    <row r="4365" spans="1:6">
      <c r="A4365" s="888" t="s">
        <v>3684</v>
      </c>
      <c r="B4365" s="888" t="s">
        <v>3685</v>
      </c>
      <c r="C4365" s="888" t="s">
        <v>3686</v>
      </c>
    </row>
    <row r="4366" spans="1:6">
      <c r="A4366" s="888">
        <v>233</v>
      </c>
      <c r="B4366" s="888" t="s">
        <v>1169</v>
      </c>
      <c r="C4366" s="888" t="s">
        <v>147</v>
      </c>
      <c r="D4366" s="889">
        <v>46039</v>
      </c>
      <c r="E4366" s="888" t="s">
        <v>310</v>
      </c>
      <c r="F4366" s="888" t="s">
        <v>310</v>
      </c>
    </row>
    <row r="4367" spans="1:6">
      <c r="A4367" s="888">
        <v>233</v>
      </c>
      <c r="B4367" s="888" t="s">
        <v>1169</v>
      </c>
      <c r="C4367" s="888" t="s">
        <v>147</v>
      </c>
      <c r="D4367" s="889">
        <v>46040</v>
      </c>
      <c r="E4367" s="888" t="s">
        <v>310</v>
      </c>
      <c r="F4367" s="888" t="s">
        <v>310</v>
      </c>
    </row>
    <row r="4368" spans="1:6">
      <c r="A4368" s="888">
        <v>233</v>
      </c>
      <c r="B4368" s="888" t="s">
        <v>1169</v>
      </c>
      <c r="C4368" s="888" t="s">
        <v>147</v>
      </c>
      <c r="D4368" s="889">
        <v>46041</v>
      </c>
      <c r="E4368" s="890">
        <v>0.57547453703703699</v>
      </c>
      <c r="F4368" s="890">
        <v>0.79428240740740741</v>
      </c>
    </row>
    <row r="4369" spans="1:6">
      <c r="A4369" s="888" t="s">
        <v>3687</v>
      </c>
      <c r="B4369" s="888" t="s">
        <v>3688</v>
      </c>
      <c r="C4369" s="888" t="s">
        <v>3381</v>
      </c>
    </row>
    <row r="4370" spans="1:6">
      <c r="A4370" s="888">
        <v>233</v>
      </c>
      <c r="B4370" s="888" t="s">
        <v>1169</v>
      </c>
      <c r="C4370" s="888" t="s">
        <v>147</v>
      </c>
      <c r="D4370" s="889">
        <v>46042</v>
      </c>
      <c r="E4370" s="890">
        <v>0.61750000000000005</v>
      </c>
      <c r="F4370" s="890">
        <v>0.77219907407407407</v>
      </c>
    </row>
    <row r="4371" spans="1:6">
      <c r="A4371" s="888" t="s">
        <v>3689</v>
      </c>
      <c r="B4371" s="888" t="s">
        <v>3690</v>
      </c>
      <c r="C4371" s="888" t="s">
        <v>3691</v>
      </c>
    </row>
    <row r="4372" spans="1:6">
      <c r="A4372" s="888">
        <v>233</v>
      </c>
      <c r="B4372" s="888" t="s">
        <v>1169</v>
      </c>
      <c r="C4372" s="888" t="s">
        <v>147</v>
      </c>
      <c r="D4372" s="889">
        <v>46043</v>
      </c>
      <c r="E4372" s="888" t="s">
        <v>310</v>
      </c>
      <c r="F4372" s="888" t="s">
        <v>310</v>
      </c>
    </row>
    <row r="4373" spans="1:6">
      <c r="A4373" s="888">
        <v>233</v>
      </c>
      <c r="B4373" s="888" t="s">
        <v>1169</v>
      </c>
      <c r="C4373" s="888" t="s">
        <v>147</v>
      </c>
      <c r="D4373" s="889">
        <v>46044</v>
      </c>
      <c r="E4373" s="888" t="s">
        <v>310</v>
      </c>
      <c r="F4373" s="888" t="s">
        <v>310</v>
      </c>
    </row>
    <row r="4374" spans="1:6">
      <c r="A4374" s="888">
        <v>233</v>
      </c>
      <c r="B4374" s="888" t="s">
        <v>1169</v>
      </c>
      <c r="C4374" s="888" t="s">
        <v>147</v>
      </c>
      <c r="D4374" s="889">
        <v>46045</v>
      </c>
      <c r="E4374" s="888" t="s">
        <v>310</v>
      </c>
      <c r="F4374" s="888" t="s">
        <v>310</v>
      </c>
    </row>
    <row r="4375" spans="1:6">
      <c r="A4375" s="888">
        <v>233</v>
      </c>
      <c r="B4375" s="888" t="s">
        <v>1169</v>
      </c>
      <c r="C4375" s="888" t="s">
        <v>147</v>
      </c>
      <c r="D4375" s="889">
        <v>46046</v>
      </c>
      <c r="E4375" s="888" t="s">
        <v>310</v>
      </c>
      <c r="F4375" s="888" t="s">
        <v>310</v>
      </c>
    </row>
    <row r="4376" spans="1:6">
      <c r="A4376" s="888">
        <v>233</v>
      </c>
      <c r="B4376" s="888" t="s">
        <v>1169</v>
      </c>
      <c r="C4376" s="888" t="s">
        <v>147</v>
      </c>
      <c r="D4376" s="889">
        <v>46047</v>
      </c>
      <c r="E4376" s="888" t="s">
        <v>310</v>
      </c>
      <c r="F4376" s="888" t="s">
        <v>310</v>
      </c>
    </row>
    <row r="4377" spans="1:6">
      <c r="A4377" s="888">
        <v>233</v>
      </c>
      <c r="B4377" s="888" t="s">
        <v>1169</v>
      </c>
      <c r="C4377" s="888" t="s">
        <v>147</v>
      </c>
      <c r="D4377" s="889">
        <v>46048</v>
      </c>
      <c r="E4377" s="888" t="s">
        <v>310</v>
      </c>
      <c r="F4377" s="888" t="s">
        <v>310</v>
      </c>
    </row>
    <row r="4378" spans="1:6">
      <c r="A4378" s="888">
        <v>233</v>
      </c>
      <c r="B4378" s="888" t="s">
        <v>1169</v>
      </c>
      <c r="C4378" s="888" t="s">
        <v>147</v>
      </c>
      <c r="D4378" s="889">
        <v>46049</v>
      </c>
      <c r="E4378" s="888" t="s">
        <v>310</v>
      </c>
      <c r="F4378" s="888" t="s">
        <v>310</v>
      </c>
    </row>
    <row r="4379" spans="1:6">
      <c r="A4379" s="888">
        <v>233</v>
      </c>
      <c r="B4379" s="888" t="s">
        <v>1169</v>
      </c>
      <c r="C4379" s="888" t="s">
        <v>147</v>
      </c>
      <c r="D4379" s="889">
        <v>46050</v>
      </c>
      <c r="E4379" s="888" t="s">
        <v>310</v>
      </c>
      <c r="F4379" s="888" t="s">
        <v>310</v>
      </c>
    </row>
    <row r="4380" spans="1:6">
      <c r="A4380" s="888">
        <v>233</v>
      </c>
      <c r="B4380" s="888" t="s">
        <v>1169</v>
      </c>
      <c r="C4380" s="888" t="s">
        <v>147</v>
      </c>
      <c r="D4380" s="889">
        <v>46051</v>
      </c>
      <c r="E4380" s="888" t="s">
        <v>310</v>
      </c>
      <c r="F4380" s="888" t="s">
        <v>310</v>
      </c>
    </row>
    <row r="4381" spans="1:6">
      <c r="A4381" s="888">
        <v>233</v>
      </c>
      <c r="B4381" s="888" t="s">
        <v>1169</v>
      </c>
      <c r="C4381" s="888" t="s">
        <v>147</v>
      </c>
      <c r="D4381" s="889">
        <v>46052</v>
      </c>
      <c r="E4381" s="888" t="s">
        <v>310</v>
      </c>
      <c r="F4381" s="888" t="s">
        <v>310</v>
      </c>
    </row>
    <row r="4382" spans="1:6">
      <c r="A4382" s="888">
        <v>233</v>
      </c>
      <c r="B4382" s="888" t="s">
        <v>1169</v>
      </c>
      <c r="C4382" s="888" t="s">
        <v>147</v>
      </c>
      <c r="D4382" s="889">
        <v>46053</v>
      </c>
      <c r="E4382" s="888" t="s">
        <v>310</v>
      </c>
      <c r="F4382" s="888" t="s">
        <v>310</v>
      </c>
    </row>
    <row r="4383" spans="1:6">
      <c r="A4383" s="888">
        <v>233</v>
      </c>
      <c r="B4383" s="888" t="s">
        <v>1169</v>
      </c>
      <c r="C4383" s="888" t="s">
        <v>147</v>
      </c>
      <c r="D4383" s="889">
        <v>46054</v>
      </c>
      <c r="E4383" s="888" t="s">
        <v>310</v>
      </c>
      <c r="F4383" s="888" t="s">
        <v>310</v>
      </c>
    </row>
    <row r="4384" spans="1:6">
      <c r="A4384" s="888">
        <v>24</v>
      </c>
      <c r="B4384" s="888" t="s">
        <v>3692</v>
      </c>
      <c r="C4384" s="888" t="s">
        <v>1250</v>
      </c>
      <c r="D4384" s="889">
        <v>46023</v>
      </c>
      <c r="E4384" s="888" t="s">
        <v>310</v>
      </c>
      <c r="F4384" s="888" t="s">
        <v>310</v>
      </c>
    </row>
    <row r="4385" spans="1:6">
      <c r="A4385" s="888">
        <v>24</v>
      </c>
      <c r="B4385" s="888" t="s">
        <v>3692</v>
      </c>
      <c r="C4385" s="888" t="s">
        <v>1250</v>
      </c>
      <c r="D4385" s="889">
        <v>46024</v>
      </c>
      <c r="E4385" s="888" t="s">
        <v>310</v>
      </c>
      <c r="F4385" s="888" t="s">
        <v>310</v>
      </c>
    </row>
    <row r="4386" spans="1:6">
      <c r="A4386" s="888">
        <v>24</v>
      </c>
      <c r="B4386" s="888" t="s">
        <v>3692</v>
      </c>
      <c r="C4386" s="888" t="s">
        <v>1250</v>
      </c>
      <c r="D4386" s="889">
        <v>46025</v>
      </c>
      <c r="E4386" s="888" t="s">
        <v>310</v>
      </c>
      <c r="F4386" s="888" t="s">
        <v>310</v>
      </c>
    </row>
    <row r="4387" spans="1:6">
      <c r="A4387" s="888">
        <v>24</v>
      </c>
      <c r="B4387" s="888" t="s">
        <v>3692</v>
      </c>
      <c r="C4387" s="888" t="s">
        <v>1250</v>
      </c>
      <c r="D4387" s="889">
        <v>46026</v>
      </c>
      <c r="E4387" s="888" t="s">
        <v>310</v>
      </c>
      <c r="F4387" s="888" t="s">
        <v>310</v>
      </c>
    </row>
    <row r="4388" spans="1:6">
      <c r="A4388" s="888">
        <v>24</v>
      </c>
      <c r="B4388" s="888" t="s">
        <v>3692</v>
      </c>
      <c r="C4388" s="888" t="s">
        <v>1250</v>
      </c>
      <c r="D4388" s="889">
        <v>46027</v>
      </c>
      <c r="E4388" s="888" t="s">
        <v>310</v>
      </c>
      <c r="F4388" s="888" t="s">
        <v>310</v>
      </c>
    </row>
    <row r="4389" spans="1:6">
      <c r="A4389" s="888">
        <v>24</v>
      </c>
      <c r="B4389" s="888" t="s">
        <v>3692</v>
      </c>
      <c r="C4389" s="888" t="s">
        <v>1250</v>
      </c>
      <c r="D4389" s="889">
        <v>46028</v>
      </c>
      <c r="E4389" s="888" t="s">
        <v>310</v>
      </c>
      <c r="F4389" s="888" t="s">
        <v>310</v>
      </c>
    </row>
    <row r="4390" spans="1:6">
      <c r="A4390" s="888">
        <v>24</v>
      </c>
      <c r="B4390" s="888" t="s">
        <v>3692</v>
      </c>
      <c r="C4390" s="888" t="s">
        <v>1250</v>
      </c>
      <c r="D4390" s="889">
        <v>46029</v>
      </c>
      <c r="E4390" s="888" t="s">
        <v>310</v>
      </c>
      <c r="F4390" s="888" t="s">
        <v>310</v>
      </c>
    </row>
    <row r="4391" spans="1:6">
      <c r="A4391" s="888">
        <v>24</v>
      </c>
      <c r="B4391" s="888" t="s">
        <v>3692</v>
      </c>
      <c r="C4391" s="888" t="s">
        <v>1250</v>
      </c>
      <c r="D4391" s="889">
        <v>46030</v>
      </c>
      <c r="E4391" s="888" t="s">
        <v>310</v>
      </c>
      <c r="F4391" s="888" t="s">
        <v>310</v>
      </c>
    </row>
    <row r="4392" spans="1:6">
      <c r="A4392" s="888">
        <v>24</v>
      </c>
      <c r="B4392" s="888" t="s">
        <v>3692</v>
      </c>
      <c r="C4392" s="888" t="s">
        <v>1250</v>
      </c>
      <c r="D4392" s="889">
        <v>46031</v>
      </c>
      <c r="E4392" s="888" t="s">
        <v>310</v>
      </c>
      <c r="F4392" s="888" t="s">
        <v>310</v>
      </c>
    </row>
    <row r="4393" spans="1:6">
      <c r="A4393" s="888">
        <v>24</v>
      </c>
      <c r="B4393" s="888" t="s">
        <v>3692</v>
      </c>
      <c r="C4393" s="888" t="s">
        <v>1250</v>
      </c>
      <c r="D4393" s="889">
        <v>46032</v>
      </c>
      <c r="E4393" s="888" t="s">
        <v>310</v>
      </c>
      <c r="F4393" s="888" t="s">
        <v>310</v>
      </c>
    </row>
    <row r="4394" spans="1:6">
      <c r="A4394" s="888">
        <v>24</v>
      </c>
      <c r="B4394" s="888" t="s">
        <v>3692</v>
      </c>
      <c r="C4394" s="888" t="s">
        <v>1250</v>
      </c>
      <c r="D4394" s="889">
        <v>46033</v>
      </c>
      <c r="E4394" s="888" t="s">
        <v>310</v>
      </c>
      <c r="F4394" s="888" t="s">
        <v>310</v>
      </c>
    </row>
    <row r="4395" spans="1:6">
      <c r="A4395" s="888">
        <v>24</v>
      </c>
      <c r="B4395" s="888" t="s">
        <v>3692</v>
      </c>
      <c r="C4395" s="888" t="s">
        <v>1250</v>
      </c>
      <c r="D4395" s="889">
        <v>46034</v>
      </c>
      <c r="E4395" s="888" t="s">
        <v>310</v>
      </c>
      <c r="F4395" s="888" t="s">
        <v>310</v>
      </c>
    </row>
    <row r="4396" spans="1:6">
      <c r="A4396" s="888">
        <v>24</v>
      </c>
      <c r="B4396" s="888" t="s">
        <v>3692</v>
      </c>
      <c r="C4396" s="888" t="s">
        <v>1250</v>
      </c>
      <c r="D4396" s="889">
        <v>46035</v>
      </c>
      <c r="E4396" s="888" t="s">
        <v>310</v>
      </c>
      <c r="F4396" s="888" t="s">
        <v>310</v>
      </c>
    </row>
    <row r="4397" spans="1:6">
      <c r="A4397" s="888">
        <v>24</v>
      </c>
      <c r="B4397" s="888" t="s">
        <v>3692</v>
      </c>
      <c r="C4397" s="888" t="s">
        <v>1250</v>
      </c>
      <c r="D4397" s="889">
        <v>46036</v>
      </c>
      <c r="E4397" s="888" t="s">
        <v>310</v>
      </c>
      <c r="F4397" s="888" t="s">
        <v>310</v>
      </c>
    </row>
    <row r="4398" spans="1:6">
      <c r="A4398" s="888">
        <v>24</v>
      </c>
      <c r="B4398" s="888" t="s">
        <v>3692</v>
      </c>
      <c r="C4398" s="888" t="s">
        <v>1250</v>
      </c>
      <c r="D4398" s="889">
        <v>46037</v>
      </c>
      <c r="E4398" s="888" t="s">
        <v>310</v>
      </c>
      <c r="F4398" s="888" t="s">
        <v>310</v>
      </c>
    </row>
    <row r="4399" spans="1:6">
      <c r="A4399" s="888">
        <v>24</v>
      </c>
      <c r="B4399" s="888" t="s">
        <v>3692</v>
      </c>
      <c r="C4399" s="888" t="s">
        <v>1250</v>
      </c>
      <c r="D4399" s="889">
        <v>46038</v>
      </c>
      <c r="E4399" s="888" t="s">
        <v>310</v>
      </c>
      <c r="F4399" s="888" t="s">
        <v>310</v>
      </c>
    </row>
    <row r="4400" spans="1:6">
      <c r="A4400" s="888">
        <v>24</v>
      </c>
      <c r="B4400" s="888" t="s">
        <v>3692</v>
      </c>
      <c r="C4400" s="888" t="s">
        <v>1250</v>
      </c>
      <c r="D4400" s="889">
        <v>46039</v>
      </c>
      <c r="E4400" s="888" t="s">
        <v>310</v>
      </c>
      <c r="F4400" s="888" t="s">
        <v>310</v>
      </c>
    </row>
    <row r="4401" spans="1:6">
      <c r="A4401" s="888">
        <v>24</v>
      </c>
      <c r="B4401" s="888" t="s">
        <v>3692</v>
      </c>
      <c r="C4401" s="888" t="s">
        <v>1250</v>
      </c>
      <c r="D4401" s="889">
        <v>46040</v>
      </c>
      <c r="E4401" s="888" t="s">
        <v>310</v>
      </c>
      <c r="F4401" s="888" t="s">
        <v>310</v>
      </c>
    </row>
    <row r="4402" spans="1:6">
      <c r="A4402" s="888">
        <v>24</v>
      </c>
      <c r="B4402" s="888" t="s">
        <v>3692</v>
      </c>
      <c r="C4402" s="888" t="s">
        <v>1250</v>
      </c>
      <c r="D4402" s="889">
        <v>46041</v>
      </c>
      <c r="E4402" s="888" t="s">
        <v>310</v>
      </c>
      <c r="F4402" s="888" t="s">
        <v>310</v>
      </c>
    </row>
    <row r="4403" spans="1:6">
      <c r="A4403" s="888">
        <v>24</v>
      </c>
      <c r="B4403" s="888" t="s">
        <v>3692</v>
      </c>
      <c r="C4403" s="888" t="s">
        <v>1250</v>
      </c>
      <c r="D4403" s="889">
        <v>46042</v>
      </c>
      <c r="E4403" s="888" t="s">
        <v>310</v>
      </c>
      <c r="F4403" s="888" t="s">
        <v>310</v>
      </c>
    </row>
    <row r="4404" spans="1:6">
      <c r="A4404" s="888">
        <v>24</v>
      </c>
      <c r="B4404" s="888" t="s">
        <v>3692</v>
      </c>
      <c r="C4404" s="888" t="s">
        <v>1250</v>
      </c>
      <c r="D4404" s="889">
        <v>46043</v>
      </c>
      <c r="E4404" s="888" t="s">
        <v>310</v>
      </c>
      <c r="F4404" s="888" t="s">
        <v>310</v>
      </c>
    </row>
    <row r="4405" spans="1:6">
      <c r="A4405" s="888">
        <v>24</v>
      </c>
      <c r="B4405" s="888" t="s">
        <v>3692</v>
      </c>
      <c r="C4405" s="888" t="s">
        <v>1250</v>
      </c>
      <c r="D4405" s="889">
        <v>46044</v>
      </c>
      <c r="E4405" s="888" t="s">
        <v>310</v>
      </c>
      <c r="F4405" s="888" t="s">
        <v>310</v>
      </c>
    </row>
    <row r="4406" spans="1:6">
      <c r="A4406" s="888">
        <v>24</v>
      </c>
      <c r="B4406" s="888" t="s">
        <v>3692</v>
      </c>
      <c r="C4406" s="888" t="s">
        <v>1250</v>
      </c>
      <c r="D4406" s="889">
        <v>46045</v>
      </c>
      <c r="E4406" s="888" t="s">
        <v>310</v>
      </c>
      <c r="F4406" s="888" t="s">
        <v>310</v>
      </c>
    </row>
    <row r="4407" spans="1:6">
      <c r="A4407" s="888">
        <v>24</v>
      </c>
      <c r="B4407" s="888" t="s">
        <v>3692</v>
      </c>
      <c r="C4407" s="888" t="s">
        <v>1250</v>
      </c>
      <c r="D4407" s="889">
        <v>46046</v>
      </c>
      <c r="E4407" s="888" t="s">
        <v>310</v>
      </c>
      <c r="F4407" s="888" t="s">
        <v>310</v>
      </c>
    </row>
    <row r="4408" spans="1:6">
      <c r="A4408" s="888">
        <v>24</v>
      </c>
      <c r="B4408" s="888" t="s">
        <v>3692</v>
      </c>
      <c r="C4408" s="888" t="s">
        <v>1250</v>
      </c>
      <c r="D4408" s="889">
        <v>46047</v>
      </c>
      <c r="E4408" s="888" t="s">
        <v>310</v>
      </c>
      <c r="F4408" s="888" t="s">
        <v>310</v>
      </c>
    </row>
    <row r="4409" spans="1:6">
      <c r="A4409" s="888">
        <v>24</v>
      </c>
      <c r="B4409" s="888" t="s">
        <v>3692</v>
      </c>
      <c r="C4409" s="888" t="s">
        <v>1250</v>
      </c>
      <c r="D4409" s="889">
        <v>46048</v>
      </c>
      <c r="E4409" s="888" t="s">
        <v>310</v>
      </c>
      <c r="F4409" s="888" t="s">
        <v>310</v>
      </c>
    </row>
    <row r="4410" spans="1:6">
      <c r="A4410" s="888">
        <v>24</v>
      </c>
      <c r="B4410" s="888" t="s">
        <v>3692</v>
      </c>
      <c r="C4410" s="888" t="s">
        <v>1250</v>
      </c>
      <c r="D4410" s="889">
        <v>46049</v>
      </c>
      <c r="E4410" s="888" t="s">
        <v>310</v>
      </c>
      <c r="F4410" s="888" t="s">
        <v>310</v>
      </c>
    </row>
    <row r="4411" spans="1:6">
      <c r="A4411" s="888">
        <v>24</v>
      </c>
      <c r="B4411" s="888" t="s">
        <v>3692</v>
      </c>
      <c r="C4411" s="888" t="s">
        <v>1250</v>
      </c>
      <c r="D4411" s="889">
        <v>46050</v>
      </c>
      <c r="E4411" s="888" t="s">
        <v>310</v>
      </c>
      <c r="F4411" s="888" t="s">
        <v>310</v>
      </c>
    </row>
    <row r="4412" spans="1:6">
      <c r="A4412" s="888">
        <v>24</v>
      </c>
      <c r="B4412" s="888" t="s">
        <v>3692</v>
      </c>
      <c r="C4412" s="888" t="s">
        <v>1250</v>
      </c>
      <c r="D4412" s="889">
        <v>46051</v>
      </c>
      <c r="E4412" s="888" t="s">
        <v>310</v>
      </c>
      <c r="F4412" s="888" t="s">
        <v>310</v>
      </c>
    </row>
    <row r="4413" spans="1:6">
      <c r="A4413" s="888">
        <v>24</v>
      </c>
      <c r="B4413" s="888" t="s">
        <v>3692</v>
      </c>
      <c r="C4413" s="888" t="s">
        <v>1250</v>
      </c>
      <c r="D4413" s="889">
        <v>46052</v>
      </c>
      <c r="E4413" s="888" t="s">
        <v>310</v>
      </c>
      <c r="F4413" s="888" t="s">
        <v>310</v>
      </c>
    </row>
    <row r="4414" spans="1:6">
      <c r="A4414" s="888">
        <v>24</v>
      </c>
      <c r="B4414" s="888" t="s">
        <v>3692</v>
      </c>
      <c r="C4414" s="888" t="s">
        <v>1250</v>
      </c>
      <c r="D4414" s="889">
        <v>46053</v>
      </c>
      <c r="E4414" s="888" t="s">
        <v>310</v>
      </c>
      <c r="F4414" s="888" t="s">
        <v>310</v>
      </c>
    </row>
    <row r="4415" spans="1:6">
      <c r="A4415" s="888">
        <v>24</v>
      </c>
      <c r="B4415" s="888" t="s">
        <v>3692</v>
      </c>
      <c r="C4415" s="888" t="s">
        <v>1250</v>
      </c>
      <c r="D4415" s="889">
        <v>46054</v>
      </c>
      <c r="E4415" s="888" t="s">
        <v>310</v>
      </c>
      <c r="F4415" s="888" t="s">
        <v>310</v>
      </c>
    </row>
    <row r="4416" spans="1:6">
      <c r="A4416" s="888">
        <v>242</v>
      </c>
      <c r="B4416" s="888" t="s">
        <v>1170</v>
      </c>
      <c r="C4416" s="888" t="s">
        <v>2441</v>
      </c>
      <c r="D4416" s="889">
        <v>46023</v>
      </c>
      <c r="E4416" s="888" t="s">
        <v>310</v>
      </c>
      <c r="F4416" s="888" t="s">
        <v>310</v>
      </c>
    </row>
    <row r="4417" spans="1:6">
      <c r="A4417" s="888">
        <v>242</v>
      </c>
      <c r="B4417" s="888" t="s">
        <v>1170</v>
      </c>
      <c r="C4417" s="888" t="s">
        <v>2441</v>
      </c>
      <c r="D4417" s="889">
        <v>46024</v>
      </c>
      <c r="E4417" s="888" t="s">
        <v>310</v>
      </c>
      <c r="F4417" s="888" t="s">
        <v>310</v>
      </c>
    </row>
    <row r="4418" spans="1:6">
      <c r="A4418" s="888">
        <v>242</v>
      </c>
      <c r="B4418" s="888" t="s">
        <v>1170</v>
      </c>
      <c r="C4418" s="888" t="s">
        <v>2441</v>
      </c>
      <c r="D4418" s="889">
        <v>46025</v>
      </c>
      <c r="E4418" s="888" t="s">
        <v>310</v>
      </c>
      <c r="F4418" s="888" t="s">
        <v>310</v>
      </c>
    </row>
    <row r="4419" spans="1:6">
      <c r="A4419" s="888">
        <v>242</v>
      </c>
      <c r="B4419" s="888" t="s">
        <v>1170</v>
      </c>
      <c r="C4419" s="888" t="s">
        <v>2441</v>
      </c>
      <c r="D4419" s="889">
        <v>46026</v>
      </c>
      <c r="E4419" s="888" t="s">
        <v>310</v>
      </c>
      <c r="F4419" s="888" t="s">
        <v>310</v>
      </c>
    </row>
    <row r="4420" spans="1:6">
      <c r="A4420" s="888">
        <v>242</v>
      </c>
      <c r="B4420" s="888" t="s">
        <v>1170</v>
      </c>
      <c r="C4420" s="888" t="s">
        <v>2441</v>
      </c>
      <c r="D4420" s="889">
        <v>46027</v>
      </c>
      <c r="E4420" s="888" t="s">
        <v>310</v>
      </c>
      <c r="F4420" s="888" t="s">
        <v>310</v>
      </c>
    </row>
    <row r="4421" spans="1:6">
      <c r="A4421" s="888">
        <v>242</v>
      </c>
      <c r="B4421" s="888" t="s">
        <v>1170</v>
      </c>
      <c r="C4421" s="888" t="s">
        <v>2441</v>
      </c>
      <c r="D4421" s="889">
        <v>46028</v>
      </c>
      <c r="E4421" s="890">
        <v>0.78836805555555556</v>
      </c>
      <c r="F4421" s="888" t="s">
        <v>310</v>
      </c>
    </row>
    <row r="4422" spans="1:6">
      <c r="A4422" s="888" t="s">
        <v>3693</v>
      </c>
      <c r="B4422" s="888" t="s">
        <v>1258</v>
      </c>
      <c r="C4422" s="888" t="s">
        <v>1259</v>
      </c>
    </row>
    <row r="4423" spans="1:6">
      <c r="A4423" s="888">
        <v>242</v>
      </c>
      <c r="B4423" s="888" t="s">
        <v>1170</v>
      </c>
      <c r="C4423" s="888" t="s">
        <v>2441</v>
      </c>
      <c r="D4423" s="889">
        <v>46029</v>
      </c>
      <c r="E4423" s="888" t="s">
        <v>310</v>
      </c>
      <c r="F4423" s="888" t="s">
        <v>310</v>
      </c>
    </row>
    <row r="4424" spans="1:6">
      <c r="A4424" s="888">
        <v>242</v>
      </c>
      <c r="B4424" s="888" t="s">
        <v>1170</v>
      </c>
      <c r="C4424" s="888" t="s">
        <v>2441</v>
      </c>
      <c r="D4424" s="889">
        <v>46030</v>
      </c>
      <c r="E4424" s="888" t="s">
        <v>310</v>
      </c>
      <c r="F4424" s="888" t="s">
        <v>310</v>
      </c>
    </row>
    <row r="4425" spans="1:6">
      <c r="A4425" s="888">
        <v>242</v>
      </c>
      <c r="B4425" s="888" t="s">
        <v>1170</v>
      </c>
      <c r="C4425" s="888" t="s">
        <v>2441</v>
      </c>
      <c r="D4425" s="889">
        <v>46031</v>
      </c>
      <c r="E4425" s="890">
        <v>0.71953703703703709</v>
      </c>
      <c r="F4425" s="890">
        <v>0.71958333333333335</v>
      </c>
    </row>
    <row r="4426" spans="1:6">
      <c r="A4426" s="888" t="s">
        <v>3694</v>
      </c>
      <c r="B4426" s="888" t="s">
        <v>3695</v>
      </c>
      <c r="C4426" s="888" t="s">
        <v>1259</v>
      </c>
    </row>
    <row r="4427" spans="1:6">
      <c r="A4427" s="888">
        <v>242</v>
      </c>
      <c r="B4427" s="888" t="s">
        <v>1170</v>
      </c>
      <c r="C4427" s="888" t="s">
        <v>2441</v>
      </c>
      <c r="D4427" s="889">
        <v>46032</v>
      </c>
      <c r="E4427" s="888" t="s">
        <v>310</v>
      </c>
      <c r="F4427" s="888" t="s">
        <v>310</v>
      </c>
    </row>
    <row r="4428" spans="1:6">
      <c r="A4428" s="888">
        <v>242</v>
      </c>
      <c r="B4428" s="888" t="s">
        <v>1170</v>
      </c>
      <c r="C4428" s="888" t="s">
        <v>2441</v>
      </c>
      <c r="D4428" s="889">
        <v>46033</v>
      </c>
      <c r="E4428" s="888" t="s">
        <v>310</v>
      </c>
      <c r="F4428" s="888" t="s">
        <v>310</v>
      </c>
    </row>
    <row r="4429" spans="1:6">
      <c r="A4429" s="888">
        <v>242</v>
      </c>
      <c r="B4429" s="888" t="s">
        <v>1170</v>
      </c>
      <c r="C4429" s="888" t="s">
        <v>2441</v>
      </c>
      <c r="D4429" s="889">
        <v>46034</v>
      </c>
      <c r="E4429" s="890">
        <v>0.44991898148148146</v>
      </c>
      <c r="F4429" s="890">
        <v>0.61216435185185181</v>
      </c>
    </row>
    <row r="4430" spans="1:6">
      <c r="A4430" s="888" t="s">
        <v>3696</v>
      </c>
      <c r="B4430" s="888" t="s">
        <v>3697</v>
      </c>
      <c r="C4430" s="888" t="s">
        <v>3698</v>
      </c>
    </row>
    <row r="4431" spans="1:6">
      <c r="A4431" s="888">
        <v>242</v>
      </c>
      <c r="B4431" s="888" t="s">
        <v>1170</v>
      </c>
      <c r="C4431" s="888" t="s">
        <v>2441</v>
      </c>
      <c r="D4431" s="889">
        <v>46035</v>
      </c>
      <c r="E4431" s="890">
        <v>0.50848379629629625</v>
      </c>
      <c r="F4431" s="890">
        <v>0.76347222222222222</v>
      </c>
    </row>
    <row r="4432" spans="1:6">
      <c r="A4432" s="888" t="s">
        <v>3699</v>
      </c>
      <c r="B4432" s="888" t="s">
        <v>3700</v>
      </c>
      <c r="C4432" s="888" t="s">
        <v>3701</v>
      </c>
    </row>
    <row r="4433" spans="1:6">
      <c r="A4433" s="888">
        <v>242</v>
      </c>
      <c r="B4433" s="888" t="s">
        <v>1170</v>
      </c>
      <c r="C4433" s="888" t="s">
        <v>2441</v>
      </c>
      <c r="D4433" s="889">
        <v>46036</v>
      </c>
      <c r="E4433" s="888" t="s">
        <v>310</v>
      </c>
      <c r="F4433" s="888" t="s">
        <v>310</v>
      </c>
    </row>
    <row r="4434" spans="1:6">
      <c r="A4434" s="888">
        <v>242</v>
      </c>
      <c r="B4434" s="888" t="s">
        <v>1170</v>
      </c>
      <c r="C4434" s="888" t="s">
        <v>2441</v>
      </c>
      <c r="D4434" s="889">
        <v>46037</v>
      </c>
      <c r="E4434" s="890">
        <v>0.56576388888888884</v>
      </c>
      <c r="F4434" s="888" t="s">
        <v>310</v>
      </c>
    </row>
    <row r="4435" spans="1:6">
      <c r="A4435" s="888" t="s">
        <v>3702</v>
      </c>
      <c r="B4435" s="888" t="s">
        <v>1258</v>
      </c>
      <c r="C4435" s="888" t="s">
        <v>1259</v>
      </c>
    </row>
    <row r="4436" spans="1:6">
      <c r="A4436" s="888">
        <v>242</v>
      </c>
      <c r="B4436" s="888" t="s">
        <v>1170</v>
      </c>
      <c r="C4436" s="888" t="s">
        <v>2441</v>
      </c>
      <c r="D4436" s="889">
        <v>46038</v>
      </c>
      <c r="E4436" s="888" t="s">
        <v>310</v>
      </c>
      <c r="F4436" s="888" t="s">
        <v>310</v>
      </c>
    </row>
    <row r="4437" spans="1:6">
      <c r="A4437" s="888">
        <v>242</v>
      </c>
      <c r="B4437" s="888" t="s">
        <v>1170</v>
      </c>
      <c r="C4437" s="888" t="s">
        <v>2441</v>
      </c>
      <c r="D4437" s="889">
        <v>46039</v>
      </c>
      <c r="E4437" s="888" t="s">
        <v>310</v>
      </c>
      <c r="F4437" s="888" t="s">
        <v>310</v>
      </c>
    </row>
    <row r="4438" spans="1:6">
      <c r="A4438" s="888">
        <v>242</v>
      </c>
      <c r="B4438" s="888" t="s">
        <v>1170</v>
      </c>
      <c r="C4438" s="888" t="s">
        <v>2441</v>
      </c>
      <c r="D4438" s="889">
        <v>46040</v>
      </c>
      <c r="E4438" s="888" t="s">
        <v>310</v>
      </c>
      <c r="F4438" s="888" t="s">
        <v>310</v>
      </c>
    </row>
    <row r="4439" spans="1:6">
      <c r="A4439" s="888">
        <v>242</v>
      </c>
      <c r="B4439" s="888" t="s">
        <v>1170</v>
      </c>
      <c r="C4439" s="888" t="s">
        <v>2441</v>
      </c>
      <c r="D4439" s="889">
        <v>46041</v>
      </c>
      <c r="E4439" s="888" t="s">
        <v>310</v>
      </c>
      <c r="F4439" s="888" t="s">
        <v>310</v>
      </c>
    </row>
    <row r="4440" spans="1:6">
      <c r="A4440" s="888">
        <v>242</v>
      </c>
      <c r="B4440" s="888" t="s">
        <v>1170</v>
      </c>
      <c r="C4440" s="888" t="s">
        <v>2441</v>
      </c>
      <c r="D4440" s="889">
        <v>46042</v>
      </c>
      <c r="E4440" s="890">
        <v>0.78592592592592592</v>
      </c>
      <c r="F4440" s="890">
        <v>0.78597222222222218</v>
      </c>
    </row>
    <row r="4441" spans="1:6">
      <c r="A4441" s="888" t="s">
        <v>3703</v>
      </c>
      <c r="B4441" s="888" t="s">
        <v>3704</v>
      </c>
      <c r="C4441" s="888" t="s">
        <v>1259</v>
      </c>
    </row>
    <row r="4442" spans="1:6">
      <c r="A4442" s="888">
        <v>242</v>
      </c>
      <c r="B4442" s="888" t="s">
        <v>1170</v>
      </c>
      <c r="C4442" s="888" t="s">
        <v>2441</v>
      </c>
      <c r="D4442" s="889">
        <v>46043</v>
      </c>
      <c r="E4442" s="890">
        <v>0.5980671296296296</v>
      </c>
      <c r="F4442" s="888" t="s">
        <v>310</v>
      </c>
    </row>
    <row r="4443" spans="1:6">
      <c r="A4443" s="888" t="s">
        <v>3705</v>
      </c>
      <c r="B4443" s="888" t="s">
        <v>1258</v>
      </c>
      <c r="C4443" s="888" t="s">
        <v>1259</v>
      </c>
    </row>
    <row r="4444" spans="1:6">
      <c r="A4444" s="888">
        <v>242</v>
      </c>
      <c r="B4444" s="888" t="s">
        <v>1170</v>
      </c>
      <c r="C4444" s="888" t="s">
        <v>2441</v>
      </c>
      <c r="D4444" s="889">
        <v>46044</v>
      </c>
      <c r="E4444" s="890">
        <v>0.70321759259259264</v>
      </c>
      <c r="F4444" s="888" t="s">
        <v>310</v>
      </c>
    </row>
    <row r="4445" spans="1:6">
      <c r="A4445" s="888" t="s">
        <v>3706</v>
      </c>
      <c r="B4445" s="888" t="s">
        <v>1258</v>
      </c>
      <c r="C4445" s="888" t="s">
        <v>1259</v>
      </c>
    </row>
    <row r="4446" spans="1:6">
      <c r="A4446" s="888">
        <v>242</v>
      </c>
      <c r="B4446" s="888" t="s">
        <v>1170</v>
      </c>
      <c r="C4446" s="888" t="s">
        <v>2441</v>
      </c>
      <c r="D4446" s="889">
        <v>46045</v>
      </c>
      <c r="E4446" s="890">
        <v>0.67060185185185184</v>
      </c>
      <c r="F4446" s="890">
        <v>0.6711111111111111</v>
      </c>
    </row>
    <row r="4447" spans="1:6">
      <c r="A4447" s="888" t="s">
        <v>3707</v>
      </c>
      <c r="B4447" s="888" t="s">
        <v>3708</v>
      </c>
      <c r="C4447" s="888" t="s">
        <v>1570</v>
      </c>
    </row>
    <row r="4448" spans="1:6">
      <c r="A4448" s="888">
        <v>242</v>
      </c>
      <c r="B4448" s="888" t="s">
        <v>1170</v>
      </c>
      <c r="C4448" s="888" t="s">
        <v>2441</v>
      </c>
      <c r="D4448" s="889">
        <v>46046</v>
      </c>
      <c r="E4448" s="888" t="s">
        <v>310</v>
      </c>
      <c r="F4448" s="888" t="s">
        <v>310</v>
      </c>
    </row>
    <row r="4449" spans="1:6">
      <c r="A4449" s="888">
        <v>242</v>
      </c>
      <c r="B4449" s="888" t="s">
        <v>1170</v>
      </c>
      <c r="C4449" s="888" t="s">
        <v>2441</v>
      </c>
      <c r="D4449" s="889">
        <v>46047</v>
      </c>
      <c r="E4449" s="888" t="s">
        <v>310</v>
      </c>
      <c r="F4449" s="888" t="s">
        <v>310</v>
      </c>
    </row>
    <row r="4450" spans="1:6">
      <c r="A4450" s="888">
        <v>242</v>
      </c>
      <c r="B4450" s="888" t="s">
        <v>1170</v>
      </c>
      <c r="C4450" s="888" t="s">
        <v>2441</v>
      </c>
      <c r="D4450" s="889">
        <v>46048</v>
      </c>
      <c r="E4450" s="890">
        <v>0.58472222222222225</v>
      </c>
      <c r="F4450" s="890">
        <v>0.58476851851851852</v>
      </c>
    </row>
    <row r="4451" spans="1:6">
      <c r="A4451" s="888" t="s">
        <v>3709</v>
      </c>
      <c r="B4451" s="888" t="s">
        <v>3710</v>
      </c>
      <c r="C4451" s="888" t="s">
        <v>1259</v>
      </c>
    </row>
    <row r="4452" spans="1:6">
      <c r="A4452" s="888">
        <v>242</v>
      </c>
      <c r="B4452" s="888" t="s">
        <v>1170</v>
      </c>
      <c r="C4452" s="888" t="s">
        <v>2441</v>
      </c>
      <c r="D4452" s="889">
        <v>46049</v>
      </c>
      <c r="E4452" s="888" t="s">
        <v>310</v>
      </c>
      <c r="F4452" s="888" t="s">
        <v>310</v>
      </c>
    </row>
    <row r="4453" spans="1:6">
      <c r="A4453" s="888">
        <v>242</v>
      </c>
      <c r="B4453" s="888" t="s">
        <v>1170</v>
      </c>
      <c r="C4453" s="888" t="s">
        <v>2441</v>
      </c>
      <c r="D4453" s="889">
        <v>46050</v>
      </c>
      <c r="E4453" s="890">
        <v>0.50145833333333334</v>
      </c>
      <c r="F4453" s="890">
        <v>0.50192129629629634</v>
      </c>
    </row>
    <row r="4454" spans="1:6">
      <c r="A4454" s="888" t="s">
        <v>3711</v>
      </c>
      <c r="B4454" s="888" t="s">
        <v>3712</v>
      </c>
      <c r="C4454" s="888" t="s">
        <v>1570</v>
      </c>
    </row>
    <row r="4455" spans="1:6">
      <c r="A4455" s="888">
        <v>242</v>
      </c>
      <c r="B4455" s="888" t="s">
        <v>1170</v>
      </c>
      <c r="C4455" s="888" t="s">
        <v>2441</v>
      </c>
      <c r="D4455" s="889">
        <v>46051</v>
      </c>
      <c r="E4455" s="888" t="s">
        <v>310</v>
      </c>
      <c r="F4455" s="888" t="s">
        <v>310</v>
      </c>
    </row>
    <row r="4456" spans="1:6">
      <c r="A4456" s="888">
        <v>242</v>
      </c>
      <c r="B4456" s="888" t="s">
        <v>1170</v>
      </c>
      <c r="C4456" s="888" t="s">
        <v>2441</v>
      </c>
      <c r="D4456" s="889">
        <v>46052</v>
      </c>
      <c r="E4456" s="890">
        <v>0.73931712962962959</v>
      </c>
      <c r="F4456" s="888" t="s">
        <v>310</v>
      </c>
    </row>
    <row r="4457" spans="1:6">
      <c r="A4457" s="888" t="s">
        <v>3713</v>
      </c>
      <c r="B4457" s="888" t="s">
        <v>1258</v>
      </c>
      <c r="C4457" s="888" t="s">
        <v>1259</v>
      </c>
    </row>
    <row r="4458" spans="1:6">
      <c r="A4458" s="888">
        <v>242</v>
      </c>
      <c r="B4458" s="888" t="s">
        <v>1170</v>
      </c>
      <c r="C4458" s="888" t="s">
        <v>2441</v>
      </c>
      <c r="D4458" s="889">
        <v>46053</v>
      </c>
      <c r="E4458" s="888" t="s">
        <v>310</v>
      </c>
      <c r="F4458" s="888" t="s">
        <v>310</v>
      </c>
    </row>
    <row r="4459" spans="1:6">
      <c r="A4459" s="888">
        <v>242</v>
      </c>
      <c r="B4459" s="888" t="s">
        <v>1170</v>
      </c>
      <c r="C4459" s="888" t="s">
        <v>2441</v>
      </c>
      <c r="D4459" s="889">
        <v>46054</v>
      </c>
      <c r="E4459" s="888" t="s">
        <v>310</v>
      </c>
      <c r="F4459" s="888" t="s">
        <v>310</v>
      </c>
    </row>
    <row r="4460" spans="1:6">
      <c r="A4460" s="888">
        <v>243</v>
      </c>
      <c r="B4460" s="888" t="s">
        <v>1171</v>
      </c>
      <c r="C4460" s="888" t="s">
        <v>1468</v>
      </c>
      <c r="D4460" s="889">
        <v>46023</v>
      </c>
      <c r="E4460" s="888" t="s">
        <v>310</v>
      </c>
      <c r="F4460" s="888" t="s">
        <v>310</v>
      </c>
    </row>
    <row r="4461" spans="1:6">
      <c r="A4461" s="888">
        <v>243</v>
      </c>
      <c r="B4461" s="888" t="s">
        <v>1171</v>
      </c>
      <c r="C4461" s="888" t="s">
        <v>1468</v>
      </c>
      <c r="D4461" s="889">
        <v>46024</v>
      </c>
      <c r="E4461" s="888" t="s">
        <v>310</v>
      </c>
      <c r="F4461" s="888" t="s">
        <v>310</v>
      </c>
    </row>
    <row r="4462" spans="1:6">
      <c r="A4462" s="888">
        <v>243</v>
      </c>
      <c r="B4462" s="888" t="s">
        <v>1171</v>
      </c>
      <c r="C4462" s="888" t="s">
        <v>1468</v>
      </c>
      <c r="D4462" s="889">
        <v>46025</v>
      </c>
      <c r="E4462" s="888" t="s">
        <v>310</v>
      </c>
      <c r="F4462" s="888" t="s">
        <v>310</v>
      </c>
    </row>
    <row r="4463" spans="1:6">
      <c r="A4463" s="888">
        <v>243</v>
      </c>
      <c r="B4463" s="888" t="s">
        <v>1171</v>
      </c>
      <c r="C4463" s="888" t="s">
        <v>1468</v>
      </c>
      <c r="D4463" s="889">
        <v>46026</v>
      </c>
      <c r="E4463" s="888" t="s">
        <v>310</v>
      </c>
      <c r="F4463" s="888" t="s">
        <v>310</v>
      </c>
    </row>
    <row r="4464" spans="1:6">
      <c r="A4464" s="888">
        <v>243</v>
      </c>
      <c r="B4464" s="888" t="s">
        <v>1171</v>
      </c>
      <c r="C4464" s="888" t="s">
        <v>1468</v>
      </c>
      <c r="D4464" s="889">
        <v>46027</v>
      </c>
      <c r="E4464" s="890">
        <v>0.37827546296296294</v>
      </c>
      <c r="F4464" s="890">
        <v>0.82878472222222221</v>
      </c>
    </row>
    <row r="4465" spans="1:6">
      <c r="A4465" s="888" t="s">
        <v>3714</v>
      </c>
      <c r="B4465" s="888" t="s">
        <v>3715</v>
      </c>
      <c r="C4465" s="888" t="s">
        <v>3286</v>
      </c>
    </row>
    <row r="4466" spans="1:6">
      <c r="A4466" s="888">
        <v>243</v>
      </c>
      <c r="B4466" s="888" t="s">
        <v>1171</v>
      </c>
      <c r="C4466" s="888" t="s">
        <v>1468</v>
      </c>
      <c r="D4466" s="889">
        <v>46028</v>
      </c>
      <c r="E4466" s="890">
        <v>0.40430555555555553</v>
      </c>
      <c r="F4466" s="890">
        <v>0.77585648148148145</v>
      </c>
    </row>
    <row r="4467" spans="1:6">
      <c r="A4467" s="888" t="s">
        <v>3716</v>
      </c>
      <c r="B4467" s="888" t="s">
        <v>3717</v>
      </c>
      <c r="C4467" s="888" t="s">
        <v>2000</v>
      </c>
    </row>
    <row r="4468" spans="1:6">
      <c r="A4468" s="888">
        <v>243</v>
      </c>
      <c r="B4468" s="888" t="s">
        <v>1171</v>
      </c>
      <c r="C4468" s="888" t="s">
        <v>1468</v>
      </c>
      <c r="D4468" s="889">
        <v>46029</v>
      </c>
      <c r="E4468" s="890">
        <v>0.58065972222222217</v>
      </c>
      <c r="F4468" s="890">
        <v>0.85162037037037042</v>
      </c>
    </row>
    <row r="4469" spans="1:6">
      <c r="A4469" s="888" t="s">
        <v>3718</v>
      </c>
      <c r="B4469" s="888" t="s">
        <v>3719</v>
      </c>
      <c r="C4469" s="888" t="s">
        <v>3720</v>
      </c>
    </row>
    <row r="4470" spans="1:6">
      <c r="A4470" s="888">
        <v>243</v>
      </c>
      <c r="B4470" s="888" t="s">
        <v>1171</v>
      </c>
      <c r="C4470" s="888" t="s">
        <v>1468</v>
      </c>
      <c r="D4470" s="889">
        <v>46030</v>
      </c>
      <c r="E4470" s="890">
        <v>0.56878472222222221</v>
      </c>
      <c r="F4470" s="890">
        <v>0.8327430555555555</v>
      </c>
    </row>
    <row r="4471" spans="1:6">
      <c r="A4471" s="888" t="s">
        <v>3721</v>
      </c>
      <c r="B4471" s="888" t="s">
        <v>3722</v>
      </c>
      <c r="C4471" s="888" t="s">
        <v>3723</v>
      </c>
    </row>
    <row r="4472" spans="1:6">
      <c r="A4472" s="888">
        <v>243</v>
      </c>
      <c r="B4472" s="888" t="s">
        <v>1171</v>
      </c>
      <c r="C4472" s="888" t="s">
        <v>1468</v>
      </c>
      <c r="D4472" s="889">
        <v>46031</v>
      </c>
      <c r="E4472" s="890">
        <v>0.60715277777777776</v>
      </c>
      <c r="F4472" s="890">
        <v>0.76351851851851849</v>
      </c>
    </row>
    <row r="4473" spans="1:6">
      <c r="A4473" s="888" t="s">
        <v>3724</v>
      </c>
      <c r="B4473" s="888" t="s">
        <v>3725</v>
      </c>
      <c r="C4473" s="888" t="s">
        <v>3726</v>
      </c>
    </row>
    <row r="4474" spans="1:6">
      <c r="A4474" s="888">
        <v>243</v>
      </c>
      <c r="B4474" s="888" t="s">
        <v>1171</v>
      </c>
      <c r="C4474" s="888" t="s">
        <v>1468</v>
      </c>
      <c r="D4474" s="889">
        <v>46032</v>
      </c>
      <c r="E4474" s="888" t="s">
        <v>310</v>
      </c>
      <c r="F4474" s="888" t="s">
        <v>310</v>
      </c>
    </row>
    <row r="4475" spans="1:6">
      <c r="A4475" s="888">
        <v>243</v>
      </c>
      <c r="B4475" s="888" t="s">
        <v>1171</v>
      </c>
      <c r="C4475" s="888" t="s">
        <v>1468</v>
      </c>
      <c r="D4475" s="889">
        <v>46033</v>
      </c>
      <c r="E4475" s="890">
        <v>0.61562499999999998</v>
      </c>
      <c r="F4475" s="890">
        <v>0.75996527777777778</v>
      </c>
    </row>
    <row r="4476" spans="1:6">
      <c r="A4476" s="888" t="s">
        <v>3727</v>
      </c>
      <c r="B4476" s="888" t="s">
        <v>3728</v>
      </c>
      <c r="C4476" s="888" t="s">
        <v>2724</v>
      </c>
    </row>
    <row r="4477" spans="1:6">
      <c r="A4477" s="888">
        <v>243</v>
      </c>
      <c r="B4477" s="888" t="s">
        <v>1171</v>
      </c>
      <c r="C4477" s="888" t="s">
        <v>1468</v>
      </c>
      <c r="D4477" s="889">
        <v>46034</v>
      </c>
      <c r="E4477" s="890">
        <v>0.56533564814814818</v>
      </c>
      <c r="F4477" s="890">
        <v>0.85633101851851856</v>
      </c>
    </row>
    <row r="4478" spans="1:6">
      <c r="A4478" s="888" t="s">
        <v>3729</v>
      </c>
      <c r="B4478" s="888" t="s">
        <v>3730</v>
      </c>
      <c r="C4478" s="888" t="s">
        <v>3731</v>
      </c>
    </row>
    <row r="4479" spans="1:6">
      <c r="A4479" s="888">
        <v>243</v>
      </c>
      <c r="B4479" s="888" t="s">
        <v>1171</v>
      </c>
      <c r="C4479" s="888" t="s">
        <v>1468</v>
      </c>
      <c r="D4479" s="889">
        <v>46035</v>
      </c>
      <c r="E4479" s="890">
        <v>0.35681712962962964</v>
      </c>
      <c r="F4479" s="890">
        <v>0.85795138888888889</v>
      </c>
    </row>
    <row r="4480" spans="1:6">
      <c r="A4480" s="888" t="s">
        <v>3732</v>
      </c>
      <c r="B4480" s="888" t="s">
        <v>3733</v>
      </c>
      <c r="C4480" s="888" t="s">
        <v>3734</v>
      </c>
    </row>
    <row r="4481" spans="1:6">
      <c r="A4481" s="888">
        <v>243</v>
      </c>
      <c r="B4481" s="888" t="s">
        <v>1171</v>
      </c>
      <c r="C4481" s="888" t="s">
        <v>1468</v>
      </c>
      <c r="D4481" s="889">
        <v>46036</v>
      </c>
      <c r="E4481" s="890">
        <v>0.34761574074074075</v>
      </c>
      <c r="F4481" s="890">
        <v>0.92937499999999995</v>
      </c>
    </row>
    <row r="4482" spans="1:6">
      <c r="A4482" s="888" t="s">
        <v>3735</v>
      </c>
      <c r="B4482" s="888" t="s">
        <v>3736</v>
      </c>
      <c r="C4482" s="888" t="s">
        <v>3737</v>
      </c>
    </row>
    <row r="4483" spans="1:6">
      <c r="A4483" s="888">
        <v>243</v>
      </c>
      <c r="B4483" s="888" t="s">
        <v>1171</v>
      </c>
      <c r="C4483" s="888" t="s">
        <v>1468</v>
      </c>
      <c r="D4483" s="889">
        <v>46037</v>
      </c>
      <c r="E4483" s="890">
        <v>0.35980324074074072</v>
      </c>
      <c r="F4483" s="890">
        <v>0.7934606481481481</v>
      </c>
    </row>
    <row r="4484" spans="1:6">
      <c r="A4484" s="888" t="s">
        <v>3738</v>
      </c>
      <c r="B4484" s="888" t="s">
        <v>3739</v>
      </c>
      <c r="C4484" s="888" t="s">
        <v>1903</v>
      </c>
    </row>
    <row r="4485" spans="1:6">
      <c r="A4485" s="888">
        <v>243</v>
      </c>
      <c r="B4485" s="888" t="s">
        <v>1171</v>
      </c>
      <c r="C4485" s="888" t="s">
        <v>1468</v>
      </c>
      <c r="D4485" s="889">
        <v>46038</v>
      </c>
      <c r="E4485" s="890">
        <v>0.36258101851851854</v>
      </c>
      <c r="F4485" s="890">
        <v>0.79408564814814819</v>
      </c>
    </row>
    <row r="4486" spans="1:6">
      <c r="A4486" s="888" t="s">
        <v>3740</v>
      </c>
      <c r="B4486" s="888" t="s">
        <v>3741</v>
      </c>
      <c r="C4486" s="888" t="s">
        <v>3041</v>
      </c>
    </row>
    <row r="4487" spans="1:6">
      <c r="A4487" s="888">
        <v>243</v>
      </c>
      <c r="B4487" s="888" t="s">
        <v>1171</v>
      </c>
      <c r="C4487" s="888" t="s">
        <v>1468</v>
      </c>
      <c r="D4487" s="889">
        <v>46039</v>
      </c>
      <c r="E4487" s="888" t="s">
        <v>310</v>
      </c>
      <c r="F4487" s="888" t="s">
        <v>310</v>
      </c>
    </row>
    <row r="4488" spans="1:6">
      <c r="A4488" s="888">
        <v>243</v>
      </c>
      <c r="B4488" s="888" t="s">
        <v>1171</v>
      </c>
      <c r="C4488" s="888" t="s">
        <v>1468</v>
      </c>
      <c r="D4488" s="889">
        <v>46040</v>
      </c>
      <c r="E4488" s="888" t="s">
        <v>310</v>
      </c>
      <c r="F4488" s="888" t="s">
        <v>310</v>
      </c>
    </row>
    <row r="4489" spans="1:6">
      <c r="A4489" s="888">
        <v>243</v>
      </c>
      <c r="B4489" s="888" t="s">
        <v>1171</v>
      </c>
      <c r="C4489" s="888" t="s">
        <v>1468</v>
      </c>
      <c r="D4489" s="889">
        <v>46041</v>
      </c>
      <c r="E4489" s="890">
        <v>0.57076388888888885</v>
      </c>
      <c r="F4489" s="890">
        <v>0.85008101851851847</v>
      </c>
    </row>
    <row r="4490" spans="1:6">
      <c r="A4490" s="888" t="s">
        <v>3742</v>
      </c>
      <c r="B4490" s="888" t="s">
        <v>3743</v>
      </c>
      <c r="C4490" s="888" t="s">
        <v>3744</v>
      </c>
    </row>
    <row r="4491" spans="1:6">
      <c r="A4491" s="888">
        <v>243</v>
      </c>
      <c r="B4491" s="888" t="s">
        <v>1171</v>
      </c>
      <c r="C4491" s="888" t="s">
        <v>1468</v>
      </c>
      <c r="D4491" s="889">
        <v>46042</v>
      </c>
      <c r="E4491" s="890">
        <v>0.35723379629629631</v>
      </c>
      <c r="F4491" s="890">
        <v>0.86505787037037041</v>
      </c>
    </row>
    <row r="4492" spans="1:6">
      <c r="A4492" s="888" t="s">
        <v>3745</v>
      </c>
      <c r="B4492" s="888" t="s">
        <v>3746</v>
      </c>
      <c r="C4492" s="888" t="s">
        <v>3747</v>
      </c>
    </row>
    <row r="4493" spans="1:6">
      <c r="A4493" s="888">
        <v>243</v>
      </c>
      <c r="B4493" s="888" t="s">
        <v>1171</v>
      </c>
      <c r="C4493" s="888" t="s">
        <v>1468</v>
      </c>
      <c r="D4493" s="889">
        <v>46043</v>
      </c>
      <c r="E4493" s="890">
        <v>0.56725694444444441</v>
      </c>
      <c r="F4493" s="890">
        <v>0.84174768518518517</v>
      </c>
    </row>
    <row r="4494" spans="1:6">
      <c r="A4494" s="888" t="s">
        <v>3748</v>
      </c>
      <c r="B4494" s="888" t="s">
        <v>3749</v>
      </c>
      <c r="C4494" s="888" t="s">
        <v>3590</v>
      </c>
    </row>
    <row r="4495" spans="1:6">
      <c r="A4495" s="888">
        <v>243</v>
      </c>
      <c r="B4495" s="888" t="s">
        <v>1171</v>
      </c>
      <c r="C4495" s="888" t="s">
        <v>1468</v>
      </c>
      <c r="D4495" s="889">
        <v>46044</v>
      </c>
      <c r="E4495" s="890">
        <v>0.69576388888888885</v>
      </c>
      <c r="F4495" s="890">
        <v>0.85060185185185189</v>
      </c>
    </row>
    <row r="4496" spans="1:6">
      <c r="A4496" s="888" t="s">
        <v>3750</v>
      </c>
      <c r="B4496" s="888" t="s">
        <v>3751</v>
      </c>
      <c r="C4496" s="888" t="s">
        <v>3691</v>
      </c>
    </row>
    <row r="4497" spans="1:6">
      <c r="A4497" s="888">
        <v>243</v>
      </c>
      <c r="B4497" s="888" t="s">
        <v>1171</v>
      </c>
      <c r="C4497" s="888" t="s">
        <v>1468</v>
      </c>
      <c r="D4497" s="889">
        <v>46045</v>
      </c>
      <c r="E4497" s="888" t="s">
        <v>310</v>
      </c>
      <c r="F4497" s="888" t="s">
        <v>310</v>
      </c>
    </row>
    <row r="4498" spans="1:6">
      <c r="A4498" s="888">
        <v>243</v>
      </c>
      <c r="B4498" s="888" t="s">
        <v>1171</v>
      </c>
      <c r="C4498" s="888" t="s">
        <v>1468</v>
      </c>
      <c r="D4498" s="889">
        <v>46046</v>
      </c>
      <c r="E4498" s="888" t="s">
        <v>310</v>
      </c>
      <c r="F4498" s="888" t="s">
        <v>310</v>
      </c>
    </row>
    <row r="4499" spans="1:6">
      <c r="A4499" s="888">
        <v>243</v>
      </c>
      <c r="B4499" s="888" t="s">
        <v>1171</v>
      </c>
      <c r="C4499" s="888" t="s">
        <v>1468</v>
      </c>
      <c r="D4499" s="889">
        <v>46047</v>
      </c>
      <c r="E4499" s="890">
        <v>0.58733796296296292</v>
      </c>
      <c r="F4499" s="890">
        <v>0.72195601851851854</v>
      </c>
    </row>
    <row r="4500" spans="1:6">
      <c r="A4500" s="888" t="s">
        <v>3752</v>
      </c>
      <c r="B4500" s="888" t="s">
        <v>3753</v>
      </c>
      <c r="C4500" s="888" t="s">
        <v>3754</v>
      </c>
    </row>
    <row r="4501" spans="1:6">
      <c r="A4501" s="888">
        <v>243</v>
      </c>
      <c r="B4501" s="888" t="s">
        <v>1171</v>
      </c>
      <c r="C4501" s="888" t="s">
        <v>1468</v>
      </c>
      <c r="D4501" s="889">
        <v>46048</v>
      </c>
      <c r="E4501" s="890">
        <v>0.37949074074074074</v>
      </c>
      <c r="F4501" s="890">
        <v>0.8255555555555556</v>
      </c>
    </row>
    <row r="4502" spans="1:6">
      <c r="A4502" s="888" t="s">
        <v>3755</v>
      </c>
      <c r="B4502" s="888" t="s">
        <v>3756</v>
      </c>
      <c r="C4502" s="888" t="s">
        <v>2281</v>
      </c>
    </row>
    <row r="4503" spans="1:6">
      <c r="A4503" s="888">
        <v>243</v>
      </c>
      <c r="B4503" s="888" t="s">
        <v>1171</v>
      </c>
      <c r="C4503" s="888" t="s">
        <v>1468</v>
      </c>
      <c r="D4503" s="889">
        <v>46049</v>
      </c>
      <c r="E4503" s="890">
        <v>0.56740740740740736</v>
      </c>
      <c r="F4503" s="890">
        <v>0.73767361111111107</v>
      </c>
    </row>
    <row r="4504" spans="1:6">
      <c r="A4504" s="888" t="s">
        <v>3757</v>
      </c>
      <c r="B4504" s="888" t="s">
        <v>3758</v>
      </c>
      <c r="C4504" s="888" t="s">
        <v>3759</v>
      </c>
    </row>
    <row r="4505" spans="1:6">
      <c r="A4505" s="888">
        <v>243</v>
      </c>
      <c r="B4505" s="888" t="s">
        <v>1171</v>
      </c>
      <c r="C4505" s="888" t="s">
        <v>1468</v>
      </c>
      <c r="D4505" s="889">
        <v>46050</v>
      </c>
      <c r="E4505" s="890">
        <v>0.66254629629629624</v>
      </c>
      <c r="F4505" s="890">
        <v>0.82130787037037034</v>
      </c>
    </row>
    <row r="4506" spans="1:6">
      <c r="A4506" s="888" t="s">
        <v>3760</v>
      </c>
      <c r="B4506" s="888" t="s">
        <v>3761</v>
      </c>
      <c r="C4506" s="888" t="s">
        <v>3762</v>
      </c>
    </row>
    <row r="4507" spans="1:6">
      <c r="A4507" s="888">
        <v>243</v>
      </c>
      <c r="B4507" s="888" t="s">
        <v>1171</v>
      </c>
      <c r="C4507" s="888" t="s">
        <v>1468</v>
      </c>
      <c r="D4507" s="889">
        <v>46051</v>
      </c>
      <c r="E4507" s="890">
        <v>0.39049768518518518</v>
      </c>
      <c r="F4507" s="890">
        <v>0.79236111111111107</v>
      </c>
    </row>
    <row r="4508" spans="1:6">
      <c r="A4508" s="888" t="s">
        <v>3763</v>
      </c>
      <c r="B4508" s="888" t="s">
        <v>3764</v>
      </c>
      <c r="C4508" s="888" t="s">
        <v>1538</v>
      </c>
    </row>
    <row r="4509" spans="1:6">
      <c r="A4509" s="888">
        <v>243</v>
      </c>
      <c r="B4509" s="888" t="s">
        <v>1171</v>
      </c>
      <c r="C4509" s="888" t="s">
        <v>1468</v>
      </c>
      <c r="D4509" s="889">
        <v>46052</v>
      </c>
      <c r="E4509" s="888" t="s">
        <v>310</v>
      </c>
      <c r="F4509" s="888" t="s">
        <v>310</v>
      </c>
    </row>
    <row r="4510" spans="1:6">
      <c r="A4510" s="888">
        <v>243</v>
      </c>
      <c r="B4510" s="888" t="s">
        <v>1171</v>
      </c>
      <c r="C4510" s="888" t="s">
        <v>1468</v>
      </c>
      <c r="D4510" s="889">
        <v>46053</v>
      </c>
      <c r="E4510" s="888" t="s">
        <v>310</v>
      </c>
      <c r="F4510" s="888" t="s">
        <v>310</v>
      </c>
    </row>
    <row r="4511" spans="1:6">
      <c r="A4511" s="888">
        <v>243</v>
      </c>
      <c r="B4511" s="888" t="s">
        <v>1171</v>
      </c>
      <c r="C4511" s="888" t="s">
        <v>1468</v>
      </c>
      <c r="D4511" s="889">
        <v>46054</v>
      </c>
      <c r="E4511" s="890">
        <v>0.62898148148148147</v>
      </c>
      <c r="F4511" s="890">
        <v>0.6925810185185185</v>
      </c>
    </row>
    <row r="4512" spans="1:6">
      <c r="A4512" s="888" t="s">
        <v>3765</v>
      </c>
      <c r="B4512" s="888" t="s">
        <v>3766</v>
      </c>
      <c r="C4512" s="888" t="s">
        <v>3767</v>
      </c>
    </row>
    <row r="4513" spans="1:6">
      <c r="A4513" s="888">
        <v>250</v>
      </c>
      <c r="B4513" s="888" t="s">
        <v>1172</v>
      </c>
      <c r="C4513" s="888" t="s">
        <v>2310</v>
      </c>
      <c r="D4513" s="889">
        <v>46023</v>
      </c>
      <c r="E4513" s="888" t="s">
        <v>310</v>
      </c>
      <c r="F4513" s="888" t="s">
        <v>310</v>
      </c>
    </row>
    <row r="4514" spans="1:6">
      <c r="A4514" s="888">
        <v>250</v>
      </c>
      <c r="B4514" s="888" t="s">
        <v>1172</v>
      </c>
      <c r="C4514" s="888" t="s">
        <v>2310</v>
      </c>
      <c r="D4514" s="889">
        <v>46024</v>
      </c>
      <c r="E4514" s="888" t="s">
        <v>310</v>
      </c>
      <c r="F4514" s="888" t="s">
        <v>310</v>
      </c>
    </row>
    <row r="4515" spans="1:6">
      <c r="A4515" s="888">
        <v>250</v>
      </c>
      <c r="B4515" s="888" t="s">
        <v>1172</v>
      </c>
      <c r="C4515" s="888" t="s">
        <v>2310</v>
      </c>
      <c r="D4515" s="889">
        <v>46025</v>
      </c>
      <c r="E4515" s="888" t="s">
        <v>310</v>
      </c>
      <c r="F4515" s="888" t="s">
        <v>310</v>
      </c>
    </row>
    <row r="4516" spans="1:6">
      <c r="A4516" s="888">
        <v>250</v>
      </c>
      <c r="B4516" s="888" t="s">
        <v>1172</v>
      </c>
      <c r="C4516" s="888" t="s">
        <v>2310</v>
      </c>
      <c r="D4516" s="889">
        <v>46026</v>
      </c>
      <c r="E4516" s="888" t="s">
        <v>310</v>
      </c>
      <c r="F4516" s="888" t="s">
        <v>310</v>
      </c>
    </row>
    <row r="4517" spans="1:6">
      <c r="A4517" s="888">
        <v>250</v>
      </c>
      <c r="B4517" s="888" t="s">
        <v>1172</v>
      </c>
      <c r="C4517" s="888" t="s">
        <v>2310</v>
      </c>
      <c r="D4517" s="889">
        <v>46027</v>
      </c>
      <c r="E4517" s="888" t="s">
        <v>310</v>
      </c>
      <c r="F4517" s="888" t="s">
        <v>310</v>
      </c>
    </row>
    <row r="4518" spans="1:6">
      <c r="A4518" s="888">
        <v>250</v>
      </c>
      <c r="B4518" s="888" t="s">
        <v>1172</v>
      </c>
      <c r="C4518" s="888" t="s">
        <v>2310</v>
      </c>
      <c r="D4518" s="889">
        <v>46028</v>
      </c>
      <c r="E4518" s="890">
        <v>0.89356481481481487</v>
      </c>
      <c r="F4518" s="890">
        <v>0.89361111111111113</v>
      </c>
    </row>
    <row r="4519" spans="1:6">
      <c r="A4519" s="888" t="s">
        <v>3768</v>
      </c>
      <c r="B4519" s="888" t="s">
        <v>3769</v>
      </c>
      <c r="C4519" s="888" t="s">
        <v>1259</v>
      </c>
    </row>
    <row r="4520" spans="1:6">
      <c r="A4520" s="888">
        <v>250</v>
      </c>
      <c r="B4520" s="888" t="s">
        <v>1172</v>
      </c>
      <c r="C4520" s="888" t="s">
        <v>2310</v>
      </c>
      <c r="D4520" s="889">
        <v>46029</v>
      </c>
      <c r="E4520" s="890">
        <v>0.44626157407407407</v>
      </c>
      <c r="F4520" s="890">
        <v>0.77353009259259264</v>
      </c>
    </row>
    <row r="4521" spans="1:6">
      <c r="A4521" s="888" t="s">
        <v>3770</v>
      </c>
      <c r="B4521" s="888" t="s">
        <v>3771</v>
      </c>
      <c r="C4521" s="888" t="s">
        <v>2658</v>
      </c>
    </row>
    <row r="4522" spans="1:6">
      <c r="A4522" s="888">
        <v>250</v>
      </c>
      <c r="B4522" s="888" t="s">
        <v>1172</v>
      </c>
      <c r="C4522" s="888" t="s">
        <v>2310</v>
      </c>
      <c r="D4522" s="889">
        <v>46030</v>
      </c>
      <c r="E4522" s="890">
        <v>0.35347222222222224</v>
      </c>
      <c r="F4522" s="890">
        <v>0.7734375</v>
      </c>
    </row>
    <row r="4523" spans="1:6">
      <c r="A4523" s="888" t="s">
        <v>3772</v>
      </c>
      <c r="B4523" s="888" t="s">
        <v>3773</v>
      </c>
      <c r="C4523" s="888" t="s">
        <v>2639</v>
      </c>
    </row>
    <row r="4524" spans="1:6">
      <c r="A4524" s="888">
        <v>250</v>
      </c>
      <c r="B4524" s="888" t="s">
        <v>1172</v>
      </c>
      <c r="C4524" s="888" t="s">
        <v>2310</v>
      </c>
      <c r="D4524" s="889">
        <v>46031</v>
      </c>
      <c r="E4524" s="890">
        <v>0.35127314814814814</v>
      </c>
      <c r="F4524" s="890">
        <v>0.76820601851851855</v>
      </c>
    </row>
    <row r="4525" spans="1:6">
      <c r="A4525" s="888" t="s">
        <v>3774</v>
      </c>
      <c r="B4525" s="888" t="s">
        <v>3775</v>
      </c>
      <c r="C4525" s="888" t="s">
        <v>1303</v>
      </c>
    </row>
    <row r="4526" spans="1:6">
      <c r="A4526" s="888">
        <v>250</v>
      </c>
      <c r="B4526" s="888" t="s">
        <v>1172</v>
      </c>
      <c r="C4526" s="888" t="s">
        <v>2310</v>
      </c>
      <c r="D4526" s="889">
        <v>46032</v>
      </c>
      <c r="E4526" s="890">
        <v>0.35287037037037039</v>
      </c>
      <c r="F4526" s="890">
        <v>0.6947106481481482</v>
      </c>
    </row>
    <row r="4527" spans="1:6">
      <c r="A4527" s="888" t="s">
        <v>3776</v>
      </c>
      <c r="B4527" s="888" t="s">
        <v>3777</v>
      </c>
      <c r="C4527" s="888" t="s">
        <v>1481</v>
      </c>
    </row>
    <row r="4528" spans="1:6">
      <c r="A4528" s="888">
        <v>250</v>
      </c>
      <c r="B4528" s="888" t="s">
        <v>1172</v>
      </c>
      <c r="C4528" s="888" t="s">
        <v>2310</v>
      </c>
      <c r="D4528" s="889">
        <v>46033</v>
      </c>
      <c r="E4528" s="888" t="s">
        <v>310</v>
      </c>
      <c r="F4528" s="888" t="s">
        <v>310</v>
      </c>
    </row>
    <row r="4529" spans="1:6">
      <c r="A4529" s="888">
        <v>250</v>
      </c>
      <c r="B4529" s="888" t="s">
        <v>1172</v>
      </c>
      <c r="C4529" s="888" t="s">
        <v>2310</v>
      </c>
      <c r="D4529" s="889">
        <v>46034</v>
      </c>
      <c r="E4529" s="890">
        <v>0.35199074074074072</v>
      </c>
      <c r="F4529" s="890">
        <v>0.69739583333333333</v>
      </c>
    </row>
    <row r="4530" spans="1:6">
      <c r="A4530" s="888" t="s">
        <v>3778</v>
      </c>
      <c r="B4530" s="888" t="s">
        <v>3779</v>
      </c>
      <c r="C4530" s="888" t="s">
        <v>3780</v>
      </c>
    </row>
    <row r="4531" spans="1:6">
      <c r="A4531" s="888">
        <v>250</v>
      </c>
      <c r="B4531" s="888" t="s">
        <v>1172</v>
      </c>
      <c r="C4531" s="888" t="s">
        <v>2310</v>
      </c>
      <c r="D4531" s="889">
        <v>46035</v>
      </c>
      <c r="E4531" s="890">
        <v>0.35515046296296299</v>
      </c>
      <c r="F4531" s="890">
        <v>0.7575925925925926</v>
      </c>
    </row>
    <row r="4532" spans="1:6">
      <c r="A4532" s="888" t="s">
        <v>3781</v>
      </c>
      <c r="B4532" s="888" t="s">
        <v>3782</v>
      </c>
      <c r="C4532" s="888" t="s">
        <v>1624</v>
      </c>
    </row>
    <row r="4533" spans="1:6">
      <c r="A4533" s="888">
        <v>250</v>
      </c>
      <c r="B4533" s="888" t="s">
        <v>1172</v>
      </c>
      <c r="C4533" s="888" t="s">
        <v>2310</v>
      </c>
      <c r="D4533" s="889">
        <v>46036</v>
      </c>
      <c r="E4533" s="890">
        <v>0.35244212962962962</v>
      </c>
      <c r="F4533" s="890">
        <v>0.79644675925925923</v>
      </c>
    </row>
    <row r="4534" spans="1:6">
      <c r="A4534" s="888" t="s">
        <v>3783</v>
      </c>
      <c r="B4534" s="888" t="s">
        <v>3784</v>
      </c>
      <c r="C4534" s="888" t="s">
        <v>1270</v>
      </c>
    </row>
    <row r="4535" spans="1:6">
      <c r="A4535" s="888">
        <v>250</v>
      </c>
      <c r="B4535" s="888" t="s">
        <v>1172</v>
      </c>
      <c r="C4535" s="888" t="s">
        <v>2310</v>
      </c>
      <c r="D4535" s="889">
        <v>46037</v>
      </c>
      <c r="E4535" s="890">
        <v>0.27510416666666665</v>
      </c>
      <c r="F4535" s="890">
        <v>0.27527777777777779</v>
      </c>
    </row>
    <row r="4536" spans="1:6">
      <c r="A4536" s="888" t="s">
        <v>3785</v>
      </c>
      <c r="B4536" s="888" t="s">
        <v>3786</v>
      </c>
      <c r="C4536" s="888" t="s">
        <v>1259</v>
      </c>
    </row>
    <row r="4537" spans="1:6">
      <c r="A4537" s="888">
        <v>250</v>
      </c>
      <c r="B4537" s="888" t="s">
        <v>1172</v>
      </c>
      <c r="C4537" s="888" t="s">
        <v>2310</v>
      </c>
      <c r="D4537" s="889">
        <v>46038</v>
      </c>
      <c r="E4537" s="890">
        <v>9.9768518518518513E-3</v>
      </c>
      <c r="F4537" s="888" t="s">
        <v>310</v>
      </c>
    </row>
    <row r="4538" spans="1:6">
      <c r="A4538" s="888" t="s">
        <v>3787</v>
      </c>
      <c r="B4538" s="888" t="s">
        <v>1258</v>
      </c>
      <c r="C4538" s="888" t="s">
        <v>1259</v>
      </c>
    </row>
    <row r="4539" spans="1:6">
      <c r="A4539" s="888">
        <v>250</v>
      </c>
      <c r="B4539" s="888" t="s">
        <v>1172</v>
      </c>
      <c r="C4539" s="888" t="s">
        <v>2310</v>
      </c>
      <c r="D4539" s="889">
        <v>46039</v>
      </c>
      <c r="E4539" s="890">
        <v>0.62241898148148145</v>
      </c>
      <c r="F4539" s="890">
        <v>0.62253472222222217</v>
      </c>
    </row>
    <row r="4540" spans="1:6">
      <c r="A4540" s="888" t="s">
        <v>3788</v>
      </c>
      <c r="B4540" s="888" t="s">
        <v>3789</v>
      </c>
      <c r="C4540" s="888" t="s">
        <v>1259</v>
      </c>
    </row>
    <row r="4541" spans="1:6">
      <c r="A4541" s="888">
        <v>250</v>
      </c>
      <c r="B4541" s="888" t="s">
        <v>1172</v>
      </c>
      <c r="C4541" s="888" t="s">
        <v>2310</v>
      </c>
      <c r="D4541" s="889">
        <v>46040</v>
      </c>
      <c r="E4541" s="888" t="s">
        <v>310</v>
      </c>
      <c r="F4541" s="888" t="s">
        <v>310</v>
      </c>
    </row>
    <row r="4542" spans="1:6">
      <c r="A4542" s="888">
        <v>250</v>
      </c>
      <c r="B4542" s="888" t="s">
        <v>1172</v>
      </c>
      <c r="C4542" s="888" t="s">
        <v>2310</v>
      </c>
      <c r="D4542" s="889">
        <v>46041</v>
      </c>
      <c r="E4542" s="890">
        <v>0.35097222222222224</v>
      </c>
      <c r="F4542" s="890">
        <v>0.69217592592592592</v>
      </c>
    </row>
    <row r="4543" spans="1:6">
      <c r="A4543" s="888" t="s">
        <v>3790</v>
      </c>
      <c r="B4543" s="888" t="s">
        <v>3791</v>
      </c>
      <c r="C4543" s="888" t="s">
        <v>1352</v>
      </c>
    </row>
    <row r="4544" spans="1:6">
      <c r="A4544" s="888">
        <v>250</v>
      </c>
      <c r="B4544" s="888" t="s">
        <v>1172</v>
      </c>
      <c r="C4544" s="888" t="s">
        <v>2310</v>
      </c>
      <c r="D4544" s="889">
        <v>46042</v>
      </c>
      <c r="E4544" s="890">
        <v>0.35493055555555558</v>
      </c>
      <c r="F4544" s="890">
        <v>0.7600810185185185</v>
      </c>
    </row>
    <row r="4545" spans="1:6">
      <c r="A4545" s="888" t="s">
        <v>3792</v>
      </c>
      <c r="B4545" s="888" t="s">
        <v>3793</v>
      </c>
      <c r="C4545" s="888" t="s">
        <v>1356</v>
      </c>
    </row>
    <row r="4546" spans="1:6">
      <c r="A4546" s="888">
        <v>250</v>
      </c>
      <c r="B4546" s="888" t="s">
        <v>1172</v>
      </c>
      <c r="C4546" s="888" t="s">
        <v>2310</v>
      </c>
      <c r="D4546" s="889">
        <v>46043</v>
      </c>
      <c r="E4546" s="890">
        <v>0.35055555555555556</v>
      </c>
      <c r="F4546" s="890">
        <v>0.76011574074074073</v>
      </c>
    </row>
    <row r="4547" spans="1:6">
      <c r="A4547" s="888" t="s">
        <v>3794</v>
      </c>
      <c r="B4547" s="888" t="s">
        <v>3795</v>
      </c>
      <c r="C4547" s="888" t="s">
        <v>1874</v>
      </c>
    </row>
    <row r="4548" spans="1:6">
      <c r="A4548" s="888">
        <v>250</v>
      </c>
      <c r="B4548" s="888" t="s">
        <v>1172</v>
      </c>
      <c r="C4548" s="888" t="s">
        <v>2310</v>
      </c>
      <c r="D4548" s="889">
        <v>46044</v>
      </c>
      <c r="E4548" s="890">
        <v>0.35431712962962963</v>
      </c>
      <c r="F4548" s="890">
        <v>0.76123842592592594</v>
      </c>
    </row>
    <row r="4549" spans="1:6">
      <c r="A4549" s="888" t="s">
        <v>3796</v>
      </c>
      <c r="B4549" s="888" t="s">
        <v>3797</v>
      </c>
      <c r="C4549" s="888" t="s">
        <v>1868</v>
      </c>
    </row>
    <row r="4550" spans="1:6">
      <c r="A4550" s="888">
        <v>250</v>
      </c>
      <c r="B4550" s="888" t="s">
        <v>1172</v>
      </c>
      <c r="C4550" s="888" t="s">
        <v>2310</v>
      </c>
      <c r="D4550" s="889">
        <v>46045</v>
      </c>
      <c r="E4550" s="890">
        <v>0.3545949074074074</v>
      </c>
      <c r="F4550" s="890">
        <v>0.75859953703703709</v>
      </c>
    </row>
    <row r="4551" spans="1:6">
      <c r="A4551" s="888" t="s">
        <v>3798</v>
      </c>
      <c r="B4551" s="888" t="s">
        <v>3799</v>
      </c>
      <c r="C4551" s="888" t="s">
        <v>1266</v>
      </c>
    </row>
    <row r="4552" spans="1:6">
      <c r="A4552" s="888">
        <v>250</v>
      </c>
      <c r="B4552" s="888" t="s">
        <v>1172</v>
      </c>
      <c r="C4552" s="888" t="s">
        <v>2310</v>
      </c>
      <c r="D4552" s="889">
        <v>46046</v>
      </c>
      <c r="E4552" s="888" t="s">
        <v>310</v>
      </c>
      <c r="F4552" s="888" t="s">
        <v>310</v>
      </c>
    </row>
    <row r="4553" spans="1:6">
      <c r="A4553" s="888">
        <v>250</v>
      </c>
      <c r="B4553" s="888" t="s">
        <v>1172</v>
      </c>
      <c r="C4553" s="888" t="s">
        <v>2310</v>
      </c>
      <c r="D4553" s="889">
        <v>46047</v>
      </c>
      <c r="E4553" s="888" t="s">
        <v>310</v>
      </c>
      <c r="F4553" s="888" t="s">
        <v>310</v>
      </c>
    </row>
    <row r="4554" spans="1:6">
      <c r="A4554" s="888">
        <v>250</v>
      </c>
      <c r="B4554" s="888" t="s">
        <v>1172</v>
      </c>
      <c r="C4554" s="888" t="s">
        <v>2310</v>
      </c>
      <c r="D4554" s="889">
        <v>46048</v>
      </c>
      <c r="E4554" s="890">
        <v>0.36928240740740742</v>
      </c>
      <c r="F4554" s="890">
        <v>0.75681712962962966</v>
      </c>
    </row>
    <row r="4555" spans="1:6">
      <c r="A4555" s="888" t="s">
        <v>3800</v>
      </c>
      <c r="B4555" s="888" t="s">
        <v>3801</v>
      </c>
      <c r="C4555" s="888" t="s">
        <v>1410</v>
      </c>
    </row>
    <row r="4556" spans="1:6">
      <c r="A4556" s="888">
        <v>250</v>
      </c>
      <c r="B4556" s="888" t="s">
        <v>1172</v>
      </c>
      <c r="C4556" s="888" t="s">
        <v>2310</v>
      </c>
      <c r="D4556" s="889">
        <v>46049</v>
      </c>
      <c r="E4556" s="890">
        <v>0.3542939814814815</v>
      </c>
      <c r="F4556" s="890">
        <v>0.757349537037037</v>
      </c>
    </row>
    <row r="4557" spans="1:6">
      <c r="A4557" s="888" t="s">
        <v>3802</v>
      </c>
      <c r="B4557" s="888" t="s">
        <v>3803</v>
      </c>
      <c r="C4557" s="888" t="s">
        <v>1624</v>
      </c>
    </row>
    <row r="4558" spans="1:6">
      <c r="A4558" s="888">
        <v>250</v>
      </c>
      <c r="B4558" s="888" t="s">
        <v>1172</v>
      </c>
      <c r="C4558" s="888" t="s">
        <v>2310</v>
      </c>
      <c r="D4558" s="889">
        <v>46050</v>
      </c>
      <c r="E4558" s="890">
        <v>0.35303240740740743</v>
      </c>
      <c r="F4558" s="890">
        <v>0.73179398148148145</v>
      </c>
    </row>
    <row r="4559" spans="1:6">
      <c r="A4559" s="888" t="s">
        <v>3804</v>
      </c>
      <c r="B4559" s="888" t="s">
        <v>3805</v>
      </c>
      <c r="C4559" s="888" t="s">
        <v>1336</v>
      </c>
    </row>
    <row r="4560" spans="1:6">
      <c r="A4560" s="888">
        <v>250</v>
      </c>
      <c r="B4560" s="888" t="s">
        <v>1172</v>
      </c>
      <c r="C4560" s="888" t="s">
        <v>2310</v>
      </c>
      <c r="D4560" s="889">
        <v>46051</v>
      </c>
      <c r="E4560" s="890">
        <v>0.35267361111111112</v>
      </c>
      <c r="F4560" s="890">
        <v>0.7371875</v>
      </c>
    </row>
    <row r="4561" spans="1:6">
      <c r="A4561" s="888" t="s">
        <v>3806</v>
      </c>
      <c r="B4561" s="888" t="s">
        <v>3807</v>
      </c>
      <c r="C4561" s="888" t="s">
        <v>3170</v>
      </c>
    </row>
    <row r="4562" spans="1:6">
      <c r="A4562" s="888">
        <v>250</v>
      </c>
      <c r="B4562" s="888" t="s">
        <v>1172</v>
      </c>
      <c r="C4562" s="888" t="s">
        <v>2310</v>
      </c>
      <c r="D4562" s="889">
        <v>46052</v>
      </c>
      <c r="E4562" s="890">
        <v>0.56150462962962966</v>
      </c>
      <c r="F4562" s="890">
        <v>0.91037037037037039</v>
      </c>
    </row>
    <row r="4563" spans="1:6">
      <c r="A4563" s="888" t="s">
        <v>3808</v>
      </c>
      <c r="B4563" s="888" t="s">
        <v>3809</v>
      </c>
      <c r="C4563" s="888" t="s">
        <v>3342</v>
      </c>
    </row>
    <row r="4564" spans="1:6">
      <c r="A4564" s="888">
        <v>250</v>
      </c>
      <c r="B4564" s="888" t="s">
        <v>1172</v>
      </c>
      <c r="C4564" s="888" t="s">
        <v>2310</v>
      </c>
      <c r="D4564" s="889">
        <v>46053</v>
      </c>
      <c r="E4564" s="888" t="s">
        <v>310</v>
      </c>
      <c r="F4564" s="888" t="s">
        <v>310</v>
      </c>
    </row>
    <row r="4565" spans="1:6">
      <c r="A4565" s="888">
        <v>250</v>
      </c>
      <c r="B4565" s="888" t="s">
        <v>1172</v>
      </c>
      <c r="C4565" s="888" t="s">
        <v>2310</v>
      </c>
      <c r="D4565" s="889">
        <v>46054</v>
      </c>
      <c r="E4565" s="888" t="s">
        <v>310</v>
      </c>
      <c r="F4565" s="888" t="s">
        <v>310</v>
      </c>
    </row>
    <row r="4566" spans="1:6">
      <c r="A4566" s="888">
        <v>251</v>
      </c>
      <c r="B4566" s="888" t="s">
        <v>1173</v>
      </c>
      <c r="C4566" s="888" t="s">
        <v>1767</v>
      </c>
      <c r="D4566" s="889">
        <v>46023</v>
      </c>
      <c r="E4566" s="888" t="s">
        <v>310</v>
      </c>
      <c r="F4566" s="888" t="s">
        <v>310</v>
      </c>
    </row>
    <row r="4567" spans="1:6">
      <c r="A4567" s="888">
        <v>251</v>
      </c>
      <c r="B4567" s="888" t="s">
        <v>1173</v>
      </c>
      <c r="C4567" s="888" t="s">
        <v>1767</v>
      </c>
      <c r="D4567" s="889">
        <v>46024</v>
      </c>
      <c r="E4567" s="888" t="s">
        <v>310</v>
      </c>
      <c r="F4567" s="888" t="s">
        <v>310</v>
      </c>
    </row>
    <row r="4568" spans="1:6">
      <c r="A4568" s="888">
        <v>251</v>
      </c>
      <c r="B4568" s="888" t="s">
        <v>1173</v>
      </c>
      <c r="C4568" s="888" t="s">
        <v>1767</v>
      </c>
      <c r="D4568" s="889">
        <v>46025</v>
      </c>
      <c r="E4568" s="888" t="s">
        <v>310</v>
      </c>
      <c r="F4568" s="888" t="s">
        <v>310</v>
      </c>
    </row>
    <row r="4569" spans="1:6">
      <c r="A4569" s="888">
        <v>251</v>
      </c>
      <c r="B4569" s="888" t="s">
        <v>1173</v>
      </c>
      <c r="C4569" s="888" t="s">
        <v>1767</v>
      </c>
      <c r="D4569" s="889">
        <v>46026</v>
      </c>
      <c r="E4569" s="888" t="s">
        <v>310</v>
      </c>
      <c r="F4569" s="888" t="s">
        <v>310</v>
      </c>
    </row>
    <row r="4570" spans="1:6">
      <c r="A4570" s="888">
        <v>251</v>
      </c>
      <c r="B4570" s="888" t="s">
        <v>1173</v>
      </c>
      <c r="C4570" s="888" t="s">
        <v>1767</v>
      </c>
      <c r="D4570" s="889">
        <v>46027</v>
      </c>
      <c r="E4570" s="890">
        <v>0.37337962962962962</v>
      </c>
      <c r="F4570" s="890">
        <v>0.77409722222222221</v>
      </c>
    </row>
    <row r="4571" spans="1:6">
      <c r="A4571" s="888" t="s">
        <v>3810</v>
      </c>
      <c r="B4571" s="888" t="s">
        <v>3811</v>
      </c>
      <c r="C4571" s="888" t="s">
        <v>1378</v>
      </c>
    </row>
    <row r="4572" spans="1:6">
      <c r="A4572" s="888">
        <v>251</v>
      </c>
      <c r="B4572" s="888" t="s">
        <v>1173</v>
      </c>
      <c r="C4572" s="888" t="s">
        <v>1767</v>
      </c>
      <c r="D4572" s="889">
        <v>46028</v>
      </c>
      <c r="E4572" s="890">
        <v>0.36599537037037039</v>
      </c>
      <c r="F4572" s="890">
        <v>0.75555555555555554</v>
      </c>
    </row>
    <row r="4573" spans="1:6">
      <c r="A4573" s="888" t="s">
        <v>3812</v>
      </c>
      <c r="B4573" s="888" t="s">
        <v>3813</v>
      </c>
      <c r="C4573" s="888" t="s">
        <v>1737</v>
      </c>
    </row>
    <row r="4574" spans="1:6">
      <c r="A4574" s="888">
        <v>251</v>
      </c>
      <c r="B4574" s="888" t="s">
        <v>1173</v>
      </c>
      <c r="C4574" s="888" t="s">
        <v>1767</v>
      </c>
      <c r="D4574" s="889">
        <v>46029</v>
      </c>
      <c r="E4574" s="890">
        <v>0.35974537037037035</v>
      </c>
      <c r="F4574" s="890">
        <v>0.75789351851851849</v>
      </c>
    </row>
    <row r="4575" spans="1:6">
      <c r="A4575" s="888" t="s">
        <v>3814</v>
      </c>
      <c r="B4575" s="888" t="s">
        <v>3815</v>
      </c>
      <c r="C4575" s="888" t="s">
        <v>1457</v>
      </c>
    </row>
    <row r="4576" spans="1:6">
      <c r="A4576" s="888">
        <v>251</v>
      </c>
      <c r="B4576" s="888" t="s">
        <v>1173</v>
      </c>
      <c r="C4576" s="888" t="s">
        <v>1767</v>
      </c>
      <c r="D4576" s="889">
        <v>46030</v>
      </c>
      <c r="E4576" s="890">
        <v>0.36769675925925926</v>
      </c>
      <c r="F4576" s="890">
        <v>0.75671296296296298</v>
      </c>
    </row>
    <row r="4577" spans="1:6">
      <c r="A4577" s="888" t="s">
        <v>3816</v>
      </c>
      <c r="B4577" s="888" t="s">
        <v>3817</v>
      </c>
      <c r="C4577" s="888" t="s">
        <v>2232</v>
      </c>
    </row>
    <row r="4578" spans="1:6">
      <c r="A4578" s="888">
        <v>251</v>
      </c>
      <c r="B4578" s="888" t="s">
        <v>1173</v>
      </c>
      <c r="C4578" s="888" t="s">
        <v>1767</v>
      </c>
      <c r="D4578" s="889">
        <v>46031</v>
      </c>
      <c r="E4578" s="890">
        <v>0.35579861111111111</v>
      </c>
      <c r="F4578" s="890">
        <v>0.75645833333333334</v>
      </c>
    </row>
    <row r="4579" spans="1:6">
      <c r="A4579" s="888" t="s">
        <v>3818</v>
      </c>
      <c r="B4579" s="888" t="s">
        <v>3819</v>
      </c>
      <c r="C4579" s="888" t="s">
        <v>1378</v>
      </c>
    </row>
    <row r="4580" spans="1:6">
      <c r="A4580" s="888">
        <v>251</v>
      </c>
      <c r="B4580" s="888" t="s">
        <v>1173</v>
      </c>
      <c r="C4580" s="888" t="s">
        <v>1767</v>
      </c>
      <c r="D4580" s="889">
        <v>46032</v>
      </c>
      <c r="E4580" s="890">
        <v>0.35818287037037039</v>
      </c>
      <c r="F4580" s="890">
        <v>0.50697916666666665</v>
      </c>
    </row>
    <row r="4581" spans="1:6">
      <c r="A4581" s="888" t="s">
        <v>3820</v>
      </c>
      <c r="B4581" s="888" t="s">
        <v>3821</v>
      </c>
      <c r="C4581" s="888" t="s">
        <v>3822</v>
      </c>
    </row>
    <row r="4582" spans="1:6">
      <c r="A4582" s="888">
        <v>251</v>
      </c>
      <c r="B4582" s="888" t="s">
        <v>1173</v>
      </c>
      <c r="C4582" s="888" t="s">
        <v>1767</v>
      </c>
      <c r="D4582" s="889">
        <v>46033</v>
      </c>
      <c r="E4582" s="888" t="s">
        <v>310</v>
      </c>
      <c r="F4582" s="888" t="s">
        <v>310</v>
      </c>
    </row>
    <row r="4583" spans="1:6">
      <c r="A4583" s="888">
        <v>251</v>
      </c>
      <c r="B4583" s="888" t="s">
        <v>1173</v>
      </c>
      <c r="C4583" s="888" t="s">
        <v>1767</v>
      </c>
      <c r="D4583" s="889">
        <v>46034</v>
      </c>
      <c r="E4583" s="890">
        <v>0.36056712962962961</v>
      </c>
      <c r="F4583" s="890">
        <v>0.75385416666666671</v>
      </c>
    </row>
    <row r="4584" spans="1:6">
      <c r="A4584" s="888" t="s">
        <v>3823</v>
      </c>
      <c r="B4584" s="888" t="s">
        <v>3824</v>
      </c>
      <c r="C4584" s="888" t="s">
        <v>1776</v>
      </c>
    </row>
    <row r="4585" spans="1:6">
      <c r="A4585" s="888">
        <v>251</v>
      </c>
      <c r="B4585" s="888" t="s">
        <v>1173</v>
      </c>
      <c r="C4585" s="888" t="s">
        <v>1767</v>
      </c>
      <c r="D4585" s="889">
        <v>46035</v>
      </c>
      <c r="E4585" s="890">
        <v>0.35267361111111112</v>
      </c>
      <c r="F4585" s="890">
        <v>0.75408564814814816</v>
      </c>
    </row>
    <row r="4586" spans="1:6">
      <c r="A4586" s="888" t="s">
        <v>3825</v>
      </c>
      <c r="B4586" s="888" t="s">
        <v>3826</v>
      </c>
      <c r="C4586" s="888" t="s">
        <v>1466</v>
      </c>
    </row>
    <row r="4587" spans="1:6">
      <c r="A4587" s="888">
        <v>251</v>
      </c>
      <c r="B4587" s="888" t="s">
        <v>1173</v>
      </c>
      <c r="C4587" s="888" t="s">
        <v>1767</v>
      </c>
      <c r="D4587" s="889">
        <v>46036</v>
      </c>
      <c r="E4587" s="890">
        <v>0.36115740740740743</v>
      </c>
      <c r="F4587" s="890">
        <v>0.75725694444444447</v>
      </c>
    </row>
    <row r="4588" spans="1:6">
      <c r="A4588" s="888" t="s">
        <v>3827</v>
      </c>
      <c r="B4588" s="888" t="s">
        <v>3828</v>
      </c>
      <c r="C4588" s="888" t="s">
        <v>1404</v>
      </c>
    </row>
    <row r="4589" spans="1:6">
      <c r="A4589" s="888">
        <v>251</v>
      </c>
      <c r="B4589" s="888" t="s">
        <v>1173</v>
      </c>
      <c r="C4589" s="888" t="s">
        <v>1767</v>
      </c>
      <c r="D4589" s="889">
        <v>46037</v>
      </c>
      <c r="E4589" s="890">
        <v>0.56311342592592595</v>
      </c>
      <c r="F4589" s="890">
        <v>0.755462962962963</v>
      </c>
    </row>
    <row r="4590" spans="1:6">
      <c r="A4590" s="888" t="s">
        <v>3829</v>
      </c>
      <c r="B4590" s="888" t="s">
        <v>3830</v>
      </c>
      <c r="C4590" s="888" t="s">
        <v>1969</v>
      </c>
    </row>
    <row r="4591" spans="1:6">
      <c r="A4591" s="888">
        <v>251</v>
      </c>
      <c r="B4591" s="888" t="s">
        <v>1173</v>
      </c>
      <c r="C4591" s="888" t="s">
        <v>1767</v>
      </c>
      <c r="D4591" s="889">
        <v>46038</v>
      </c>
      <c r="E4591" s="890">
        <v>0.35946759259259259</v>
      </c>
      <c r="F4591" s="890">
        <v>0.78112268518518524</v>
      </c>
    </row>
    <row r="4592" spans="1:6">
      <c r="A4592" s="888" t="s">
        <v>3831</v>
      </c>
      <c r="B4592" s="888" t="s">
        <v>3832</v>
      </c>
      <c r="C4592" s="888" t="s">
        <v>1390</v>
      </c>
    </row>
    <row r="4593" spans="1:6">
      <c r="A4593" s="888">
        <v>251</v>
      </c>
      <c r="B4593" s="888" t="s">
        <v>1173</v>
      </c>
      <c r="C4593" s="888" t="s">
        <v>1767</v>
      </c>
      <c r="D4593" s="889">
        <v>46039</v>
      </c>
      <c r="E4593" s="888" t="s">
        <v>310</v>
      </c>
      <c r="F4593" s="888" t="s">
        <v>310</v>
      </c>
    </row>
    <row r="4594" spans="1:6">
      <c r="A4594" s="888">
        <v>251</v>
      </c>
      <c r="B4594" s="888" t="s">
        <v>1173</v>
      </c>
      <c r="C4594" s="888" t="s">
        <v>1767</v>
      </c>
      <c r="D4594" s="889">
        <v>46040</v>
      </c>
      <c r="E4594" s="888" t="s">
        <v>310</v>
      </c>
      <c r="F4594" s="888" t="s">
        <v>310</v>
      </c>
    </row>
    <row r="4595" spans="1:6">
      <c r="A4595" s="888">
        <v>251</v>
      </c>
      <c r="B4595" s="888" t="s">
        <v>1173</v>
      </c>
      <c r="C4595" s="888" t="s">
        <v>1767</v>
      </c>
      <c r="D4595" s="889">
        <v>46041</v>
      </c>
      <c r="E4595" s="890">
        <v>0.36166666666666669</v>
      </c>
      <c r="F4595" s="890">
        <v>0.75531250000000005</v>
      </c>
    </row>
    <row r="4596" spans="1:6">
      <c r="A4596" s="888" t="s">
        <v>3833</v>
      </c>
      <c r="B4596" s="888" t="s">
        <v>3834</v>
      </c>
      <c r="C4596" s="888" t="s">
        <v>1291</v>
      </c>
    </row>
    <row r="4597" spans="1:6">
      <c r="A4597" s="888">
        <v>251</v>
      </c>
      <c r="B4597" s="888" t="s">
        <v>1173</v>
      </c>
      <c r="C4597" s="888" t="s">
        <v>1767</v>
      </c>
      <c r="D4597" s="889">
        <v>46042</v>
      </c>
      <c r="E4597" s="890">
        <v>0.3614236111111111</v>
      </c>
      <c r="F4597" s="890">
        <v>0.75922453703703707</v>
      </c>
    </row>
    <row r="4598" spans="1:6">
      <c r="A4598" s="888" t="s">
        <v>3835</v>
      </c>
      <c r="B4598" s="888" t="s">
        <v>3836</v>
      </c>
      <c r="C4598" s="888" t="s">
        <v>1457</v>
      </c>
    </row>
    <row r="4599" spans="1:6">
      <c r="A4599" s="888">
        <v>251</v>
      </c>
      <c r="B4599" s="888" t="s">
        <v>1173</v>
      </c>
      <c r="C4599" s="888" t="s">
        <v>1767</v>
      </c>
      <c r="D4599" s="889">
        <v>46043</v>
      </c>
      <c r="E4599" s="890">
        <v>0.35971064814814813</v>
      </c>
      <c r="F4599" s="890">
        <v>0.75550925925925927</v>
      </c>
    </row>
    <row r="4600" spans="1:6">
      <c r="A4600" s="888" t="s">
        <v>3837</v>
      </c>
      <c r="B4600" s="888" t="s">
        <v>3838</v>
      </c>
      <c r="C4600" s="888" t="s">
        <v>1404</v>
      </c>
    </row>
    <row r="4601" spans="1:6">
      <c r="A4601" s="888">
        <v>251</v>
      </c>
      <c r="B4601" s="888" t="s">
        <v>1173</v>
      </c>
      <c r="C4601" s="888" t="s">
        <v>1767</v>
      </c>
      <c r="D4601" s="889">
        <v>46044</v>
      </c>
      <c r="E4601" s="890">
        <v>0.36121527777777779</v>
      </c>
      <c r="F4601" s="890">
        <v>0.75633101851851847</v>
      </c>
    </row>
    <row r="4602" spans="1:6">
      <c r="A4602" s="888" t="s">
        <v>3839</v>
      </c>
      <c r="B4602" s="888" t="s">
        <v>3840</v>
      </c>
      <c r="C4602" s="888" t="s">
        <v>1413</v>
      </c>
    </row>
    <row r="4603" spans="1:6">
      <c r="A4603" s="888">
        <v>251</v>
      </c>
      <c r="B4603" s="888" t="s">
        <v>1173</v>
      </c>
      <c r="C4603" s="888" t="s">
        <v>1767</v>
      </c>
      <c r="D4603" s="889">
        <v>46045</v>
      </c>
      <c r="E4603" s="890">
        <v>0.36400462962962965</v>
      </c>
      <c r="F4603" s="890">
        <v>0.78210648148148143</v>
      </c>
    </row>
    <row r="4604" spans="1:6">
      <c r="A4604" s="888" t="s">
        <v>3841</v>
      </c>
      <c r="B4604" s="888" t="s">
        <v>3842</v>
      </c>
      <c r="C4604" s="888" t="s">
        <v>1790</v>
      </c>
    </row>
    <row r="4605" spans="1:6">
      <c r="A4605" s="888">
        <v>251</v>
      </c>
      <c r="B4605" s="888" t="s">
        <v>1173</v>
      </c>
      <c r="C4605" s="888" t="s">
        <v>1767</v>
      </c>
      <c r="D4605" s="889">
        <v>46046</v>
      </c>
      <c r="E4605" s="888" t="s">
        <v>310</v>
      </c>
      <c r="F4605" s="888" t="s">
        <v>310</v>
      </c>
    </row>
    <row r="4606" spans="1:6">
      <c r="A4606" s="888">
        <v>251</v>
      </c>
      <c r="B4606" s="888" t="s">
        <v>1173</v>
      </c>
      <c r="C4606" s="888" t="s">
        <v>1767</v>
      </c>
      <c r="D4606" s="889">
        <v>46047</v>
      </c>
      <c r="E4606" s="888" t="s">
        <v>310</v>
      </c>
      <c r="F4606" s="888" t="s">
        <v>310</v>
      </c>
    </row>
    <row r="4607" spans="1:6">
      <c r="A4607" s="888">
        <v>251</v>
      </c>
      <c r="B4607" s="888" t="s">
        <v>1173</v>
      </c>
      <c r="C4607" s="888" t="s">
        <v>1767</v>
      </c>
      <c r="D4607" s="889">
        <v>46048</v>
      </c>
      <c r="E4607" s="890">
        <v>0.36149305555555555</v>
      </c>
      <c r="F4607" s="890">
        <v>0.75942129629629629</v>
      </c>
    </row>
    <row r="4608" spans="1:6">
      <c r="A4608" s="888" t="s">
        <v>3843</v>
      </c>
      <c r="B4608" s="888" t="s">
        <v>3844</v>
      </c>
      <c r="C4608" s="888" t="s">
        <v>1457</v>
      </c>
    </row>
    <row r="4609" spans="1:6">
      <c r="A4609" s="888">
        <v>251</v>
      </c>
      <c r="B4609" s="888" t="s">
        <v>1173</v>
      </c>
      <c r="C4609" s="888" t="s">
        <v>1767</v>
      </c>
      <c r="D4609" s="889">
        <v>46049</v>
      </c>
      <c r="E4609" s="890">
        <v>0.36768518518518517</v>
      </c>
      <c r="F4609" s="890">
        <v>0.75899305555555552</v>
      </c>
    </row>
    <row r="4610" spans="1:6">
      <c r="A4610" s="888" t="s">
        <v>3845</v>
      </c>
      <c r="B4610" s="888" t="s">
        <v>3846</v>
      </c>
      <c r="C4610" s="888" t="s">
        <v>1437</v>
      </c>
    </row>
    <row r="4611" spans="1:6">
      <c r="A4611" s="888">
        <v>251</v>
      </c>
      <c r="B4611" s="888" t="s">
        <v>1173</v>
      </c>
      <c r="C4611" s="888" t="s">
        <v>1767</v>
      </c>
      <c r="D4611" s="889">
        <v>46050</v>
      </c>
      <c r="E4611" s="890">
        <v>0.36146990740740742</v>
      </c>
      <c r="F4611" s="890">
        <v>0.76118055555555553</v>
      </c>
    </row>
    <row r="4612" spans="1:6">
      <c r="A4612" s="888" t="s">
        <v>3847</v>
      </c>
      <c r="B4612" s="888" t="s">
        <v>3848</v>
      </c>
      <c r="C4612" s="888" t="s">
        <v>1526</v>
      </c>
    </row>
    <row r="4613" spans="1:6">
      <c r="A4613" s="888">
        <v>251</v>
      </c>
      <c r="B4613" s="888" t="s">
        <v>1173</v>
      </c>
      <c r="C4613" s="888" t="s">
        <v>1767</v>
      </c>
      <c r="D4613" s="889">
        <v>46051</v>
      </c>
      <c r="E4613" s="890">
        <v>0.35711805555555554</v>
      </c>
      <c r="F4613" s="890">
        <v>0.75534722222222217</v>
      </c>
    </row>
    <row r="4614" spans="1:6">
      <c r="A4614" s="888" t="s">
        <v>3849</v>
      </c>
      <c r="B4614" s="888" t="s">
        <v>3850</v>
      </c>
      <c r="C4614" s="888" t="s">
        <v>1457</v>
      </c>
    </row>
    <row r="4615" spans="1:6">
      <c r="A4615" s="888">
        <v>251</v>
      </c>
      <c r="B4615" s="888" t="s">
        <v>1173</v>
      </c>
      <c r="C4615" s="888" t="s">
        <v>1767</v>
      </c>
      <c r="D4615" s="889">
        <v>46052</v>
      </c>
      <c r="E4615" s="890">
        <v>0.55885416666666665</v>
      </c>
      <c r="F4615" s="890">
        <v>0.78650462962962964</v>
      </c>
    </row>
    <row r="4616" spans="1:6">
      <c r="A4616" s="888" t="s">
        <v>3851</v>
      </c>
      <c r="B4616" s="888" t="s">
        <v>3852</v>
      </c>
      <c r="C4616" s="888" t="s">
        <v>1863</v>
      </c>
    </row>
    <row r="4617" spans="1:6">
      <c r="A4617" s="888">
        <v>251</v>
      </c>
      <c r="B4617" s="888" t="s">
        <v>1173</v>
      </c>
      <c r="C4617" s="888" t="s">
        <v>1767</v>
      </c>
      <c r="D4617" s="889">
        <v>46053</v>
      </c>
      <c r="E4617" s="888" t="s">
        <v>310</v>
      </c>
      <c r="F4617" s="888" t="s">
        <v>310</v>
      </c>
    </row>
    <row r="4618" spans="1:6">
      <c r="A4618" s="888">
        <v>251</v>
      </c>
      <c r="B4618" s="888" t="s">
        <v>1173</v>
      </c>
      <c r="C4618" s="888" t="s">
        <v>1767</v>
      </c>
      <c r="D4618" s="889">
        <v>46054</v>
      </c>
      <c r="E4618" s="888" t="s">
        <v>310</v>
      </c>
      <c r="F4618" s="888" t="s">
        <v>310</v>
      </c>
    </row>
    <row r="4619" spans="1:6">
      <c r="A4619" s="888">
        <v>252</v>
      </c>
      <c r="B4619" s="888" t="s">
        <v>1174</v>
      </c>
      <c r="C4619" s="888" t="s">
        <v>1767</v>
      </c>
      <c r="D4619" s="889">
        <v>46023</v>
      </c>
      <c r="E4619" s="888" t="s">
        <v>310</v>
      </c>
      <c r="F4619" s="888" t="s">
        <v>310</v>
      </c>
    </row>
    <row r="4620" spans="1:6">
      <c r="A4620" s="888">
        <v>252</v>
      </c>
      <c r="B4620" s="888" t="s">
        <v>1174</v>
      </c>
      <c r="C4620" s="888" t="s">
        <v>1767</v>
      </c>
      <c r="D4620" s="889">
        <v>46024</v>
      </c>
      <c r="E4620" s="888" t="s">
        <v>310</v>
      </c>
      <c r="F4620" s="888" t="s">
        <v>310</v>
      </c>
    </row>
    <row r="4621" spans="1:6">
      <c r="A4621" s="888">
        <v>252</v>
      </c>
      <c r="B4621" s="888" t="s">
        <v>1174</v>
      </c>
      <c r="C4621" s="888" t="s">
        <v>1767</v>
      </c>
      <c r="D4621" s="889">
        <v>46025</v>
      </c>
      <c r="E4621" s="888" t="s">
        <v>310</v>
      </c>
      <c r="F4621" s="888" t="s">
        <v>310</v>
      </c>
    </row>
    <row r="4622" spans="1:6">
      <c r="A4622" s="888">
        <v>252</v>
      </c>
      <c r="B4622" s="888" t="s">
        <v>1174</v>
      </c>
      <c r="C4622" s="888" t="s">
        <v>1767</v>
      </c>
      <c r="D4622" s="889">
        <v>46026</v>
      </c>
      <c r="E4622" s="888" t="s">
        <v>310</v>
      </c>
      <c r="F4622" s="888" t="s">
        <v>310</v>
      </c>
    </row>
    <row r="4623" spans="1:6">
      <c r="A4623" s="888">
        <v>252</v>
      </c>
      <c r="B4623" s="888" t="s">
        <v>1174</v>
      </c>
      <c r="C4623" s="888" t="s">
        <v>1767</v>
      </c>
      <c r="D4623" s="889">
        <v>46027</v>
      </c>
      <c r="E4623" s="890">
        <v>0.54284722222222226</v>
      </c>
      <c r="F4623" s="890">
        <v>0.79450231481481481</v>
      </c>
    </row>
    <row r="4624" spans="1:6">
      <c r="A4624" s="888" t="s">
        <v>3853</v>
      </c>
      <c r="B4624" s="888" t="s">
        <v>3854</v>
      </c>
      <c r="C4624" s="888" t="s">
        <v>3679</v>
      </c>
    </row>
    <row r="4625" spans="1:6">
      <c r="A4625" s="888">
        <v>252</v>
      </c>
      <c r="B4625" s="888" t="s">
        <v>1174</v>
      </c>
      <c r="C4625" s="888" t="s">
        <v>1767</v>
      </c>
      <c r="D4625" s="889">
        <v>46028</v>
      </c>
      <c r="E4625" s="890">
        <v>0.8183449074074074</v>
      </c>
      <c r="F4625" s="890">
        <v>0.81837962962962962</v>
      </c>
    </row>
    <row r="4626" spans="1:6">
      <c r="A4626" s="888" t="s">
        <v>3855</v>
      </c>
      <c r="B4626" s="888" t="s">
        <v>3856</v>
      </c>
      <c r="C4626" s="888" t="s">
        <v>1259</v>
      </c>
    </row>
    <row r="4627" spans="1:6">
      <c r="A4627" s="888">
        <v>252</v>
      </c>
      <c r="B4627" s="888" t="s">
        <v>1174</v>
      </c>
      <c r="C4627" s="888" t="s">
        <v>1767</v>
      </c>
      <c r="D4627" s="889">
        <v>46029</v>
      </c>
      <c r="E4627" s="890">
        <v>0.37307870370370372</v>
      </c>
      <c r="F4627" s="888" t="s">
        <v>310</v>
      </c>
    </row>
    <row r="4628" spans="1:6">
      <c r="A4628" s="888" t="s">
        <v>3857</v>
      </c>
      <c r="B4628" s="888" t="s">
        <v>1258</v>
      </c>
      <c r="C4628" s="888" t="s">
        <v>1259</v>
      </c>
    </row>
    <row r="4629" spans="1:6">
      <c r="A4629" s="888">
        <v>252</v>
      </c>
      <c r="B4629" s="888" t="s">
        <v>1174</v>
      </c>
      <c r="C4629" s="888" t="s">
        <v>1767</v>
      </c>
      <c r="D4629" s="889">
        <v>46030</v>
      </c>
      <c r="E4629" s="890">
        <v>0.36967592592592591</v>
      </c>
      <c r="F4629" s="890">
        <v>0.77288194444444447</v>
      </c>
    </row>
    <row r="4630" spans="1:6">
      <c r="A4630" s="888" t="s">
        <v>3858</v>
      </c>
      <c r="B4630" s="888" t="s">
        <v>3859</v>
      </c>
      <c r="C4630" s="888" t="s">
        <v>1363</v>
      </c>
    </row>
    <row r="4631" spans="1:6">
      <c r="A4631" s="888">
        <v>252</v>
      </c>
      <c r="B4631" s="888" t="s">
        <v>1174</v>
      </c>
      <c r="C4631" s="888" t="s">
        <v>1767</v>
      </c>
      <c r="D4631" s="889">
        <v>46031</v>
      </c>
      <c r="E4631" s="890">
        <v>0.51324074074074078</v>
      </c>
      <c r="F4631" s="888" t="s">
        <v>310</v>
      </c>
    </row>
    <row r="4632" spans="1:6">
      <c r="A4632" s="888" t="s">
        <v>3860</v>
      </c>
      <c r="B4632" s="888" t="s">
        <v>1258</v>
      </c>
      <c r="C4632" s="888" t="s">
        <v>1259</v>
      </c>
    </row>
    <row r="4633" spans="1:6">
      <c r="A4633" s="888">
        <v>252</v>
      </c>
      <c r="B4633" s="888" t="s">
        <v>1174</v>
      </c>
      <c r="C4633" s="888" t="s">
        <v>1767</v>
      </c>
      <c r="D4633" s="889">
        <v>46032</v>
      </c>
      <c r="E4633" s="888" t="s">
        <v>310</v>
      </c>
      <c r="F4633" s="888" t="s">
        <v>310</v>
      </c>
    </row>
    <row r="4634" spans="1:6">
      <c r="A4634" s="888">
        <v>252</v>
      </c>
      <c r="B4634" s="888" t="s">
        <v>1174</v>
      </c>
      <c r="C4634" s="888" t="s">
        <v>1767</v>
      </c>
      <c r="D4634" s="889">
        <v>46033</v>
      </c>
      <c r="E4634" s="888" t="s">
        <v>310</v>
      </c>
      <c r="F4634" s="888" t="s">
        <v>310</v>
      </c>
    </row>
    <row r="4635" spans="1:6">
      <c r="A4635" s="888">
        <v>252</v>
      </c>
      <c r="B4635" s="888" t="s">
        <v>1174</v>
      </c>
      <c r="C4635" s="888" t="s">
        <v>1767</v>
      </c>
      <c r="D4635" s="889">
        <v>46034</v>
      </c>
      <c r="E4635" s="888" t="s">
        <v>310</v>
      </c>
      <c r="F4635" s="888" t="s">
        <v>310</v>
      </c>
    </row>
    <row r="4636" spans="1:6">
      <c r="A4636" s="888">
        <v>252</v>
      </c>
      <c r="B4636" s="888" t="s">
        <v>1174</v>
      </c>
      <c r="C4636" s="888" t="s">
        <v>1767</v>
      </c>
      <c r="D4636" s="889">
        <v>46035</v>
      </c>
      <c r="E4636" s="890">
        <v>0.53062500000000001</v>
      </c>
      <c r="F4636" s="890">
        <v>0.78403935185185181</v>
      </c>
    </row>
    <row r="4637" spans="1:6">
      <c r="A4637" s="888" t="s">
        <v>3861</v>
      </c>
      <c r="B4637" s="888" t="s">
        <v>3862</v>
      </c>
      <c r="C4637" s="888" t="s">
        <v>3863</v>
      </c>
    </row>
    <row r="4638" spans="1:6">
      <c r="A4638" s="888">
        <v>252</v>
      </c>
      <c r="B4638" s="888" t="s">
        <v>1174</v>
      </c>
      <c r="C4638" s="888" t="s">
        <v>1767</v>
      </c>
      <c r="D4638" s="889">
        <v>46036</v>
      </c>
      <c r="E4638" s="890">
        <v>0.36331018518518521</v>
      </c>
      <c r="F4638" s="890">
        <v>0.36430555555555555</v>
      </c>
    </row>
    <row r="4639" spans="1:6">
      <c r="A4639" s="888" t="s">
        <v>3864</v>
      </c>
      <c r="B4639" s="888" t="s">
        <v>3865</v>
      </c>
      <c r="C4639" s="888" t="s">
        <v>1570</v>
      </c>
    </row>
    <row r="4640" spans="1:6">
      <c r="A4640" s="888">
        <v>252</v>
      </c>
      <c r="B4640" s="888" t="s">
        <v>1174</v>
      </c>
      <c r="C4640" s="888" t="s">
        <v>1767</v>
      </c>
      <c r="D4640" s="889">
        <v>46037</v>
      </c>
      <c r="E4640" s="890">
        <v>0.82278935185185187</v>
      </c>
      <c r="F4640" s="890">
        <v>0.82295138888888886</v>
      </c>
    </row>
    <row r="4641" spans="1:6">
      <c r="A4641" s="888" t="s">
        <v>3866</v>
      </c>
      <c r="B4641" s="888" t="s">
        <v>3867</v>
      </c>
      <c r="C4641" s="888" t="s">
        <v>1259</v>
      </c>
    </row>
    <row r="4642" spans="1:6">
      <c r="A4642" s="888">
        <v>252</v>
      </c>
      <c r="B4642" s="888" t="s">
        <v>1174</v>
      </c>
      <c r="C4642" s="888" t="s">
        <v>1767</v>
      </c>
      <c r="D4642" s="889">
        <v>46038</v>
      </c>
      <c r="E4642" s="888" t="s">
        <v>310</v>
      </c>
      <c r="F4642" s="888" t="s">
        <v>310</v>
      </c>
    </row>
    <row r="4643" spans="1:6">
      <c r="A4643" s="888">
        <v>252</v>
      </c>
      <c r="B4643" s="888" t="s">
        <v>1174</v>
      </c>
      <c r="C4643" s="888" t="s">
        <v>1767</v>
      </c>
      <c r="D4643" s="889">
        <v>46039</v>
      </c>
      <c r="E4643" s="888" t="s">
        <v>310</v>
      </c>
      <c r="F4643" s="888" t="s">
        <v>310</v>
      </c>
    </row>
    <row r="4644" spans="1:6">
      <c r="A4644" s="888">
        <v>252</v>
      </c>
      <c r="B4644" s="888" t="s">
        <v>1174</v>
      </c>
      <c r="C4644" s="888" t="s">
        <v>1767</v>
      </c>
      <c r="D4644" s="889">
        <v>46040</v>
      </c>
      <c r="E4644" s="888" t="s">
        <v>310</v>
      </c>
      <c r="F4644" s="888" t="s">
        <v>310</v>
      </c>
    </row>
    <row r="4645" spans="1:6">
      <c r="A4645" s="888">
        <v>252</v>
      </c>
      <c r="B4645" s="888" t="s">
        <v>1174</v>
      </c>
      <c r="C4645" s="888" t="s">
        <v>1767</v>
      </c>
      <c r="D4645" s="889">
        <v>46041</v>
      </c>
      <c r="E4645" s="890">
        <v>0.58383101851851849</v>
      </c>
      <c r="F4645" s="890">
        <v>0.78408564814814818</v>
      </c>
    </row>
    <row r="4646" spans="1:6">
      <c r="A4646" s="888" t="s">
        <v>3868</v>
      </c>
      <c r="B4646" s="888" t="s">
        <v>3869</v>
      </c>
      <c r="C4646" s="888" t="s">
        <v>3870</v>
      </c>
    </row>
    <row r="4647" spans="1:6">
      <c r="A4647" s="888">
        <v>252</v>
      </c>
      <c r="B4647" s="888" t="s">
        <v>1174</v>
      </c>
      <c r="C4647" s="888" t="s">
        <v>1767</v>
      </c>
      <c r="D4647" s="889">
        <v>46042</v>
      </c>
      <c r="E4647" s="888" t="s">
        <v>310</v>
      </c>
      <c r="F4647" s="888" t="s">
        <v>310</v>
      </c>
    </row>
    <row r="4648" spans="1:6">
      <c r="A4648" s="888">
        <v>252</v>
      </c>
      <c r="B4648" s="888" t="s">
        <v>1174</v>
      </c>
      <c r="C4648" s="888" t="s">
        <v>1767</v>
      </c>
      <c r="D4648" s="889">
        <v>46043</v>
      </c>
      <c r="E4648" s="888" t="s">
        <v>310</v>
      </c>
      <c r="F4648" s="888" t="s">
        <v>310</v>
      </c>
    </row>
    <row r="4649" spans="1:6">
      <c r="A4649" s="888">
        <v>252</v>
      </c>
      <c r="B4649" s="888" t="s">
        <v>1174</v>
      </c>
      <c r="C4649" s="888" t="s">
        <v>1767</v>
      </c>
      <c r="D4649" s="889">
        <v>46044</v>
      </c>
      <c r="E4649" s="888" t="s">
        <v>310</v>
      </c>
      <c r="F4649" s="888" t="s">
        <v>310</v>
      </c>
    </row>
    <row r="4650" spans="1:6">
      <c r="A4650" s="888">
        <v>252</v>
      </c>
      <c r="B4650" s="888" t="s">
        <v>1174</v>
      </c>
      <c r="C4650" s="888" t="s">
        <v>1767</v>
      </c>
      <c r="D4650" s="889">
        <v>46045</v>
      </c>
      <c r="E4650" s="888" t="s">
        <v>310</v>
      </c>
      <c r="F4650" s="888" t="s">
        <v>310</v>
      </c>
    </row>
    <row r="4651" spans="1:6">
      <c r="A4651" s="888">
        <v>252</v>
      </c>
      <c r="B4651" s="888" t="s">
        <v>1174</v>
      </c>
      <c r="C4651" s="888" t="s">
        <v>1767</v>
      </c>
      <c r="D4651" s="889">
        <v>46046</v>
      </c>
      <c r="E4651" s="888" t="s">
        <v>310</v>
      </c>
      <c r="F4651" s="888" t="s">
        <v>310</v>
      </c>
    </row>
    <row r="4652" spans="1:6">
      <c r="A4652" s="888">
        <v>252</v>
      </c>
      <c r="B4652" s="888" t="s">
        <v>1174</v>
      </c>
      <c r="C4652" s="888" t="s">
        <v>1767</v>
      </c>
      <c r="D4652" s="889">
        <v>46047</v>
      </c>
      <c r="E4652" s="888" t="s">
        <v>310</v>
      </c>
      <c r="F4652" s="888" t="s">
        <v>310</v>
      </c>
    </row>
    <row r="4653" spans="1:6">
      <c r="A4653" s="888">
        <v>252</v>
      </c>
      <c r="B4653" s="888" t="s">
        <v>1174</v>
      </c>
      <c r="C4653" s="888" t="s">
        <v>1767</v>
      </c>
      <c r="D4653" s="889">
        <v>46048</v>
      </c>
      <c r="E4653" s="888" t="s">
        <v>310</v>
      </c>
      <c r="F4653" s="888" t="s">
        <v>310</v>
      </c>
    </row>
    <row r="4654" spans="1:6">
      <c r="A4654" s="888">
        <v>252</v>
      </c>
      <c r="B4654" s="888" t="s">
        <v>1174</v>
      </c>
      <c r="C4654" s="888" t="s">
        <v>1767</v>
      </c>
      <c r="D4654" s="889">
        <v>46049</v>
      </c>
      <c r="E4654" s="890">
        <v>0.78643518518518518</v>
      </c>
      <c r="F4654" s="890">
        <v>0.78696759259259264</v>
      </c>
    </row>
    <row r="4655" spans="1:6">
      <c r="A4655" s="888" t="s">
        <v>3871</v>
      </c>
      <c r="B4655" s="888" t="s">
        <v>3872</v>
      </c>
      <c r="C4655" s="888" t="s">
        <v>1570</v>
      </c>
    </row>
    <row r="4656" spans="1:6">
      <c r="A4656" s="888">
        <v>252</v>
      </c>
      <c r="B4656" s="888" t="s">
        <v>1174</v>
      </c>
      <c r="C4656" s="888" t="s">
        <v>1767</v>
      </c>
      <c r="D4656" s="889">
        <v>46050</v>
      </c>
      <c r="E4656" s="890">
        <v>0.51300925925925922</v>
      </c>
      <c r="F4656" s="890">
        <v>0.78543981481481484</v>
      </c>
    </row>
    <row r="4657" spans="1:6">
      <c r="A4657" s="888" t="s">
        <v>3873</v>
      </c>
      <c r="B4657" s="888" t="s">
        <v>3874</v>
      </c>
      <c r="C4657" s="888" t="s">
        <v>3875</v>
      </c>
    </row>
    <row r="4658" spans="1:6">
      <c r="A4658" s="888">
        <v>252</v>
      </c>
      <c r="B4658" s="888" t="s">
        <v>1174</v>
      </c>
      <c r="C4658" s="888" t="s">
        <v>1767</v>
      </c>
      <c r="D4658" s="889">
        <v>46051</v>
      </c>
      <c r="E4658" s="890">
        <v>0.83569444444444441</v>
      </c>
      <c r="F4658" s="888" t="s">
        <v>310</v>
      </c>
    </row>
    <row r="4659" spans="1:6">
      <c r="A4659" s="888" t="s">
        <v>3876</v>
      </c>
      <c r="B4659" s="888" t="s">
        <v>1258</v>
      </c>
      <c r="C4659" s="888" t="s">
        <v>1259</v>
      </c>
    </row>
    <row r="4660" spans="1:6">
      <c r="A4660" s="888">
        <v>252</v>
      </c>
      <c r="B4660" s="888" t="s">
        <v>1174</v>
      </c>
      <c r="C4660" s="888" t="s">
        <v>1767</v>
      </c>
      <c r="D4660" s="889">
        <v>46052</v>
      </c>
      <c r="E4660" s="888" t="s">
        <v>310</v>
      </c>
      <c r="F4660" s="888" t="s">
        <v>310</v>
      </c>
    </row>
    <row r="4661" spans="1:6">
      <c r="A4661" s="888">
        <v>252</v>
      </c>
      <c r="B4661" s="888" t="s">
        <v>1174</v>
      </c>
      <c r="C4661" s="888" t="s">
        <v>1767</v>
      </c>
      <c r="D4661" s="889">
        <v>46053</v>
      </c>
      <c r="E4661" s="888" t="s">
        <v>310</v>
      </c>
      <c r="F4661" s="888" t="s">
        <v>310</v>
      </c>
    </row>
    <row r="4662" spans="1:6">
      <c r="A4662" s="888">
        <v>252</v>
      </c>
      <c r="B4662" s="888" t="s">
        <v>1174</v>
      </c>
      <c r="C4662" s="888" t="s">
        <v>1767</v>
      </c>
      <c r="D4662" s="889">
        <v>46054</v>
      </c>
      <c r="E4662" s="888" t="s">
        <v>310</v>
      </c>
      <c r="F4662" s="888" t="s">
        <v>310</v>
      </c>
    </row>
    <row r="4663" spans="1:6">
      <c r="A4663" s="888">
        <v>253</v>
      </c>
      <c r="B4663" s="888" t="s">
        <v>1175</v>
      </c>
      <c r="C4663" s="888" t="s">
        <v>1767</v>
      </c>
      <c r="D4663" s="889">
        <v>46023</v>
      </c>
      <c r="E4663" s="888" t="s">
        <v>310</v>
      </c>
      <c r="F4663" s="888" t="s">
        <v>310</v>
      </c>
    </row>
    <row r="4664" spans="1:6">
      <c r="A4664" s="888">
        <v>253</v>
      </c>
      <c r="B4664" s="888" t="s">
        <v>1175</v>
      </c>
      <c r="C4664" s="888" t="s">
        <v>1767</v>
      </c>
      <c r="D4664" s="889">
        <v>46024</v>
      </c>
      <c r="E4664" s="888" t="s">
        <v>310</v>
      </c>
      <c r="F4664" s="888" t="s">
        <v>310</v>
      </c>
    </row>
    <row r="4665" spans="1:6">
      <c r="A4665" s="888">
        <v>253</v>
      </c>
      <c r="B4665" s="888" t="s">
        <v>1175</v>
      </c>
      <c r="C4665" s="888" t="s">
        <v>1767</v>
      </c>
      <c r="D4665" s="889">
        <v>46025</v>
      </c>
      <c r="E4665" s="888" t="s">
        <v>310</v>
      </c>
      <c r="F4665" s="888" t="s">
        <v>310</v>
      </c>
    </row>
    <row r="4666" spans="1:6">
      <c r="A4666" s="888">
        <v>253</v>
      </c>
      <c r="B4666" s="888" t="s">
        <v>1175</v>
      </c>
      <c r="C4666" s="888" t="s">
        <v>1767</v>
      </c>
      <c r="D4666" s="889">
        <v>46026</v>
      </c>
      <c r="E4666" s="888" t="s">
        <v>310</v>
      </c>
      <c r="F4666" s="888" t="s">
        <v>310</v>
      </c>
    </row>
    <row r="4667" spans="1:6">
      <c r="A4667" s="888">
        <v>253</v>
      </c>
      <c r="B4667" s="888" t="s">
        <v>1175</v>
      </c>
      <c r="C4667" s="888" t="s">
        <v>1767</v>
      </c>
      <c r="D4667" s="889">
        <v>46027</v>
      </c>
      <c r="E4667" s="890">
        <v>0.35564814814814816</v>
      </c>
      <c r="F4667" s="890">
        <v>0.77452546296296299</v>
      </c>
    </row>
    <row r="4668" spans="1:6">
      <c r="A4668" s="888" t="s">
        <v>3877</v>
      </c>
      <c r="B4668" s="888" t="s">
        <v>3878</v>
      </c>
      <c r="C4668" s="888" t="s">
        <v>2030</v>
      </c>
    </row>
    <row r="4669" spans="1:6">
      <c r="A4669" s="888">
        <v>253</v>
      </c>
      <c r="B4669" s="888" t="s">
        <v>1175</v>
      </c>
      <c r="C4669" s="888" t="s">
        <v>1767</v>
      </c>
      <c r="D4669" s="889">
        <v>46028</v>
      </c>
      <c r="E4669" s="890">
        <v>0.33300925925925928</v>
      </c>
      <c r="F4669" s="890">
        <v>0.77113425925925927</v>
      </c>
    </row>
    <row r="4670" spans="1:6">
      <c r="A4670" s="888" t="s">
        <v>3879</v>
      </c>
      <c r="B4670" s="888" t="s">
        <v>3880</v>
      </c>
      <c r="C4670" s="888" t="s">
        <v>1787</v>
      </c>
    </row>
    <row r="4671" spans="1:6">
      <c r="A4671" s="888">
        <v>253</v>
      </c>
      <c r="B4671" s="888" t="s">
        <v>1175</v>
      </c>
      <c r="C4671" s="888" t="s">
        <v>1767</v>
      </c>
      <c r="D4671" s="889">
        <v>46029</v>
      </c>
      <c r="E4671" s="890">
        <v>0.35494212962962962</v>
      </c>
      <c r="F4671" s="890">
        <v>0.75589120370370366</v>
      </c>
    </row>
    <row r="4672" spans="1:6">
      <c r="A4672" s="888" t="s">
        <v>3881</v>
      </c>
      <c r="B4672" s="888" t="s">
        <v>3882</v>
      </c>
      <c r="C4672" s="888" t="s">
        <v>1378</v>
      </c>
    </row>
    <row r="4673" spans="1:6">
      <c r="A4673" s="888">
        <v>253</v>
      </c>
      <c r="B4673" s="888" t="s">
        <v>1175</v>
      </c>
      <c r="C4673" s="888" t="s">
        <v>1767</v>
      </c>
      <c r="D4673" s="889">
        <v>46030</v>
      </c>
      <c r="E4673" s="890">
        <v>0.36131944444444447</v>
      </c>
      <c r="F4673" s="890">
        <v>0.75972222222222219</v>
      </c>
    </row>
    <row r="4674" spans="1:6">
      <c r="A4674" s="888" t="s">
        <v>3883</v>
      </c>
      <c r="B4674" s="888" t="s">
        <v>3884</v>
      </c>
      <c r="C4674" s="888" t="s">
        <v>1383</v>
      </c>
    </row>
    <row r="4675" spans="1:6">
      <c r="A4675" s="888">
        <v>253</v>
      </c>
      <c r="B4675" s="888" t="s">
        <v>1175</v>
      </c>
      <c r="C4675" s="888" t="s">
        <v>1767</v>
      </c>
      <c r="D4675" s="889">
        <v>46031</v>
      </c>
      <c r="E4675" s="890">
        <v>0.36662037037037037</v>
      </c>
      <c r="F4675" s="890">
        <v>0.76285879629629627</v>
      </c>
    </row>
    <row r="4676" spans="1:6">
      <c r="A4676" s="888" t="s">
        <v>3885</v>
      </c>
      <c r="B4676" s="888" t="s">
        <v>3886</v>
      </c>
      <c r="C4676" s="888" t="s">
        <v>1452</v>
      </c>
    </row>
    <row r="4677" spans="1:6">
      <c r="A4677" s="888">
        <v>253</v>
      </c>
      <c r="B4677" s="888" t="s">
        <v>1175</v>
      </c>
      <c r="C4677" s="888" t="s">
        <v>1767</v>
      </c>
      <c r="D4677" s="889">
        <v>46032</v>
      </c>
      <c r="E4677" s="890">
        <v>0.35820601851851852</v>
      </c>
      <c r="F4677" s="890">
        <v>0.77042824074074079</v>
      </c>
    </row>
    <row r="4678" spans="1:6">
      <c r="A4678" s="888" t="s">
        <v>3887</v>
      </c>
      <c r="B4678" s="888" t="s">
        <v>3888</v>
      </c>
      <c r="C4678" s="888" t="s">
        <v>1816</v>
      </c>
    </row>
    <row r="4679" spans="1:6">
      <c r="A4679" s="888">
        <v>253</v>
      </c>
      <c r="B4679" s="888" t="s">
        <v>1175</v>
      </c>
      <c r="C4679" s="888" t="s">
        <v>1767</v>
      </c>
      <c r="D4679" s="889">
        <v>46033</v>
      </c>
      <c r="E4679" s="888" t="s">
        <v>310</v>
      </c>
      <c r="F4679" s="888" t="s">
        <v>310</v>
      </c>
    </row>
    <row r="4680" spans="1:6">
      <c r="A4680" s="888">
        <v>253</v>
      </c>
      <c r="B4680" s="888" t="s">
        <v>1175</v>
      </c>
      <c r="C4680" s="888" t="s">
        <v>1767</v>
      </c>
      <c r="D4680" s="889">
        <v>46034</v>
      </c>
      <c r="E4680" s="890">
        <v>0.35883101851851851</v>
      </c>
      <c r="F4680" s="890">
        <v>0.76033564814814814</v>
      </c>
    </row>
    <row r="4681" spans="1:6">
      <c r="A4681" s="888" t="s">
        <v>3889</v>
      </c>
      <c r="B4681" s="888" t="s">
        <v>3890</v>
      </c>
      <c r="C4681" s="888" t="s">
        <v>1466</v>
      </c>
    </row>
    <row r="4682" spans="1:6">
      <c r="A4682" s="888">
        <v>253</v>
      </c>
      <c r="B4682" s="888" t="s">
        <v>1175</v>
      </c>
      <c r="C4682" s="888" t="s">
        <v>1767</v>
      </c>
      <c r="D4682" s="889">
        <v>46035</v>
      </c>
      <c r="E4682" s="890">
        <v>0.35887731481481483</v>
      </c>
      <c r="F4682" s="890">
        <v>0.75527777777777783</v>
      </c>
    </row>
    <row r="4683" spans="1:6">
      <c r="A4683" s="888" t="s">
        <v>3891</v>
      </c>
      <c r="B4683" s="888" t="s">
        <v>3892</v>
      </c>
      <c r="C4683" s="888" t="s">
        <v>1452</v>
      </c>
    </row>
    <row r="4684" spans="1:6">
      <c r="A4684" s="888">
        <v>253</v>
      </c>
      <c r="B4684" s="888" t="s">
        <v>1175</v>
      </c>
      <c r="C4684" s="888" t="s">
        <v>1767</v>
      </c>
      <c r="D4684" s="889">
        <v>46036</v>
      </c>
      <c r="E4684" s="890">
        <v>0.36920138888888887</v>
      </c>
      <c r="F4684" s="890">
        <v>0.76549768518518524</v>
      </c>
    </row>
    <row r="4685" spans="1:6">
      <c r="A4685" s="888" t="s">
        <v>3893</v>
      </c>
      <c r="B4685" s="888" t="s">
        <v>3894</v>
      </c>
      <c r="C4685" s="888" t="s">
        <v>1452</v>
      </c>
    </row>
    <row r="4686" spans="1:6">
      <c r="A4686" s="888">
        <v>253</v>
      </c>
      <c r="B4686" s="888" t="s">
        <v>1175</v>
      </c>
      <c r="C4686" s="888" t="s">
        <v>1767</v>
      </c>
      <c r="D4686" s="889">
        <v>46037</v>
      </c>
      <c r="E4686" s="890">
        <v>0.35541666666666666</v>
      </c>
      <c r="F4686" s="890">
        <v>0.75835648148148149</v>
      </c>
    </row>
    <row r="4687" spans="1:6">
      <c r="A4687" s="888" t="s">
        <v>3895</v>
      </c>
      <c r="B4687" s="888" t="s">
        <v>3896</v>
      </c>
      <c r="C4687" s="888" t="s">
        <v>1624</v>
      </c>
    </row>
    <row r="4688" spans="1:6">
      <c r="A4688" s="888">
        <v>253</v>
      </c>
      <c r="B4688" s="888" t="s">
        <v>1175</v>
      </c>
      <c r="C4688" s="888" t="s">
        <v>1767</v>
      </c>
      <c r="D4688" s="889">
        <v>46038</v>
      </c>
      <c r="E4688" s="890">
        <v>0.35944444444444446</v>
      </c>
      <c r="F4688" s="890">
        <v>0.77299768518518519</v>
      </c>
    </row>
    <row r="4689" spans="1:6">
      <c r="A4689" s="888" t="s">
        <v>3897</v>
      </c>
      <c r="B4689" s="888" t="s">
        <v>3898</v>
      </c>
      <c r="C4689" s="888" t="s">
        <v>1407</v>
      </c>
    </row>
    <row r="4690" spans="1:6">
      <c r="A4690" s="888">
        <v>253</v>
      </c>
      <c r="B4690" s="888" t="s">
        <v>1175</v>
      </c>
      <c r="C4690" s="888" t="s">
        <v>1767</v>
      </c>
      <c r="D4690" s="889">
        <v>46039</v>
      </c>
      <c r="E4690" s="888" t="s">
        <v>310</v>
      </c>
      <c r="F4690" s="888" t="s">
        <v>310</v>
      </c>
    </row>
    <row r="4691" spans="1:6">
      <c r="A4691" s="888">
        <v>253</v>
      </c>
      <c r="B4691" s="888" t="s">
        <v>1175</v>
      </c>
      <c r="C4691" s="888" t="s">
        <v>1767</v>
      </c>
      <c r="D4691" s="889">
        <v>46040</v>
      </c>
      <c r="E4691" s="888" t="s">
        <v>310</v>
      </c>
      <c r="F4691" s="888" t="s">
        <v>310</v>
      </c>
    </row>
    <row r="4692" spans="1:6">
      <c r="A4692" s="888">
        <v>253</v>
      </c>
      <c r="B4692" s="888" t="s">
        <v>1175</v>
      </c>
      <c r="C4692" s="888" t="s">
        <v>1767</v>
      </c>
      <c r="D4692" s="889">
        <v>46041</v>
      </c>
      <c r="E4692" s="890">
        <v>0.36938657407407405</v>
      </c>
      <c r="F4692" s="890">
        <v>0.77103009259259259</v>
      </c>
    </row>
    <row r="4693" spans="1:6">
      <c r="A4693" s="888" t="s">
        <v>3899</v>
      </c>
      <c r="B4693" s="888" t="s">
        <v>3900</v>
      </c>
      <c r="C4693" s="888" t="s">
        <v>1466</v>
      </c>
    </row>
    <row r="4694" spans="1:6">
      <c r="A4694" s="888">
        <v>253</v>
      </c>
      <c r="B4694" s="888" t="s">
        <v>1175</v>
      </c>
      <c r="C4694" s="888" t="s">
        <v>1767</v>
      </c>
      <c r="D4694" s="889">
        <v>46042</v>
      </c>
      <c r="E4694" s="890">
        <v>0.36049768518518521</v>
      </c>
      <c r="F4694" s="890">
        <v>0.76089120370370367</v>
      </c>
    </row>
    <row r="4695" spans="1:6">
      <c r="A4695" s="888" t="s">
        <v>3901</v>
      </c>
      <c r="B4695" s="888" t="s">
        <v>3902</v>
      </c>
      <c r="C4695" s="888" t="s">
        <v>1378</v>
      </c>
    </row>
    <row r="4696" spans="1:6">
      <c r="A4696" s="888">
        <v>253</v>
      </c>
      <c r="B4696" s="888" t="s">
        <v>1175</v>
      </c>
      <c r="C4696" s="888" t="s">
        <v>1767</v>
      </c>
      <c r="D4696" s="889">
        <v>46043</v>
      </c>
      <c r="E4696" s="890">
        <v>0.35701388888888891</v>
      </c>
      <c r="F4696" s="890">
        <v>0.76725694444444448</v>
      </c>
    </row>
    <row r="4697" spans="1:6">
      <c r="A4697" s="888" t="s">
        <v>3903</v>
      </c>
      <c r="B4697" s="888" t="s">
        <v>3904</v>
      </c>
      <c r="C4697" s="888" t="s">
        <v>2003</v>
      </c>
    </row>
    <row r="4698" spans="1:6">
      <c r="A4698" s="888">
        <v>253</v>
      </c>
      <c r="B4698" s="888" t="s">
        <v>1175</v>
      </c>
      <c r="C4698" s="888" t="s">
        <v>1767</v>
      </c>
      <c r="D4698" s="889">
        <v>46044</v>
      </c>
      <c r="E4698" s="890">
        <v>0.36126157407407405</v>
      </c>
      <c r="F4698" s="890">
        <v>0.76372685185185185</v>
      </c>
    </row>
    <row r="4699" spans="1:6">
      <c r="A4699" s="888" t="s">
        <v>3905</v>
      </c>
      <c r="B4699" s="888" t="s">
        <v>3906</v>
      </c>
      <c r="C4699" s="888" t="s">
        <v>1624</v>
      </c>
    </row>
    <row r="4700" spans="1:6">
      <c r="A4700" s="888">
        <v>253</v>
      </c>
      <c r="B4700" s="888" t="s">
        <v>1175</v>
      </c>
      <c r="C4700" s="888" t="s">
        <v>1767</v>
      </c>
      <c r="D4700" s="889">
        <v>46045</v>
      </c>
      <c r="E4700" s="890">
        <v>0.36149305555555555</v>
      </c>
      <c r="F4700" s="890">
        <v>0.77958333333333329</v>
      </c>
    </row>
    <row r="4701" spans="1:6">
      <c r="A4701" s="888" t="s">
        <v>3907</v>
      </c>
      <c r="B4701" s="888" t="s">
        <v>3908</v>
      </c>
      <c r="C4701" s="888" t="s">
        <v>1790</v>
      </c>
    </row>
    <row r="4702" spans="1:6">
      <c r="A4702" s="888">
        <v>253</v>
      </c>
      <c r="B4702" s="888" t="s">
        <v>1175</v>
      </c>
      <c r="C4702" s="888" t="s">
        <v>1767</v>
      </c>
      <c r="D4702" s="889">
        <v>46046</v>
      </c>
      <c r="E4702" s="888" t="s">
        <v>310</v>
      </c>
      <c r="F4702" s="888" t="s">
        <v>310</v>
      </c>
    </row>
    <row r="4703" spans="1:6">
      <c r="A4703" s="888">
        <v>253</v>
      </c>
      <c r="B4703" s="888" t="s">
        <v>1175</v>
      </c>
      <c r="C4703" s="888" t="s">
        <v>1767</v>
      </c>
      <c r="D4703" s="889">
        <v>46047</v>
      </c>
      <c r="E4703" s="888" t="s">
        <v>310</v>
      </c>
      <c r="F4703" s="888" t="s">
        <v>310</v>
      </c>
    </row>
    <row r="4704" spans="1:6">
      <c r="A4704" s="888">
        <v>253</v>
      </c>
      <c r="B4704" s="888" t="s">
        <v>1175</v>
      </c>
      <c r="C4704" s="888" t="s">
        <v>1767</v>
      </c>
      <c r="D4704" s="889">
        <v>46048</v>
      </c>
      <c r="E4704" s="888" t="s">
        <v>310</v>
      </c>
      <c r="F4704" s="888" t="s">
        <v>310</v>
      </c>
    </row>
    <row r="4705" spans="1:6">
      <c r="A4705" s="888">
        <v>253</v>
      </c>
      <c r="B4705" s="888" t="s">
        <v>1175</v>
      </c>
      <c r="C4705" s="888" t="s">
        <v>1767</v>
      </c>
      <c r="D4705" s="889">
        <v>46049</v>
      </c>
      <c r="E4705" s="890">
        <v>0.34738425925925925</v>
      </c>
      <c r="F4705" s="890">
        <v>0.75697916666666665</v>
      </c>
    </row>
    <row r="4706" spans="1:6">
      <c r="A4706" s="888" t="s">
        <v>3909</v>
      </c>
      <c r="B4706" s="888" t="s">
        <v>3910</v>
      </c>
      <c r="C4706" s="888" t="s">
        <v>1874</v>
      </c>
    </row>
    <row r="4707" spans="1:6">
      <c r="A4707" s="888">
        <v>253</v>
      </c>
      <c r="B4707" s="888" t="s">
        <v>1175</v>
      </c>
      <c r="C4707" s="888" t="s">
        <v>1767</v>
      </c>
      <c r="D4707" s="889">
        <v>46050</v>
      </c>
      <c r="E4707" s="890">
        <v>0.36767361111111113</v>
      </c>
      <c r="F4707" s="890">
        <v>0.76026620370370368</v>
      </c>
    </row>
    <row r="4708" spans="1:6">
      <c r="A4708" s="888" t="s">
        <v>3911</v>
      </c>
      <c r="B4708" s="888" t="s">
        <v>3912</v>
      </c>
      <c r="C4708" s="888" t="s">
        <v>1724</v>
      </c>
    </row>
    <row r="4709" spans="1:6">
      <c r="A4709" s="888">
        <v>253</v>
      </c>
      <c r="B4709" s="888" t="s">
        <v>1175</v>
      </c>
      <c r="C4709" s="888" t="s">
        <v>1767</v>
      </c>
      <c r="D4709" s="889">
        <v>46051</v>
      </c>
      <c r="E4709" s="890">
        <v>0.36709490740740741</v>
      </c>
      <c r="F4709" s="890">
        <v>0.75377314814814811</v>
      </c>
    </row>
    <row r="4710" spans="1:6">
      <c r="A4710" s="888" t="s">
        <v>3913</v>
      </c>
      <c r="B4710" s="888" t="s">
        <v>3914</v>
      </c>
      <c r="C4710" s="888" t="s">
        <v>1753</v>
      </c>
    </row>
    <row r="4711" spans="1:6">
      <c r="A4711" s="888">
        <v>253</v>
      </c>
      <c r="B4711" s="888" t="s">
        <v>1175</v>
      </c>
      <c r="C4711" s="888" t="s">
        <v>1767</v>
      </c>
      <c r="D4711" s="889">
        <v>46052</v>
      </c>
      <c r="E4711" s="890">
        <v>0.36289351851851853</v>
      </c>
      <c r="F4711" s="890">
        <v>0.78864583333333338</v>
      </c>
    </row>
    <row r="4712" spans="1:6">
      <c r="A4712" s="888" t="s">
        <v>3915</v>
      </c>
      <c r="B4712" s="888" t="s">
        <v>3916</v>
      </c>
      <c r="C4712" s="888" t="s">
        <v>2758</v>
      </c>
    </row>
    <row r="4713" spans="1:6">
      <c r="A4713" s="888">
        <v>253</v>
      </c>
      <c r="B4713" s="888" t="s">
        <v>1175</v>
      </c>
      <c r="C4713" s="888" t="s">
        <v>1767</v>
      </c>
      <c r="D4713" s="889">
        <v>46053</v>
      </c>
      <c r="E4713" s="888" t="s">
        <v>310</v>
      </c>
      <c r="F4713" s="888" t="s">
        <v>310</v>
      </c>
    </row>
    <row r="4714" spans="1:6">
      <c r="A4714" s="888">
        <v>253</v>
      </c>
      <c r="B4714" s="888" t="s">
        <v>1175</v>
      </c>
      <c r="C4714" s="888" t="s">
        <v>1767</v>
      </c>
      <c r="D4714" s="889">
        <v>46054</v>
      </c>
      <c r="E4714" s="888" t="s">
        <v>310</v>
      </c>
      <c r="F4714" s="888" t="s">
        <v>310</v>
      </c>
    </row>
    <row r="4715" spans="1:6">
      <c r="A4715" s="888">
        <v>254</v>
      </c>
      <c r="B4715" s="888" t="s">
        <v>1176</v>
      </c>
      <c r="C4715" s="888" t="s">
        <v>1717</v>
      </c>
      <c r="D4715" s="889">
        <v>46023</v>
      </c>
      <c r="E4715" s="888" t="s">
        <v>310</v>
      </c>
      <c r="F4715" s="888" t="s">
        <v>310</v>
      </c>
    </row>
    <row r="4716" spans="1:6">
      <c r="A4716" s="888">
        <v>254</v>
      </c>
      <c r="B4716" s="888" t="s">
        <v>1176</v>
      </c>
      <c r="C4716" s="888" t="s">
        <v>1717</v>
      </c>
      <c r="D4716" s="889">
        <v>46024</v>
      </c>
      <c r="E4716" s="888" t="s">
        <v>310</v>
      </c>
      <c r="F4716" s="888" t="s">
        <v>310</v>
      </c>
    </row>
    <row r="4717" spans="1:6">
      <c r="A4717" s="888">
        <v>254</v>
      </c>
      <c r="B4717" s="888" t="s">
        <v>1176</v>
      </c>
      <c r="C4717" s="888" t="s">
        <v>1717</v>
      </c>
      <c r="D4717" s="889">
        <v>46025</v>
      </c>
      <c r="E4717" s="888" t="s">
        <v>310</v>
      </c>
      <c r="F4717" s="888" t="s">
        <v>310</v>
      </c>
    </row>
    <row r="4718" spans="1:6">
      <c r="A4718" s="888">
        <v>254</v>
      </c>
      <c r="B4718" s="888" t="s">
        <v>1176</v>
      </c>
      <c r="C4718" s="888" t="s">
        <v>1717</v>
      </c>
      <c r="D4718" s="889">
        <v>46026</v>
      </c>
      <c r="E4718" s="888" t="s">
        <v>310</v>
      </c>
      <c r="F4718" s="888" t="s">
        <v>310</v>
      </c>
    </row>
    <row r="4719" spans="1:6">
      <c r="A4719" s="888">
        <v>254</v>
      </c>
      <c r="B4719" s="888" t="s">
        <v>1176</v>
      </c>
      <c r="C4719" s="888" t="s">
        <v>1717</v>
      </c>
      <c r="D4719" s="889">
        <v>46027</v>
      </c>
      <c r="E4719" s="890">
        <v>0.34996527777777775</v>
      </c>
      <c r="F4719" s="890">
        <v>0.75724537037037032</v>
      </c>
    </row>
    <row r="4720" spans="1:6">
      <c r="A4720" s="888" t="s">
        <v>3917</v>
      </c>
      <c r="B4720" s="888" t="s">
        <v>3918</v>
      </c>
      <c r="C4720" s="888" t="s">
        <v>1868</v>
      </c>
    </row>
    <row r="4721" spans="1:6">
      <c r="A4721" s="888">
        <v>254</v>
      </c>
      <c r="B4721" s="888" t="s">
        <v>1176</v>
      </c>
      <c r="C4721" s="888" t="s">
        <v>1717</v>
      </c>
      <c r="D4721" s="889">
        <v>46028</v>
      </c>
      <c r="E4721" s="890">
        <v>0.34961805555555553</v>
      </c>
      <c r="F4721" s="890">
        <v>0.7570486111111111</v>
      </c>
    </row>
    <row r="4722" spans="1:6">
      <c r="A4722" s="888" t="s">
        <v>3919</v>
      </c>
      <c r="B4722" s="888" t="s">
        <v>3920</v>
      </c>
      <c r="C4722" s="888" t="s">
        <v>1645</v>
      </c>
    </row>
    <row r="4723" spans="1:6">
      <c r="A4723" s="888">
        <v>254</v>
      </c>
      <c r="B4723" s="888" t="s">
        <v>1176</v>
      </c>
      <c r="C4723" s="888" t="s">
        <v>1717</v>
      </c>
      <c r="D4723" s="889">
        <v>46029</v>
      </c>
      <c r="E4723" s="890">
        <v>0.3515625</v>
      </c>
      <c r="F4723" s="890">
        <v>0.73093750000000002</v>
      </c>
    </row>
    <row r="4724" spans="1:6">
      <c r="A4724" s="888" t="s">
        <v>3921</v>
      </c>
      <c r="B4724" s="888" t="s">
        <v>3922</v>
      </c>
      <c r="C4724" s="888" t="s">
        <v>1323</v>
      </c>
    </row>
    <row r="4725" spans="1:6">
      <c r="A4725" s="888">
        <v>254</v>
      </c>
      <c r="B4725" s="888" t="s">
        <v>1176</v>
      </c>
      <c r="C4725" s="888" t="s">
        <v>1717</v>
      </c>
      <c r="D4725" s="889">
        <v>46030</v>
      </c>
      <c r="E4725" s="890">
        <v>0.35539351851851853</v>
      </c>
      <c r="F4725" s="890">
        <v>0.75842592592592595</v>
      </c>
    </row>
    <row r="4726" spans="1:6">
      <c r="A4726" s="888" t="s">
        <v>3923</v>
      </c>
      <c r="B4726" s="888" t="s">
        <v>3924</v>
      </c>
      <c r="C4726" s="888" t="s">
        <v>1624</v>
      </c>
    </row>
    <row r="4727" spans="1:6">
      <c r="A4727" s="888">
        <v>254</v>
      </c>
      <c r="B4727" s="888" t="s">
        <v>1176</v>
      </c>
      <c r="C4727" s="888" t="s">
        <v>1717</v>
      </c>
      <c r="D4727" s="889">
        <v>46031</v>
      </c>
      <c r="E4727" s="890">
        <v>0.77559027777777778</v>
      </c>
      <c r="F4727" s="888" t="s">
        <v>310</v>
      </c>
    </row>
    <row r="4728" spans="1:6">
      <c r="A4728" s="888" t="s">
        <v>3925</v>
      </c>
      <c r="B4728" s="888" t="s">
        <v>1258</v>
      </c>
      <c r="C4728" s="888" t="s">
        <v>1259</v>
      </c>
    </row>
    <row r="4729" spans="1:6">
      <c r="A4729" s="888">
        <v>254</v>
      </c>
      <c r="B4729" s="888" t="s">
        <v>1176</v>
      </c>
      <c r="C4729" s="888" t="s">
        <v>1717</v>
      </c>
      <c r="D4729" s="889">
        <v>46032</v>
      </c>
      <c r="E4729" s="890">
        <v>0.37112268518518521</v>
      </c>
      <c r="F4729" s="890">
        <v>0.75306712962962963</v>
      </c>
    </row>
    <row r="4730" spans="1:6">
      <c r="A4730" s="888" t="s">
        <v>3926</v>
      </c>
      <c r="B4730" s="888" t="s">
        <v>3927</v>
      </c>
      <c r="C4730" s="888" t="s">
        <v>1580</v>
      </c>
    </row>
    <row r="4731" spans="1:6">
      <c r="A4731" s="888">
        <v>254</v>
      </c>
      <c r="B4731" s="888" t="s">
        <v>1176</v>
      </c>
      <c r="C4731" s="888" t="s">
        <v>1717</v>
      </c>
      <c r="D4731" s="889">
        <v>46033</v>
      </c>
      <c r="E4731" s="888" t="s">
        <v>310</v>
      </c>
      <c r="F4731" s="888" t="s">
        <v>310</v>
      </c>
    </row>
    <row r="4732" spans="1:6">
      <c r="A4732" s="888">
        <v>254</v>
      </c>
      <c r="B4732" s="888" t="s">
        <v>1176</v>
      </c>
      <c r="C4732" s="888" t="s">
        <v>1717</v>
      </c>
      <c r="D4732" s="889">
        <v>46034</v>
      </c>
      <c r="E4732" s="890">
        <v>0.35240740740740739</v>
      </c>
      <c r="F4732" s="890">
        <v>0.76263888888888887</v>
      </c>
    </row>
    <row r="4733" spans="1:6">
      <c r="A4733" s="888" t="s">
        <v>3928</v>
      </c>
      <c r="B4733" s="888" t="s">
        <v>3929</v>
      </c>
      <c r="C4733" s="888" t="s">
        <v>2003</v>
      </c>
    </row>
    <row r="4734" spans="1:6">
      <c r="A4734" s="888">
        <v>254</v>
      </c>
      <c r="B4734" s="888" t="s">
        <v>1176</v>
      </c>
      <c r="C4734" s="888" t="s">
        <v>1717</v>
      </c>
      <c r="D4734" s="889">
        <v>46035</v>
      </c>
      <c r="E4734" s="890">
        <v>0.35251157407407407</v>
      </c>
      <c r="F4734" s="890">
        <v>0.75504629629629627</v>
      </c>
    </row>
    <row r="4735" spans="1:6">
      <c r="A4735" s="888" t="s">
        <v>3930</v>
      </c>
      <c r="B4735" s="888" t="s">
        <v>3931</v>
      </c>
      <c r="C4735" s="888" t="s">
        <v>1624</v>
      </c>
    </row>
    <row r="4736" spans="1:6">
      <c r="A4736" s="888">
        <v>254</v>
      </c>
      <c r="B4736" s="888" t="s">
        <v>1176</v>
      </c>
      <c r="C4736" s="888" t="s">
        <v>1717</v>
      </c>
      <c r="D4736" s="889">
        <v>46036</v>
      </c>
      <c r="E4736" s="890">
        <v>0.34587962962962965</v>
      </c>
      <c r="F4736" s="890">
        <v>0.75498842592592597</v>
      </c>
    </row>
    <row r="4737" spans="1:6">
      <c r="A4737" s="888" t="s">
        <v>3932</v>
      </c>
      <c r="B4737" s="888" t="s">
        <v>3933</v>
      </c>
      <c r="C4737" s="888" t="s">
        <v>1372</v>
      </c>
    </row>
    <row r="4738" spans="1:6">
      <c r="A4738" s="888">
        <v>254</v>
      </c>
      <c r="B4738" s="888" t="s">
        <v>1176</v>
      </c>
      <c r="C4738" s="888" t="s">
        <v>1717</v>
      </c>
      <c r="D4738" s="889">
        <v>46037</v>
      </c>
      <c r="E4738" s="890">
        <v>0.34947916666666667</v>
      </c>
      <c r="F4738" s="890">
        <v>0.75222222222222224</v>
      </c>
    </row>
    <row r="4739" spans="1:6">
      <c r="A4739" s="888" t="s">
        <v>3934</v>
      </c>
      <c r="B4739" s="888" t="s">
        <v>3935</v>
      </c>
      <c r="C4739" s="888" t="s">
        <v>1624</v>
      </c>
    </row>
    <row r="4740" spans="1:6">
      <c r="A4740" s="888">
        <v>254</v>
      </c>
      <c r="B4740" s="888" t="s">
        <v>1176</v>
      </c>
      <c r="C4740" s="888" t="s">
        <v>1717</v>
      </c>
      <c r="D4740" s="889">
        <v>46038</v>
      </c>
      <c r="E4740" s="890">
        <v>0.3472337962962963</v>
      </c>
      <c r="F4740" s="890">
        <v>0.75428240740740737</v>
      </c>
    </row>
    <row r="4741" spans="1:6">
      <c r="A4741" s="888" t="s">
        <v>3936</v>
      </c>
      <c r="B4741" s="888" t="s">
        <v>3937</v>
      </c>
      <c r="C4741" s="888" t="s">
        <v>1868</v>
      </c>
    </row>
    <row r="4742" spans="1:6">
      <c r="A4742" s="888">
        <v>254</v>
      </c>
      <c r="B4742" s="888" t="s">
        <v>1176</v>
      </c>
      <c r="C4742" s="888" t="s">
        <v>1717</v>
      </c>
      <c r="D4742" s="889">
        <v>46039</v>
      </c>
      <c r="E4742" s="888" t="s">
        <v>310</v>
      </c>
      <c r="F4742" s="888" t="s">
        <v>310</v>
      </c>
    </row>
    <row r="4743" spans="1:6">
      <c r="A4743" s="888">
        <v>254</v>
      </c>
      <c r="B4743" s="888" t="s">
        <v>1176</v>
      </c>
      <c r="C4743" s="888" t="s">
        <v>1717</v>
      </c>
      <c r="D4743" s="889">
        <v>46040</v>
      </c>
      <c r="E4743" s="888" t="s">
        <v>310</v>
      </c>
      <c r="F4743" s="888" t="s">
        <v>310</v>
      </c>
    </row>
    <row r="4744" spans="1:6">
      <c r="A4744" s="888">
        <v>254</v>
      </c>
      <c r="B4744" s="888" t="s">
        <v>1176</v>
      </c>
      <c r="C4744" s="888" t="s">
        <v>1717</v>
      </c>
      <c r="D4744" s="889">
        <v>46041</v>
      </c>
      <c r="E4744" s="890">
        <v>0.3646759259259259</v>
      </c>
      <c r="F4744" s="890">
        <v>0.75601851851851853</v>
      </c>
    </row>
    <row r="4745" spans="1:6">
      <c r="A4745" s="888" t="s">
        <v>3938</v>
      </c>
      <c r="B4745" s="888" t="s">
        <v>3939</v>
      </c>
      <c r="C4745" s="888" t="s">
        <v>1813</v>
      </c>
    </row>
    <row r="4746" spans="1:6">
      <c r="A4746" s="888">
        <v>254</v>
      </c>
      <c r="B4746" s="888" t="s">
        <v>1176</v>
      </c>
      <c r="C4746" s="888" t="s">
        <v>1717</v>
      </c>
      <c r="D4746" s="889">
        <v>46042</v>
      </c>
      <c r="E4746" s="890">
        <v>0.35144675925925928</v>
      </c>
      <c r="F4746" s="890">
        <v>0.75261574074074078</v>
      </c>
    </row>
    <row r="4747" spans="1:6">
      <c r="A4747" s="888" t="s">
        <v>3940</v>
      </c>
      <c r="B4747" s="888" t="s">
        <v>3941</v>
      </c>
      <c r="C4747" s="888" t="s">
        <v>1466</v>
      </c>
    </row>
    <row r="4748" spans="1:6">
      <c r="A4748" s="888">
        <v>254</v>
      </c>
      <c r="B4748" s="888" t="s">
        <v>1176</v>
      </c>
      <c r="C4748" s="888" t="s">
        <v>1717</v>
      </c>
      <c r="D4748" s="889">
        <v>46043</v>
      </c>
      <c r="E4748" s="890">
        <v>0.35070601851851851</v>
      </c>
      <c r="F4748" s="890">
        <v>0.75311342592592589</v>
      </c>
    </row>
    <row r="4749" spans="1:6">
      <c r="A4749" s="888" t="s">
        <v>3942</v>
      </c>
      <c r="B4749" s="888" t="s">
        <v>3943</v>
      </c>
      <c r="C4749" s="888" t="s">
        <v>1538</v>
      </c>
    </row>
    <row r="4750" spans="1:6">
      <c r="A4750" s="888">
        <v>254</v>
      </c>
      <c r="B4750" s="888" t="s">
        <v>1176</v>
      </c>
      <c r="C4750" s="888" t="s">
        <v>1717</v>
      </c>
      <c r="D4750" s="889">
        <v>46044</v>
      </c>
      <c r="E4750" s="890">
        <v>0.35115740740740742</v>
      </c>
      <c r="F4750" s="890">
        <v>0.75416666666666665</v>
      </c>
    </row>
    <row r="4751" spans="1:6">
      <c r="A4751" s="888" t="s">
        <v>3944</v>
      </c>
      <c r="B4751" s="888" t="s">
        <v>3945</v>
      </c>
      <c r="C4751" s="888" t="s">
        <v>1624</v>
      </c>
    </row>
    <row r="4752" spans="1:6">
      <c r="A4752" s="888">
        <v>254</v>
      </c>
      <c r="B4752" s="888" t="s">
        <v>1176</v>
      </c>
      <c r="C4752" s="888" t="s">
        <v>1717</v>
      </c>
      <c r="D4752" s="889">
        <v>46045</v>
      </c>
      <c r="E4752" s="890">
        <v>0.35371527777777778</v>
      </c>
      <c r="F4752" s="890">
        <v>0.75515046296296295</v>
      </c>
    </row>
    <row r="4753" spans="1:6">
      <c r="A4753" s="888" t="s">
        <v>3946</v>
      </c>
      <c r="B4753" s="888" t="s">
        <v>3947</v>
      </c>
      <c r="C4753" s="888" t="s">
        <v>1466</v>
      </c>
    </row>
    <row r="4754" spans="1:6">
      <c r="A4754" s="888">
        <v>254</v>
      </c>
      <c r="B4754" s="888" t="s">
        <v>1176</v>
      </c>
      <c r="C4754" s="888" t="s">
        <v>1717</v>
      </c>
      <c r="D4754" s="889">
        <v>46046</v>
      </c>
      <c r="E4754" s="888" t="s">
        <v>310</v>
      </c>
      <c r="F4754" s="888" t="s">
        <v>310</v>
      </c>
    </row>
    <row r="4755" spans="1:6">
      <c r="A4755" s="888">
        <v>254</v>
      </c>
      <c r="B4755" s="888" t="s">
        <v>1176</v>
      </c>
      <c r="C4755" s="888" t="s">
        <v>1717</v>
      </c>
      <c r="D4755" s="889">
        <v>46047</v>
      </c>
      <c r="E4755" s="888" t="s">
        <v>310</v>
      </c>
      <c r="F4755" s="888" t="s">
        <v>310</v>
      </c>
    </row>
    <row r="4756" spans="1:6">
      <c r="A4756" s="888">
        <v>254</v>
      </c>
      <c r="B4756" s="888" t="s">
        <v>1176</v>
      </c>
      <c r="C4756" s="888" t="s">
        <v>1717</v>
      </c>
      <c r="D4756" s="889">
        <v>46048</v>
      </c>
      <c r="E4756" s="890">
        <v>0.35685185185185186</v>
      </c>
      <c r="F4756" s="890">
        <v>0.75133101851851847</v>
      </c>
    </row>
    <row r="4757" spans="1:6">
      <c r="A4757" s="888" t="s">
        <v>3948</v>
      </c>
      <c r="B4757" s="888" t="s">
        <v>3949</v>
      </c>
      <c r="C4757" s="888" t="s">
        <v>1285</v>
      </c>
    </row>
    <row r="4758" spans="1:6">
      <c r="A4758" s="888">
        <v>254</v>
      </c>
      <c r="B4758" s="888" t="s">
        <v>1176</v>
      </c>
      <c r="C4758" s="888" t="s">
        <v>1717</v>
      </c>
      <c r="D4758" s="889">
        <v>46049</v>
      </c>
      <c r="E4758" s="890">
        <v>0.37057870370370372</v>
      </c>
      <c r="F4758" s="890">
        <v>0.75417824074074069</v>
      </c>
    </row>
    <row r="4759" spans="1:6">
      <c r="A4759" s="888" t="s">
        <v>3950</v>
      </c>
      <c r="B4759" s="888" t="s">
        <v>3951</v>
      </c>
      <c r="C4759" s="888" t="s">
        <v>1576</v>
      </c>
    </row>
    <row r="4760" spans="1:6">
      <c r="A4760" s="888">
        <v>254</v>
      </c>
      <c r="B4760" s="888" t="s">
        <v>1176</v>
      </c>
      <c r="C4760" s="888" t="s">
        <v>1717</v>
      </c>
      <c r="D4760" s="889">
        <v>46050</v>
      </c>
      <c r="E4760" s="890">
        <v>0.35219907407407408</v>
      </c>
      <c r="F4760" s="890">
        <v>0.75778935185185181</v>
      </c>
    </row>
    <row r="4761" spans="1:6">
      <c r="A4761" s="888" t="s">
        <v>3952</v>
      </c>
      <c r="B4761" s="888" t="s">
        <v>3953</v>
      </c>
      <c r="C4761" s="888" t="s">
        <v>2340</v>
      </c>
    </row>
    <row r="4762" spans="1:6">
      <c r="A4762" s="888">
        <v>254</v>
      </c>
      <c r="B4762" s="888" t="s">
        <v>1176</v>
      </c>
      <c r="C4762" s="888" t="s">
        <v>1717</v>
      </c>
      <c r="D4762" s="889">
        <v>46051</v>
      </c>
      <c r="E4762" s="890">
        <v>0.34800925925925924</v>
      </c>
      <c r="F4762" s="890">
        <v>0.75049768518518523</v>
      </c>
    </row>
    <row r="4763" spans="1:6">
      <c r="A4763" s="888" t="s">
        <v>3954</v>
      </c>
      <c r="B4763" s="888" t="s">
        <v>3955</v>
      </c>
      <c r="C4763" s="888" t="s">
        <v>1624</v>
      </c>
    </row>
    <row r="4764" spans="1:6">
      <c r="A4764" s="888">
        <v>254</v>
      </c>
      <c r="B4764" s="888" t="s">
        <v>1176</v>
      </c>
      <c r="C4764" s="888" t="s">
        <v>1717</v>
      </c>
      <c r="D4764" s="889">
        <v>46052</v>
      </c>
      <c r="E4764" s="890">
        <v>0.35202546296296294</v>
      </c>
      <c r="F4764" s="890">
        <v>0.75587962962962962</v>
      </c>
    </row>
    <row r="4765" spans="1:6">
      <c r="A4765" s="888" t="s">
        <v>3956</v>
      </c>
      <c r="B4765" s="888" t="s">
        <v>3957</v>
      </c>
      <c r="C4765" s="888" t="s">
        <v>1266</v>
      </c>
    </row>
    <row r="4766" spans="1:6">
      <c r="A4766" s="888">
        <v>254</v>
      </c>
      <c r="B4766" s="888" t="s">
        <v>1176</v>
      </c>
      <c r="C4766" s="888" t="s">
        <v>1717</v>
      </c>
      <c r="D4766" s="889">
        <v>46053</v>
      </c>
      <c r="E4766" s="888" t="s">
        <v>310</v>
      </c>
      <c r="F4766" s="888" t="s">
        <v>310</v>
      </c>
    </row>
    <row r="4767" spans="1:6">
      <c r="A4767" s="888">
        <v>254</v>
      </c>
      <c r="B4767" s="888" t="s">
        <v>1176</v>
      </c>
      <c r="C4767" s="888" t="s">
        <v>1717</v>
      </c>
      <c r="D4767" s="889">
        <v>46054</v>
      </c>
      <c r="E4767" s="888" t="s">
        <v>310</v>
      </c>
      <c r="F4767" s="888" t="s">
        <v>310</v>
      </c>
    </row>
    <row r="4768" spans="1:6">
      <c r="A4768" s="888">
        <v>255</v>
      </c>
      <c r="B4768" s="888" t="s">
        <v>1177</v>
      </c>
      <c r="C4768" s="888" t="s">
        <v>1767</v>
      </c>
      <c r="D4768" s="889">
        <v>46023</v>
      </c>
      <c r="E4768" s="888" t="s">
        <v>310</v>
      </c>
      <c r="F4768" s="888" t="s">
        <v>310</v>
      </c>
    </row>
    <row r="4769" spans="1:6">
      <c r="A4769" s="888">
        <v>255</v>
      </c>
      <c r="B4769" s="888" t="s">
        <v>1177</v>
      </c>
      <c r="C4769" s="888" t="s">
        <v>1767</v>
      </c>
      <c r="D4769" s="889">
        <v>46024</v>
      </c>
      <c r="E4769" s="888" t="s">
        <v>310</v>
      </c>
      <c r="F4769" s="888" t="s">
        <v>310</v>
      </c>
    </row>
    <row r="4770" spans="1:6">
      <c r="A4770" s="888">
        <v>255</v>
      </c>
      <c r="B4770" s="888" t="s">
        <v>1177</v>
      </c>
      <c r="C4770" s="888" t="s">
        <v>1767</v>
      </c>
      <c r="D4770" s="889">
        <v>46025</v>
      </c>
      <c r="E4770" s="888" t="s">
        <v>310</v>
      </c>
      <c r="F4770" s="888" t="s">
        <v>310</v>
      </c>
    </row>
    <row r="4771" spans="1:6">
      <c r="A4771" s="888">
        <v>255</v>
      </c>
      <c r="B4771" s="888" t="s">
        <v>1177</v>
      </c>
      <c r="C4771" s="888" t="s">
        <v>1767</v>
      </c>
      <c r="D4771" s="889">
        <v>46026</v>
      </c>
      <c r="E4771" s="888" t="s">
        <v>310</v>
      </c>
      <c r="F4771" s="888" t="s">
        <v>310</v>
      </c>
    </row>
    <row r="4772" spans="1:6">
      <c r="A4772" s="888">
        <v>255</v>
      </c>
      <c r="B4772" s="888" t="s">
        <v>1177</v>
      </c>
      <c r="C4772" s="888" t="s">
        <v>1767</v>
      </c>
      <c r="D4772" s="889">
        <v>46027</v>
      </c>
      <c r="E4772" s="890">
        <v>0.38733796296296297</v>
      </c>
      <c r="F4772" s="890">
        <v>0.75726851851851851</v>
      </c>
    </row>
    <row r="4773" spans="1:6">
      <c r="A4773" s="888" t="s">
        <v>3958</v>
      </c>
      <c r="B4773" s="888" t="s">
        <v>3959</v>
      </c>
      <c r="C4773" s="888" t="s">
        <v>2223</v>
      </c>
    </row>
    <row r="4774" spans="1:6">
      <c r="A4774" s="888">
        <v>255</v>
      </c>
      <c r="B4774" s="888" t="s">
        <v>1177</v>
      </c>
      <c r="C4774" s="888" t="s">
        <v>1767</v>
      </c>
      <c r="D4774" s="889">
        <v>46028</v>
      </c>
      <c r="E4774" s="890">
        <v>0.37818287037037035</v>
      </c>
      <c r="F4774" s="890">
        <v>0.75876157407407407</v>
      </c>
    </row>
    <row r="4775" spans="1:6">
      <c r="A4775" s="888" t="s">
        <v>3960</v>
      </c>
      <c r="B4775" s="888" t="s">
        <v>3961</v>
      </c>
      <c r="C4775" s="888" t="s">
        <v>1311</v>
      </c>
    </row>
    <row r="4776" spans="1:6">
      <c r="A4776" s="888">
        <v>255</v>
      </c>
      <c r="B4776" s="888" t="s">
        <v>1177</v>
      </c>
      <c r="C4776" s="888" t="s">
        <v>1767</v>
      </c>
      <c r="D4776" s="889">
        <v>46029</v>
      </c>
      <c r="E4776" s="890">
        <v>0.37907407407407406</v>
      </c>
      <c r="F4776" s="890">
        <v>0.83006944444444442</v>
      </c>
    </row>
    <row r="4777" spans="1:6">
      <c r="A4777" s="888" t="s">
        <v>3962</v>
      </c>
      <c r="B4777" s="888" t="s">
        <v>3963</v>
      </c>
      <c r="C4777" s="888" t="s">
        <v>3286</v>
      </c>
    </row>
    <row r="4778" spans="1:6">
      <c r="A4778" s="888">
        <v>255</v>
      </c>
      <c r="B4778" s="888" t="s">
        <v>1177</v>
      </c>
      <c r="C4778" s="888" t="s">
        <v>1767</v>
      </c>
      <c r="D4778" s="889">
        <v>46030</v>
      </c>
      <c r="E4778" s="890">
        <v>0.38090277777777776</v>
      </c>
      <c r="F4778" s="890">
        <v>0.85206018518518523</v>
      </c>
    </row>
    <row r="4779" spans="1:6">
      <c r="A4779" s="888" t="s">
        <v>3964</v>
      </c>
      <c r="B4779" s="888" t="s">
        <v>3965</v>
      </c>
      <c r="C4779" s="888" t="s">
        <v>3028</v>
      </c>
    </row>
    <row r="4780" spans="1:6">
      <c r="A4780" s="888">
        <v>255</v>
      </c>
      <c r="B4780" s="888" t="s">
        <v>1177</v>
      </c>
      <c r="C4780" s="888" t="s">
        <v>1767</v>
      </c>
      <c r="D4780" s="889">
        <v>46031</v>
      </c>
      <c r="E4780" s="890">
        <v>0.36424768518518519</v>
      </c>
      <c r="F4780" s="890">
        <v>0.78384259259259259</v>
      </c>
    </row>
    <row r="4781" spans="1:6">
      <c r="A4781" s="888" t="s">
        <v>3966</v>
      </c>
      <c r="B4781" s="888" t="s">
        <v>3967</v>
      </c>
      <c r="C4781" s="888" t="s">
        <v>1773</v>
      </c>
    </row>
    <row r="4782" spans="1:6">
      <c r="A4782" s="888">
        <v>255</v>
      </c>
      <c r="B4782" s="888" t="s">
        <v>1177</v>
      </c>
      <c r="C4782" s="888" t="s">
        <v>1767</v>
      </c>
      <c r="D4782" s="889">
        <v>46032</v>
      </c>
      <c r="E4782" s="890">
        <v>0.35614583333333333</v>
      </c>
      <c r="F4782" s="890">
        <v>0.75311342592592589</v>
      </c>
    </row>
    <row r="4783" spans="1:6">
      <c r="A4783" s="888" t="s">
        <v>3968</v>
      </c>
      <c r="B4783" s="888" t="s">
        <v>3969</v>
      </c>
      <c r="C4783" s="888" t="s">
        <v>1514</v>
      </c>
    </row>
    <row r="4784" spans="1:6">
      <c r="A4784" s="888">
        <v>255</v>
      </c>
      <c r="B4784" s="888" t="s">
        <v>1177</v>
      </c>
      <c r="C4784" s="888" t="s">
        <v>1767</v>
      </c>
      <c r="D4784" s="889">
        <v>46033</v>
      </c>
      <c r="E4784" s="888" t="s">
        <v>310</v>
      </c>
      <c r="F4784" s="888" t="s">
        <v>310</v>
      </c>
    </row>
    <row r="4785" spans="1:6">
      <c r="A4785" s="888">
        <v>255</v>
      </c>
      <c r="B4785" s="888" t="s">
        <v>1177</v>
      </c>
      <c r="C4785" s="888" t="s">
        <v>1767</v>
      </c>
      <c r="D4785" s="889">
        <v>46034</v>
      </c>
      <c r="E4785" s="890">
        <v>0.3732523148148148</v>
      </c>
      <c r="F4785" s="890">
        <v>0.82331018518518517</v>
      </c>
    </row>
    <row r="4786" spans="1:6">
      <c r="A4786" s="888" t="s">
        <v>3970</v>
      </c>
      <c r="B4786" s="888" t="s">
        <v>3971</v>
      </c>
      <c r="C4786" s="888" t="s">
        <v>2558</v>
      </c>
    </row>
    <row r="4787" spans="1:6">
      <c r="A4787" s="888">
        <v>255</v>
      </c>
      <c r="B4787" s="888" t="s">
        <v>1177</v>
      </c>
      <c r="C4787" s="888" t="s">
        <v>1767</v>
      </c>
      <c r="D4787" s="889">
        <v>46035</v>
      </c>
      <c r="E4787" s="890">
        <v>0.36824074074074076</v>
      </c>
      <c r="F4787" s="890">
        <v>0.77711805555555558</v>
      </c>
    </row>
    <row r="4788" spans="1:6">
      <c r="A4788" s="888" t="s">
        <v>3972</v>
      </c>
      <c r="B4788" s="888" t="s">
        <v>3973</v>
      </c>
      <c r="C4788" s="888" t="s">
        <v>1372</v>
      </c>
    </row>
    <row r="4789" spans="1:6">
      <c r="A4789" s="888">
        <v>255</v>
      </c>
      <c r="B4789" s="888" t="s">
        <v>1177</v>
      </c>
      <c r="C4789" s="888" t="s">
        <v>1767</v>
      </c>
      <c r="D4789" s="889">
        <v>46036</v>
      </c>
      <c r="E4789" s="890">
        <v>0.36484953703703704</v>
      </c>
      <c r="F4789" s="890">
        <v>0.94589120370370372</v>
      </c>
    </row>
    <row r="4790" spans="1:6">
      <c r="A4790" s="888" t="s">
        <v>3974</v>
      </c>
      <c r="B4790" s="888" t="s">
        <v>3975</v>
      </c>
      <c r="C4790" s="888" t="s">
        <v>3976</v>
      </c>
    </row>
    <row r="4791" spans="1:6">
      <c r="A4791" s="888">
        <v>255</v>
      </c>
      <c r="B4791" s="888" t="s">
        <v>1177</v>
      </c>
      <c r="C4791" s="888" t="s">
        <v>1767</v>
      </c>
      <c r="D4791" s="889">
        <v>46037</v>
      </c>
      <c r="E4791" s="890">
        <v>0.55825231481481485</v>
      </c>
      <c r="F4791" s="890">
        <v>0.75231481481481477</v>
      </c>
    </row>
    <row r="4792" spans="1:6">
      <c r="A4792" s="888" t="s">
        <v>3977</v>
      </c>
      <c r="B4792" s="888" t="s">
        <v>3978</v>
      </c>
      <c r="C4792" s="888" t="s">
        <v>3979</v>
      </c>
    </row>
    <row r="4793" spans="1:6">
      <c r="A4793" s="888">
        <v>255</v>
      </c>
      <c r="B4793" s="888" t="s">
        <v>1177</v>
      </c>
      <c r="C4793" s="888" t="s">
        <v>1767</v>
      </c>
      <c r="D4793" s="889">
        <v>46038</v>
      </c>
      <c r="E4793" s="890">
        <v>0.38628472222222221</v>
      </c>
      <c r="F4793" s="890">
        <v>0.75423611111111111</v>
      </c>
    </row>
    <row r="4794" spans="1:6">
      <c r="A4794" s="888" t="s">
        <v>3980</v>
      </c>
      <c r="B4794" s="888" t="s">
        <v>3981</v>
      </c>
      <c r="C4794" s="888" t="s">
        <v>1926</v>
      </c>
    </row>
    <row r="4795" spans="1:6">
      <c r="A4795" s="888">
        <v>255</v>
      </c>
      <c r="B4795" s="888" t="s">
        <v>1177</v>
      </c>
      <c r="C4795" s="888" t="s">
        <v>1767</v>
      </c>
      <c r="D4795" s="889">
        <v>46039</v>
      </c>
      <c r="E4795" s="888" t="s">
        <v>310</v>
      </c>
      <c r="F4795" s="888" t="s">
        <v>310</v>
      </c>
    </row>
    <row r="4796" spans="1:6">
      <c r="A4796" s="888">
        <v>255</v>
      </c>
      <c r="B4796" s="888" t="s">
        <v>1177</v>
      </c>
      <c r="C4796" s="888" t="s">
        <v>1767</v>
      </c>
      <c r="D4796" s="889">
        <v>46040</v>
      </c>
      <c r="E4796" s="888" t="s">
        <v>310</v>
      </c>
      <c r="F4796" s="888" t="s">
        <v>310</v>
      </c>
    </row>
    <row r="4797" spans="1:6">
      <c r="A4797" s="888">
        <v>255</v>
      </c>
      <c r="B4797" s="888" t="s">
        <v>1177</v>
      </c>
      <c r="C4797" s="888" t="s">
        <v>1767</v>
      </c>
      <c r="D4797" s="889">
        <v>46041</v>
      </c>
      <c r="E4797" s="890">
        <v>0.36512731481481481</v>
      </c>
      <c r="F4797" s="890">
        <v>0.75564814814814818</v>
      </c>
    </row>
    <row r="4798" spans="1:6">
      <c r="A4798" s="888" t="s">
        <v>3982</v>
      </c>
      <c r="B4798" s="888" t="s">
        <v>3983</v>
      </c>
      <c r="C4798" s="888" t="s">
        <v>1661</v>
      </c>
    </row>
    <row r="4799" spans="1:6">
      <c r="A4799" s="888">
        <v>255</v>
      </c>
      <c r="B4799" s="888" t="s">
        <v>1177</v>
      </c>
      <c r="C4799" s="888" t="s">
        <v>1767</v>
      </c>
      <c r="D4799" s="889">
        <v>46042</v>
      </c>
      <c r="E4799" s="890">
        <v>0.35474537037037035</v>
      </c>
      <c r="F4799" s="890">
        <v>0.75343749999999998</v>
      </c>
    </row>
    <row r="4800" spans="1:6">
      <c r="A4800" s="888" t="s">
        <v>3984</v>
      </c>
      <c r="B4800" s="888" t="s">
        <v>3985</v>
      </c>
      <c r="C4800" s="888" t="s">
        <v>1383</v>
      </c>
    </row>
    <row r="4801" spans="1:6">
      <c r="A4801" s="888">
        <v>255</v>
      </c>
      <c r="B4801" s="888" t="s">
        <v>1177</v>
      </c>
      <c r="C4801" s="888" t="s">
        <v>1767</v>
      </c>
      <c r="D4801" s="889">
        <v>46043</v>
      </c>
      <c r="E4801" s="890">
        <v>0.36841435185185184</v>
      </c>
      <c r="F4801" s="890">
        <v>0.93278935185185186</v>
      </c>
    </row>
    <row r="4802" spans="1:6">
      <c r="A4802" s="888" t="s">
        <v>3986</v>
      </c>
      <c r="B4802" s="888" t="s">
        <v>3987</v>
      </c>
      <c r="C4802" s="888" t="s">
        <v>3988</v>
      </c>
    </row>
    <row r="4803" spans="1:6">
      <c r="A4803" s="888">
        <v>255</v>
      </c>
      <c r="B4803" s="888" t="s">
        <v>1177</v>
      </c>
      <c r="C4803" s="888" t="s">
        <v>1767</v>
      </c>
      <c r="D4803" s="889">
        <v>46044</v>
      </c>
      <c r="E4803" s="890">
        <v>0.38994212962962965</v>
      </c>
      <c r="F4803" s="890">
        <v>0.92177083333333332</v>
      </c>
    </row>
    <row r="4804" spans="1:6">
      <c r="A4804" s="888" t="s">
        <v>3989</v>
      </c>
      <c r="B4804" s="888" t="s">
        <v>3990</v>
      </c>
      <c r="C4804" s="888" t="s">
        <v>3991</v>
      </c>
    </row>
    <row r="4805" spans="1:6">
      <c r="A4805" s="888">
        <v>255</v>
      </c>
      <c r="B4805" s="888" t="s">
        <v>1177</v>
      </c>
      <c r="C4805" s="888" t="s">
        <v>1767</v>
      </c>
      <c r="D4805" s="889">
        <v>46045</v>
      </c>
      <c r="E4805" s="890">
        <v>0.35137731481481482</v>
      </c>
      <c r="F4805" s="890">
        <v>0.93314814814814817</v>
      </c>
    </row>
    <row r="4806" spans="1:6">
      <c r="A4806" s="888" t="s">
        <v>3992</v>
      </c>
      <c r="B4806" s="888" t="s">
        <v>3993</v>
      </c>
      <c r="C4806" s="888" t="s">
        <v>3737</v>
      </c>
    </row>
    <row r="4807" spans="1:6">
      <c r="A4807" s="888">
        <v>255</v>
      </c>
      <c r="B4807" s="888" t="s">
        <v>1177</v>
      </c>
      <c r="C4807" s="888" t="s">
        <v>1767</v>
      </c>
      <c r="D4807" s="889">
        <v>46046</v>
      </c>
      <c r="E4807" s="888" t="s">
        <v>310</v>
      </c>
      <c r="F4807" s="888" t="s">
        <v>310</v>
      </c>
    </row>
    <row r="4808" spans="1:6">
      <c r="A4808" s="888">
        <v>255</v>
      </c>
      <c r="B4808" s="888" t="s">
        <v>1177</v>
      </c>
      <c r="C4808" s="888" t="s">
        <v>1767</v>
      </c>
      <c r="D4808" s="889">
        <v>46047</v>
      </c>
      <c r="E4808" s="888" t="s">
        <v>310</v>
      </c>
      <c r="F4808" s="888" t="s">
        <v>310</v>
      </c>
    </row>
    <row r="4809" spans="1:6">
      <c r="A4809" s="888">
        <v>255</v>
      </c>
      <c r="B4809" s="888" t="s">
        <v>1177</v>
      </c>
      <c r="C4809" s="888" t="s">
        <v>1767</v>
      </c>
      <c r="D4809" s="889">
        <v>46048</v>
      </c>
      <c r="E4809" s="890">
        <v>0.38675925925925925</v>
      </c>
      <c r="F4809" s="888" t="s">
        <v>310</v>
      </c>
    </row>
    <row r="4810" spans="1:6">
      <c r="A4810" s="888" t="s">
        <v>3994</v>
      </c>
      <c r="B4810" s="888" t="s">
        <v>1258</v>
      </c>
      <c r="C4810" s="888" t="s">
        <v>1259</v>
      </c>
    </row>
    <row r="4811" spans="1:6">
      <c r="A4811" s="888">
        <v>255</v>
      </c>
      <c r="B4811" s="888" t="s">
        <v>1177</v>
      </c>
      <c r="C4811" s="888" t="s">
        <v>1767</v>
      </c>
      <c r="D4811" s="889">
        <v>46049</v>
      </c>
      <c r="E4811" s="890">
        <v>0.37626157407407407</v>
      </c>
      <c r="F4811" s="890">
        <v>0.75421296296296292</v>
      </c>
    </row>
    <row r="4812" spans="1:6">
      <c r="A4812" s="888" t="s">
        <v>3995</v>
      </c>
      <c r="B4812" s="888" t="s">
        <v>3996</v>
      </c>
      <c r="C4812" s="888" t="s">
        <v>1317</v>
      </c>
    </row>
    <row r="4813" spans="1:6">
      <c r="A4813" s="888">
        <v>255</v>
      </c>
      <c r="B4813" s="888" t="s">
        <v>1177</v>
      </c>
      <c r="C4813" s="888" t="s">
        <v>1767</v>
      </c>
      <c r="D4813" s="889">
        <v>46050</v>
      </c>
      <c r="E4813" s="890">
        <v>0.57516203703703705</v>
      </c>
      <c r="F4813" s="890">
        <v>0.76164351851851853</v>
      </c>
    </row>
    <row r="4814" spans="1:6">
      <c r="A4814" s="888" t="s">
        <v>3997</v>
      </c>
      <c r="B4814" s="888" t="s">
        <v>3998</v>
      </c>
      <c r="C4814" s="888" t="s">
        <v>2689</v>
      </c>
    </row>
    <row r="4815" spans="1:6">
      <c r="A4815" s="888">
        <v>255</v>
      </c>
      <c r="B4815" s="888" t="s">
        <v>1177</v>
      </c>
      <c r="C4815" s="888" t="s">
        <v>1767</v>
      </c>
      <c r="D4815" s="889">
        <v>46051</v>
      </c>
      <c r="E4815" s="890">
        <v>0.37754629629629627</v>
      </c>
      <c r="F4815" s="890">
        <v>0.75120370370370371</v>
      </c>
    </row>
    <row r="4816" spans="1:6">
      <c r="A4816" s="888" t="s">
        <v>3999</v>
      </c>
      <c r="B4816" s="888" t="s">
        <v>4000</v>
      </c>
      <c r="C4816" s="888" t="s">
        <v>1326</v>
      </c>
    </row>
    <row r="4817" spans="1:6">
      <c r="A4817" s="888">
        <v>255</v>
      </c>
      <c r="B4817" s="888" t="s">
        <v>1177</v>
      </c>
      <c r="C4817" s="888" t="s">
        <v>1767</v>
      </c>
      <c r="D4817" s="889">
        <v>46052</v>
      </c>
      <c r="E4817" s="890">
        <v>0.37155092592592592</v>
      </c>
      <c r="F4817" s="890">
        <v>0.75585648148148143</v>
      </c>
    </row>
    <row r="4818" spans="1:6">
      <c r="A4818" s="888" t="s">
        <v>4001</v>
      </c>
      <c r="B4818" s="888" t="s">
        <v>4002</v>
      </c>
      <c r="C4818" s="888" t="s">
        <v>1742</v>
      </c>
    </row>
    <row r="4819" spans="1:6">
      <c r="A4819" s="888">
        <v>255</v>
      </c>
      <c r="B4819" s="888" t="s">
        <v>1177</v>
      </c>
      <c r="C4819" s="888" t="s">
        <v>1767</v>
      </c>
      <c r="D4819" s="889">
        <v>46053</v>
      </c>
      <c r="E4819" s="888" t="s">
        <v>310</v>
      </c>
      <c r="F4819" s="888" t="s">
        <v>310</v>
      </c>
    </row>
    <row r="4820" spans="1:6">
      <c r="A4820" s="888">
        <v>255</v>
      </c>
      <c r="B4820" s="888" t="s">
        <v>1177</v>
      </c>
      <c r="C4820" s="888" t="s">
        <v>1767</v>
      </c>
      <c r="D4820" s="889">
        <v>46054</v>
      </c>
      <c r="E4820" s="890">
        <v>0.5610532407407407</v>
      </c>
      <c r="F4820" s="890">
        <v>0.84417824074074077</v>
      </c>
    </row>
    <row r="4821" spans="1:6">
      <c r="A4821" s="888" t="s">
        <v>4003</v>
      </c>
      <c r="B4821" s="888" t="s">
        <v>4004</v>
      </c>
      <c r="C4821" s="888" t="s">
        <v>4005</v>
      </c>
    </row>
    <row r="4822" spans="1:6">
      <c r="A4822" s="888">
        <v>267</v>
      </c>
      <c r="B4822" s="888" t="s">
        <v>1178</v>
      </c>
      <c r="C4822" s="888" t="s">
        <v>1767</v>
      </c>
      <c r="D4822" s="889">
        <v>46023</v>
      </c>
      <c r="E4822" s="888" t="s">
        <v>310</v>
      </c>
      <c r="F4822" s="888" t="s">
        <v>310</v>
      </c>
    </row>
    <row r="4823" spans="1:6">
      <c r="A4823" s="888">
        <v>267</v>
      </c>
      <c r="B4823" s="888" t="s">
        <v>1178</v>
      </c>
      <c r="C4823" s="888" t="s">
        <v>1767</v>
      </c>
      <c r="D4823" s="889">
        <v>46024</v>
      </c>
      <c r="E4823" s="888" t="s">
        <v>310</v>
      </c>
      <c r="F4823" s="888" t="s">
        <v>310</v>
      </c>
    </row>
    <row r="4824" spans="1:6">
      <c r="A4824" s="888">
        <v>267</v>
      </c>
      <c r="B4824" s="888" t="s">
        <v>1178</v>
      </c>
      <c r="C4824" s="888" t="s">
        <v>1767</v>
      </c>
      <c r="D4824" s="889">
        <v>46025</v>
      </c>
      <c r="E4824" s="888" t="s">
        <v>310</v>
      </c>
      <c r="F4824" s="888" t="s">
        <v>310</v>
      </c>
    </row>
    <row r="4825" spans="1:6">
      <c r="A4825" s="888">
        <v>267</v>
      </c>
      <c r="B4825" s="888" t="s">
        <v>1178</v>
      </c>
      <c r="C4825" s="888" t="s">
        <v>1767</v>
      </c>
      <c r="D4825" s="889">
        <v>46026</v>
      </c>
      <c r="E4825" s="888" t="s">
        <v>310</v>
      </c>
      <c r="F4825" s="888" t="s">
        <v>310</v>
      </c>
    </row>
    <row r="4826" spans="1:6">
      <c r="A4826" s="888">
        <v>267</v>
      </c>
      <c r="B4826" s="888" t="s">
        <v>1178</v>
      </c>
      <c r="C4826" s="888" t="s">
        <v>1767</v>
      </c>
      <c r="D4826" s="889">
        <v>46027</v>
      </c>
      <c r="E4826" s="890">
        <v>0.36017361111111112</v>
      </c>
      <c r="F4826" s="890">
        <v>0.80244212962962957</v>
      </c>
    </row>
    <row r="4827" spans="1:6">
      <c r="A4827" s="888" t="s">
        <v>4006</v>
      </c>
      <c r="B4827" s="888" t="s">
        <v>4007</v>
      </c>
      <c r="C4827" s="888" t="s">
        <v>3432</v>
      </c>
    </row>
    <row r="4828" spans="1:6">
      <c r="A4828" s="888">
        <v>267</v>
      </c>
      <c r="B4828" s="888" t="s">
        <v>1178</v>
      </c>
      <c r="C4828" s="888" t="s">
        <v>1767</v>
      </c>
      <c r="D4828" s="889">
        <v>46028</v>
      </c>
      <c r="E4828" s="890">
        <v>0.36475694444444445</v>
      </c>
      <c r="F4828" s="890">
        <v>0.84880787037037042</v>
      </c>
    </row>
    <row r="4829" spans="1:6">
      <c r="A4829" s="888" t="s">
        <v>4008</v>
      </c>
      <c r="B4829" s="888" t="s">
        <v>4009</v>
      </c>
      <c r="C4829" s="888" t="s">
        <v>4010</v>
      </c>
    </row>
    <row r="4830" spans="1:6">
      <c r="A4830" s="888">
        <v>267</v>
      </c>
      <c r="B4830" s="888" t="s">
        <v>1178</v>
      </c>
      <c r="C4830" s="888" t="s">
        <v>1767</v>
      </c>
      <c r="D4830" s="889">
        <v>46029</v>
      </c>
      <c r="E4830" s="890">
        <v>0.3646064814814815</v>
      </c>
      <c r="F4830" s="890">
        <v>0.79459490740740746</v>
      </c>
    </row>
    <row r="4831" spans="1:6">
      <c r="A4831" s="888" t="s">
        <v>4011</v>
      </c>
      <c r="B4831" s="888" t="s">
        <v>4012</v>
      </c>
      <c r="C4831" s="888" t="s">
        <v>1282</v>
      </c>
    </row>
    <row r="4832" spans="1:6">
      <c r="A4832" s="888">
        <v>267</v>
      </c>
      <c r="B4832" s="888" t="s">
        <v>1178</v>
      </c>
      <c r="C4832" s="888" t="s">
        <v>1767</v>
      </c>
      <c r="D4832" s="889">
        <v>46030</v>
      </c>
      <c r="E4832" s="890">
        <v>0.37168981481481483</v>
      </c>
      <c r="F4832" s="890">
        <v>0.76239583333333338</v>
      </c>
    </row>
    <row r="4833" spans="1:6">
      <c r="A4833" s="888" t="s">
        <v>4013</v>
      </c>
      <c r="B4833" s="888" t="s">
        <v>4014</v>
      </c>
      <c r="C4833" s="888" t="s">
        <v>1437</v>
      </c>
    </row>
    <row r="4834" spans="1:6">
      <c r="A4834" s="888">
        <v>267</v>
      </c>
      <c r="B4834" s="888" t="s">
        <v>1178</v>
      </c>
      <c r="C4834" s="888" t="s">
        <v>1767</v>
      </c>
      <c r="D4834" s="889">
        <v>46031</v>
      </c>
      <c r="E4834" s="890">
        <v>0.37788194444444445</v>
      </c>
      <c r="F4834" s="890">
        <v>0.78702546296296294</v>
      </c>
    </row>
    <row r="4835" spans="1:6">
      <c r="A4835" s="888" t="s">
        <v>4015</v>
      </c>
      <c r="B4835" s="888" t="s">
        <v>4016</v>
      </c>
      <c r="C4835" s="888" t="s">
        <v>1372</v>
      </c>
    </row>
    <row r="4836" spans="1:6">
      <c r="A4836" s="888">
        <v>267</v>
      </c>
      <c r="B4836" s="888" t="s">
        <v>1178</v>
      </c>
      <c r="C4836" s="888" t="s">
        <v>1767</v>
      </c>
      <c r="D4836" s="889">
        <v>46032</v>
      </c>
      <c r="E4836" s="890">
        <v>0.36858796296296298</v>
      </c>
      <c r="F4836" s="890">
        <v>0.80767361111111113</v>
      </c>
    </row>
    <row r="4837" spans="1:6">
      <c r="A4837" s="888" t="s">
        <v>4017</v>
      </c>
      <c r="B4837" s="888" t="s">
        <v>4018</v>
      </c>
      <c r="C4837" s="888" t="s">
        <v>1770</v>
      </c>
    </row>
    <row r="4838" spans="1:6">
      <c r="A4838" s="888">
        <v>267</v>
      </c>
      <c r="B4838" s="888" t="s">
        <v>1178</v>
      </c>
      <c r="C4838" s="888" t="s">
        <v>1767</v>
      </c>
      <c r="D4838" s="889">
        <v>46033</v>
      </c>
      <c r="E4838" s="888" t="s">
        <v>310</v>
      </c>
      <c r="F4838" s="888" t="s">
        <v>310</v>
      </c>
    </row>
    <row r="4839" spans="1:6">
      <c r="A4839" s="888">
        <v>267</v>
      </c>
      <c r="B4839" s="888" t="s">
        <v>1178</v>
      </c>
      <c r="C4839" s="888" t="s">
        <v>1767</v>
      </c>
      <c r="D4839" s="889">
        <v>46034</v>
      </c>
      <c r="E4839" s="890">
        <v>0.36060185185185184</v>
      </c>
      <c r="F4839" s="890">
        <v>0.77579861111111115</v>
      </c>
    </row>
    <row r="4840" spans="1:6">
      <c r="A4840" s="888" t="s">
        <v>4019</v>
      </c>
      <c r="B4840" s="888" t="s">
        <v>4020</v>
      </c>
      <c r="C4840" s="888" t="s">
        <v>1879</v>
      </c>
    </row>
    <row r="4841" spans="1:6">
      <c r="A4841" s="888">
        <v>267</v>
      </c>
      <c r="B4841" s="888" t="s">
        <v>1178</v>
      </c>
      <c r="C4841" s="888" t="s">
        <v>1767</v>
      </c>
      <c r="D4841" s="889">
        <v>46035</v>
      </c>
      <c r="E4841" s="888" t="s">
        <v>310</v>
      </c>
      <c r="F4841" s="888" t="s">
        <v>310</v>
      </c>
    </row>
    <row r="4842" spans="1:6">
      <c r="A4842" s="888">
        <v>267</v>
      </c>
      <c r="B4842" s="888" t="s">
        <v>1178</v>
      </c>
      <c r="C4842" s="888" t="s">
        <v>1767</v>
      </c>
      <c r="D4842" s="889">
        <v>46036</v>
      </c>
      <c r="E4842" s="890">
        <v>0.36871527777777779</v>
      </c>
      <c r="F4842" s="890">
        <v>0.79009259259259257</v>
      </c>
    </row>
    <row r="4843" spans="1:6">
      <c r="A4843" s="888" t="s">
        <v>4021</v>
      </c>
      <c r="B4843" s="888" t="s">
        <v>4022</v>
      </c>
      <c r="C4843" s="888" t="s">
        <v>1390</v>
      </c>
    </row>
    <row r="4844" spans="1:6">
      <c r="A4844" s="888">
        <v>267</v>
      </c>
      <c r="B4844" s="888" t="s">
        <v>1178</v>
      </c>
      <c r="C4844" s="888" t="s">
        <v>1767</v>
      </c>
      <c r="D4844" s="889">
        <v>46037</v>
      </c>
      <c r="E4844" s="890">
        <v>0.36652777777777779</v>
      </c>
      <c r="F4844" s="890">
        <v>0.87776620370370373</v>
      </c>
    </row>
    <row r="4845" spans="1:6">
      <c r="A4845" s="888" t="s">
        <v>4023</v>
      </c>
      <c r="B4845" s="888" t="s">
        <v>4024</v>
      </c>
      <c r="C4845" s="888" t="s">
        <v>2943</v>
      </c>
    </row>
    <row r="4846" spans="1:6">
      <c r="A4846" s="888">
        <v>267</v>
      </c>
      <c r="B4846" s="888" t="s">
        <v>1178</v>
      </c>
      <c r="C4846" s="888" t="s">
        <v>1767</v>
      </c>
      <c r="D4846" s="889">
        <v>46038</v>
      </c>
      <c r="E4846" s="890">
        <v>0.3664351851851852</v>
      </c>
      <c r="F4846" s="890">
        <v>0.81499999999999995</v>
      </c>
    </row>
    <row r="4847" spans="1:6">
      <c r="A4847" s="888" t="s">
        <v>4025</v>
      </c>
      <c r="B4847" s="888" t="s">
        <v>4026</v>
      </c>
      <c r="C4847" s="888" t="s">
        <v>1256</v>
      </c>
    </row>
    <row r="4848" spans="1:6">
      <c r="A4848" s="888">
        <v>267</v>
      </c>
      <c r="B4848" s="888" t="s">
        <v>1178</v>
      </c>
      <c r="C4848" s="888" t="s">
        <v>1767</v>
      </c>
      <c r="D4848" s="889">
        <v>46039</v>
      </c>
      <c r="E4848" s="888" t="s">
        <v>310</v>
      </c>
      <c r="F4848" s="888" t="s">
        <v>310</v>
      </c>
    </row>
    <row r="4849" spans="1:6">
      <c r="A4849" s="888">
        <v>267</v>
      </c>
      <c r="B4849" s="888" t="s">
        <v>1178</v>
      </c>
      <c r="C4849" s="888" t="s">
        <v>1767</v>
      </c>
      <c r="D4849" s="889">
        <v>46040</v>
      </c>
      <c r="E4849" s="888" t="s">
        <v>310</v>
      </c>
      <c r="F4849" s="888" t="s">
        <v>310</v>
      </c>
    </row>
    <row r="4850" spans="1:6">
      <c r="A4850" s="888">
        <v>267</v>
      </c>
      <c r="B4850" s="888" t="s">
        <v>1178</v>
      </c>
      <c r="C4850" s="888" t="s">
        <v>1767</v>
      </c>
      <c r="D4850" s="889">
        <v>46041</v>
      </c>
      <c r="E4850" s="890">
        <v>0.35983796296296294</v>
      </c>
      <c r="F4850" s="890">
        <v>0.78825231481481484</v>
      </c>
    </row>
    <row r="4851" spans="1:6">
      <c r="A4851" s="888" t="s">
        <v>4027</v>
      </c>
      <c r="B4851" s="888" t="s">
        <v>4028</v>
      </c>
      <c r="C4851" s="888" t="s">
        <v>2319</v>
      </c>
    </row>
    <row r="4852" spans="1:6">
      <c r="A4852" s="888">
        <v>267</v>
      </c>
      <c r="B4852" s="888" t="s">
        <v>1178</v>
      </c>
      <c r="C4852" s="888" t="s">
        <v>1767</v>
      </c>
      <c r="D4852" s="889">
        <v>46042</v>
      </c>
      <c r="E4852" s="890">
        <v>0.3643865740740741</v>
      </c>
      <c r="F4852" s="890">
        <v>0.82915509259259257</v>
      </c>
    </row>
    <row r="4853" spans="1:6">
      <c r="A4853" s="888" t="s">
        <v>4029</v>
      </c>
      <c r="B4853" s="888" t="s">
        <v>4030</v>
      </c>
      <c r="C4853" s="888" t="s">
        <v>2699</v>
      </c>
    </row>
    <row r="4854" spans="1:6">
      <c r="A4854" s="888">
        <v>267</v>
      </c>
      <c r="B4854" s="888" t="s">
        <v>1178</v>
      </c>
      <c r="C4854" s="888" t="s">
        <v>1767</v>
      </c>
      <c r="D4854" s="889">
        <v>46043</v>
      </c>
      <c r="E4854" s="890">
        <v>0.36344907407407406</v>
      </c>
      <c r="F4854" s="890">
        <v>0.79769675925925931</v>
      </c>
    </row>
    <row r="4855" spans="1:6">
      <c r="A4855" s="888" t="s">
        <v>4031</v>
      </c>
      <c r="B4855" s="888" t="s">
        <v>4032</v>
      </c>
      <c r="C4855" s="888" t="s">
        <v>1655</v>
      </c>
    </row>
    <row r="4856" spans="1:6">
      <c r="A4856" s="888">
        <v>267</v>
      </c>
      <c r="B4856" s="888" t="s">
        <v>1178</v>
      </c>
      <c r="C4856" s="888" t="s">
        <v>1767</v>
      </c>
      <c r="D4856" s="889">
        <v>46044</v>
      </c>
      <c r="E4856" s="890">
        <v>0.36461805555555554</v>
      </c>
      <c r="F4856" s="890">
        <v>0.79129629629629628</v>
      </c>
    </row>
    <row r="4857" spans="1:6">
      <c r="A4857" s="888" t="s">
        <v>4033</v>
      </c>
      <c r="B4857" s="888" t="s">
        <v>4034</v>
      </c>
      <c r="C4857" s="888" t="s">
        <v>2288</v>
      </c>
    </row>
    <row r="4858" spans="1:6">
      <c r="A4858" s="888">
        <v>267</v>
      </c>
      <c r="B4858" s="888" t="s">
        <v>1178</v>
      </c>
      <c r="C4858" s="888" t="s">
        <v>1767</v>
      </c>
      <c r="D4858" s="889">
        <v>46045</v>
      </c>
      <c r="E4858" s="888" t="s">
        <v>310</v>
      </c>
      <c r="F4858" s="888" t="s">
        <v>310</v>
      </c>
    </row>
    <row r="4859" spans="1:6">
      <c r="A4859" s="888">
        <v>267</v>
      </c>
      <c r="B4859" s="888" t="s">
        <v>1178</v>
      </c>
      <c r="C4859" s="888" t="s">
        <v>1767</v>
      </c>
      <c r="D4859" s="889">
        <v>46046</v>
      </c>
      <c r="E4859" s="888" t="s">
        <v>310</v>
      </c>
      <c r="F4859" s="888" t="s">
        <v>310</v>
      </c>
    </row>
    <row r="4860" spans="1:6">
      <c r="A4860" s="888">
        <v>267</v>
      </c>
      <c r="B4860" s="888" t="s">
        <v>1178</v>
      </c>
      <c r="C4860" s="888" t="s">
        <v>1767</v>
      </c>
      <c r="D4860" s="889">
        <v>46047</v>
      </c>
      <c r="E4860" s="888" t="s">
        <v>310</v>
      </c>
      <c r="F4860" s="888" t="s">
        <v>310</v>
      </c>
    </row>
    <row r="4861" spans="1:6">
      <c r="A4861" s="888">
        <v>267</v>
      </c>
      <c r="B4861" s="888" t="s">
        <v>1178</v>
      </c>
      <c r="C4861" s="888" t="s">
        <v>1767</v>
      </c>
      <c r="D4861" s="889">
        <v>46048</v>
      </c>
      <c r="E4861" s="888" t="s">
        <v>310</v>
      </c>
      <c r="F4861" s="888" t="s">
        <v>310</v>
      </c>
    </row>
    <row r="4862" spans="1:6">
      <c r="A4862" s="888">
        <v>267</v>
      </c>
      <c r="B4862" s="888" t="s">
        <v>1178</v>
      </c>
      <c r="C4862" s="888" t="s">
        <v>1767</v>
      </c>
      <c r="D4862" s="889">
        <v>46049</v>
      </c>
      <c r="E4862" s="888" t="s">
        <v>310</v>
      </c>
      <c r="F4862" s="888" t="s">
        <v>310</v>
      </c>
    </row>
    <row r="4863" spans="1:6">
      <c r="A4863" s="888">
        <v>267</v>
      </c>
      <c r="B4863" s="888" t="s">
        <v>1178</v>
      </c>
      <c r="C4863" s="888" t="s">
        <v>1767</v>
      </c>
      <c r="D4863" s="889">
        <v>46050</v>
      </c>
      <c r="E4863" s="890">
        <v>0.36084490740740743</v>
      </c>
      <c r="F4863" s="890">
        <v>0.78538194444444442</v>
      </c>
    </row>
    <row r="4864" spans="1:6">
      <c r="A4864" s="888" t="s">
        <v>4035</v>
      </c>
      <c r="B4864" s="888" t="s">
        <v>4036</v>
      </c>
      <c r="C4864" s="888" t="s">
        <v>1393</v>
      </c>
    </row>
    <row r="4865" spans="1:6">
      <c r="A4865" s="888">
        <v>267</v>
      </c>
      <c r="B4865" s="888" t="s">
        <v>1178</v>
      </c>
      <c r="C4865" s="888" t="s">
        <v>1767</v>
      </c>
      <c r="D4865" s="889">
        <v>46051</v>
      </c>
      <c r="E4865" s="890">
        <v>0.3659027777777778</v>
      </c>
      <c r="F4865" s="890">
        <v>0.83531250000000001</v>
      </c>
    </row>
    <row r="4866" spans="1:6">
      <c r="A4866" s="888" t="s">
        <v>4037</v>
      </c>
      <c r="B4866" s="888" t="s">
        <v>4038</v>
      </c>
      <c r="C4866" s="888" t="s">
        <v>4039</v>
      </c>
    </row>
    <row r="4867" spans="1:6">
      <c r="A4867" s="888">
        <v>267</v>
      </c>
      <c r="B4867" s="888" t="s">
        <v>1178</v>
      </c>
      <c r="C4867" s="888" t="s">
        <v>1767</v>
      </c>
      <c r="D4867" s="889">
        <v>46052</v>
      </c>
      <c r="E4867" s="890">
        <v>0.36292824074074076</v>
      </c>
      <c r="F4867" s="890">
        <v>0.82496527777777773</v>
      </c>
    </row>
    <row r="4868" spans="1:6">
      <c r="A4868" s="888" t="s">
        <v>4040</v>
      </c>
      <c r="B4868" s="888" t="s">
        <v>4041</v>
      </c>
      <c r="C4868" s="888" t="s">
        <v>4042</v>
      </c>
    </row>
    <row r="4869" spans="1:6">
      <c r="A4869" s="888">
        <v>267</v>
      </c>
      <c r="B4869" s="888" t="s">
        <v>1178</v>
      </c>
      <c r="C4869" s="888" t="s">
        <v>1767</v>
      </c>
      <c r="D4869" s="889">
        <v>46053</v>
      </c>
      <c r="E4869" s="888" t="s">
        <v>310</v>
      </c>
      <c r="F4869" s="888" t="s">
        <v>310</v>
      </c>
    </row>
    <row r="4870" spans="1:6">
      <c r="A4870" s="888">
        <v>267</v>
      </c>
      <c r="B4870" s="888" t="s">
        <v>1178</v>
      </c>
      <c r="C4870" s="888" t="s">
        <v>1767</v>
      </c>
      <c r="D4870" s="889">
        <v>46054</v>
      </c>
      <c r="E4870" s="888" t="s">
        <v>310</v>
      </c>
      <c r="F4870" s="888" t="s">
        <v>310</v>
      </c>
    </row>
    <row r="4871" spans="1:6">
      <c r="A4871" s="888">
        <v>268</v>
      </c>
      <c r="B4871" s="888" t="s">
        <v>1179</v>
      </c>
      <c r="C4871" s="888" t="s">
        <v>1767</v>
      </c>
      <c r="D4871" s="889">
        <v>46023</v>
      </c>
      <c r="E4871" s="888" t="s">
        <v>310</v>
      </c>
      <c r="F4871" s="888" t="s">
        <v>310</v>
      </c>
    </row>
    <row r="4872" spans="1:6">
      <c r="A4872" s="888">
        <v>268</v>
      </c>
      <c r="B4872" s="888" t="s">
        <v>1179</v>
      </c>
      <c r="C4872" s="888" t="s">
        <v>1767</v>
      </c>
      <c r="D4872" s="889">
        <v>46024</v>
      </c>
      <c r="E4872" s="888" t="s">
        <v>310</v>
      </c>
      <c r="F4872" s="888" t="s">
        <v>310</v>
      </c>
    </row>
    <row r="4873" spans="1:6">
      <c r="A4873" s="888">
        <v>268</v>
      </c>
      <c r="B4873" s="888" t="s">
        <v>1179</v>
      </c>
      <c r="C4873" s="888" t="s">
        <v>1767</v>
      </c>
      <c r="D4873" s="889">
        <v>46025</v>
      </c>
      <c r="E4873" s="888" t="s">
        <v>310</v>
      </c>
      <c r="F4873" s="888" t="s">
        <v>310</v>
      </c>
    </row>
    <row r="4874" spans="1:6">
      <c r="A4874" s="888">
        <v>268</v>
      </c>
      <c r="B4874" s="888" t="s">
        <v>1179</v>
      </c>
      <c r="C4874" s="888" t="s">
        <v>1767</v>
      </c>
      <c r="D4874" s="889">
        <v>46026</v>
      </c>
      <c r="E4874" s="888" t="s">
        <v>310</v>
      </c>
      <c r="F4874" s="888" t="s">
        <v>310</v>
      </c>
    </row>
    <row r="4875" spans="1:6">
      <c r="A4875" s="888">
        <v>268</v>
      </c>
      <c r="B4875" s="888" t="s">
        <v>1179</v>
      </c>
      <c r="C4875" s="888" t="s">
        <v>1767</v>
      </c>
      <c r="D4875" s="889">
        <v>46027</v>
      </c>
      <c r="E4875" s="890">
        <v>0.37416666666666665</v>
      </c>
      <c r="F4875" s="890">
        <v>0.77076388888888892</v>
      </c>
    </row>
    <row r="4876" spans="1:6">
      <c r="A4876" s="888" t="s">
        <v>4043</v>
      </c>
      <c r="B4876" s="888" t="s">
        <v>4044</v>
      </c>
      <c r="C4876" s="888" t="s">
        <v>1452</v>
      </c>
    </row>
    <row r="4877" spans="1:6">
      <c r="A4877" s="888">
        <v>268</v>
      </c>
      <c r="B4877" s="888" t="s">
        <v>1179</v>
      </c>
      <c r="C4877" s="888" t="s">
        <v>1767</v>
      </c>
      <c r="D4877" s="889">
        <v>46028</v>
      </c>
      <c r="E4877" s="890">
        <v>0.37850694444444444</v>
      </c>
      <c r="F4877" s="890">
        <v>0.76956018518518521</v>
      </c>
    </row>
    <row r="4878" spans="1:6">
      <c r="A4878" s="888" t="s">
        <v>4045</v>
      </c>
      <c r="B4878" s="888" t="s">
        <v>4046</v>
      </c>
      <c r="C4878" s="888" t="s">
        <v>1437</v>
      </c>
    </row>
    <row r="4879" spans="1:6">
      <c r="A4879" s="888">
        <v>268</v>
      </c>
      <c r="B4879" s="888" t="s">
        <v>1179</v>
      </c>
      <c r="C4879" s="888" t="s">
        <v>1767</v>
      </c>
      <c r="D4879" s="889">
        <v>46029</v>
      </c>
      <c r="E4879" s="890">
        <v>0.38700231481481484</v>
      </c>
      <c r="F4879" s="890">
        <v>0.79465277777777776</v>
      </c>
    </row>
    <row r="4880" spans="1:6">
      <c r="A4880" s="888" t="s">
        <v>4047</v>
      </c>
      <c r="B4880" s="888" t="s">
        <v>4048</v>
      </c>
      <c r="C4880" s="888" t="s">
        <v>1645</v>
      </c>
    </row>
    <row r="4881" spans="1:6">
      <c r="A4881" s="888">
        <v>268</v>
      </c>
      <c r="B4881" s="888" t="s">
        <v>1179</v>
      </c>
      <c r="C4881" s="888" t="s">
        <v>1767</v>
      </c>
      <c r="D4881" s="889">
        <v>46030</v>
      </c>
      <c r="E4881" s="890">
        <v>0.36952546296296296</v>
      </c>
      <c r="F4881" s="890">
        <v>0.84841435185185188</v>
      </c>
    </row>
    <row r="4882" spans="1:6">
      <c r="A4882" s="888" t="s">
        <v>4049</v>
      </c>
      <c r="B4882" s="888" t="s">
        <v>4050</v>
      </c>
      <c r="C4882" s="888" t="s">
        <v>3205</v>
      </c>
    </row>
    <row r="4883" spans="1:6">
      <c r="A4883" s="888">
        <v>268</v>
      </c>
      <c r="B4883" s="888" t="s">
        <v>1179</v>
      </c>
      <c r="C4883" s="888" t="s">
        <v>1767</v>
      </c>
      <c r="D4883" s="889">
        <v>46031</v>
      </c>
      <c r="E4883" s="890">
        <v>0.37578703703703703</v>
      </c>
      <c r="F4883" s="890">
        <v>0.8040856481481482</v>
      </c>
    </row>
    <row r="4884" spans="1:6">
      <c r="A4884" s="888" t="s">
        <v>4051</v>
      </c>
      <c r="B4884" s="888" t="s">
        <v>4052</v>
      </c>
      <c r="C4884" s="888" t="s">
        <v>2319</v>
      </c>
    </row>
    <row r="4885" spans="1:6">
      <c r="A4885" s="888">
        <v>268</v>
      </c>
      <c r="B4885" s="888" t="s">
        <v>1179</v>
      </c>
      <c r="C4885" s="888" t="s">
        <v>1767</v>
      </c>
      <c r="D4885" s="889">
        <v>46032</v>
      </c>
      <c r="E4885" s="890">
        <v>0.3709837962962963</v>
      </c>
      <c r="F4885" s="890">
        <v>0.80770833333333336</v>
      </c>
    </row>
    <row r="4886" spans="1:6">
      <c r="A4886" s="888" t="s">
        <v>4053</v>
      </c>
      <c r="B4886" s="888" t="s">
        <v>4054</v>
      </c>
      <c r="C4886" s="888" t="s">
        <v>1273</v>
      </c>
    </row>
    <row r="4887" spans="1:6">
      <c r="A4887" s="888">
        <v>268</v>
      </c>
      <c r="B4887" s="888" t="s">
        <v>1179</v>
      </c>
      <c r="C4887" s="888" t="s">
        <v>1767</v>
      </c>
      <c r="D4887" s="889">
        <v>46033</v>
      </c>
      <c r="E4887" s="888" t="s">
        <v>310</v>
      </c>
      <c r="F4887" s="888" t="s">
        <v>310</v>
      </c>
    </row>
    <row r="4888" spans="1:6">
      <c r="A4888" s="888">
        <v>268</v>
      </c>
      <c r="B4888" s="888" t="s">
        <v>1179</v>
      </c>
      <c r="C4888" s="888" t="s">
        <v>1767</v>
      </c>
      <c r="D4888" s="889">
        <v>46034</v>
      </c>
      <c r="E4888" s="890">
        <v>0.36719907407407409</v>
      </c>
      <c r="F4888" s="890">
        <v>0.77569444444444446</v>
      </c>
    </row>
    <row r="4889" spans="1:6">
      <c r="A4889" s="888" t="s">
        <v>4055</v>
      </c>
      <c r="B4889" s="888" t="s">
        <v>4056</v>
      </c>
      <c r="C4889" s="888" t="s">
        <v>2077</v>
      </c>
    </row>
    <row r="4890" spans="1:6">
      <c r="A4890" s="888">
        <v>268</v>
      </c>
      <c r="B4890" s="888" t="s">
        <v>1179</v>
      </c>
      <c r="C4890" s="888" t="s">
        <v>1767</v>
      </c>
      <c r="D4890" s="889">
        <v>46035</v>
      </c>
      <c r="E4890" s="890">
        <v>0.36398148148148146</v>
      </c>
      <c r="F4890" s="890">
        <v>0.80513888888888885</v>
      </c>
    </row>
    <row r="4891" spans="1:6">
      <c r="A4891" s="888" t="s">
        <v>4057</v>
      </c>
      <c r="B4891" s="888" t="s">
        <v>4058</v>
      </c>
      <c r="C4891" s="888" t="s">
        <v>2569</v>
      </c>
    </row>
    <row r="4892" spans="1:6">
      <c r="A4892" s="888">
        <v>268</v>
      </c>
      <c r="B4892" s="888" t="s">
        <v>1179</v>
      </c>
      <c r="C4892" s="888" t="s">
        <v>1767</v>
      </c>
      <c r="D4892" s="889">
        <v>46036</v>
      </c>
      <c r="E4892" s="890">
        <v>0.37077546296296299</v>
      </c>
      <c r="F4892" s="890">
        <v>0.79011574074074076</v>
      </c>
    </row>
    <row r="4893" spans="1:6">
      <c r="A4893" s="888" t="s">
        <v>4059</v>
      </c>
      <c r="B4893" s="888" t="s">
        <v>4060</v>
      </c>
      <c r="C4893" s="888" t="s">
        <v>1773</v>
      </c>
    </row>
    <row r="4894" spans="1:6">
      <c r="A4894" s="888">
        <v>268</v>
      </c>
      <c r="B4894" s="888" t="s">
        <v>1179</v>
      </c>
      <c r="C4894" s="888" t="s">
        <v>1767</v>
      </c>
      <c r="D4894" s="889">
        <v>46037</v>
      </c>
      <c r="E4894" s="890">
        <v>0.37216435185185187</v>
      </c>
      <c r="F4894" s="890">
        <v>0.84968750000000004</v>
      </c>
    </row>
    <row r="4895" spans="1:6">
      <c r="A4895" s="888" t="s">
        <v>4061</v>
      </c>
      <c r="B4895" s="888" t="s">
        <v>4062</v>
      </c>
      <c r="C4895" s="888" t="s">
        <v>2553</v>
      </c>
    </row>
    <row r="4896" spans="1:6">
      <c r="A4896" s="888">
        <v>268</v>
      </c>
      <c r="B4896" s="888" t="s">
        <v>1179</v>
      </c>
      <c r="C4896" s="888" t="s">
        <v>1767</v>
      </c>
      <c r="D4896" s="889">
        <v>46038</v>
      </c>
      <c r="E4896" s="890">
        <v>0.37315972222222221</v>
      </c>
      <c r="F4896" s="890">
        <v>0.76249999999999996</v>
      </c>
    </row>
    <row r="4897" spans="1:6">
      <c r="A4897" s="888" t="s">
        <v>4063</v>
      </c>
      <c r="B4897" s="888" t="s">
        <v>4064</v>
      </c>
      <c r="C4897" s="888" t="s">
        <v>1737</v>
      </c>
    </row>
    <row r="4898" spans="1:6">
      <c r="A4898" s="888">
        <v>268</v>
      </c>
      <c r="B4898" s="888" t="s">
        <v>1179</v>
      </c>
      <c r="C4898" s="888" t="s">
        <v>1767</v>
      </c>
      <c r="D4898" s="889">
        <v>46039</v>
      </c>
      <c r="E4898" s="888" t="s">
        <v>310</v>
      </c>
      <c r="F4898" s="888" t="s">
        <v>310</v>
      </c>
    </row>
    <row r="4899" spans="1:6">
      <c r="A4899" s="888">
        <v>268</v>
      </c>
      <c r="B4899" s="888" t="s">
        <v>1179</v>
      </c>
      <c r="C4899" s="888" t="s">
        <v>1767</v>
      </c>
      <c r="D4899" s="889">
        <v>46040</v>
      </c>
      <c r="E4899" s="888" t="s">
        <v>310</v>
      </c>
      <c r="F4899" s="888" t="s">
        <v>310</v>
      </c>
    </row>
    <row r="4900" spans="1:6">
      <c r="A4900" s="888">
        <v>268</v>
      </c>
      <c r="B4900" s="888" t="s">
        <v>1179</v>
      </c>
      <c r="C4900" s="888" t="s">
        <v>1767</v>
      </c>
      <c r="D4900" s="889">
        <v>46041</v>
      </c>
      <c r="E4900" s="890">
        <v>0.37146990740740743</v>
      </c>
      <c r="F4900" s="890">
        <v>0.50649305555555557</v>
      </c>
    </row>
    <row r="4901" spans="1:6">
      <c r="A4901" s="888" t="s">
        <v>4065</v>
      </c>
      <c r="B4901" s="888" t="s">
        <v>4066</v>
      </c>
      <c r="C4901" s="888" t="s">
        <v>3754</v>
      </c>
    </row>
    <row r="4902" spans="1:6">
      <c r="A4902" s="888">
        <v>268</v>
      </c>
      <c r="B4902" s="888" t="s">
        <v>1179</v>
      </c>
      <c r="C4902" s="888" t="s">
        <v>1767</v>
      </c>
      <c r="D4902" s="889">
        <v>46042</v>
      </c>
      <c r="E4902" s="890">
        <v>0.37222222222222223</v>
      </c>
      <c r="F4902" s="890">
        <v>0.75244212962962964</v>
      </c>
    </row>
    <row r="4903" spans="1:6">
      <c r="A4903" s="888" t="s">
        <v>4067</v>
      </c>
      <c r="B4903" s="888" t="s">
        <v>4068</v>
      </c>
      <c r="C4903" s="888" t="s">
        <v>1311</v>
      </c>
    </row>
    <row r="4904" spans="1:6">
      <c r="A4904" s="888">
        <v>268</v>
      </c>
      <c r="B4904" s="888" t="s">
        <v>1179</v>
      </c>
      <c r="C4904" s="888" t="s">
        <v>1767</v>
      </c>
      <c r="D4904" s="889">
        <v>46043</v>
      </c>
      <c r="E4904" s="890">
        <v>0.37141203703703701</v>
      </c>
      <c r="F4904" s="890">
        <v>0.77453703703703702</v>
      </c>
    </row>
    <row r="4905" spans="1:6">
      <c r="A4905" s="888" t="s">
        <v>4069</v>
      </c>
      <c r="B4905" s="888" t="s">
        <v>4070</v>
      </c>
      <c r="C4905" s="888" t="s">
        <v>1363</v>
      </c>
    </row>
    <row r="4906" spans="1:6">
      <c r="A4906" s="888">
        <v>268</v>
      </c>
      <c r="B4906" s="888" t="s">
        <v>1179</v>
      </c>
      <c r="C4906" s="888" t="s">
        <v>1767</v>
      </c>
      <c r="D4906" s="889">
        <v>46044</v>
      </c>
      <c r="E4906" s="890">
        <v>0.37289351851851854</v>
      </c>
      <c r="F4906" s="890">
        <v>0.79131944444444446</v>
      </c>
    </row>
    <row r="4907" spans="1:6">
      <c r="A4907" s="888" t="s">
        <v>4071</v>
      </c>
      <c r="B4907" s="888" t="s">
        <v>4072</v>
      </c>
      <c r="C4907" s="888" t="s">
        <v>2030</v>
      </c>
    </row>
    <row r="4908" spans="1:6">
      <c r="A4908" s="888">
        <v>268</v>
      </c>
      <c r="B4908" s="888" t="s">
        <v>1179</v>
      </c>
      <c r="C4908" s="888" t="s">
        <v>1767</v>
      </c>
      <c r="D4908" s="889">
        <v>46045</v>
      </c>
      <c r="E4908" s="890">
        <v>0.36762731481481481</v>
      </c>
      <c r="F4908" s="890">
        <v>0.8351736111111111</v>
      </c>
    </row>
    <row r="4909" spans="1:6">
      <c r="A4909" s="888" t="s">
        <v>4073</v>
      </c>
      <c r="B4909" s="888" t="s">
        <v>4074</v>
      </c>
      <c r="C4909" s="888" t="s">
        <v>2921</v>
      </c>
    </row>
    <row r="4910" spans="1:6">
      <c r="A4910" s="888">
        <v>268</v>
      </c>
      <c r="B4910" s="888" t="s">
        <v>1179</v>
      </c>
      <c r="C4910" s="888" t="s">
        <v>1767</v>
      </c>
      <c r="D4910" s="889">
        <v>46046</v>
      </c>
      <c r="E4910" s="888" t="s">
        <v>310</v>
      </c>
      <c r="F4910" s="888" t="s">
        <v>310</v>
      </c>
    </row>
    <row r="4911" spans="1:6">
      <c r="A4911" s="888">
        <v>268</v>
      </c>
      <c r="B4911" s="888" t="s">
        <v>1179</v>
      </c>
      <c r="C4911" s="888" t="s">
        <v>1767</v>
      </c>
      <c r="D4911" s="889">
        <v>46047</v>
      </c>
      <c r="E4911" s="888" t="s">
        <v>310</v>
      </c>
      <c r="F4911" s="888" t="s">
        <v>310</v>
      </c>
    </row>
    <row r="4912" spans="1:6">
      <c r="A4912" s="888">
        <v>268</v>
      </c>
      <c r="B4912" s="888" t="s">
        <v>1179</v>
      </c>
      <c r="C4912" s="888" t="s">
        <v>1767</v>
      </c>
      <c r="D4912" s="889">
        <v>46048</v>
      </c>
      <c r="E4912" s="888" t="s">
        <v>310</v>
      </c>
      <c r="F4912" s="888" t="s">
        <v>310</v>
      </c>
    </row>
    <row r="4913" spans="1:6">
      <c r="A4913" s="888">
        <v>268</v>
      </c>
      <c r="B4913" s="888" t="s">
        <v>1179</v>
      </c>
      <c r="C4913" s="888" t="s">
        <v>1767</v>
      </c>
      <c r="D4913" s="889">
        <v>46049</v>
      </c>
      <c r="E4913" s="890">
        <v>0.36922453703703706</v>
      </c>
      <c r="F4913" s="890">
        <v>0.76598379629629632</v>
      </c>
    </row>
    <row r="4914" spans="1:6">
      <c r="A4914" s="888" t="s">
        <v>4075</v>
      </c>
      <c r="B4914" s="888" t="s">
        <v>4076</v>
      </c>
      <c r="C4914" s="888" t="s">
        <v>1452</v>
      </c>
    </row>
    <row r="4915" spans="1:6">
      <c r="A4915" s="888">
        <v>268</v>
      </c>
      <c r="B4915" s="888" t="s">
        <v>1179</v>
      </c>
      <c r="C4915" s="888" t="s">
        <v>1767</v>
      </c>
      <c r="D4915" s="889">
        <v>46050</v>
      </c>
      <c r="E4915" s="890">
        <v>0.37381944444444443</v>
      </c>
      <c r="F4915" s="890">
        <v>0.78540509259259261</v>
      </c>
    </row>
    <row r="4916" spans="1:6">
      <c r="A4916" s="888" t="s">
        <v>4077</v>
      </c>
      <c r="B4916" s="888" t="s">
        <v>4078</v>
      </c>
      <c r="C4916" s="888" t="s">
        <v>1369</v>
      </c>
    </row>
    <row r="4917" spans="1:6">
      <c r="A4917" s="888">
        <v>268</v>
      </c>
      <c r="B4917" s="888" t="s">
        <v>1179</v>
      </c>
      <c r="C4917" s="888" t="s">
        <v>1767</v>
      </c>
      <c r="D4917" s="889">
        <v>46051</v>
      </c>
      <c r="E4917" s="890">
        <v>0.36788194444444444</v>
      </c>
      <c r="F4917" s="890">
        <v>0.83540509259259255</v>
      </c>
    </row>
    <row r="4918" spans="1:6">
      <c r="A4918" s="888" t="s">
        <v>4079</v>
      </c>
      <c r="B4918" s="888" t="s">
        <v>4080</v>
      </c>
      <c r="C4918" s="888" t="s">
        <v>2921</v>
      </c>
    </row>
    <row r="4919" spans="1:6">
      <c r="A4919" s="888">
        <v>268</v>
      </c>
      <c r="B4919" s="888" t="s">
        <v>1179</v>
      </c>
      <c r="C4919" s="888" t="s">
        <v>1767</v>
      </c>
      <c r="D4919" s="889">
        <v>46052</v>
      </c>
      <c r="E4919" s="890">
        <v>0.37366898148148148</v>
      </c>
      <c r="F4919" s="890">
        <v>0.82499999999999996</v>
      </c>
    </row>
    <row r="4920" spans="1:6">
      <c r="A4920" s="888" t="s">
        <v>4081</v>
      </c>
      <c r="B4920" s="888" t="s">
        <v>4082</v>
      </c>
      <c r="C4920" s="888" t="s">
        <v>4083</v>
      </c>
    </row>
    <row r="4921" spans="1:6">
      <c r="A4921" s="888">
        <v>268</v>
      </c>
      <c r="B4921" s="888" t="s">
        <v>1179</v>
      </c>
      <c r="C4921" s="888" t="s">
        <v>1767</v>
      </c>
      <c r="D4921" s="889">
        <v>46053</v>
      </c>
      <c r="E4921" s="888" t="s">
        <v>310</v>
      </c>
      <c r="F4921" s="888" t="s">
        <v>310</v>
      </c>
    </row>
    <row r="4922" spans="1:6">
      <c r="A4922" s="888">
        <v>268</v>
      </c>
      <c r="B4922" s="888" t="s">
        <v>1179</v>
      </c>
      <c r="C4922" s="888" t="s">
        <v>1767</v>
      </c>
      <c r="D4922" s="889">
        <v>46054</v>
      </c>
      <c r="E4922" s="888" t="s">
        <v>310</v>
      </c>
      <c r="F4922" s="888" t="s">
        <v>310</v>
      </c>
    </row>
    <row r="4923" spans="1:6">
      <c r="A4923" s="888">
        <v>269</v>
      </c>
      <c r="B4923" s="888" t="s">
        <v>1180</v>
      </c>
      <c r="C4923" s="888" t="s">
        <v>1468</v>
      </c>
      <c r="D4923" s="889">
        <v>46023</v>
      </c>
      <c r="E4923" s="888" t="s">
        <v>310</v>
      </c>
      <c r="F4923" s="888" t="s">
        <v>310</v>
      </c>
    </row>
    <row r="4924" spans="1:6">
      <c r="A4924" s="888">
        <v>269</v>
      </c>
      <c r="B4924" s="888" t="s">
        <v>1180</v>
      </c>
      <c r="C4924" s="888" t="s">
        <v>1468</v>
      </c>
      <c r="D4924" s="889">
        <v>46024</v>
      </c>
      <c r="E4924" s="888" t="s">
        <v>310</v>
      </c>
      <c r="F4924" s="888" t="s">
        <v>310</v>
      </c>
    </row>
    <row r="4925" spans="1:6">
      <c r="A4925" s="888">
        <v>269</v>
      </c>
      <c r="B4925" s="888" t="s">
        <v>1180</v>
      </c>
      <c r="C4925" s="888" t="s">
        <v>1468</v>
      </c>
      <c r="D4925" s="889">
        <v>46025</v>
      </c>
      <c r="E4925" s="888" t="s">
        <v>310</v>
      </c>
      <c r="F4925" s="888" t="s">
        <v>310</v>
      </c>
    </row>
    <row r="4926" spans="1:6">
      <c r="A4926" s="888">
        <v>269</v>
      </c>
      <c r="B4926" s="888" t="s">
        <v>1180</v>
      </c>
      <c r="C4926" s="888" t="s">
        <v>1468</v>
      </c>
      <c r="D4926" s="889">
        <v>46026</v>
      </c>
      <c r="E4926" s="888" t="s">
        <v>310</v>
      </c>
      <c r="F4926" s="888" t="s">
        <v>310</v>
      </c>
    </row>
    <row r="4927" spans="1:6">
      <c r="A4927" s="888">
        <v>269</v>
      </c>
      <c r="B4927" s="888" t="s">
        <v>1180</v>
      </c>
      <c r="C4927" s="888" t="s">
        <v>1468</v>
      </c>
      <c r="D4927" s="889">
        <v>46027</v>
      </c>
      <c r="E4927" s="890">
        <v>0.39994212962962961</v>
      </c>
      <c r="F4927" s="890">
        <v>0.76431712962962961</v>
      </c>
    </row>
    <row r="4928" spans="1:6">
      <c r="A4928" s="888" t="s">
        <v>4084</v>
      </c>
      <c r="B4928" s="888" t="s">
        <v>4085</v>
      </c>
      <c r="C4928" s="888" t="s">
        <v>3571</v>
      </c>
    </row>
    <row r="4929" spans="1:6">
      <c r="A4929" s="888">
        <v>269</v>
      </c>
      <c r="B4929" s="888" t="s">
        <v>1180</v>
      </c>
      <c r="C4929" s="888" t="s">
        <v>1468</v>
      </c>
      <c r="D4929" s="889">
        <v>46028</v>
      </c>
      <c r="E4929" s="890">
        <v>0.40846064814814814</v>
      </c>
      <c r="F4929" s="890">
        <v>0.77054398148148151</v>
      </c>
    </row>
    <row r="4930" spans="1:6">
      <c r="A4930" s="888" t="s">
        <v>4086</v>
      </c>
      <c r="B4930" s="888" t="s">
        <v>4087</v>
      </c>
      <c r="C4930" s="888" t="s">
        <v>3072</v>
      </c>
    </row>
    <row r="4931" spans="1:6">
      <c r="A4931" s="888">
        <v>269</v>
      </c>
      <c r="B4931" s="888" t="s">
        <v>1180</v>
      </c>
      <c r="C4931" s="888" t="s">
        <v>1468</v>
      </c>
      <c r="D4931" s="889">
        <v>46029</v>
      </c>
      <c r="E4931" s="890">
        <v>0.57064814814814813</v>
      </c>
      <c r="F4931" s="890">
        <v>0.85553240740740744</v>
      </c>
    </row>
    <row r="4932" spans="1:6">
      <c r="A4932" s="888" t="s">
        <v>4088</v>
      </c>
      <c r="B4932" s="888" t="s">
        <v>4089</v>
      </c>
      <c r="C4932" s="888" t="s">
        <v>4090</v>
      </c>
    </row>
    <row r="4933" spans="1:6">
      <c r="A4933" s="888">
        <v>269</v>
      </c>
      <c r="B4933" s="888" t="s">
        <v>1180</v>
      </c>
      <c r="C4933" s="888" t="s">
        <v>1468</v>
      </c>
      <c r="D4933" s="889">
        <v>46030</v>
      </c>
      <c r="E4933" s="890">
        <v>0.57482638888888893</v>
      </c>
      <c r="F4933" s="890">
        <v>0.87722222222222224</v>
      </c>
    </row>
    <row r="4934" spans="1:6">
      <c r="A4934" s="888" t="s">
        <v>4091</v>
      </c>
      <c r="B4934" s="888" t="s">
        <v>4092</v>
      </c>
      <c r="C4934" s="888" t="s">
        <v>4093</v>
      </c>
    </row>
    <row r="4935" spans="1:6">
      <c r="A4935" s="888">
        <v>269</v>
      </c>
      <c r="B4935" s="888" t="s">
        <v>1180</v>
      </c>
      <c r="C4935" s="888" t="s">
        <v>1468</v>
      </c>
      <c r="D4935" s="889">
        <v>46031</v>
      </c>
      <c r="E4935" s="890">
        <v>0.62942129629629628</v>
      </c>
      <c r="F4935" s="890">
        <v>0.87450231481481477</v>
      </c>
    </row>
    <row r="4936" spans="1:6">
      <c r="A4936" s="888" t="s">
        <v>4094</v>
      </c>
      <c r="B4936" s="888" t="s">
        <v>4095</v>
      </c>
      <c r="C4936" s="888" t="s">
        <v>4096</v>
      </c>
    </row>
    <row r="4937" spans="1:6">
      <c r="A4937" s="888">
        <v>269</v>
      </c>
      <c r="B4937" s="888" t="s">
        <v>1180</v>
      </c>
      <c r="C4937" s="888" t="s">
        <v>1468</v>
      </c>
      <c r="D4937" s="889">
        <v>46032</v>
      </c>
      <c r="E4937" s="890">
        <v>0.60196759259259258</v>
      </c>
      <c r="F4937" s="890">
        <v>0.674224537037037</v>
      </c>
    </row>
    <row r="4938" spans="1:6">
      <c r="A4938" s="888" t="s">
        <v>4097</v>
      </c>
      <c r="B4938" s="888" t="s">
        <v>4098</v>
      </c>
      <c r="C4938" s="888" t="s">
        <v>4099</v>
      </c>
    </row>
    <row r="4939" spans="1:6">
      <c r="A4939" s="888">
        <v>269</v>
      </c>
      <c r="B4939" s="888" t="s">
        <v>1180</v>
      </c>
      <c r="C4939" s="888" t="s">
        <v>1468</v>
      </c>
      <c r="D4939" s="889">
        <v>46033</v>
      </c>
      <c r="E4939" s="888" t="s">
        <v>310</v>
      </c>
      <c r="F4939" s="888" t="s">
        <v>310</v>
      </c>
    </row>
    <row r="4940" spans="1:6">
      <c r="A4940" s="888">
        <v>269</v>
      </c>
      <c r="B4940" s="888" t="s">
        <v>1180</v>
      </c>
      <c r="C4940" s="888" t="s">
        <v>1468</v>
      </c>
      <c r="D4940" s="889">
        <v>46034</v>
      </c>
      <c r="E4940" s="890">
        <v>0.57006944444444441</v>
      </c>
      <c r="F4940" s="890">
        <v>0.89666666666666661</v>
      </c>
    </row>
    <row r="4941" spans="1:6">
      <c r="A4941" s="888" t="s">
        <v>4100</v>
      </c>
      <c r="B4941" s="888" t="s">
        <v>4101</v>
      </c>
      <c r="C4941" s="888" t="s">
        <v>4102</v>
      </c>
    </row>
    <row r="4942" spans="1:6">
      <c r="A4942" s="888">
        <v>269</v>
      </c>
      <c r="B4942" s="888" t="s">
        <v>1180</v>
      </c>
      <c r="C4942" s="888" t="s">
        <v>1468</v>
      </c>
      <c r="D4942" s="889">
        <v>46035</v>
      </c>
      <c r="E4942" s="890">
        <v>0.36298611111111112</v>
      </c>
      <c r="F4942" s="890">
        <v>0.91872685185185188</v>
      </c>
    </row>
    <row r="4943" spans="1:6">
      <c r="A4943" s="888" t="s">
        <v>4103</v>
      </c>
      <c r="B4943" s="888" t="s">
        <v>4104</v>
      </c>
      <c r="C4943" s="888" t="s">
        <v>4105</v>
      </c>
    </row>
    <row r="4944" spans="1:6">
      <c r="A4944" s="888">
        <v>269</v>
      </c>
      <c r="B4944" s="888" t="s">
        <v>1180</v>
      </c>
      <c r="C4944" s="888" t="s">
        <v>1468</v>
      </c>
      <c r="D4944" s="889">
        <v>46036</v>
      </c>
      <c r="E4944" s="890">
        <v>0.3664236111111111</v>
      </c>
      <c r="F4944" s="890">
        <v>0.91912037037037042</v>
      </c>
    </row>
    <row r="4945" spans="1:6">
      <c r="A4945" s="888" t="s">
        <v>4106</v>
      </c>
      <c r="B4945" s="888" t="s">
        <v>4107</v>
      </c>
      <c r="C4945" s="888" t="s">
        <v>4108</v>
      </c>
    </row>
    <row r="4946" spans="1:6">
      <c r="A4946" s="888">
        <v>269</v>
      </c>
      <c r="B4946" s="888" t="s">
        <v>1180</v>
      </c>
      <c r="C4946" s="888" t="s">
        <v>1468</v>
      </c>
      <c r="D4946" s="889">
        <v>46037</v>
      </c>
      <c r="E4946" s="890">
        <v>0.36320601851851853</v>
      </c>
      <c r="F4946" s="890">
        <v>0.80709490740740741</v>
      </c>
    </row>
    <row r="4947" spans="1:6">
      <c r="A4947" s="888" t="s">
        <v>4109</v>
      </c>
      <c r="B4947" s="888" t="s">
        <v>4110</v>
      </c>
      <c r="C4947" s="888" t="s">
        <v>1270</v>
      </c>
    </row>
    <row r="4948" spans="1:6">
      <c r="A4948" s="888">
        <v>269</v>
      </c>
      <c r="B4948" s="888" t="s">
        <v>1180</v>
      </c>
      <c r="C4948" s="888" t="s">
        <v>1468</v>
      </c>
      <c r="D4948" s="889">
        <v>46038</v>
      </c>
      <c r="E4948" s="890">
        <v>0.37008101851851855</v>
      </c>
      <c r="F4948" s="890">
        <v>0.47951388888888891</v>
      </c>
    </row>
    <row r="4949" spans="1:6">
      <c r="A4949" s="888" t="s">
        <v>4111</v>
      </c>
      <c r="B4949" s="888" t="s">
        <v>4112</v>
      </c>
      <c r="C4949" s="888" t="s">
        <v>4113</v>
      </c>
    </row>
    <row r="4950" spans="1:6">
      <c r="A4950" s="888">
        <v>269</v>
      </c>
      <c r="B4950" s="888" t="s">
        <v>1180</v>
      </c>
      <c r="C4950" s="888" t="s">
        <v>1468</v>
      </c>
      <c r="D4950" s="889">
        <v>46039</v>
      </c>
      <c r="E4950" s="890">
        <v>0.56472222222222224</v>
      </c>
      <c r="F4950" s="890">
        <v>0.77675925925925926</v>
      </c>
    </row>
    <row r="4951" spans="1:6">
      <c r="A4951" s="888" t="s">
        <v>4114</v>
      </c>
      <c r="B4951" s="888" t="s">
        <v>4115</v>
      </c>
      <c r="C4951" s="888" t="s">
        <v>4116</v>
      </c>
    </row>
    <row r="4952" spans="1:6">
      <c r="A4952" s="888">
        <v>269</v>
      </c>
      <c r="B4952" s="888" t="s">
        <v>1180</v>
      </c>
      <c r="C4952" s="888" t="s">
        <v>1468</v>
      </c>
      <c r="D4952" s="889">
        <v>46040</v>
      </c>
      <c r="E4952" s="890">
        <v>0.5975462962962963</v>
      </c>
      <c r="F4952" s="890">
        <v>0.70263888888888892</v>
      </c>
    </row>
    <row r="4953" spans="1:6">
      <c r="A4953" s="888" t="s">
        <v>4117</v>
      </c>
      <c r="B4953" s="888" t="s">
        <v>4118</v>
      </c>
      <c r="C4953" s="888" t="s">
        <v>4119</v>
      </c>
    </row>
    <row r="4954" spans="1:6">
      <c r="A4954" s="888">
        <v>269</v>
      </c>
      <c r="B4954" s="888" t="s">
        <v>1180</v>
      </c>
      <c r="C4954" s="888" t="s">
        <v>1468</v>
      </c>
      <c r="D4954" s="889">
        <v>46041</v>
      </c>
      <c r="E4954" s="890">
        <v>0.56649305555555551</v>
      </c>
      <c r="F4954" s="890">
        <v>0.83932870370370372</v>
      </c>
    </row>
    <row r="4955" spans="1:6">
      <c r="A4955" s="888" t="s">
        <v>4120</v>
      </c>
      <c r="B4955" s="888" t="s">
        <v>4121</v>
      </c>
      <c r="C4955" s="888" t="s">
        <v>4122</v>
      </c>
    </row>
    <row r="4956" spans="1:6">
      <c r="A4956" s="888">
        <v>269</v>
      </c>
      <c r="B4956" s="888" t="s">
        <v>1180</v>
      </c>
      <c r="C4956" s="888" t="s">
        <v>1468</v>
      </c>
      <c r="D4956" s="889">
        <v>46042</v>
      </c>
      <c r="E4956" s="890">
        <v>0.36564814814814817</v>
      </c>
      <c r="F4956" s="890">
        <v>0.77311342592592591</v>
      </c>
    </row>
    <row r="4957" spans="1:6">
      <c r="A4957" s="888" t="s">
        <v>4123</v>
      </c>
      <c r="B4957" s="888" t="s">
        <v>4124</v>
      </c>
      <c r="C4957" s="888" t="s">
        <v>1645</v>
      </c>
    </row>
    <row r="4958" spans="1:6">
      <c r="A4958" s="888">
        <v>269</v>
      </c>
      <c r="B4958" s="888" t="s">
        <v>1180</v>
      </c>
      <c r="C4958" s="888" t="s">
        <v>1468</v>
      </c>
      <c r="D4958" s="889">
        <v>46043</v>
      </c>
      <c r="E4958" s="888" t="s">
        <v>310</v>
      </c>
      <c r="F4958" s="888" t="s">
        <v>310</v>
      </c>
    </row>
    <row r="4959" spans="1:6">
      <c r="A4959" s="888">
        <v>269</v>
      </c>
      <c r="B4959" s="888" t="s">
        <v>1180</v>
      </c>
      <c r="C4959" s="888" t="s">
        <v>1468</v>
      </c>
      <c r="D4959" s="889">
        <v>46044</v>
      </c>
      <c r="E4959" s="890">
        <v>0.56594907407407402</v>
      </c>
      <c r="F4959" s="890">
        <v>0.81363425925925925</v>
      </c>
    </row>
    <row r="4960" spans="1:6">
      <c r="A4960" s="888" t="s">
        <v>4125</v>
      </c>
      <c r="B4960" s="888" t="s">
        <v>4126</v>
      </c>
      <c r="C4960" s="888" t="s">
        <v>4127</v>
      </c>
    </row>
    <row r="4961" spans="1:6">
      <c r="A4961" s="888">
        <v>269</v>
      </c>
      <c r="B4961" s="888" t="s">
        <v>1180</v>
      </c>
      <c r="C4961" s="888" t="s">
        <v>1468</v>
      </c>
      <c r="D4961" s="889">
        <v>46045</v>
      </c>
      <c r="E4961" s="888" t="s">
        <v>310</v>
      </c>
      <c r="F4961" s="888" t="s">
        <v>310</v>
      </c>
    </row>
    <row r="4962" spans="1:6">
      <c r="A4962" s="888">
        <v>269</v>
      </c>
      <c r="B4962" s="888" t="s">
        <v>1180</v>
      </c>
      <c r="C4962" s="888" t="s">
        <v>1468</v>
      </c>
      <c r="D4962" s="889">
        <v>46046</v>
      </c>
      <c r="E4962" s="890">
        <v>0.61462962962962964</v>
      </c>
      <c r="F4962" s="890">
        <v>0.82905092592592589</v>
      </c>
    </row>
    <row r="4963" spans="1:6">
      <c r="A4963" s="888" t="s">
        <v>4128</v>
      </c>
      <c r="B4963" s="888" t="s">
        <v>4129</v>
      </c>
      <c r="C4963" s="888" t="s">
        <v>2519</v>
      </c>
    </row>
    <row r="4964" spans="1:6">
      <c r="A4964" s="888">
        <v>269</v>
      </c>
      <c r="B4964" s="888" t="s">
        <v>1180</v>
      </c>
      <c r="C4964" s="888" t="s">
        <v>1468</v>
      </c>
      <c r="D4964" s="889">
        <v>46047</v>
      </c>
      <c r="E4964" s="890">
        <v>0.58909722222222227</v>
      </c>
      <c r="F4964" s="890">
        <v>0.6315277777777778</v>
      </c>
    </row>
    <row r="4965" spans="1:6">
      <c r="A4965" s="888" t="s">
        <v>4130</v>
      </c>
      <c r="B4965" s="888" t="s">
        <v>4131</v>
      </c>
      <c r="C4965" s="888" t="s">
        <v>4132</v>
      </c>
    </row>
    <row r="4966" spans="1:6">
      <c r="A4966" s="888">
        <v>269</v>
      </c>
      <c r="B4966" s="888" t="s">
        <v>1180</v>
      </c>
      <c r="C4966" s="888" t="s">
        <v>1468</v>
      </c>
      <c r="D4966" s="889">
        <v>46048</v>
      </c>
      <c r="E4966" s="890">
        <v>0.57486111111111116</v>
      </c>
      <c r="F4966" s="890">
        <v>0.8263773148148148</v>
      </c>
    </row>
    <row r="4967" spans="1:6">
      <c r="A4967" s="888" t="s">
        <v>4133</v>
      </c>
      <c r="B4967" s="888" t="s">
        <v>4134</v>
      </c>
      <c r="C4967" s="888" t="s">
        <v>3679</v>
      </c>
    </row>
    <row r="4968" spans="1:6">
      <c r="A4968" s="888">
        <v>269</v>
      </c>
      <c r="B4968" s="888" t="s">
        <v>1180</v>
      </c>
      <c r="C4968" s="888" t="s">
        <v>1468</v>
      </c>
      <c r="D4968" s="889">
        <v>46049</v>
      </c>
      <c r="E4968" s="890">
        <v>0.57173611111111111</v>
      </c>
      <c r="F4968" s="890">
        <v>0.83936342592592594</v>
      </c>
    </row>
    <row r="4969" spans="1:6">
      <c r="A4969" s="888" t="s">
        <v>4135</v>
      </c>
      <c r="B4969" s="888" t="s">
        <v>4136</v>
      </c>
      <c r="C4969" s="888" t="s">
        <v>4137</v>
      </c>
    </row>
    <row r="4970" spans="1:6">
      <c r="A4970" s="888">
        <v>269</v>
      </c>
      <c r="B4970" s="888" t="s">
        <v>1180</v>
      </c>
      <c r="C4970" s="888" t="s">
        <v>1468</v>
      </c>
      <c r="D4970" s="889">
        <v>46050</v>
      </c>
      <c r="E4970" s="890">
        <v>0.60853009259259261</v>
      </c>
      <c r="F4970" s="890">
        <v>0.82134259259259257</v>
      </c>
    </row>
    <row r="4971" spans="1:6">
      <c r="A4971" s="888" t="s">
        <v>4138</v>
      </c>
      <c r="B4971" s="888" t="s">
        <v>4139</v>
      </c>
      <c r="C4971" s="888" t="s">
        <v>4140</v>
      </c>
    </row>
    <row r="4972" spans="1:6">
      <c r="A4972" s="888">
        <v>269</v>
      </c>
      <c r="B4972" s="888" t="s">
        <v>1180</v>
      </c>
      <c r="C4972" s="888" t="s">
        <v>1468</v>
      </c>
      <c r="D4972" s="889">
        <v>46051</v>
      </c>
      <c r="E4972" s="890">
        <v>0.5489236111111111</v>
      </c>
      <c r="F4972" s="890">
        <v>0.83361111111111108</v>
      </c>
    </row>
    <row r="4973" spans="1:6">
      <c r="A4973" s="888" t="s">
        <v>4141</v>
      </c>
      <c r="B4973" s="888" t="s">
        <v>4142</v>
      </c>
      <c r="C4973" s="888" t="s">
        <v>4090</v>
      </c>
    </row>
    <row r="4974" spans="1:6">
      <c r="A4974" s="888">
        <v>269</v>
      </c>
      <c r="B4974" s="888" t="s">
        <v>1180</v>
      </c>
      <c r="C4974" s="888" t="s">
        <v>1468</v>
      </c>
      <c r="D4974" s="889">
        <v>46052</v>
      </c>
      <c r="E4974" s="888" t="s">
        <v>310</v>
      </c>
      <c r="F4974" s="888" t="s">
        <v>310</v>
      </c>
    </row>
    <row r="4975" spans="1:6">
      <c r="A4975" s="888">
        <v>269</v>
      </c>
      <c r="B4975" s="888" t="s">
        <v>1180</v>
      </c>
      <c r="C4975" s="888" t="s">
        <v>1468</v>
      </c>
      <c r="D4975" s="889">
        <v>46053</v>
      </c>
      <c r="E4975" s="888" t="s">
        <v>310</v>
      </c>
      <c r="F4975" s="888" t="s">
        <v>310</v>
      </c>
    </row>
    <row r="4976" spans="1:6">
      <c r="A4976" s="888">
        <v>269</v>
      </c>
      <c r="B4976" s="888" t="s">
        <v>1180</v>
      </c>
      <c r="C4976" s="888" t="s">
        <v>1468</v>
      </c>
      <c r="D4976" s="889">
        <v>46054</v>
      </c>
      <c r="E4976" s="888" t="s">
        <v>310</v>
      </c>
      <c r="F4976" s="888" t="s">
        <v>310</v>
      </c>
    </row>
    <row r="4977" spans="1:6">
      <c r="A4977" s="888">
        <v>272</v>
      </c>
      <c r="B4977" s="888" t="s">
        <v>1181</v>
      </c>
      <c r="C4977" s="888" t="s">
        <v>2310</v>
      </c>
      <c r="D4977" s="889">
        <v>46023</v>
      </c>
      <c r="E4977" s="888" t="s">
        <v>310</v>
      </c>
      <c r="F4977" s="888" t="s">
        <v>310</v>
      </c>
    </row>
    <row r="4978" spans="1:6">
      <c r="A4978" s="888">
        <v>272</v>
      </c>
      <c r="B4978" s="888" t="s">
        <v>1181</v>
      </c>
      <c r="C4978" s="888" t="s">
        <v>2310</v>
      </c>
      <c r="D4978" s="889">
        <v>46024</v>
      </c>
      <c r="E4978" s="888" t="s">
        <v>310</v>
      </c>
      <c r="F4978" s="888" t="s">
        <v>310</v>
      </c>
    </row>
    <row r="4979" spans="1:6">
      <c r="A4979" s="888">
        <v>272</v>
      </c>
      <c r="B4979" s="888" t="s">
        <v>1181</v>
      </c>
      <c r="C4979" s="888" t="s">
        <v>2310</v>
      </c>
      <c r="D4979" s="889">
        <v>46025</v>
      </c>
      <c r="E4979" s="888" t="s">
        <v>310</v>
      </c>
      <c r="F4979" s="888" t="s">
        <v>310</v>
      </c>
    </row>
    <row r="4980" spans="1:6">
      <c r="A4980" s="888">
        <v>272</v>
      </c>
      <c r="B4980" s="888" t="s">
        <v>1181</v>
      </c>
      <c r="C4980" s="888" t="s">
        <v>2310</v>
      </c>
      <c r="D4980" s="889">
        <v>46026</v>
      </c>
      <c r="E4980" s="888" t="s">
        <v>310</v>
      </c>
      <c r="F4980" s="888" t="s">
        <v>310</v>
      </c>
    </row>
    <row r="4981" spans="1:6">
      <c r="A4981" s="888">
        <v>272</v>
      </c>
      <c r="B4981" s="888" t="s">
        <v>1181</v>
      </c>
      <c r="C4981" s="888" t="s">
        <v>2310</v>
      </c>
      <c r="D4981" s="889">
        <v>46027</v>
      </c>
      <c r="E4981" s="890">
        <v>0.46466435185185184</v>
      </c>
      <c r="F4981" s="890">
        <v>0.50292824074074072</v>
      </c>
    </row>
    <row r="4982" spans="1:6">
      <c r="A4982" s="888" t="s">
        <v>4143</v>
      </c>
      <c r="B4982" s="888" t="s">
        <v>4144</v>
      </c>
      <c r="C4982" s="888" t="s">
        <v>4145</v>
      </c>
    </row>
    <row r="4983" spans="1:6">
      <c r="A4983" s="888">
        <v>272</v>
      </c>
      <c r="B4983" s="888" t="s">
        <v>1181</v>
      </c>
      <c r="C4983" s="888" t="s">
        <v>2310</v>
      </c>
      <c r="D4983" s="889">
        <v>46028</v>
      </c>
      <c r="E4983" s="890">
        <v>0.56862268518518522</v>
      </c>
      <c r="F4983" s="890">
        <v>0.89325231481481482</v>
      </c>
    </row>
    <row r="4984" spans="1:6">
      <c r="A4984" s="888" t="s">
        <v>4146</v>
      </c>
      <c r="B4984" s="888" t="s">
        <v>4147</v>
      </c>
      <c r="C4984" s="888" t="s">
        <v>4148</v>
      </c>
    </row>
    <row r="4985" spans="1:6">
      <c r="A4985" s="888">
        <v>272</v>
      </c>
      <c r="B4985" s="888" t="s">
        <v>1181</v>
      </c>
      <c r="C4985" s="888" t="s">
        <v>2310</v>
      </c>
      <c r="D4985" s="889">
        <v>46029</v>
      </c>
      <c r="E4985" s="890">
        <v>0.76528935185185187</v>
      </c>
      <c r="F4985" s="888" t="s">
        <v>310</v>
      </c>
    </row>
    <row r="4986" spans="1:6">
      <c r="A4986" s="888" t="s">
        <v>4149</v>
      </c>
      <c r="B4986" s="888" t="s">
        <v>1258</v>
      </c>
      <c r="C4986" s="888" t="s">
        <v>1259</v>
      </c>
    </row>
    <row r="4987" spans="1:6">
      <c r="A4987" s="888">
        <v>272</v>
      </c>
      <c r="B4987" s="888" t="s">
        <v>1181</v>
      </c>
      <c r="C4987" s="888" t="s">
        <v>2310</v>
      </c>
      <c r="D4987" s="889">
        <v>46030</v>
      </c>
      <c r="E4987" s="890">
        <v>0.7746643518518519</v>
      </c>
      <c r="F4987" s="888" t="s">
        <v>310</v>
      </c>
    </row>
    <row r="4988" spans="1:6">
      <c r="A4988" s="888" t="s">
        <v>4150</v>
      </c>
      <c r="B4988" s="888" t="s">
        <v>1258</v>
      </c>
      <c r="C4988" s="888" t="s">
        <v>1259</v>
      </c>
    </row>
    <row r="4989" spans="1:6">
      <c r="A4989" s="888">
        <v>272</v>
      </c>
      <c r="B4989" s="888" t="s">
        <v>1181</v>
      </c>
      <c r="C4989" s="888" t="s">
        <v>2310</v>
      </c>
      <c r="D4989" s="889">
        <v>46031</v>
      </c>
      <c r="E4989" s="890">
        <v>0.48379629629629628</v>
      </c>
      <c r="F4989" s="890">
        <v>0.76803240740740741</v>
      </c>
    </row>
    <row r="4990" spans="1:6">
      <c r="A4990" s="888" t="s">
        <v>4151</v>
      </c>
      <c r="B4990" s="888" t="s">
        <v>4152</v>
      </c>
      <c r="C4990" s="888" t="s">
        <v>4153</v>
      </c>
    </row>
    <row r="4991" spans="1:6">
      <c r="A4991" s="888">
        <v>272</v>
      </c>
      <c r="B4991" s="888" t="s">
        <v>1181</v>
      </c>
      <c r="C4991" s="888" t="s">
        <v>2310</v>
      </c>
      <c r="D4991" s="889">
        <v>46032</v>
      </c>
      <c r="E4991" s="890">
        <v>0.41513888888888889</v>
      </c>
      <c r="F4991" s="890">
        <v>0.67837962962962961</v>
      </c>
    </row>
    <row r="4992" spans="1:6">
      <c r="A4992" s="888" t="s">
        <v>4154</v>
      </c>
      <c r="B4992" s="888" t="s">
        <v>4155</v>
      </c>
      <c r="C4992" s="888" t="s">
        <v>4156</v>
      </c>
    </row>
    <row r="4993" spans="1:6">
      <c r="A4993" s="888">
        <v>272</v>
      </c>
      <c r="B4993" s="888" t="s">
        <v>1181</v>
      </c>
      <c r="C4993" s="888" t="s">
        <v>2310</v>
      </c>
      <c r="D4993" s="889">
        <v>46033</v>
      </c>
      <c r="E4993" s="888" t="s">
        <v>310</v>
      </c>
      <c r="F4993" s="888" t="s">
        <v>310</v>
      </c>
    </row>
    <row r="4994" spans="1:6">
      <c r="A4994" s="888">
        <v>272</v>
      </c>
      <c r="B4994" s="888" t="s">
        <v>1181</v>
      </c>
      <c r="C4994" s="888" t="s">
        <v>2310</v>
      </c>
      <c r="D4994" s="889">
        <v>46034</v>
      </c>
      <c r="E4994" s="888" t="s">
        <v>310</v>
      </c>
      <c r="F4994" s="888" t="s">
        <v>310</v>
      </c>
    </row>
    <row r="4995" spans="1:6">
      <c r="A4995" s="888">
        <v>272</v>
      </c>
      <c r="B4995" s="888" t="s">
        <v>1181</v>
      </c>
      <c r="C4995" s="888" t="s">
        <v>2310</v>
      </c>
      <c r="D4995" s="889">
        <v>46035</v>
      </c>
      <c r="E4995" s="890">
        <v>0.69609953703703709</v>
      </c>
      <c r="F4995" s="890">
        <v>0.71035879629629628</v>
      </c>
    </row>
    <row r="4996" spans="1:6">
      <c r="A4996" s="888" t="s">
        <v>4157</v>
      </c>
      <c r="B4996" s="888" t="s">
        <v>4158</v>
      </c>
      <c r="C4996" s="888" t="s">
        <v>4159</v>
      </c>
    </row>
    <row r="4997" spans="1:6">
      <c r="A4997" s="888">
        <v>272</v>
      </c>
      <c r="B4997" s="888" t="s">
        <v>1181</v>
      </c>
      <c r="C4997" s="888" t="s">
        <v>2310</v>
      </c>
      <c r="D4997" s="889">
        <v>46036</v>
      </c>
      <c r="E4997" s="888" t="s">
        <v>310</v>
      </c>
      <c r="F4997" s="888" t="s">
        <v>310</v>
      </c>
    </row>
    <row r="4998" spans="1:6">
      <c r="A4998" s="888">
        <v>272</v>
      </c>
      <c r="B4998" s="888" t="s">
        <v>1181</v>
      </c>
      <c r="C4998" s="888" t="s">
        <v>2310</v>
      </c>
      <c r="D4998" s="889">
        <v>46037</v>
      </c>
      <c r="E4998" s="890">
        <v>0.41751157407407408</v>
      </c>
      <c r="F4998" s="890">
        <v>0.65350694444444446</v>
      </c>
    </row>
    <row r="4999" spans="1:6">
      <c r="A4999" s="888" t="s">
        <v>4160</v>
      </c>
      <c r="B4999" s="888" t="s">
        <v>4161</v>
      </c>
      <c r="C4999" s="888" t="s">
        <v>4162</v>
      </c>
    </row>
    <row r="5000" spans="1:6">
      <c r="A5000" s="888">
        <v>272</v>
      </c>
      <c r="B5000" s="888" t="s">
        <v>1181</v>
      </c>
      <c r="C5000" s="888" t="s">
        <v>2310</v>
      </c>
      <c r="D5000" s="889">
        <v>46038</v>
      </c>
      <c r="E5000" s="890">
        <v>0.01</v>
      </c>
      <c r="F5000" s="888" t="s">
        <v>310</v>
      </c>
    </row>
    <row r="5001" spans="1:6">
      <c r="A5001" s="888" t="s">
        <v>4163</v>
      </c>
      <c r="B5001" s="888" t="s">
        <v>1258</v>
      </c>
      <c r="C5001" s="888" t="s">
        <v>1259</v>
      </c>
    </row>
    <row r="5002" spans="1:6">
      <c r="A5002" s="888">
        <v>272</v>
      </c>
      <c r="B5002" s="888" t="s">
        <v>1181</v>
      </c>
      <c r="C5002" s="888" t="s">
        <v>2310</v>
      </c>
      <c r="D5002" s="889">
        <v>46039</v>
      </c>
      <c r="E5002" s="888" t="s">
        <v>310</v>
      </c>
      <c r="F5002" s="888" t="s">
        <v>310</v>
      </c>
    </row>
    <row r="5003" spans="1:6">
      <c r="A5003" s="888">
        <v>272</v>
      </c>
      <c r="B5003" s="888" t="s">
        <v>1181</v>
      </c>
      <c r="C5003" s="888" t="s">
        <v>2310</v>
      </c>
      <c r="D5003" s="889">
        <v>46040</v>
      </c>
      <c r="E5003" s="888" t="s">
        <v>310</v>
      </c>
      <c r="F5003" s="888" t="s">
        <v>310</v>
      </c>
    </row>
    <row r="5004" spans="1:6">
      <c r="A5004" s="888">
        <v>272</v>
      </c>
      <c r="B5004" s="888" t="s">
        <v>1181</v>
      </c>
      <c r="C5004" s="888" t="s">
        <v>2310</v>
      </c>
      <c r="D5004" s="889">
        <v>46041</v>
      </c>
      <c r="E5004" s="888" t="s">
        <v>310</v>
      </c>
      <c r="F5004" s="888" t="s">
        <v>310</v>
      </c>
    </row>
    <row r="5005" spans="1:6">
      <c r="A5005" s="888">
        <v>272</v>
      </c>
      <c r="B5005" s="888" t="s">
        <v>1181</v>
      </c>
      <c r="C5005" s="888" t="s">
        <v>2310</v>
      </c>
      <c r="D5005" s="889">
        <v>46042</v>
      </c>
      <c r="E5005" s="890">
        <v>0.60402777777777783</v>
      </c>
      <c r="F5005" s="890">
        <v>0.75927083333333334</v>
      </c>
    </row>
    <row r="5006" spans="1:6">
      <c r="A5006" s="888" t="s">
        <v>4164</v>
      </c>
      <c r="B5006" s="888" t="s">
        <v>4165</v>
      </c>
      <c r="C5006" s="888" t="s">
        <v>2366</v>
      </c>
    </row>
    <row r="5007" spans="1:6">
      <c r="A5007" s="888">
        <v>272</v>
      </c>
      <c r="B5007" s="888" t="s">
        <v>1181</v>
      </c>
      <c r="C5007" s="888" t="s">
        <v>2310</v>
      </c>
      <c r="D5007" s="889">
        <v>46043</v>
      </c>
      <c r="E5007" s="890">
        <v>0.76013888888888892</v>
      </c>
      <c r="F5007" s="888" t="s">
        <v>310</v>
      </c>
    </row>
    <row r="5008" spans="1:6">
      <c r="A5008" s="888" t="s">
        <v>4166</v>
      </c>
      <c r="B5008" s="888" t="s">
        <v>1258</v>
      </c>
      <c r="C5008" s="888" t="s">
        <v>1259</v>
      </c>
    </row>
    <row r="5009" spans="1:6">
      <c r="A5009" s="888">
        <v>272</v>
      </c>
      <c r="B5009" s="888" t="s">
        <v>1181</v>
      </c>
      <c r="C5009" s="888" t="s">
        <v>2310</v>
      </c>
      <c r="D5009" s="889">
        <v>46044</v>
      </c>
      <c r="E5009" s="890">
        <v>0.77219907407407407</v>
      </c>
      <c r="F5009" s="890">
        <v>0.77260416666666665</v>
      </c>
    </row>
    <row r="5010" spans="1:6">
      <c r="A5010" s="888" t="s">
        <v>4167</v>
      </c>
      <c r="B5010" s="888" t="s">
        <v>4168</v>
      </c>
      <c r="C5010" s="888" t="s">
        <v>1570</v>
      </c>
    </row>
    <row r="5011" spans="1:6">
      <c r="A5011" s="888">
        <v>272</v>
      </c>
      <c r="B5011" s="888" t="s">
        <v>1181</v>
      </c>
      <c r="C5011" s="888" t="s">
        <v>2310</v>
      </c>
      <c r="D5011" s="889">
        <v>46045</v>
      </c>
      <c r="E5011" s="890">
        <v>0.48423611111111109</v>
      </c>
      <c r="F5011" s="888" t="s">
        <v>310</v>
      </c>
    </row>
    <row r="5012" spans="1:6">
      <c r="A5012" s="888" t="s">
        <v>4169</v>
      </c>
      <c r="B5012" s="888" t="s">
        <v>1258</v>
      </c>
      <c r="C5012" s="888" t="s">
        <v>1259</v>
      </c>
    </row>
    <row r="5013" spans="1:6">
      <c r="A5013" s="888">
        <v>272</v>
      </c>
      <c r="B5013" s="888" t="s">
        <v>1181</v>
      </c>
      <c r="C5013" s="888" t="s">
        <v>2310</v>
      </c>
      <c r="D5013" s="889">
        <v>46046</v>
      </c>
      <c r="E5013" s="888" t="s">
        <v>310</v>
      </c>
      <c r="F5013" s="888" t="s">
        <v>310</v>
      </c>
    </row>
    <row r="5014" spans="1:6">
      <c r="A5014" s="888">
        <v>272</v>
      </c>
      <c r="B5014" s="888" t="s">
        <v>1181</v>
      </c>
      <c r="C5014" s="888" t="s">
        <v>2310</v>
      </c>
      <c r="D5014" s="889">
        <v>46047</v>
      </c>
      <c r="E5014" s="888" t="s">
        <v>310</v>
      </c>
      <c r="F5014" s="888" t="s">
        <v>310</v>
      </c>
    </row>
    <row r="5015" spans="1:6">
      <c r="A5015" s="888">
        <v>272</v>
      </c>
      <c r="B5015" s="888" t="s">
        <v>1181</v>
      </c>
      <c r="C5015" s="888" t="s">
        <v>2310</v>
      </c>
      <c r="D5015" s="889">
        <v>46048</v>
      </c>
      <c r="E5015" s="888" t="s">
        <v>310</v>
      </c>
      <c r="F5015" s="888" t="s">
        <v>310</v>
      </c>
    </row>
    <row r="5016" spans="1:6">
      <c r="A5016" s="888">
        <v>272</v>
      </c>
      <c r="B5016" s="888" t="s">
        <v>1181</v>
      </c>
      <c r="C5016" s="888" t="s">
        <v>2310</v>
      </c>
      <c r="D5016" s="889">
        <v>46049</v>
      </c>
      <c r="E5016" s="890">
        <v>0.49482638888888891</v>
      </c>
      <c r="F5016" s="890">
        <v>0.75789351851851849</v>
      </c>
    </row>
    <row r="5017" spans="1:6">
      <c r="A5017" s="888" t="s">
        <v>4170</v>
      </c>
      <c r="B5017" s="888" t="s">
        <v>4171</v>
      </c>
      <c r="C5017" s="888" t="s">
        <v>4156</v>
      </c>
    </row>
    <row r="5018" spans="1:6">
      <c r="A5018" s="888">
        <v>272</v>
      </c>
      <c r="B5018" s="888" t="s">
        <v>1181</v>
      </c>
      <c r="C5018" s="888" t="s">
        <v>2310</v>
      </c>
      <c r="D5018" s="889">
        <v>46050</v>
      </c>
      <c r="E5018" s="888" t="s">
        <v>310</v>
      </c>
      <c r="F5018" s="888" t="s">
        <v>310</v>
      </c>
    </row>
    <row r="5019" spans="1:6">
      <c r="A5019" s="888">
        <v>272</v>
      </c>
      <c r="B5019" s="888" t="s">
        <v>1181</v>
      </c>
      <c r="C5019" s="888" t="s">
        <v>2310</v>
      </c>
      <c r="D5019" s="889">
        <v>46051</v>
      </c>
      <c r="E5019" s="890">
        <v>0.50224537037037043</v>
      </c>
      <c r="F5019" s="890">
        <v>0.76418981481481485</v>
      </c>
    </row>
    <row r="5020" spans="1:6">
      <c r="A5020" s="888" t="s">
        <v>4172</v>
      </c>
      <c r="B5020" s="888" t="s">
        <v>4173</v>
      </c>
      <c r="C5020" s="888" t="s">
        <v>4174</v>
      </c>
    </row>
    <row r="5021" spans="1:6">
      <c r="A5021" s="888">
        <v>272</v>
      </c>
      <c r="B5021" s="888" t="s">
        <v>1181</v>
      </c>
      <c r="C5021" s="888" t="s">
        <v>2310</v>
      </c>
      <c r="D5021" s="889">
        <v>46052</v>
      </c>
      <c r="E5021" s="890">
        <v>0.50543981481481481</v>
      </c>
      <c r="F5021" s="890">
        <v>0.78659722222222217</v>
      </c>
    </row>
    <row r="5022" spans="1:6">
      <c r="A5022" s="888" t="s">
        <v>4175</v>
      </c>
      <c r="B5022" s="888" t="s">
        <v>4176</v>
      </c>
      <c r="C5022" s="888" t="s">
        <v>4177</v>
      </c>
    </row>
    <row r="5023" spans="1:6">
      <c r="A5023" s="888">
        <v>272</v>
      </c>
      <c r="B5023" s="888" t="s">
        <v>1181</v>
      </c>
      <c r="C5023" s="888" t="s">
        <v>2310</v>
      </c>
      <c r="D5023" s="889">
        <v>46053</v>
      </c>
      <c r="E5023" s="888" t="s">
        <v>310</v>
      </c>
      <c r="F5023" s="888" t="s">
        <v>310</v>
      </c>
    </row>
    <row r="5024" spans="1:6">
      <c r="A5024" s="888">
        <v>272</v>
      </c>
      <c r="B5024" s="888" t="s">
        <v>1181</v>
      </c>
      <c r="C5024" s="888" t="s">
        <v>2310</v>
      </c>
      <c r="D5024" s="889">
        <v>46054</v>
      </c>
      <c r="E5024" s="890">
        <v>0.98868055555555556</v>
      </c>
      <c r="F5024" s="890">
        <v>0.98871527777777779</v>
      </c>
    </row>
    <row r="5025" spans="1:6">
      <c r="A5025" s="888" t="s">
        <v>4178</v>
      </c>
      <c r="B5025" s="888" t="s">
        <v>4179</v>
      </c>
      <c r="C5025" s="888" t="s">
        <v>1259</v>
      </c>
    </row>
    <row r="5026" spans="1:6">
      <c r="A5026" s="888">
        <v>273</v>
      </c>
      <c r="B5026" s="888" t="s">
        <v>1182</v>
      </c>
      <c r="C5026" s="888" t="s">
        <v>1565</v>
      </c>
      <c r="D5026" s="889">
        <v>46023</v>
      </c>
      <c r="E5026" s="888" t="s">
        <v>310</v>
      </c>
      <c r="F5026" s="888" t="s">
        <v>310</v>
      </c>
    </row>
    <row r="5027" spans="1:6">
      <c r="A5027" s="888">
        <v>273</v>
      </c>
      <c r="B5027" s="888" t="s">
        <v>1182</v>
      </c>
      <c r="C5027" s="888" t="s">
        <v>1565</v>
      </c>
      <c r="D5027" s="889">
        <v>46024</v>
      </c>
      <c r="E5027" s="888" t="s">
        <v>310</v>
      </c>
      <c r="F5027" s="888" t="s">
        <v>310</v>
      </c>
    </row>
    <row r="5028" spans="1:6">
      <c r="A5028" s="888">
        <v>273</v>
      </c>
      <c r="B5028" s="888" t="s">
        <v>1182</v>
      </c>
      <c r="C5028" s="888" t="s">
        <v>1565</v>
      </c>
      <c r="D5028" s="889">
        <v>46025</v>
      </c>
      <c r="E5028" s="890">
        <v>0.3364699074074074</v>
      </c>
      <c r="F5028" s="890">
        <v>0.41456018518518517</v>
      </c>
    </row>
    <row r="5029" spans="1:6">
      <c r="A5029" s="888" t="s">
        <v>4180</v>
      </c>
      <c r="B5029" s="888" t="s">
        <v>4181</v>
      </c>
      <c r="C5029" s="888" t="s">
        <v>4182</v>
      </c>
    </row>
    <row r="5030" spans="1:6">
      <c r="A5030" s="888">
        <v>273</v>
      </c>
      <c r="B5030" s="888" t="s">
        <v>1182</v>
      </c>
      <c r="C5030" s="888" t="s">
        <v>1565</v>
      </c>
      <c r="D5030" s="889">
        <v>46026</v>
      </c>
      <c r="E5030" s="888" t="s">
        <v>310</v>
      </c>
      <c r="F5030" s="888" t="s">
        <v>310</v>
      </c>
    </row>
    <row r="5031" spans="1:6">
      <c r="A5031" s="888">
        <v>273</v>
      </c>
      <c r="B5031" s="888" t="s">
        <v>1182</v>
      </c>
      <c r="C5031" s="888" t="s">
        <v>1565</v>
      </c>
      <c r="D5031" s="889">
        <v>46027</v>
      </c>
      <c r="E5031" s="890">
        <v>0.35121527777777778</v>
      </c>
      <c r="F5031" s="890">
        <v>0.62519675925925922</v>
      </c>
    </row>
    <row r="5032" spans="1:6">
      <c r="A5032" s="888" t="s">
        <v>4183</v>
      </c>
      <c r="B5032" s="888" t="s">
        <v>4184</v>
      </c>
      <c r="C5032" s="888" t="s">
        <v>3590</v>
      </c>
    </row>
    <row r="5033" spans="1:6">
      <c r="A5033" s="888">
        <v>273</v>
      </c>
      <c r="B5033" s="888" t="s">
        <v>1182</v>
      </c>
      <c r="C5033" s="888" t="s">
        <v>1565</v>
      </c>
      <c r="D5033" s="889">
        <v>46028</v>
      </c>
      <c r="E5033" s="890">
        <v>0.35137731481481482</v>
      </c>
      <c r="F5033" s="890">
        <v>0.62518518518518518</v>
      </c>
    </row>
    <row r="5034" spans="1:6">
      <c r="A5034" s="888" t="s">
        <v>4185</v>
      </c>
      <c r="B5034" s="888" t="s">
        <v>4186</v>
      </c>
      <c r="C5034" s="888" t="s">
        <v>4187</v>
      </c>
    </row>
    <row r="5035" spans="1:6">
      <c r="A5035" s="888">
        <v>273</v>
      </c>
      <c r="B5035" s="888" t="s">
        <v>1182</v>
      </c>
      <c r="C5035" s="888" t="s">
        <v>1565</v>
      </c>
      <c r="D5035" s="889">
        <v>46029</v>
      </c>
      <c r="E5035" s="890">
        <v>0.35113425925925928</v>
      </c>
      <c r="F5035" s="890">
        <v>0.62666666666666671</v>
      </c>
    </row>
    <row r="5036" spans="1:6">
      <c r="A5036" s="888" t="s">
        <v>4188</v>
      </c>
      <c r="B5036" s="888" t="s">
        <v>4189</v>
      </c>
      <c r="C5036" s="888" t="s">
        <v>4190</v>
      </c>
    </row>
    <row r="5037" spans="1:6">
      <c r="A5037" s="888">
        <v>273</v>
      </c>
      <c r="B5037" s="888" t="s">
        <v>1182</v>
      </c>
      <c r="C5037" s="888" t="s">
        <v>1565</v>
      </c>
      <c r="D5037" s="889">
        <v>46030</v>
      </c>
      <c r="E5037" s="890">
        <v>0.35107638888888887</v>
      </c>
      <c r="F5037" s="890">
        <v>0.63866898148148143</v>
      </c>
    </row>
    <row r="5038" spans="1:6">
      <c r="A5038" s="888" t="s">
        <v>4191</v>
      </c>
      <c r="B5038" s="888" t="s">
        <v>4192</v>
      </c>
      <c r="C5038" s="888" t="s">
        <v>4193</v>
      </c>
    </row>
    <row r="5039" spans="1:6">
      <c r="A5039" s="888">
        <v>273</v>
      </c>
      <c r="B5039" s="888" t="s">
        <v>1182</v>
      </c>
      <c r="C5039" s="888" t="s">
        <v>1565</v>
      </c>
      <c r="D5039" s="889">
        <v>46031</v>
      </c>
      <c r="E5039" s="890">
        <v>0.35107638888888887</v>
      </c>
      <c r="F5039" s="890">
        <v>0.62502314814814819</v>
      </c>
    </row>
    <row r="5040" spans="1:6">
      <c r="A5040" s="888" t="s">
        <v>4194</v>
      </c>
      <c r="B5040" s="888" t="s">
        <v>4195</v>
      </c>
      <c r="C5040" s="888" t="s">
        <v>4187</v>
      </c>
    </row>
    <row r="5041" spans="1:6">
      <c r="A5041" s="888">
        <v>273</v>
      </c>
      <c r="B5041" s="888" t="s">
        <v>1182</v>
      </c>
      <c r="C5041" s="888" t="s">
        <v>1565</v>
      </c>
      <c r="D5041" s="889">
        <v>46032</v>
      </c>
      <c r="E5041" s="890">
        <v>0.3460300925925926</v>
      </c>
      <c r="F5041" s="890">
        <v>0.62858796296296293</v>
      </c>
    </row>
    <row r="5042" spans="1:6">
      <c r="A5042" s="888" t="s">
        <v>4196</v>
      </c>
      <c r="B5042" s="888" t="s">
        <v>4197</v>
      </c>
      <c r="C5042" s="888" t="s">
        <v>4198</v>
      </c>
    </row>
    <row r="5043" spans="1:6">
      <c r="A5043" s="888">
        <v>273</v>
      </c>
      <c r="B5043" s="888" t="s">
        <v>1182</v>
      </c>
      <c r="C5043" s="888" t="s">
        <v>1565</v>
      </c>
      <c r="D5043" s="889">
        <v>46033</v>
      </c>
      <c r="E5043" s="888" t="s">
        <v>310</v>
      </c>
      <c r="F5043" s="888" t="s">
        <v>310</v>
      </c>
    </row>
    <row r="5044" spans="1:6">
      <c r="A5044" s="888">
        <v>273</v>
      </c>
      <c r="B5044" s="888" t="s">
        <v>1182</v>
      </c>
      <c r="C5044" s="888" t="s">
        <v>1565</v>
      </c>
      <c r="D5044" s="889">
        <v>46034</v>
      </c>
      <c r="E5044" s="890">
        <v>0.35072916666666665</v>
      </c>
      <c r="F5044" s="890">
        <v>0.62540509259259258</v>
      </c>
    </row>
    <row r="5045" spans="1:6">
      <c r="A5045" s="888" t="s">
        <v>4199</v>
      </c>
      <c r="B5045" s="888" t="s">
        <v>4200</v>
      </c>
      <c r="C5045" s="888" t="s">
        <v>4201</v>
      </c>
    </row>
    <row r="5046" spans="1:6">
      <c r="A5046" s="888">
        <v>273</v>
      </c>
      <c r="B5046" s="888" t="s">
        <v>1182</v>
      </c>
      <c r="C5046" s="888" t="s">
        <v>1565</v>
      </c>
      <c r="D5046" s="889">
        <v>46035</v>
      </c>
      <c r="E5046" s="890">
        <v>0.35093750000000001</v>
      </c>
      <c r="F5046" s="890">
        <v>0.62460648148148146</v>
      </c>
    </row>
    <row r="5047" spans="1:6">
      <c r="A5047" s="888" t="s">
        <v>4202</v>
      </c>
      <c r="B5047" s="888" t="s">
        <v>4203</v>
      </c>
      <c r="C5047" s="888" t="s">
        <v>4187</v>
      </c>
    </row>
    <row r="5048" spans="1:6">
      <c r="A5048" s="888">
        <v>273</v>
      </c>
      <c r="B5048" s="888" t="s">
        <v>1182</v>
      </c>
      <c r="C5048" s="888" t="s">
        <v>1565</v>
      </c>
      <c r="D5048" s="889">
        <v>46036</v>
      </c>
      <c r="E5048" s="890">
        <v>0.35094907407407405</v>
      </c>
      <c r="F5048" s="890">
        <v>0.6274305555555556</v>
      </c>
    </row>
    <row r="5049" spans="1:6">
      <c r="A5049" s="888" t="s">
        <v>4204</v>
      </c>
      <c r="B5049" s="888" t="s">
        <v>4205</v>
      </c>
      <c r="C5049" s="888" t="s">
        <v>4206</v>
      </c>
    </row>
    <row r="5050" spans="1:6">
      <c r="A5050" s="888">
        <v>273</v>
      </c>
      <c r="B5050" s="888" t="s">
        <v>1182</v>
      </c>
      <c r="C5050" s="888" t="s">
        <v>1565</v>
      </c>
      <c r="D5050" s="889">
        <v>46037</v>
      </c>
      <c r="E5050" s="890">
        <v>0.35100694444444447</v>
      </c>
      <c r="F5050" s="890">
        <v>0.62736111111111115</v>
      </c>
    </row>
    <row r="5051" spans="1:6">
      <c r="A5051" s="888" t="s">
        <v>4207</v>
      </c>
      <c r="B5051" s="888" t="s">
        <v>4208</v>
      </c>
      <c r="C5051" s="888" t="s">
        <v>4206</v>
      </c>
    </row>
    <row r="5052" spans="1:6">
      <c r="A5052" s="888">
        <v>273</v>
      </c>
      <c r="B5052" s="888" t="s">
        <v>1182</v>
      </c>
      <c r="C5052" s="888" t="s">
        <v>1565</v>
      </c>
      <c r="D5052" s="889">
        <v>46038</v>
      </c>
      <c r="E5052" s="890">
        <v>0.35129629629629627</v>
      </c>
      <c r="F5052" s="890">
        <v>0.6265856481481481</v>
      </c>
    </row>
    <row r="5053" spans="1:6">
      <c r="A5053" s="888" t="s">
        <v>4209</v>
      </c>
      <c r="B5053" s="888" t="s">
        <v>4210</v>
      </c>
      <c r="C5053" s="888" t="s">
        <v>4201</v>
      </c>
    </row>
    <row r="5054" spans="1:6">
      <c r="A5054" s="888">
        <v>273</v>
      </c>
      <c r="B5054" s="888" t="s">
        <v>1182</v>
      </c>
      <c r="C5054" s="888" t="s">
        <v>1565</v>
      </c>
      <c r="D5054" s="889">
        <v>46039</v>
      </c>
      <c r="E5054" s="890">
        <v>0.34179398148148149</v>
      </c>
      <c r="F5054" s="890">
        <v>0.43099537037037039</v>
      </c>
    </row>
    <row r="5055" spans="1:6">
      <c r="A5055" s="888" t="s">
        <v>4211</v>
      </c>
      <c r="B5055" s="888" t="s">
        <v>4212</v>
      </c>
      <c r="C5055" s="888" t="s">
        <v>4213</v>
      </c>
    </row>
    <row r="5056" spans="1:6">
      <c r="A5056" s="888">
        <v>273</v>
      </c>
      <c r="B5056" s="888" t="s">
        <v>1182</v>
      </c>
      <c r="C5056" s="888" t="s">
        <v>1565</v>
      </c>
      <c r="D5056" s="889">
        <v>46040</v>
      </c>
      <c r="E5056" s="888" t="s">
        <v>310</v>
      </c>
      <c r="F5056" s="888" t="s">
        <v>310</v>
      </c>
    </row>
    <row r="5057" spans="1:6">
      <c r="A5057" s="888">
        <v>273</v>
      </c>
      <c r="B5057" s="888" t="s">
        <v>1182</v>
      </c>
      <c r="C5057" s="888" t="s">
        <v>1565</v>
      </c>
      <c r="D5057" s="889">
        <v>46041</v>
      </c>
      <c r="E5057" s="890">
        <v>0.35157407407407409</v>
      </c>
      <c r="F5057" s="890">
        <v>0.6256018518518518</v>
      </c>
    </row>
    <row r="5058" spans="1:6">
      <c r="A5058" s="888" t="s">
        <v>4214</v>
      </c>
      <c r="B5058" s="888" t="s">
        <v>4215</v>
      </c>
      <c r="C5058" s="888" t="s">
        <v>3590</v>
      </c>
    </row>
    <row r="5059" spans="1:6">
      <c r="A5059" s="888">
        <v>273</v>
      </c>
      <c r="B5059" s="888" t="s">
        <v>1182</v>
      </c>
      <c r="C5059" s="888" t="s">
        <v>1565</v>
      </c>
      <c r="D5059" s="889">
        <v>46042</v>
      </c>
      <c r="E5059" s="890">
        <v>0.35104166666666664</v>
      </c>
      <c r="F5059" s="890">
        <v>0.6256018518518518</v>
      </c>
    </row>
    <row r="5060" spans="1:6">
      <c r="A5060" s="888" t="s">
        <v>4216</v>
      </c>
      <c r="B5060" s="888" t="s">
        <v>4217</v>
      </c>
      <c r="C5060" s="888" t="s">
        <v>3590</v>
      </c>
    </row>
    <row r="5061" spans="1:6">
      <c r="A5061" s="888">
        <v>273</v>
      </c>
      <c r="B5061" s="888" t="s">
        <v>1182</v>
      </c>
      <c r="C5061" s="888" t="s">
        <v>1565</v>
      </c>
      <c r="D5061" s="889">
        <v>46043</v>
      </c>
      <c r="E5061" s="890">
        <v>0.35098379629629628</v>
      </c>
      <c r="F5061" s="890">
        <v>0.62681712962962965</v>
      </c>
    </row>
    <row r="5062" spans="1:6">
      <c r="A5062" s="888" t="s">
        <v>4218</v>
      </c>
      <c r="B5062" s="888" t="s">
        <v>4219</v>
      </c>
      <c r="C5062" s="888" t="s">
        <v>4190</v>
      </c>
    </row>
    <row r="5063" spans="1:6">
      <c r="A5063" s="888">
        <v>273</v>
      </c>
      <c r="B5063" s="888" t="s">
        <v>1182</v>
      </c>
      <c r="C5063" s="888" t="s">
        <v>1565</v>
      </c>
      <c r="D5063" s="889">
        <v>46044</v>
      </c>
      <c r="E5063" s="890">
        <v>0.35093750000000001</v>
      </c>
      <c r="F5063" s="890">
        <v>0.62593750000000004</v>
      </c>
    </row>
    <row r="5064" spans="1:6">
      <c r="A5064" s="888" t="s">
        <v>4220</v>
      </c>
      <c r="B5064" s="888" t="s">
        <v>4221</v>
      </c>
      <c r="C5064" s="888" t="s">
        <v>4201</v>
      </c>
    </row>
    <row r="5065" spans="1:6">
      <c r="A5065" s="888">
        <v>273</v>
      </c>
      <c r="B5065" s="888" t="s">
        <v>1182</v>
      </c>
      <c r="C5065" s="888" t="s">
        <v>1565</v>
      </c>
      <c r="D5065" s="889">
        <v>46045</v>
      </c>
      <c r="E5065" s="890">
        <v>0.35096064814814815</v>
      </c>
      <c r="F5065" s="890">
        <v>0.62697916666666664</v>
      </c>
    </row>
    <row r="5066" spans="1:6">
      <c r="A5066" s="888" t="s">
        <v>4222</v>
      </c>
      <c r="B5066" s="888" t="s">
        <v>4223</v>
      </c>
      <c r="C5066" s="888" t="s">
        <v>4190</v>
      </c>
    </row>
    <row r="5067" spans="1:6">
      <c r="A5067" s="888">
        <v>273</v>
      </c>
      <c r="B5067" s="888" t="s">
        <v>1182</v>
      </c>
      <c r="C5067" s="888" t="s">
        <v>1565</v>
      </c>
      <c r="D5067" s="889">
        <v>46046</v>
      </c>
      <c r="E5067" s="890">
        <v>0.33746527777777779</v>
      </c>
      <c r="F5067" s="890">
        <v>0.43906250000000002</v>
      </c>
    </row>
    <row r="5068" spans="1:6">
      <c r="A5068" s="888" t="s">
        <v>4224</v>
      </c>
      <c r="B5068" s="888" t="s">
        <v>4225</v>
      </c>
      <c r="C5068" s="888" t="s">
        <v>4226</v>
      </c>
    </row>
    <row r="5069" spans="1:6">
      <c r="A5069" s="888">
        <v>273</v>
      </c>
      <c r="B5069" s="888" t="s">
        <v>1182</v>
      </c>
      <c r="C5069" s="888" t="s">
        <v>1565</v>
      </c>
      <c r="D5069" s="889">
        <v>46047</v>
      </c>
      <c r="E5069" s="888" t="s">
        <v>310</v>
      </c>
      <c r="F5069" s="888" t="s">
        <v>310</v>
      </c>
    </row>
    <row r="5070" spans="1:6">
      <c r="A5070" s="888">
        <v>273</v>
      </c>
      <c r="B5070" s="888" t="s">
        <v>1182</v>
      </c>
      <c r="C5070" s="888" t="s">
        <v>1565</v>
      </c>
      <c r="D5070" s="889">
        <v>46048</v>
      </c>
      <c r="E5070" s="890">
        <v>0.3508101851851852</v>
      </c>
      <c r="F5070" s="890">
        <v>0.62921296296296292</v>
      </c>
    </row>
    <row r="5071" spans="1:6">
      <c r="A5071" s="888" t="s">
        <v>4227</v>
      </c>
      <c r="B5071" s="888" t="s">
        <v>4228</v>
      </c>
      <c r="C5071" s="888" t="s">
        <v>4229</v>
      </c>
    </row>
    <row r="5072" spans="1:6">
      <c r="A5072" s="888">
        <v>273</v>
      </c>
      <c r="B5072" s="888" t="s">
        <v>1182</v>
      </c>
      <c r="C5072" s="888" t="s">
        <v>1565</v>
      </c>
      <c r="D5072" s="889">
        <v>46049</v>
      </c>
      <c r="E5072" s="890">
        <v>0.35091435185185182</v>
      </c>
      <c r="F5072" s="890">
        <v>0.62634259259259262</v>
      </c>
    </row>
    <row r="5073" spans="1:6">
      <c r="A5073" s="888" t="s">
        <v>4230</v>
      </c>
      <c r="B5073" s="888" t="s">
        <v>4231</v>
      </c>
      <c r="C5073" s="888" t="s">
        <v>4190</v>
      </c>
    </row>
    <row r="5074" spans="1:6">
      <c r="A5074" s="888">
        <v>273</v>
      </c>
      <c r="B5074" s="888" t="s">
        <v>1182</v>
      </c>
      <c r="C5074" s="888" t="s">
        <v>1565</v>
      </c>
      <c r="D5074" s="889">
        <v>46050</v>
      </c>
      <c r="E5074" s="890">
        <v>0.3511111111111111</v>
      </c>
      <c r="F5074" s="890">
        <v>0.62545138888888885</v>
      </c>
    </row>
    <row r="5075" spans="1:6">
      <c r="A5075" s="888" t="s">
        <v>4232</v>
      </c>
      <c r="B5075" s="888" t="s">
        <v>4233</v>
      </c>
      <c r="C5075" s="888" t="s">
        <v>3590</v>
      </c>
    </row>
    <row r="5076" spans="1:6">
      <c r="A5076" s="888">
        <v>273</v>
      </c>
      <c r="B5076" s="888" t="s">
        <v>1182</v>
      </c>
      <c r="C5076" s="888" t="s">
        <v>1565</v>
      </c>
      <c r="D5076" s="889">
        <v>46051</v>
      </c>
      <c r="E5076" s="890">
        <v>0.35077546296296297</v>
      </c>
      <c r="F5076" s="890">
        <v>0.62561342592592595</v>
      </c>
    </row>
    <row r="5077" spans="1:6">
      <c r="A5077" s="888" t="s">
        <v>4234</v>
      </c>
      <c r="B5077" s="888" t="s">
        <v>4235</v>
      </c>
      <c r="C5077" s="888" t="s">
        <v>4201</v>
      </c>
    </row>
    <row r="5078" spans="1:6">
      <c r="A5078" s="888">
        <v>273</v>
      </c>
      <c r="B5078" s="888" t="s">
        <v>1182</v>
      </c>
      <c r="C5078" s="888" t="s">
        <v>1565</v>
      </c>
      <c r="D5078" s="889">
        <v>46052</v>
      </c>
      <c r="E5078" s="890">
        <v>0.35099537037037037</v>
      </c>
      <c r="F5078" s="890">
        <v>0.6272685185185185</v>
      </c>
    </row>
    <row r="5079" spans="1:6">
      <c r="A5079" s="888" t="s">
        <v>4236</v>
      </c>
      <c r="B5079" s="888" t="s">
        <v>4237</v>
      </c>
      <c r="C5079" s="888" t="s">
        <v>4206</v>
      </c>
    </row>
    <row r="5080" spans="1:6">
      <c r="A5080" s="888">
        <v>273</v>
      </c>
      <c r="B5080" s="888" t="s">
        <v>1182</v>
      </c>
      <c r="C5080" s="888" t="s">
        <v>1565</v>
      </c>
      <c r="D5080" s="889">
        <v>46053</v>
      </c>
      <c r="E5080" s="890">
        <v>0.34694444444444444</v>
      </c>
      <c r="F5080" s="890">
        <v>0.44178240740740743</v>
      </c>
    </row>
    <row r="5081" spans="1:6">
      <c r="A5081" s="888" t="s">
        <v>4238</v>
      </c>
      <c r="B5081" s="888" t="s">
        <v>4239</v>
      </c>
      <c r="C5081" s="888" t="s">
        <v>4240</v>
      </c>
    </row>
    <row r="5082" spans="1:6">
      <c r="A5082" s="888">
        <v>273</v>
      </c>
      <c r="B5082" s="888" t="s">
        <v>1182</v>
      </c>
      <c r="C5082" s="888" t="s">
        <v>1565</v>
      </c>
      <c r="D5082" s="889">
        <v>46054</v>
      </c>
      <c r="E5082" s="888" t="s">
        <v>310</v>
      </c>
      <c r="F5082" s="888" t="s">
        <v>310</v>
      </c>
    </row>
    <row r="5083" spans="1:6">
      <c r="A5083" s="888">
        <v>274</v>
      </c>
      <c r="B5083" s="888" t="s">
        <v>1183</v>
      </c>
      <c r="C5083" s="888" t="s">
        <v>147</v>
      </c>
      <c r="D5083" s="889">
        <v>46023</v>
      </c>
      <c r="E5083" s="888" t="s">
        <v>310</v>
      </c>
      <c r="F5083" s="888" t="s">
        <v>310</v>
      </c>
    </row>
    <row r="5084" spans="1:6">
      <c r="A5084" s="888">
        <v>274</v>
      </c>
      <c r="B5084" s="888" t="s">
        <v>1183</v>
      </c>
      <c r="C5084" s="888" t="s">
        <v>147</v>
      </c>
      <c r="D5084" s="889">
        <v>46024</v>
      </c>
      <c r="E5084" s="888" t="s">
        <v>310</v>
      </c>
      <c r="F5084" s="888" t="s">
        <v>310</v>
      </c>
    </row>
    <row r="5085" spans="1:6">
      <c r="A5085" s="888">
        <v>274</v>
      </c>
      <c r="B5085" s="888" t="s">
        <v>1183</v>
      </c>
      <c r="C5085" s="888" t="s">
        <v>147</v>
      </c>
      <c r="D5085" s="889">
        <v>46025</v>
      </c>
      <c r="E5085" s="888" t="s">
        <v>310</v>
      </c>
      <c r="F5085" s="888" t="s">
        <v>310</v>
      </c>
    </row>
    <row r="5086" spans="1:6">
      <c r="A5086" s="888">
        <v>274</v>
      </c>
      <c r="B5086" s="888" t="s">
        <v>1183</v>
      </c>
      <c r="C5086" s="888" t="s">
        <v>147</v>
      </c>
      <c r="D5086" s="889">
        <v>46026</v>
      </c>
      <c r="E5086" s="888" t="s">
        <v>310</v>
      </c>
      <c r="F5086" s="888" t="s">
        <v>310</v>
      </c>
    </row>
    <row r="5087" spans="1:6">
      <c r="A5087" s="888">
        <v>274</v>
      </c>
      <c r="B5087" s="888" t="s">
        <v>1183</v>
      </c>
      <c r="C5087" s="888" t="s">
        <v>147</v>
      </c>
      <c r="D5087" s="889">
        <v>46027</v>
      </c>
      <c r="E5087" s="890">
        <v>0.35600694444444442</v>
      </c>
      <c r="F5087" s="890">
        <v>0.76565972222222223</v>
      </c>
    </row>
    <row r="5088" spans="1:6">
      <c r="A5088" s="888" t="s">
        <v>4241</v>
      </c>
      <c r="B5088" s="888" t="s">
        <v>4242</v>
      </c>
      <c r="C5088" s="888" t="s">
        <v>1874</v>
      </c>
    </row>
    <row r="5089" spans="1:6">
      <c r="A5089" s="888">
        <v>274</v>
      </c>
      <c r="B5089" s="888" t="s">
        <v>1183</v>
      </c>
      <c r="C5089" s="888" t="s">
        <v>147</v>
      </c>
      <c r="D5089" s="889">
        <v>46028</v>
      </c>
      <c r="E5089" s="890">
        <v>0.46615740740740741</v>
      </c>
      <c r="F5089" s="888" t="s">
        <v>310</v>
      </c>
    </row>
    <row r="5090" spans="1:6">
      <c r="A5090" s="888" t="s">
        <v>4243</v>
      </c>
      <c r="B5090" s="888" t="s">
        <v>1258</v>
      </c>
      <c r="C5090" s="888" t="s">
        <v>1259</v>
      </c>
    </row>
    <row r="5091" spans="1:6">
      <c r="A5091" s="888">
        <v>274</v>
      </c>
      <c r="B5091" s="888" t="s">
        <v>1183</v>
      </c>
      <c r="C5091" s="888" t="s">
        <v>147</v>
      </c>
      <c r="D5091" s="889">
        <v>46029</v>
      </c>
      <c r="E5091" s="888" t="s">
        <v>310</v>
      </c>
      <c r="F5091" s="888" t="s">
        <v>310</v>
      </c>
    </row>
    <row r="5092" spans="1:6">
      <c r="A5092" s="888">
        <v>274</v>
      </c>
      <c r="B5092" s="888" t="s">
        <v>1183</v>
      </c>
      <c r="C5092" s="888" t="s">
        <v>147</v>
      </c>
      <c r="D5092" s="889">
        <v>46030</v>
      </c>
      <c r="E5092" s="890">
        <v>0.75239583333333337</v>
      </c>
      <c r="F5092" s="888" t="s">
        <v>310</v>
      </c>
    </row>
    <row r="5093" spans="1:6">
      <c r="A5093" s="888" t="s">
        <v>4244</v>
      </c>
      <c r="B5093" s="888" t="s">
        <v>1258</v>
      </c>
      <c r="C5093" s="888" t="s">
        <v>1259</v>
      </c>
    </row>
    <row r="5094" spans="1:6">
      <c r="A5094" s="888">
        <v>274</v>
      </c>
      <c r="B5094" s="888" t="s">
        <v>1183</v>
      </c>
      <c r="C5094" s="888" t="s">
        <v>147</v>
      </c>
      <c r="D5094" s="889">
        <v>46031</v>
      </c>
      <c r="E5094" s="890">
        <v>0.35577546296296297</v>
      </c>
      <c r="F5094" s="890">
        <v>0.500462962962963</v>
      </c>
    </row>
    <row r="5095" spans="1:6">
      <c r="A5095" s="888" t="s">
        <v>4245</v>
      </c>
      <c r="B5095" s="888" t="s">
        <v>4246</v>
      </c>
      <c r="C5095" s="888" t="s">
        <v>2724</v>
      </c>
    </row>
    <row r="5096" spans="1:6">
      <c r="A5096" s="888">
        <v>274</v>
      </c>
      <c r="B5096" s="888" t="s">
        <v>1183</v>
      </c>
      <c r="C5096" s="888" t="s">
        <v>147</v>
      </c>
      <c r="D5096" s="889">
        <v>46032</v>
      </c>
      <c r="E5096" s="888" t="s">
        <v>310</v>
      </c>
      <c r="F5096" s="888" t="s">
        <v>310</v>
      </c>
    </row>
    <row r="5097" spans="1:6">
      <c r="A5097" s="888">
        <v>274</v>
      </c>
      <c r="B5097" s="888" t="s">
        <v>1183</v>
      </c>
      <c r="C5097" s="888" t="s">
        <v>147</v>
      </c>
      <c r="D5097" s="889">
        <v>46033</v>
      </c>
      <c r="E5097" s="888" t="s">
        <v>310</v>
      </c>
      <c r="F5097" s="888" t="s">
        <v>310</v>
      </c>
    </row>
    <row r="5098" spans="1:6">
      <c r="A5098" s="888">
        <v>274</v>
      </c>
      <c r="B5098" s="888" t="s">
        <v>1183</v>
      </c>
      <c r="C5098" s="888" t="s">
        <v>147</v>
      </c>
      <c r="D5098" s="889">
        <v>46034</v>
      </c>
      <c r="E5098" s="890">
        <v>0.75613425925925926</v>
      </c>
      <c r="F5098" s="890">
        <v>0.75635416666666666</v>
      </c>
    </row>
    <row r="5099" spans="1:6">
      <c r="A5099" s="888" t="s">
        <v>4247</v>
      </c>
      <c r="B5099" s="888" t="s">
        <v>4248</v>
      </c>
      <c r="C5099" s="888" t="s">
        <v>1259</v>
      </c>
    </row>
    <row r="5100" spans="1:6">
      <c r="A5100" s="888">
        <v>274</v>
      </c>
      <c r="B5100" s="888" t="s">
        <v>1183</v>
      </c>
      <c r="C5100" s="888" t="s">
        <v>147</v>
      </c>
      <c r="D5100" s="889">
        <v>46035</v>
      </c>
      <c r="E5100" s="890">
        <v>0.35840277777777779</v>
      </c>
      <c r="F5100" s="890">
        <v>0.73424768518518524</v>
      </c>
    </row>
    <row r="5101" spans="1:6">
      <c r="A5101" s="888" t="s">
        <v>4249</v>
      </c>
      <c r="B5101" s="888" t="s">
        <v>4250</v>
      </c>
      <c r="C5101" s="888" t="s">
        <v>1330</v>
      </c>
    </row>
    <row r="5102" spans="1:6">
      <c r="A5102" s="888">
        <v>274</v>
      </c>
      <c r="B5102" s="888" t="s">
        <v>1183</v>
      </c>
      <c r="C5102" s="888" t="s">
        <v>147</v>
      </c>
      <c r="D5102" s="889">
        <v>46036</v>
      </c>
      <c r="E5102" s="890">
        <v>0.75165509259259256</v>
      </c>
      <c r="F5102" s="888" t="s">
        <v>310</v>
      </c>
    </row>
    <row r="5103" spans="1:6">
      <c r="A5103" s="888" t="s">
        <v>4251</v>
      </c>
      <c r="B5103" s="888" t="s">
        <v>1258</v>
      </c>
      <c r="C5103" s="888" t="s">
        <v>1259</v>
      </c>
    </row>
    <row r="5104" spans="1:6">
      <c r="A5104" s="888">
        <v>274</v>
      </c>
      <c r="B5104" s="888" t="s">
        <v>1183</v>
      </c>
      <c r="C5104" s="888" t="s">
        <v>147</v>
      </c>
      <c r="D5104" s="889">
        <v>46037</v>
      </c>
      <c r="E5104" s="890">
        <v>0.39052083333333332</v>
      </c>
      <c r="F5104" s="890">
        <v>0.72993055555555553</v>
      </c>
    </row>
    <row r="5105" spans="1:6">
      <c r="A5105" s="888" t="s">
        <v>4252</v>
      </c>
      <c r="B5105" s="888" t="s">
        <v>4253</v>
      </c>
      <c r="C5105" s="888" t="s">
        <v>4254</v>
      </c>
    </row>
    <row r="5106" spans="1:6">
      <c r="A5106" s="888">
        <v>274</v>
      </c>
      <c r="B5106" s="888" t="s">
        <v>1183</v>
      </c>
      <c r="C5106" s="888" t="s">
        <v>147</v>
      </c>
      <c r="D5106" s="889">
        <v>46038</v>
      </c>
      <c r="E5106" s="890">
        <v>0.35416666666666669</v>
      </c>
      <c r="F5106" s="890">
        <v>0.59974537037037035</v>
      </c>
    </row>
    <row r="5107" spans="1:6">
      <c r="A5107" s="888" t="s">
        <v>4255</v>
      </c>
      <c r="B5107" s="888" t="s">
        <v>4256</v>
      </c>
      <c r="C5107" s="888" t="s">
        <v>4257</v>
      </c>
    </row>
    <row r="5108" spans="1:6">
      <c r="A5108" s="888">
        <v>274</v>
      </c>
      <c r="B5108" s="888" t="s">
        <v>1183</v>
      </c>
      <c r="C5108" s="888" t="s">
        <v>147</v>
      </c>
      <c r="D5108" s="889">
        <v>46039</v>
      </c>
      <c r="E5108" s="888" t="s">
        <v>310</v>
      </c>
      <c r="F5108" s="888" t="s">
        <v>310</v>
      </c>
    </row>
    <row r="5109" spans="1:6">
      <c r="A5109" s="888">
        <v>274</v>
      </c>
      <c r="B5109" s="888" t="s">
        <v>1183</v>
      </c>
      <c r="C5109" s="888" t="s">
        <v>147</v>
      </c>
      <c r="D5109" s="889">
        <v>46040</v>
      </c>
      <c r="E5109" s="888" t="s">
        <v>310</v>
      </c>
      <c r="F5109" s="888" t="s">
        <v>310</v>
      </c>
    </row>
    <row r="5110" spans="1:6">
      <c r="A5110" s="888">
        <v>274</v>
      </c>
      <c r="B5110" s="888" t="s">
        <v>1183</v>
      </c>
      <c r="C5110" s="888" t="s">
        <v>147</v>
      </c>
      <c r="D5110" s="889">
        <v>46041</v>
      </c>
      <c r="E5110" s="890">
        <v>0.61519675925925921</v>
      </c>
      <c r="F5110" s="890">
        <v>0.75922453703703707</v>
      </c>
    </row>
    <row r="5111" spans="1:6">
      <c r="A5111" s="888" t="s">
        <v>4258</v>
      </c>
      <c r="B5111" s="888" t="s">
        <v>4259</v>
      </c>
      <c r="C5111" s="888" t="s">
        <v>4260</v>
      </c>
    </row>
    <row r="5112" spans="1:6">
      <c r="A5112" s="888">
        <v>274</v>
      </c>
      <c r="B5112" s="888" t="s">
        <v>1183</v>
      </c>
      <c r="C5112" s="888" t="s">
        <v>147</v>
      </c>
      <c r="D5112" s="889">
        <v>46042</v>
      </c>
      <c r="E5112" s="890">
        <v>0.74615740740740744</v>
      </c>
      <c r="F5112" s="890">
        <v>0.77028935185185188</v>
      </c>
    </row>
    <row r="5113" spans="1:6">
      <c r="A5113" s="888" t="s">
        <v>4261</v>
      </c>
      <c r="B5113" s="888" t="s">
        <v>4262</v>
      </c>
      <c r="C5113" s="888" t="s">
        <v>4263</v>
      </c>
    </row>
    <row r="5114" spans="1:6">
      <c r="A5114" s="888">
        <v>274</v>
      </c>
      <c r="B5114" s="888" t="s">
        <v>1183</v>
      </c>
      <c r="C5114" s="888" t="s">
        <v>147</v>
      </c>
      <c r="D5114" s="889">
        <v>46043</v>
      </c>
      <c r="E5114" s="890">
        <v>0.78443287037037035</v>
      </c>
      <c r="F5114" s="888" t="s">
        <v>310</v>
      </c>
    </row>
    <row r="5115" spans="1:6">
      <c r="A5115" s="888" t="s">
        <v>4264</v>
      </c>
      <c r="B5115" s="888" t="s">
        <v>1258</v>
      </c>
      <c r="C5115" s="888" t="s">
        <v>1259</v>
      </c>
    </row>
    <row r="5116" spans="1:6">
      <c r="A5116" s="888">
        <v>274</v>
      </c>
      <c r="B5116" s="888" t="s">
        <v>1183</v>
      </c>
      <c r="C5116" s="888" t="s">
        <v>147</v>
      </c>
      <c r="D5116" s="889">
        <v>46044</v>
      </c>
      <c r="E5116" s="890">
        <v>0.6086921296296296</v>
      </c>
      <c r="F5116" s="890">
        <v>0.75340277777777775</v>
      </c>
    </row>
    <row r="5117" spans="1:6">
      <c r="A5117" s="888" t="s">
        <v>4265</v>
      </c>
      <c r="B5117" s="888" t="s">
        <v>4266</v>
      </c>
      <c r="C5117" s="888" t="s">
        <v>2724</v>
      </c>
    </row>
    <row r="5118" spans="1:6">
      <c r="A5118" s="888">
        <v>274</v>
      </c>
      <c r="B5118" s="888" t="s">
        <v>1183</v>
      </c>
      <c r="C5118" s="888" t="s">
        <v>147</v>
      </c>
      <c r="D5118" s="889">
        <v>46045</v>
      </c>
      <c r="E5118" s="888" t="s">
        <v>310</v>
      </c>
      <c r="F5118" s="888" t="s">
        <v>310</v>
      </c>
    </row>
    <row r="5119" spans="1:6">
      <c r="A5119" s="888">
        <v>274</v>
      </c>
      <c r="B5119" s="888" t="s">
        <v>1183</v>
      </c>
      <c r="C5119" s="888" t="s">
        <v>147</v>
      </c>
      <c r="D5119" s="889">
        <v>46046</v>
      </c>
      <c r="E5119" s="888" t="s">
        <v>310</v>
      </c>
      <c r="F5119" s="888" t="s">
        <v>310</v>
      </c>
    </row>
    <row r="5120" spans="1:6">
      <c r="A5120" s="888">
        <v>274</v>
      </c>
      <c r="B5120" s="888" t="s">
        <v>1183</v>
      </c>
      <c r="C5120" s="888" t="s">
        <v>147</v>
      </c>
      <c r="D5120" s="889">
        <v>46047</v>
      </c>
      <c r="E5120" s="888" t="s">
        <v>310</v>
      </c>
      <c r="F5120" s="888" t="s">
        <v>310</v>
      </c>
    </row>
    <row r="5121" spans="1:6">
      <c r="A5121" s="888">
        <v>274</v>
      </c>
      <c r="B5121" s="888" t="s">
        <v>1183</v>
      </c>
      <c r="C5121" s="888" t="s">
        <v>147</v>
      </c>
      <c r="D5121" s="889">
        <v>46048</v>
      </c>
      <c r="E5121" s="890">
        <v>0.35377314814814814</v>
      </c>
      <c r="F5121" s="890">
        <v>0.81042824074074071</v>
      </c>
    </row>
    <row r="5122" spans="1:6">
      <c r="A5122" s="888" t="s">
        <v>4267</v>
      </c>
      <c r="B5122" s="888" t="s">
        <v>4268</v>
      </c>
      <c r="C5122" s="888" t="s">
        <v>4269</v>
      </c>
    </row>
    <row r="5123" spans="1:6">
      <c r="A5123" s="888">
        <v>274</v>
      </c>
      <c r="B5123" s="888" t="s">
        <v>1183</v>
      </c>
      <c r="C5123" s="888" t="s">
        <v>147</v>
      </c>
      <c r="D5123" s="889">
        <v>46049</v>
      </c>
      <c r="E5123" s="890">
        <v>0.57859953703703704</v>
      </c>
      <c r="F5123" s="890">
        <v>0.76653935185185185</v>
      </c>
    </row>
    <row r="5124" spans="1:6">
      <c r="A5124" s="888" t="s">
        <v>4270</v>
      </c>
      <c r="B5124" s="888" t="s">
        <v>4271</v>
      </c>
      <c r="C5124" s="888" t="s">
        <v>2153</v>
      </c>
    </row>
    <row r="5125" spans="1:6">
      <c r="A5125" s="888">
        <v>274</v>
      </c>
      <c r="B5125" s="888" t="s">
        <v>1183</v>
      </c>
      <c r="C5125" s="888" t="s">
        <v>147</v>
      </c>
      <c r="D5125" s="889">
        <v>46050</v>
      </c>
      <c r="E5125" s="888" t="s">
        <v>310</v>
      </c>
      <c r="F5125" s="888" t="s">
        <v>310</v>
      </c>
    </row>
    <row r="5126" spans="1:6">
      <c r="A5126" s="888">
        <v>274</v>
      </c>
      <c r="B5126" s="888" t="s">
        <v>1183</v>
      </c>
      <c r="C5126" s="888" t="s">
        <v>147</v>
      </c>
      <c r="D5126" s="889">
        <v>46051</v>
      </c>
      <c r="E5126" s="890">
        <v>0.78249999999999997</v>
      </c>
      <c r="F5126" s="890">
        <v>0.78313657407407411</v>
      </c>
    </row>
    <row r="5127" spans="1:6">
      <c r="A5127" s="888" t="s">
        <v>4272</v>
      </c>
      <c r="B5127" s="888" t="s">
        <v>4273</v>
      </c>
      <c r="C5127" s="888" t="s">
        <v>1570</v>
      </c>
    </row>
    <row r="5128" spans="1:6">
      <c r="A5128" s="888">
        <v>274</v>
      </c>
      <c r="B5128" s="888" t="s">
        <v>1183</v>
      </c>
      <c r="C5128" s="888" t="s">
        <v>147</v>
      </c>
      <c r="D5128" s="889">
        <v>46052</v>
      </c>
      <c r="E5128" s="888" t="s">
        <v>310</v>
      </c>
      <c r="F5128" s="888" t="s">
        <v>310</v>
      </c>
    </row>
    <row r="5129" spans="1:6">
      <c r="A5129" s="888">
        <v>274</v>
      </c>
      <c r="B5129" s="888" t="s">
        <v>1183</v>
      </c>
      <c r="C5129" s="888" t="s">
        <v>147</v>
      </c>
      <c r="D5129" s="889">
        <v>46053</v>
      </c>
      <c r="E5129" s="888" t="s">
        <v>310</v>
      </c>
      <c r="F5129" s="888" t="s">
        <v>310</v>
      </c>
    </row>
    <row r="5130" spans="1:6">
      <c r="A5130" s="888">
        <v>274</v>
      </c>
      <c r="B5130" s="888" t="s">
        <v>1183</v>
      </c>
      <c r="C5130" s="888" t="s">
        <v>147</v>
      </c>
      <c r="D5130" s="889">
        <v>46054</v>
      </c>
      <c r="E5130" s="888" t="s">
        <v>310</v>
      </c>
      <c r="F5130" s="888" t="s">
        <v>310</v>
      </c>
    </row>
    <row r="5131" spans="1:6">
      <c r="A5131" s="888">
        <v>275</v>
      </c>
      <c r="B5131" s="888" t="s">
        <v>1184</v>
      </c>
      <c r="C5131" s="888" t="s">
        <v>2488</v>
      </c>
      <c r="D5131" s="889">
        <v>46023</v>
      </c>
      <c r="E5131" s="888" t="s">
        <v>310</v>
      </c>
      <c r="F5131" s="888" t="s">
        <v>310</v>
      </c>
    </row>
    <row r="5132" spans="1:6">
      <c r="A5132" s="888">
        <v>275</v>
      </c>
      <c r="B5132" s="888" t="s">
        <v>1184</v>
      </c>
      <c r="C5132" s="888" t="s">
        <v>2488</v>
      </c>
      <c r="D5132" s="889">
        <v>46024</v>
      </c>
      <c r="E5132" s="888" t="s">
        <v>310</v>
      </c>
      <c r="F5132" s="888" t="s">
        <v>310</v>
      </c>
    </row>
    <row r="5133" spans="1:6">
      <c r="A5133" s="888">
        <v>275</v>
      </c>
      <c r="B5133" s="888" t="s">
        <v>1184</v>
      </c>
      <c r="C5133" s="888" t="s">
        <v>2488</v>
      </c>
      <c r="D5133" s="889">
        <v>46025</v>
      </c>
      <c r="E5133" s="888" t="s">
        <v>310</v>
      </c>
      <c r="F5133" s="888" t="s">
        <v>310</v>
      </c>
    </row>
    <row r="5134" spans="1:6">
      <c r="A5134" s="888">
        <v>275</v>
      </c>
      <c r="B5134" s="888" t="s">
        <v>1184</v>
      </c>
      <c r="C5134" s="888" t="s">
        <v>2488</v>
      </c>
      <c r="D5134" s="889">
        <v>46026</v>
      </c>
      <c r="E5134" s="888" t="s">
        <v>310</v>
      </c>
      <c r="F5134" s="888" t="s">
        <v>310</v>
      </c>
    </row>
    <row r="5135" spans="1:6">
      <c r="A5135" s="888">
        <v>275</v>
      </c>
      <c r="B5135" s="888" t="s">
        <v>1184</v>
      </c>
      <c r="C5135" s="888" t="s">
        <v>2488</v>
      </c>
      <c r="D5135" s="889">
        <v>46027</v>
      </c>
      <c r="E5135" s="890">
        <v>0.35561342592592593</v>
      </c>
      <c r="F5135" s="890">
        <v>0.75145833333333334</v>
      </c>
    </row>
    <row r="5136" spans="1:6">
      <c r="A5136" s="888" t="s">
        <v>4274</v>
      </c>
      <c r="B5136" s="888" t="s">
        <v>4275</v>
      </c>
      <c r="C5136" s="888" t="s">
        <v>1404</v>
      </c>
    </row>
    <row r="5137" spans="1:6">
      <c r="A5137" s="888">
        <v>275</v>
      </c>
      <c r="B5137" s="888" t="s">
        <v>1184</v>
      </c>
      <c r="C5137" s="888" t="s">
        <v>2488</v>
      </c>
      <c r="D5137" s="889">
        <v>46028</v>
      </c>
      <c r="E5137" s="890">
        <v>0.37076388888888889</v>
      </c>
      <c r="F5137" s="890">
        <v>0.75934027777777779</v>
      </c>
    </row>
    <row r="5138" spans="1:6">
      <c r="A5138" s="888" t="s">
        <v>4276</v>
      </c>
      <c r="B5138" s="888" t="s">
        <v>4277</v>
      </c>
      <c r="C5138" s="888" t="s">
        <v>2232</v>
      </c>
    </row>
    <row r="5139" spans="1:6">
      <c r="A5139" s="888">
        <v>275</v>
      </c>
      <c r="B5139" s="888" t="s">
        <v>1184</v>
      </c>
      <c r="C5139" s="888" t="s">
        <v>2488</v>
      </c>
      <c r="D5139" s="889">
        <v>46029</v>
      </c>
      <c r="E5139" s="890">
        <v>0.35528935185185184</v>
      </c>
      <c r="F5139" s="890">
        <v>0.75604166666666661</v>
      </c>
    </row>
    <row r="5140" spans="1:6">
      <c r="A5140" s="888" t="s">
        <v>4278</v>
      </c>
      <c r="B5140" s="888" t="s">
        <v>4279</v>
      </c>
      <c r="C5140" s="888" t="s">
        <v>1378</v>
      </c>
    </row>
    <row r="5141" spans="1:6">
      <c r="A5141" s="888">
        <v>275</v>
      </c>
      <c r="B5141" s="888" t="s">
        <v>1184</v>
      </c>
      <c r="C5141" s="888" t="s">
        <v>2488</v>
      </c>
      <c r="D5141" s="889">
        <v>46030</v>
      </c>
      <c r="E5141" s="890">
        <v>0.36307870370370371</v>
      </c>
      <c r="F5141" s="890">
        <v>0.75143518518518515</v>
      </c>
    </row>
    <row r="5142" spans="1:6">
      <c r="A5142" s="888" t="s">
        <v>4280</v>
      </c>
      <c r="B5142" s="888" t="s">
        <v>4281</v>
      </c>
      <c r="C5142" s="888" t="s">
        <v>1484</v>
      </c>
    </row>
    <row r="5143" spans="1:6">
      <c r="A5143" s="888">
        <v>275</v>
      </c>
      <c r="B5143" s="888" t="s">
        <v>1184</v>
      </c>
      <c r="C5143" s="888" t="s">
        <v>2488</v>
      </c>
      <c r="D5143" s="889">
        <v>46031</v>
      </c>
      <c r="E5143" s="890">
        <v>0.35744212962962962</v>
      </c>
      <c r="F5143" s="890">
        <v>0.75192129629629634</v>
      </c>
    </row>
    <row r="5144" spans="1:6">
      <c r="A5144" s="888" t="s">
        <v>4282</v>
      </c>
      <c r="B5144" s="888" t="s">
        <v>4283</v>
      </c>
      <c r="C5144" s="888" t="s">
        <v>1285</v>
      </c>
    </row>
    <row r="5145" spans="1:6">
      <c r="A5145" s="888">
        <v>275</v>
      </c>
      <c r="B5145" s="888" t="s">
        <v>1184</v>
      </c>
      <c r="C5145" s="888" t="s">
        <v>2488</v>
      </c>
      <c r="D5145" s="889">
        <v>46032</v>
      </c>
      <c r="E5145" s="890">
        <v>0.3616550925925926</v>
      </c>
      <c r="F5145" s="890">
        <v>0.51900462962962968</v>
      </c>
    </row>
    <row r="5146" spans="1:6">
      <c r="A5146" s="888" t="s">
        <v>4284</v>
      </c>
      <c r="B5146" s="888" t="s">
        <v>4285</v>
      </c>
      <c r="C5146" s="888" t="s">
        <v>1517</v>
      </c>
    </row>
    <row r="5147" spans="1:6">
      <c r="A5147" s="888">
        <v>275</v>
      </c>
      <c r="B5147" s="888" t="s">
        <v>1184</v>
      </c>
      <c r="C5147" s="888" t="s">
        <v>2488</v>
      </c>
      <c r="D5147" s="889">
        <v>46033</v>
      </c>
      <c r="E5147" s="888" t="s">
        <v>310</v>
      </c>
      <c r="F5147" s="888" t="s">
        <v>310</v>
      </c>
    </row>
    <row r="5148" spans="1:6">
      <c r="A5148" s="888">
        <v>275</v>
      </c>
      <c r="B5148" s="888" t="s">
        <v>1184</v>
      </c>
      <c r="C5148" s="888" t="s">
        <v>2488</v>
      </c>
      <c r="D5148" s="889">
        <v>46034</v>
      </c>
      <c r="E5148" s="890">
        <v>0.36396990740740742</v>
      </c>
      <c r="F5148" s="890">
        <v>0.7534953703703704</v>
      </c>
    </row>
    <row r="5149" spans="1:6">
      <c r="A5149" s="888" t="s">
        <v>4286</v>
      </c>
      <c r="B5149" s="888" t="s">
        <v>4287</v>
      </c>
      <c r="C5149" s="888" t="s">
        <v>1737</v>
      </c>
    </row>
    <row r="5150" spans="1:6">
      <c r="A5150" s="888">
        <v>275</v>
      </c>
      <c r="B5150" s="888" t="s">
        <v>1184</v>
      </c>
      <c r="C5150" s="888" t="s">
        <v>2488</v>
      </c>
      <c r="D5150" s="889">
        <v>46035</v>
      </c>
      <c r="E5150" s="890">
        <v>0.36047453703703702</v>
      </c>
      <c r="F5150" s="890">
        <v>0.75228009259259254</v>
      </c>
    </row>
    <row r="5151" spans="1:6">
      <c r="A5151" s="888" t="s">
        <v>4288</v>
      </c>
      <c r="B5151" s="888" t="s">
        <v>4289</v>
      </c>
      <c r="C5151" s="888" t="s">
        <v>1813</v>
      </c>
    </row>
    <row r="5152" spans="1:6">
      <c r="A5152" s="888">
        <v>275</v>
      </c>
      <c r="B5152" s="888" t="s">
        <v>1184</v>
      </c>
      <c r="C5152" s="888" t="s">
        <v>2488</v>
      </c>
      <c r="D5152" s="889">
        <v>46036</v>
      </c>
      <c r="E5152" s="890">
        <v>0.36200231481481482</v>
      </c>
      <c r="F5152" s="890">
        <v>0.75445601851851851</v>
      </c>
    </row>
    <row r="5153" spans="1:6">
      <c r="A5153" s="888" t="s">
        <v>4290</v>
      </c>
      <c r="B5153" s="888" t="s">
        <v>4291</v>
      </c>
      <c r="C5153" s="888" t="s">
        <v>1724</v>
      </c>
    </row>
    <row r="5154" spans="1:6">
      <c r="A5154" s="888">
        <v>275</v>
      </c>
      <c r="B5154" s="888" t="s">
        <v>1184</v>
      </c>
      <c r="C5154" s="888" t="s">
        <v>2488</v>
      </c>
      <c r="D5154" s="889">
        <v>46037</v>
      </c>
      <c r="E5154" s="890">
        <v>0.35760416666666667</v>
      </c>
      <c r="F5154" s="890">
        <v>0.66358796296296296</v>
      </c>
    </row>
    <row r="5155" spans="1:6">
      <c r="A5155" s="888" t="s">
        <v>4292</v>
      </c>
      <c r="B5155" s="888" t="s">
        <v>4293</v>
      </c>
      <c r="C5155" s="888" t="s">
        <v>4294</v>
      </c>
    </row>
    <row r="5156" spans="1:6">
      <c r="A5156" s="888">
        <v>275</v>
      </c>
      <c r="B5156" s="888" t="s">
        <v>1184</v>
      </c>
      <c r="C5156" s="888" t="s">
        <v>2488</v>
      </c>
      <c r="D5156" s="889">
        <v>46038</v>
      </c>
      <c r="E5156" s="890">
        <v>0.35950231481481482</v>
      </c>
      <c r="F5156" s="890">
        <v>0.75800925925925922</v>
      </c>
    </row>
    <row r="5157" spans="1:6">
      <c r="A5157" s="888" t="s">
        <v>4295</v>
      </c>
      <c r="B5157" s="888" t="s">
        <v>4296</v>
      </c>
      <c r="C5157" s="888" t="s">
        <v>1383</v>
      </c>
    </row>
    <row r="5158" spans="1:6">
      <c r="A5158" s="888">
        <v>275</v>
      </c>
      <c r="B5158" s="888" t="s">
        <v>1184</v>
      </c>
      <c r="C5158" s="888" t="s">
        <v>2488</v>
      </c>
      <c r="D5158" s="889">
        <v>46039</v>
      </c>
      <c r="E5158" s="888" t="s">
        <v>310</v>
      </c>
      <c r="F5158" s="888" t="s">
        <v>310</v>
      </c>
    </row>
    <row r="5159" spans="1:6">
      <c r="A5159" s="888">
        <v>275</v>
      </c>
      <c r="B5159" s="888" t="s">
        <v>1184</v>
      </c>
      <c r="C5159" s="888" t="s">
        <v>2488</v>
      </c>
      <c r="D5159" s="889">
        <v>46040</v>
      </c>
      <c r="E5159" s="888" t="s">
        <v>310</v>
      </c>
      <c r="F5159" s="888" t="s">
        <v>310</v>
      </c>
    </row>
    <row r="5160" spans="1:6">
      <c r="A5160" s="888">
        <v>275</v>
      </c>
      <c r="B5160" s="888" t="s">
        <v>1184</v>
      </c>
      <c r="C5160" s="888" t="s">
        <v>2488</v>
      </c>
      <c r="D5160" s="889">
        <v>46041</v>
      </c>
      <c r="E5160" s="890">
        <v>0.36628472222222225</v>
      </c>
      <c r="F5160" s="890">
        <v>0.75482638888888887</v>
      </c>
    </row>
    <row r="5161" spans="1:6">
      <c r="A5161" s="888" t="s">
        <v>4297</v>
      </c>
      <c r="B5161" s="888" t="s">
        <v>4298</v>
      </c>
      <c r="C5161" s="888" t="s">
        <v>2232</v>
      </c>
    </row>
    <row r="5162" spans="1:6">
      <c r="A5162" s="888">
        <v>275</v>
      </c>
      <c r="B5162" s="888" t="s">
        <v>1184</v>
      </c>
      <c r="C5162" s="888" t="s">
        <v>2488</v>
      </c>
      <c r="D5162" s="889">
        <v>46042</v>
      </c>
      <c r="E5162" s="890">
        <v>0.35923611111111109</v>
      </c>
      <c r="F5162" s="890">
        <v>0.75267361111111108</v>
      </c>
    </row>
    <row r="5163" spans="1:6">
      <c r="A5163" s="888" t="s">
        <v>4299</v>
      </c>
      <c r="B5163" s="888" t="s">
        <v>4300</v>
      </c>
      <c r="C5163" s="888" t="s">
        <v>1291</v>
      </c>
    </row>
    <row r="5164" spans="1:6">
      <c r="A5164" s="888">
        <v>275</v>
      </c>
      <c r="B5164" s="888" t="s">
        <v>1184</v>
      </c>
      <c r="C5164" s="888" t="s">
        <v>2488</v>
      </c>
      <c r="D5164" s="889">
        <v>46043</v>
      </c>
      <c r="E5164" s="890">
        <v>0.35800925925925925</v>
      </c>
      <c r="F5164" s="890">
        <v>0.75545138888888885</v>
      </c>
    </row>
    <row r="5165" spans="1:6">
      <c r="A5165" s="888" t="s">
        <v>4301</v>
      </c>
      <c r="B5165" s="888" t="s">
        <v>4302</v>
      </c>
      <c r="C5165" s="888" t="s">
        <v>1514</v>
      </c>
    </row>
    <row r="5166" spans="1:6">
      <c r="A5166" s="888">
        <v>275</v>
      </c>
      <c r="B5166" s="888" t="s">
        <v>1184</v>
      </c>
      <c r="C5166" s="888" t="s">
        <v>2488</v>
      </c>
      <c r="D5166" s="889">
        <v>46044</v>
      </c>
      <c r="E5166" s="890">
        <v>0.36464120370370373</v>
      </c>
      <c r="F5166" s="890">
        <v>0.75405092592592593</v>
      </c>
    </row>
    <row r="5167" spans="1:6">
      <c r="A5167" s="888" t="s">
        <v>4303</v>
      </c>
      <c r="B5167" s="888" t="s">
        <v>4304</v>
      </c>
      <c r="C5167" s="888" t="s">
        <v>1737</v>
      </c>
    </row>
    <row r="5168" spans="1:6">
      <c r="A5168" s="888">
        <v>275</v>
      </c>
      <c r="B5168" s="888" t="s">
        <v>1184</v>
      </c>
      <c r="C5168" s="888" t="s">
        <v>2488</v>
      </c>
      <c r="D5168" s="889">
        <v>46045</v>
      </c>
      <c r="E5168" s="890">
        <v>0.36004629629629631</v>
      </c>
      <c r="F5168" s="890">
        <v>0.75268518518518523</v>
      </c>
    </row>
    <row r="5169" spans="1:6">
      <c r="A5169" s="888" t="s">
        <v>4305</v>
      </c>
      <c r="B5169" s="888" t="s">
        <v>4306</v>
      </c>
      <c r="C5169" s="888" t="s">
        <v>1724</v>
      </c>
    </row>
    <row r="5170" spans="1:6">
      <c r="A5170" s="888">
        <v>275</v>
      </c>
      <c r="B5170" s="888" t="s">
        <v>1184</v>
      </c>
      <c r="C5170" s="888" t="s">
        <v>2488</v>
      </c>
      <c r="D5170" s="889">
        <v>46046</v>
      </c>
      <c r="E5170" s="888" t="s">
        <v>310</v>
      </c>
      <c r="F5170" s="888" t="s">
        <v>310</v>
      </c>
    </row>
    <row r="5171" spans="1:6">
      <c r="A5171" s="888">
        <v>275</v>
      </c>
      <c r="B5171" s="888" t="s">
        <v>1184</v>
      </c>
      <c r="C5171" s="888" t="s">
        <v>2488</v>
      </c>
      <c r="D5171" s="889">
        <v>46047</v>
      </c>
      <c r="E5171" s="888" t="s">
        <v>310</v>
      </c>
      <c r="F5171" s="888" t="s">
        <v>310</v>
      </c>
    </row>
    <row r="5172" spans="1:6">
      <c r="A5172" s="888">
        <v>275</v>
      </c>
      <c r="B5172" s="888" t="s">
        <v>1184</v>
      </c>
      <c r="C5172" s="888" t="s">
        <v>2488</v>
      </c>
      <c r="D5172" s="889">
        <v>46048</v>
      </c>
      <c r="E5172" s="890">
        <v>0.36633101851851851</v>
      </c>
      <c r="F5172" s="890">
        <v>0.75518518518518518</v>
      </c>
    </row>
    <row r="5173" spans="1:6">
      <c r="A5173" s="888" t="s">
        <v>4307</v>
      </c>
      <c r="B5173" s="888" t="s">
        <v>4308</v>
      </c>
      <c r="C5173" s="888" t="s">
        <v>2232</v>
      </c>
    </row>
    <row r="5174" spans="1:6">
      <c r="A5174" s="888">
        <v>275</v>
      </c>
      <c r="B5174" s="888" t="s">
        <v>1184</v>
      </c>
      <c r="C5174" s="888" t="s">
        <v>2488</v>
      </c>
      <c r="D5174" s="889">
        <v>46049</v>
      </c>
      <c r="E5174" s="890">
        <v>0.36114583333333333</v>
      </c>
      <c r="F5174" s="890">
        <v>0.75087962962962962</v>
      </c>
    </row>
    <row r="5175" spans="1:6">
      <c r="A5175" s="888" t="s">
        <v>4309</v>
      </c>
      <c r="B5175" s="888" t="s">
        <v>4310</v>
      </c>
      <c r="C5175" s="888" t="s">
        <v>1737</v>
      </c>
    </row>
    <row r="5176" spans="1:6">
      <c r="A5176" s="888">
        <v>275</v>
      </c>
      <c r="B5176" s="888" t="s">
        <v>1184</v>
      </c>
      <c r="C5176" s="888" t="s">
        <v>2488</v>
      </c>
      <c r="D5176" s="889">
        <v>46050</v>
      </c>
      <c r="E5176" s="890">
        <v>0.36417824074074073</v>
      </c>
      <c r="F5176" s="890">
        <v>0.75038194444444439</v>
      </c>
    </row>
    <row r="5177" spans="1:6">
      <c r="A5177" s="888" t="s">
        <v>4311</v>
      </c>
      <c r="B5177" s="888" t="s">
        <v>4312</v>
      </c>
      <c r="C5177" s="888" t="s">
        <v>1598</v>
      </c>
    </row>
    <row r="5178" spans="1:6">
      <c r="A5178" s="888">
        <v>275</v>
      </c>
      <c r="B5178" s="888" t="s">
        <v>1184</v>
      </c>
      <c r="C5178" s="888" t="s">
        <v>2488</v>
      </c>
      <c r="D5178" s="889">
        <v>46051</v>
      </c>
      <c r="E5178" s="890">
        <v>0.36108796296296297</v>
      </c>
      <c r="F5178" s="890">
        <v>0.7565856481481481</v>
      </c>
    </row>
    <row r="5179" spans="1:6">
      <c r="A5179" s="888" t="s">
        <v>4313</v>
      </c>
      <c r="B5179" s="888" t="s">
        <v>4314</v>
      </c>
      <c r="C5179" s="888" t="s">
        <v>1404</v>
      </c>
    </row>
    <row r="5180" spans="1:6">
      <c r="A5180" s="888">
        <v>275</v>
      </c>
      <c r="B5180" s="888" t="s">
        <v>1184</v>
      </c>
      <c r="C5180" s="888" t="s">
        <v>2488</v>
      </c>
      <c r="D5180" s="889">
        <v>46052</v>
      </c>
      <c r="E5180" s="890">
        <v>0.36295138888888889</v>
      </c>
      <c r="F5180" s="890">
        <v>0.7555439814814815</v>
      </c>
    </row>
    <row r="5181" spans="1:6">
      <c r="A5181" s="888" t="s">
        <v>4315</v>
      </c>
      <c r="B5181" s="888" t="s">
        <v>4316</v>
      </c>
      <c r="C5181" s="888" t="s">
        <v>1724</v>
      </c>
    </row>
    <row r="5182" spans="1:6">
      <c r="A5182" s="888">
        <v>275</v>
      </c>
      <c r="B5182" s="888" t="s">
        <v>1184</v>
      </c>
      <c r="C5182" s="888" t="s">
        <v>2488</v>
      </c>
      <c r="D5182" s="889">
        <v>46053</v>
      </c>
      <c r="E5182" s="888" t="s">
        <v>310</v>
      </c>
      <c r="F5182" s="888" t="s">
        <v>310</v>
      </c>
    </row>
    <row r="5183" spans="1:6">
      <c r="A5183" s="888">
        <v>275</v>
      </c>
      <c r="B5183" s="888" t="s">
        <v>1184</v>
      </c>
      <c r="C5183" s="888" t="s">
        <v>2488</v>
      </c>
      <c r="D5183" s="889">
        <v>46054</v>
      </c>
      <c r="E5183" s="888" t="s">
        <v>310</v>
      </c>
      <c r="F5183" s="888" t="s">
        <v>310</v>
      </c>
    </row>
    <row r="5184" spans="1:6">
      <c r="A5184" s="888">
        <v>278</v>
      </c>
      <c r="B5184" s="888" t="s">
        <v>1185</v>
      </c>
      <c r="C5184" s="888" t="s">
        <v>1767</v>
      </c>
      <c r="D5184" s="889">
        <v>46023</v>
      </c>
      <c r="E5184" s="888" t="s">
        <v>310</v>
      </c>
      <c r="F5184" s="888" t="s">
        <v>310</v>
      </c>
    </row>
    <row r="5185" spans="1:6">
      <c r="A5185" s="888">
        <v>278</v>
      </c>
      <c r="B5185" s="888" t="s">
        <v>1185</v>
      </c>
      <c r="C5185" s="888" t="s">
        <v>1767</v>
      </c>
      <c r="D5185" s="889">
        <v>46024</v>
      </c>
      <c r="E5185" s="888" t="s">
        <v>310</v>
      </c>
      <c r="F5185" s="888" t="s">
        <v>310</v>
      </c>
    </row>
    <row r="5186" spans="1:6">
      <c r="A5186" s="888">
        <v>278</v>
      </c>
      <c r="B5186" s="888" t="s">
        <v>1185</v>
      </c>
      <c r="C5186" s="888" t="s">
        <v>1767</v>
      </c>
      <c r="D5186" s="889">
        <v>46025</v>
      </c>
      <c r="E5186" s="888" t="s">
        <v>310</v>
      </c>
      <c r="F5186" s="888" t="s">
        <v>310</v>
      </c>
    </row>
    <row r="5187" spans="1:6">
      <c r="A5187" s="888">
        <v>278</v>
      </c>
      <c r="B5187" s="888" t="s">
        <v>1185</v>
      </c>
      <c r="C5187" s="888" t="s">
        <v>1767</v>
      </c>
      <c r="D5187" s="889">
        <v>46026</v>
      </c>
      <c r="E5187" s="888" t="s">
        <v>310</v>
      </c>
      <c r="F5187" s="888" t="s">
        <v>310</v>
      </c>
    </row>
    <row r="5188" spans="1:6">
      <c r="A5188" s="888">
        <v>278</v>
      </c>
      <c r="B5188" s="888" t="s">
        <v>1185</v>
      </c>
      <c r="C5188" s="888" t="s">
        <v>1767</v>
      </c>
      <c r="D5188" s="889">
        <v>46027</v>
      </c>
      <c r="E5188" s="888" t="s">
        <v>310</v>
      </c>
      <c r="F5188" s="888" t="s">
        <v>310</v>
      </c>
    </row>
    <row r="5189" spans="1:6">
      <c r="A5189" s="888">
        <v>278</v>
      </c>
      <c r="B5189" s="888" t="s">
        <v>1185</v>
      </c>
      <c r="C5189" s="888" t="s">
        <v>1767</v>
      </c>
      <c r="D5189" s="889">
        <v>46028</v>
      </c>
      <c r="E5189" s="888" t="s">
        <v>310</v>
      </c>
      <c r="F5189" s="888" t="s">
        <v>310</v>
      </c>
    </row>
    <row r="5190" spans="1:6">
      <c r="A5190" s="888">
        <v>278</v>
      </c>
      <c r="B5190" s="888" t="s">
        <v>1185</v>
      </c>
      <c r="C5190" s="888" t="s">
        <v>1767</v>
      </c>
      <c r="D5190" s="889">
        <v>46029</v>
      </c>
      <c r="E5190" s="888" t="s">
        <v>310</v>
      </c>
      <c r="F5190" s="888" t="s">
        <v>310</v>
      </c>
    </row>
    <row r="5191" spans="1:6">
      <c r="A5191" s="888">
        <v>278</v>
      </c>
      <c r="B5191" s="888" t="s">
        <v>1185</v>
      </c>
      <c r="C5191" s="888" t="s">
        <v>1767</v>
      </c>
      <c r="D5191" s="889">
        <v>46030</v>
      </c>
      <c r="E5191" s="888" t="s">
        <v>310</v>
      </c>
      <c r="F5191" s="888" t="s">
        <v>310</v>
      </c>
    </row>
    <row r="5192" spans="1:6">
      <c r="A5192" s="888">
        <v>278</v>
      </c>
      <c r="B5192" s="888" t="s">
        <v>1185</v>
      </c>
      <c r="C5192" s="888" t="s">
        <v>1767</v>
      </c>
      <c r="D5192" s="889">
        <v>46031</v>
      </c>
      <c r="E5192" s="888" t="s">
        <v>310</v>
      </c>
      <c r="F5192" s="888" t="s">
        <v>310</v>
      </c>
    </row>
    <row r="5193" spans="1:6">
      <c r="A5193" s="888">
        <v>278</v>
      </c>
      <c r="B5193" s="888" t="s">
        <v>1185</v>
      </c>
      <c r="C5193" s="888" t="s">
        <v>1767</v>
      </c>
      <c r="D5193" s="889">
        <v>46032</v>
      </c>
      <c r="E5193" s="888" t="s">
        <v>310</v>
      </c>
      <c r="F5193" s="888" t="s">
        <v>310</v>
      </c>
    </row>
    <row r="5194" spans="1:6">
      <c r="A5194" s="888">
        <v>278</v>
      </c>
      <c r="B5194" s="888" t="s">
        <v>1185</v>
      </c>
      <c r="C5194" s="888" t="s">
        <v>1767</v>
      </c>
      <c r="D5194" s="889">
        <v>46033</v>
      </c>
      <c r="E5194" s="888" t="s">
        <v>310</v>
      </c>
      <c r="F5194" s="888" t="s">
        <v>310</v>
      </c>
    </row>
    <row r="5195" spans="1:6">
      <c r="A5195" s="888">
        <v>278</v>
      </c>
      <c r="B5195" s="888" t="s">
        <v>1185</v>
      </c>
      <c r="C5195" s="888" t="s">
        <v>1767</v>
      </c>
      <c r="D5195" s="889">
        <v>46034</v>
      </c>
      <c r="E5195" s="888" t="s">
        <v>310</v>
      </c>
      <c r="F5195" s="888" t="s">
        <v>310</v>
      </c>
    </row>
    <row r="5196" spans="1:6">
      <c r="A5196" s="888">
        <v>278</v>
      </c>
      <c r="B5196" s="888" t="s">
        <v>1185</v>
      </c>
      <c r="C5196" s="888" t="s">
        <v>1767</v>
      </c>
      <c r="D5196" s="889">
        <v>46035</v>
      </c>
      <c r="E5196" s="888" t="s">
        <v>310</v>
      </c>
      <c r="F5196" s="888" t="s">
        <v>310</v>
      </c>
    </row>
    <row r="5197" spans="1:6">
      <c r="A5197" s="888">
        <v>278</v>
      </c>
      <c r="B5197" s="888" t="s">
        <v>1185</v>
      </c>
      <c r="C5197" s="888" t="s">
        <v>1767</v>
      </c>
      <c r="D5197" s="889">
        <v>46036</v>
      </c>
      <c r="E5197" s="888" t="s">
        <v>310</v>
      </c>
      <c r="F5197" s="888" t="s">
        <v>310</v>
      </c>
    </row>
    <row r="5198" spans="1:6">
      <c r="A5198" s="888">
        <v>278</v>
      </c>
      <c r="B5198" s="888" t="s">
        <v>1185</v>
      </c>
      <c r="C5198" s="888" t="s">
        <v>1767</v>
      </c>
      <c r="D5198" s="889">
        <v>46037</v>
      </c>
      <c r="E5198" s="888" t="s">
        <v>310</v>
      </c>
      <c r="F5198" s="888" t="s">
        <v>310</v>
      </c>
    </row>
    <row r="5199" spans="1:6">
      <c r="A5199" s="888">
        <v>278</v>
      </c>
      <c r="B5199" s="888" t="s">
        <v>1185</v>
      </c>
      <c r="C5199" s="888" t="s">
        <v>1767</v>
      </c>
      <c r="D5199" s="889">
        <v>46038</v>
      </c>
      <c r="E5199" s="888" t="s">
        <v>310</v>
      </c>
      <c r="F5199" s="888" t="s">
        <v>310</v>
      </c>
    </row>
    <row r="5200" spans="1:6">
      <c r="A5200" s="888">
        <v>278</v>
      </c>
      <c r="B5200" s="888" t="s">
        <v>1185</v>
      </c>
      <c r="C5200" s="888" t="s">
        <v>1767</v>
      </c>
      <c r="D5200" s="889">
        <v>46039</v>
      </c>
      <c r="E5200" s="888" t="s">
        <v>310</v>
      </c>
      <c r="F5200" s="888" t="s">
        <v>310</v>
      </c>
    </row>
    <row r="5201" spans="1:6">
      <c r="A5201" s="888">
        <v>278</v>
      </c>
      <c r="B5201" s="888" t="s">
        <v>1185</v>
      </c>
      <c r="C5201" s="888" t="s">
        <v>1767</v>
      </c>
      <c r="D5201" s="889">
        <v>46040</v>
      </c>
      <c r="E5201" s="888" t="s">
        <v>310</v>
      </c>
      <c r="F5201" s="888" t="s">
        <v>310</v>
      </c>
    </row>
    <row r="5202" spans="1:6">
      <c r="A5202" s="888">
        <v>278</v>
      </c>
      <c r="B5202" s="888" t="s">
        <v>1185</v>
      </c>
      <c r="C5202" s="888" t="s">
        <v>1767</v>
      </c>
      <c r="D5202" s="889">
        <v>46041</v>
      </c>
      <c r="E5202" s="888" t="s">
        <v>310</v>
      </c>
      <c r="F5202" s="888" t="s">
        <v>310</v>
      </c>
    </row>
    <row r="5203" spans="1:6">
      <c r="A5203" s="888">
        <v>278</v>
      </c>
      <c r="B5203" s="888" t="s">
        <v>1185</v>
      </c>
      <c r="C5203" s="888" t="s">
        <v>1767</v>
      </c>
      <c r="D5203" s="889">
        <v>46042</v>
      </c>
      <c r="E5203" s="888" t="s">
        <v>310</v>
      </c>
      <c r="F5203" s="888" t="s">
        <v>310</v>
      </c>
    </row>
    <row r="5204" spans="1:6">
      <c r="A5204" s="888">
        <v>278</v>
      </c>
      <c r="B5204" s="888" t="s">
        <v>1185</v>
      </c>
      <c r="C5204" s="888" t="s">
        <v>1767</v>
      </c>
      <c r="D5204" s="889">
        <v>46043</v>
      </c>
      <c r="E5204" s="888" t="s">
        <v>310</v>
      </c>
      <c r="F5204" s="888" t="s">
        <v>310</v>
      </c>
    </row>
    <row r="5205" spans="1:6">
      <c r="A5205" s="888">
        <v>278</v>
      </c>
      <c r="B5205" s="888" t="s">
        <v>1185</v>
      </c>
      <c r="C5205" s="888" t="s">
        <v>1767</v>
      </c>
      <c r="D5205" s="889">
        <v>46044</v>
      </c>
      <c r="E5205" s="888" t="s">
        <v>310</v>
      </c>
      <c r="F5205" s="888" t="s">
        <v>310</v>
      </c>
    </row>
    <row r="5206" spans="1:6">
      <c r="A5206" s="888">
        <v>278</v>
      </c>
      <c r="B5206" s="888" t="s">
        <v>1185</v>
      </c>
      <c r="C5206" s="888" t="s">
        <v>1767</v>
      </c>
      <c r="D5206" s="889">
        <v>46045</v>
      </c>
      <c r="E5206" s="888" t="s">
        <v>310</v>
      </c>
      <c r="F5206" s="888" t="s">
        <v>310</v>
      </c>
    </row>
    <row r="5207" spans="1:6">
      <c r="A5207" s="888">
        <v>278</v>
      </c>
      <c r="B5207" s="888" t="s">
        <v>1185</v>
      </c>
      <c r="C5207" s="888" t="s">
        <v>1767</v>
      </c>
      <c r="D5207" s="889">
        <v>46046</v>
      </c>
      <c r="E5207" s="888" t="s">
        <v>310</v>
      </c>
      <c r="F5207" s="888" t="s">
        <v>310</v>
      </c>
    </row>
    <row r="5208" spans="1:6">
      <c r="A5208" s="888">
        <v>278</v>
      </c>
      <c r="B5208" s="888" t="s">
        <v>1185</v>
      </c>
      <c r="C5208" s="888" t="s">
        <v>1767</v>
      </c>
      <c r="D5208" s="889">
        <v>46047</v>
      </c>
      <c r="E5208" s="888" t="s">
        <v>310</v>
      </c>
      <c r="F5208" s="888" t="s">
        <v>310</v>
      </c>
    </row>
    <row r="5209" spans="1:6">
      <c r="A5209" s="888">
        <v>278</v>
      </c>
      <c r="B5209" s="888" t="s">
        <v>1185</v>
      </c>
      <c r="C5209" s="888" t="s">
        <v>1767</v>
      </c>
      <c r="D5209" s="889">
        <v>46048</v>
      </c>
      <c r="E5209" s="888" t="s">
        <v>310</v>
      </c>
      <c r="F5209" s="888" t="s">
        <v>310</v>
      </c>
    </row>
    <row r="5210" spans="1:6">
      <c r="A5210" s="888">
        <v>278</v>
      </c>
      <c r="B5210" s="888" t="s">
        <v>1185</v>
      </c>
      <c r="C5210" s="888" t="s">
        <v>1767</v>
      </c>
      <c r="D5210" s="889">
        <v>46049</v>
      </c>
      <c r="E5210" s="888" t="s">
        <v>310</v>
      </c>
      <c r="F5210" s="888" t="s">
        <v>310</v>
      </c>
    </row>
    <row r="5211" spans="1:6">
      <c r="A5211" s="888">
        <v>278</v>
      </c>
      <c r="B5211" s="888" t="s">
        <v>1185</v>
      </c>
      <c r="C5211" s="888" t="s">
        <v>1767</v>
      </c>
      <c r="D5211" s="889">
        <v>46050</v>
      </c>
      <c r="E5211" s="888" t="s">
        <v>310</v>
      </c>
      <c r="F5211" s="888" t="s">
        <v>310</v>
      </c>
    </row>
    <row r="5212" spans="1:6">
      <c r="A5212" s="888">
        <v>278</v>
      </c>
      <c r="B5212" s="888" t="s">
        <v>1185</v>
      </c>
      <c r="C5212" s="888" t="s">
        <v>1767</v>
      </c>
      <c r="D5212" s="889">
        <v>46051</v>
      </c>
      <c r="E5212" s="888" t="s">
        <v>310</v>
      </c>
      <c r="F5212" s="888" t="s">
        <v>310</v>
      </c>
    </row>
    <row r="5213" spans="1:6">
      <c r="A5213" s="888">
        <v>278</v>
      </c>
      <c r="B5213" s="888" t="s">
        <v>1185</v>
      </c>
      <c r="C5213" s="888" t="s">
        <v>1767</v>
      </c>
      <c r="D5213" s="889">
        <v>46052</v>
      </c>
      <c r="E5213" s="888" t="s">
        <v>310</v>
      </c>
      <c r="F5213" s="888" t="s">
        <v>310</v>
      </c>
    </row>
    <row r="5214" spans="1:6">
      <c r="A5214" s="888">
        <v>278</v>
      </c>
      <c r="B5214" s="888" t="s">
        <v>1185</v>
      </c>
      <c r="C5214" s="888" t="s">
        <v>1767</v>
      </c>
      <c r="D5214" s="889">
        <v>46053</v>
      </c>
      <c r="E5214" s="888" t="s">
        <v>310</v>
      </c>
      <c r="F5214" s="888" t="s">
        <v>310</v>
      </c>
    </row>
    <row r="5215" spans="1:6">
      <c r="A5215" s="888">
        <v>278</v>
      </c>
      <c r="B5215" s="888" t="s">
        <v>1185</v>
      </c>
      <c r="C5215" s="888" t="s">
        <v>1767</v>
      </c>
      <c r="D5215" s="889">
        <v>46054</v>
      </c>
      <c r="E5215" s="888" t="s">
        <v>310</v>
      </c>
      <c r="F5215" s="888" t="s">
        <v>310</v>
      </c>
    </row>
    <row r="5216" spans="1:6">
      <c r="A5216" s="888">
        <v>283</v>
      </c>
      <c r="B5216" s="888" t="s">
        <v>4317</v>
      </c>
      <c r="C5216" s="888" t="s">
        <v>1767</v>
      </c>
      <c r="D5216" s="889">
        <v>46023</v>
      </c>
      <c r="E5216" s="888" t="s">
        <v>310</v>
      </c>
      <c r="F5216" s="888" t="s">
        <v>310</v>
      </c>
    </row>
    <row r="5217" spans="1:6">
      <c r="A5217" s="888">
        <v>283</v>
      </c>
      <c r="B5217" s="888" t="s">
        <v>4317</v>
      </c>
      <c r="C5217" s="888" t="s">
        <v>1767</v>
      </c>
      <c r="D5217" s="889">
        <v>46024</v>
      </c>
      <c r="E5217" s="888" t="s">
        <v>310</v>
      </c>
      <c r="F5217" s="888" t="s">
        <v>310</v>
      </c>
    </row>
    <row r="5218" spans="1:6">
      <c r="A5218" s="888">
        <v>283</v>
      </c>
      <c r="B5218" s="888" t="s">
        <v>4317</v>
      </c>
      <c r="C5218" s="888" t="s">
        <v>1767</v>
      </c>
      <c r="D5218" s="889">
        <v>46025</v>
      </c>
      <c r="E5218" s="888" t="s">
        <v>310</v>
      </c>
      <c r="F5218" s="888" t="s">
        <v>310</v>
      </c>
    </row>
    <row r="5219" spans="1:6">
      <c r="A5219" s="888">
        <v>283</v>
      </c>
      <c r="B5219" s="888" t="s">
        <v>4317</v>
      </c>
      <c r="C5219" s="888" t="s">
        <v>1767</v>
      </c>
      <c r="D5219" s="889">
        <v>46026</v>
      </c>
      <c r="E5219" s="888" t="s">
        <v>310</v>
      </c>
      <c r="F5219" s="888" t="s">
        <v>310</v>
      </c>
    </row>
    <row r="5220" spans="1:6">
      <c r="A5220" s="888">
        <v>283</v>
      </c>
      <c r="B5220" s="888" t="s">
        <v>4317</v>
      </c>
      <c r="C5220" s="888" t="s">
        <v>1767</v>
      </c>
      <c r="D5220" s="889">
        <v>46027</v>
      </c>
      <c r="E5220" s="888" t="s">
        <v>310</v>
      </c>
      <c r="F5220" s="888" t="s">
        <v>310</v>
      </c>
    </row>
    <row r="5221" spans="1:6">
      <c r="A5221" s="888">
        <v>283</v>
      </c>
      <c r="B5221" s="888" t="s">
        <v>4317</v>
      </c>
      <c r="C5221" s="888" t="s">
        <v>1767</v>
      </c>
      <c r="D5221" s="889">
        <v>46028</v>
      </c>
      <c r="E5221" s="888" t="s">
        <v>310</v>
      </c>
      <c r="F5221" s="888" t="s">
        <v>310</v>
      </c>
    </row>
    <row r="5222" spans="1:6">
      <c r="A5222" s="888">
        <v>283</v>
      </c>
      <c r="B5222" s="888" t="s">
        <v>4317</v>
      </c>
      <c r="C5222" s="888" t="s">
        <v>1767</v>
      </c>
      <c r="D5222" s="889">
        <v>46029</v>
      </c>
      <c r="E5222" s="888" t="s">
        <v>310</v>
      </c>
      <c r="F5222" s="888" t="s">
        <v>310</v>
      </c>
    </row>
    <row r="5223" spans="1:6">
      <c r="A5223" s="888">
        <v>283</v>
      </c>
      <c r="B5223" s="888" t="s">
        <v>4317</v>
      </c>
      <c r="C5223" s="888" t="s">
        <v>1767</v>
      </c>
      <c r="D5223" s="889">
        <v>46030</v>
      </c>
      <c r="E5223" s="888" t="s">
        <v>310</v>
      </c>
      <c r="F5223" s="888" t="s">
        <v>310</v>
      </c>
    </row>
    <row r="5224" spans="1:6">
      <c r="A5224" s="888">
        <v>283</v>
      </c>
      <c r="B5224" s="888" t="s">
        <v>4317</v>
      </c>
      <c r="C5224" s="888" t="s">
        <v>1767</v>
      </c>
      <c r="D5224" s="889">
        <v>46031</v>
      </c>
      <c r="E5224" s="888" t="s">
        <v>310</v>
      </c>
      <c r="F5224" s="888" t="s">
        <v>310</v>
      </c>
    </row>
    <row r="5225" spans="1:6">
      <c r="A5225" s="888">
        <v>283</v>
      </c>
      <c r="B5225" s="888" t="s">
        <v>4317</v>
      </c>
      <c r="C5225" s="888" t="s">
        <v>1767</v>
      </c>
      <c r="D5225" s="889">
        <v>46032</v>
      </c>
      <c r="E5225" s="888" t="s">
        <v>310</v>
      </c>
      <c r="F5225" s="888" t="s">
        <v>310</v>
      </c>
    </row>
    <row r="5226" spans="1:6">
      <c r="A5226" s="888">
        <v>283</v>
      </c>
      <c r="B5226" s="888" t="s">
        <v>4317</v>
      </c>
      <c r="C5226" s="888" t="s">
        <v>1767</v>
      </c>
      <c r="D5226" s="889">
        <v>46033</v>
      </c>
      <c r="E5226" s="888" t="s">
        <v>310</v>
      </c>
      <c r="F5226" s="888" t="s">
        <v>310</v>
      </c>
    </row>
    <row r="5227" spans="1:6">
      <c r="A5227" s="888">
        <v>283</v>
      </c>
      <c r="B5227" s="888" t="s">
        <v>4317</v>
      </c>
      <c r="C5227" s="888" t="s">
        <v>1767</v>
      </c>
      <c r="D5227" s="889">
        <v>46034</v>
      </c>
      <c r="E5227" s="888" t="s">
        <v>310</v>
      </c>
      <c r="F5227" s="888" t="s">
        <v>310</v>
      </c>
    </row>
    <row r="5228" spans="1:6">
      <c r="A5228" s="888">
        <v>283</v>
      </c>
      <c r="B5228" s="888" t="s">
        <v>4317</v>
      </c>
      <c r="C5228" s="888" t="s">
        <v>1767</v>
      </c>
      <c r="D5228" s="889">
        <v>46035</v>
      </c>
      <c r="E5228" s="888" t="s">
        <v>310</v>
      </c>
      <c r="F5228" s="888" t="s">
        <v>310</v>
      </c>
    </row>
    <row r="5229" spans="1:6">
      <c r="A5229" s="888">
        <v>283</v>
      </c>
      <c r="B5229" s="888" t="s">
        <v>4317</v>
      </c>
      <c r="C5229" s="888" t="s">
        <v>1767</v>
      </c>
      <c r="D5229" s="889">
        <v>46036</v>
      </c>
      <c r="E5229" s="888" t="s">
        <v>310</v>
      </c>
      <c r="F5229" s="888" t="s">
        <v>310</v>
      </c>
    </row>
    <row r="5230" spans="1:6">
      <c r="A5230" s="888">
        <v>283</v>
      </c>
      <c r="B5230" s="888" t="s">
        <v>4317</v>
      </c>
      <c r="C5230" s="888" t="s">
        <v>1767</v>
      </c>
      <c r="D5230" s="889">
        <v>46037</v>
      </c>
      <c r="E5230" s="888" t="s">
        <v>310</v>
      </c>
      <c r="F5230" s="888" t="s">
        <v>310</v>
      </c>
    </row>
    <row r="5231" spans="1:6">
      <c r="A5231" s="888">
        <v>283</v>
      </c>
      <c r="B5231" s="888" t="s">
        <v>4317</v>
      </c>
      <c r="C5231" s="888" t="s">
        <v>1767</v>
      </c>
      <c r="D5231" s="889">
        <v>46038</v>
      </c>
      <c r="E5231" s="888" t="s">
        <v>310</v>
      </c>
      <c r="F5231" s="888" t="s">
        <v>310</v>
      </c>
    </row>
    <row r="5232" spans="1:6">
      <c r="A5232" s="888">
        <v>283</v>
      </c>
      <c r="B5232" s="888" t="s">
        <v>4317</v>
      </c>
      <c r="C5232" s="888" t="s">
        <v>1767</v>
      </c>
      <c r="D5232" s="889">
        <v>46039</v>
      </c>
      <c r="E5232" s="888" t="s">
        <v>310</v>
      </c>
      <c r="F5232" s="888" t="s">
        <v>310</v>
      </c>
    </row>
    <row r="5233" spans="1:6">
      <c r="A5233" s="888">
        <v>283</v>
      </c>
      <c r="B5233" s="888" t="s">
        <v>4317</v>
      </c>
      <c r="C5233" s="888" t="s">
        <v>1767</v>
      </c>
      <c r="D5233" s="889">
        <v>46040</v>
      </c>
      <c r="E5233" s="888" t="s">
        <v>310</v>
      </c>
      <c r="F5233" s="888" t="s">
        <v>310</v>
      </c>
    </row>
    <row r="5234" spans="1:6">
      <c r="A5234" s="888">
        <v>283</v>
      </c>
      <c r="B5234" s="888" t="s">
        <v>4317</v>
      </c>
      <c r="C5234" s="888" t="s">
        <v>1767</v>
      </c>
      <c r="D5234" s="889">
        <v>46041</v>
      </c>
      <c r="E5234" s="888" t="s">
        <v>310</v>
      </c>
      <c r="F5234" s="888" t="s">
        <v>310</v>
      </c>
    </row>
    <row r="5235" spans="1:6">
      <c r="A5235" s="888">
        <v>283</v>
      </c>
      <c r="B5235" s="888" t="s">
        <v>4317</v>
      </c>
      <c r="C5235" s="888" t="s">
        <v>1767</v>
      </c>
      <c r="D5235" s="889">
        <v>46042</v>
      </c>
      <c r="E5235" s="888" t="s">
        <v>310</v>
      </c>
      <c r="F5235" s="888" t="s">
        <v>310</v>
      </c>
    </row>
    <row r="5236" spans="1:6">
      <c r="A5236" s="888">
        <v>283</v>
      </c>
      <c r="B5236" s="888" t="s">
        <v>4317</v>
      </c>
      <c r="C5236" s="888" t="s">
        <v>1767</v>
      </c>
      <c r="D5236" s="889">
        <v>46043</v>
      </c>
      <c r="E5236" s="888" t="s">
        <v>310</v>
      </c>
      <c r="F5236" s="888" t="s">
        <v>310</v>
      </c>
    </row>
    <row r="5237" spans="1:6">
      <c r="A5237" s="888">
        <v>283</v>
      </c>
      <c r="B5237" s="888" t="s">
        <v>4317</v>
      </c>
      <c r="C5237" s="888" t="s">
        <v>1767</v>
      </c>
      <c r="D5237" s="889">
        <v>46044</v>
      </c>
      <c r="E5237" s="888" t="s">
        <v>310</v>
      </c>
      <c r="F5237" s="888" t="s">
        <v>310</v>
      </c>
    </row>
    <row r="5238" spans="1:6">
      <c r="A5238" s="888">
        <v>283</v>
      </c>
      <c r="B5238" s="888" t="s">
        <v>4317</v>
      </c>
      <c r="C5238" s="888" t="s">
        <v>1767</v>
      </c>
      <c r="D5238" s="889">
        <v>46045</v>
      </c>
      <c r="E5238" s="888" t="s">
        <v>310</v>
      </c>
      <c r="F5238" s="888" t="s">
        <v>310</v>
      </c>
    </row>
    <row r="5239" spans="1:6">
      <c r="A5239" s="888">
        <v>283</v>
      </c>
      <c r="B5239" s="888" t="s">
        <v>4317</v>
      </c>
      <c r="C5239" s="888" t="s">
        <v>1767</v>
      </c>
      <c r="D5239" s="889">
        <v>46046</v>
      </c>
      <c r="E5239" s="888" t="s">
        <v>310</v>
      </c>
      <c r="F5239" s="888" t="s">
        <v>310</v>
      </c>
    </row>
    <row r="5240" spans="1:6">
      <c r="A5240" s="888">
        <v>283</v>
      </c>
      <c r="B5240" s="888" t="s">
        <v>4317</v>
      </c>
      <c r="C5240" s="888" t="s">
        <v>1767</v>
      </c>
      <c r="D5240" s="889">
        <v>46047</v>
      </c>
      <c r="E5240" s="888" t="s">
        <v>310</v>
      </c>
      <c r="F5240" s="888" t="s">
        <v>310</v>
      </c>
    </row>
    <row r="5241" spans="1:6">
      <c r="A5241" s="888">
        <v>283</v>
      </c>
      <c r="B5241" s="888" t="s">
        <v>4317</v>
      </c>
      <c r="C5241" s="888" t="s">
        <v>1767</v>
      </c>
      <c r="D5241" s="889">
        <v>46048</v>
      </c>
      <c r="E5241" s="888" t="s">
        <v>310</v>
      </c>
      <c r="F5241" s="888" t="s">
        <v>310</v>
      </c>
    </row>
    <row r="5242" spans="1:6">
      <c r="A5242" s="888">
        <v>283</v>
      </c>
      <c r="B5242" s="888" t="s">
        <v>4317</v>
      </c>
      <c r="C5242" s="888" t="s">
        <v>1767</v>
      </c>
      <c r="D5242" s="889">
        <v>46049</v>
      </c>
      <c r="E5242" s="888" t="s">
        <v>310</v>
      </c>
      <c r="F5242" s="888" t="s">
        <v>310</v>
      </c>
    </row>
    <row r="5243" spans="1:6">
      <c r="A5243" s="888">
        <v>283</v>
      </c>
      <c r="B5243" s="888" t="s">
        <v>4317</v>
      </c>
      <c r="C5243" s="888" t="s">
        <v>1767</v>
      </c>
      <c r="D5243" s="889">
        <v>46050</v>
      </c>
      <c r="E5243" s="888" t="s">
        <v>310</v>
      </c>
      <c r="F5243" s="888" t="s">
        <v>310</v>
      </c>
    </row>
    <row r="5244" spans="1:6">
      <c r="A5244" s="888">
        <v>283</v>
      </c>
      <c r="B5244" s="888" t="s">
        <v>4317</v>
      </c>
      <c r="C5244" s="888" t="s">
        <v>1767</v>
      </c>
      <c r="D5244" s="889">
        <v>46051</v>
      </c>
      <c r="E5244" s="888" t="s">
        <v>310</v>
      </c>
      <c r="F5244" s="888" t="s">
        <v>310</v>
      </c>
    </row>
    <row r="5245" spans="1:6">
      <c r="A5245" s="888">
        <v>283</v>
      </c>
      <c r="B5245" s="888" t="s">
        <v>4317</v>
      </c>
      <c r="C5245" s="888" t="s">
        <v>1767</v>
      </c>
      <c r="D5245" s="889">
        <v>46052</v>
      </c>
      <c r="E5245" s="888" t="s">
        <v>310</v>
      </c>
      <c r="F5245" s="888" t="s">
        <v>310</v>
      </c>
    </row>
    <row r="5246" spans="1:6">
      <c r="A5246" s="888">
        <v>283</v>
      </c>
      <c r="B5246" s="888" t="s">
        <v>4317</v>
      </c>
      <c r="C5246" s="888" t="s">
        <v>1767</v>
      </c>
      <c r="D5246" s="889">
        <v>46053</v>
      </c>
      <c r="E5246" s="888" t="s">
        <v>310</v>
      </c>
      <c r="F5246" s="888" t="s">
        <v>310</v>
      </c>
    </row>
    <row r="5247" spans="1:6">
      <c r="A5247" s="888">
        <v>283</v>
      </c>
      <c r="B5247" s="888" t="s">
        <v>4317</v>
      </c>
      <c r="C5247" s="888" t="s">
        <v>1767</v>
      </c>
      <c r="D5247" s="889">
        <v>46054</v>
      </c>
      <c r="E5247" s="888" t="s">
        <v>310</v>
      </c>
      <c r="F5247" s="888" t="s">
        <v>310</v>
      </c>
    </row>
    <row r="5248" spans="1:6">
      <c r="A5248" s="888">
        <v>287</v>
      </c>
      <c r="B5248" s="888" t="s">
        <v>1186</v>
      </c>
      <c r="C5248" s="888" t="s">
        <v>2310</v>
      </c>
      <c r="D5248" s="889">
        <v>46023</v>
      </c>
      <c r="E5248" s="888" t="s">
        <v>310</v>
      </c>
      <c r="F5248" s="888" t="s">
        <v>310</v>
      </c>
    </row>
    <row r="5249" spans="1:6">
      <c r="A5249" s="888">
        <v>287</v>
      </c>
      <c r="B5249" s="888" t="s">
        <v>1186</v>
      </c>
      <c r="C5249" s="888" t="s">
        <v>2310</v>
      </c>
      <c r="D5249" s="889">
        <v>46024</v>
      </c>
      <c r="E5249" s="888" t="s">
        <v>310</v>
      </c>
      <c r="F5249" s="888" t="s">
        <v>310</v>
      </c>
    </row>
    <row r="5250" spans="1:6">
      <c r="A5250" s="888">
        <v>287</v>
      </c>
      <c r="B5250" s="888" t="s">
        <v>1186</v>
      </c>
      <c r="C5250" s="888" t="s">
        <v>2310</v>
      </c>
      <c r="D5250" s="889">
        <v>46025</v>
      </c>
      <c r="E5250" s="888" t="s">
        <v>310</v>
      </c>
      <c r="F5250" s="888" t="s">
        <v>310</v>
      </c>
    </row>
    <row r="5251" spans="1:6">
      <c r="A5251" s="888">
        <v>287</v>
      </c>
      <c r="B5251" s="888" t="s">
        <v>1186</v>
      </c>
      <c r="C5251" s="888" t="s">
        <v>2310</v>
      </c>
      <c r="D5251" s="889">
        <v>46026</v>
      </c>
      <c r="E5251" s="888" t="s">
        <v>310</v>
      </c>
      <c r="F5251" s="888" t="s">
        <v>310</v>
      </c>
    </row>
    <row r="5252" spans="1:6">
      <c r="A5252" s="888">
        <v>287</v>
      </c>
      <c r="B5252" s="888" t="s">
        <v>1186</v>
      </c>
      <c r="C5252" s="888" t="s">
        <v>2310</v>
      </c>
      <c r="D5252" s="889">
        <v>46027</v>
      </c>
      <c r="E5252" s="890">
        <v>0.34862268518518519</v>
      </c>
      <c r="F5252" s="890">
        <v>0.75201388888888887</v>
      </c>
    </row>
    <row r="5253" spans="1:6">
      <c r="A5253" s="888" t="s">
        <v>4318</v>
      </c>
      <c r="B5253" s="888" t="s">
        <v>4319</v>
      </c>
      <c r="C5253" s="888" t="s">
        <v>1363</v>
      </c>
    </row>
    <row r="5254" spans="1:6">
      <c r="A5254" s="888">
        <v>287</v>
      </c>
      <c r="B5254" s="888" t="s">
        <v>1186</v>
      </c>
      <c r="C5254" s="888" t="s">
        <v>2310</v>
      </c>
      <c r="D5254" s="889">
        <v>46028</v>
      </c>
      <c r="E5254" s="890">
        <v>0.3583796296296296</v>
      </c>
      <c r="F5254" s="888" t="s">
        <v>310</v>
      </c>
    </row>
    <row r="5255" spans="1:6">
      <c r="A5255" s="888" t="s">
        <v>4320</v>
      </c>
      <c r="B5255" s="888" t="s">
        <v>1258</v>
      </c>
      <c r="C5255" s="888" t="s">
        <v>1259</v>
      </c>
    </row>
    <row r="5256" spans="1:6">
      <c r="A5256" s="888">
        <v>287</v>
      </c>
      <c r="B5256" s="888" t="s">
        <v>1186</v>
      </c>
      <c r="C5256" s="888" t="s">
        <v>2310</v>
      </c>
      <c r="D5256" s="889">
        <v>46029</v>
      </c>
      <c r="E5256" s="890">
        <v>0.41682870370370373</v>
      </c>
      <c r="F5256" s="890">
        <v>0.75413194444444442</v>
      </c>
    </row>
    <row r="5257" spans="1:6">
      <c r="A5257" s="888" t="s">
        <v>4321</v>
      </c>
      <c r="B5257" s="888" t="s">
        <v>4322</v>
      </c>
      <c r="C5257" s="888" t="s">
        <v>4323</v>
      </c>
    </row>
    <row r="5258" spans="1:6">
      <c r="A5258" s="888">
        <v>287</v>
      </c>
      <c r="B5258" s="888" t="s">
        <v>1186</v>
      </c>
      <c r="C5258" s="888" t="s">
        <v>2310</v>
      </c>
      <c r="D5258" s="889">
        <v>46030</v>
      </c>
      <c r="E5258" s="890">
        <v>0.34972222222222221</v>
      </c>
      <c r="F5258" s="890">
        <v>0.7564467592592593</v>
      </c>
    </row>
    <row r="5259" spans="1:6">
      <c r="A5259" s="888" t="s">
        <v>4324</v>
      </c>
      <c r="B5259" s="888" t="s">
        <v>3596</v>
      </c>
      <c r="C5259" s="888" t="s">
        <v>1868</v>
      </c>
    </row>
    <row r="5260" spans="1:6">
      <c r="A5260" s="888">
        <v>287</v>
      </c>
      <c r="B5260" s="888" t="s">
        <v>1186</v>
      </c>
      <c r="C5260" s="888" t="s">
        <v>2310</v>
      </c>
      <c r="D5260" s="889">
        <v>46031</v>
      </c>
      <c r="E5260" s="890">
        <v>0.34885416666666669</v>
      </c>
      <c r="F5260" s="890">
        <v>0.75596064814814812</v>
      </c>
    </row>
    <row r="5261" spans="1:6">
      <c r="A5261" s="888" t="s">
        <v>4325</v>
      </c>
      <c r="B5261" s="888" t="s">
        <v>4326</v>
      </c>
      <c r="C5261" s="888" t="s">
        <v>1868</v>
      </c>
    </row>
    <row r="5262" spans="1:6">
      <c r="A5262" s="888">
        <v>287</v>
      </c>
      <c r="B5262" s="888" t="s">
        <v>1186</v>
      </c>
      <c r="C5262" s="888" t="s">
        <v>2310</v>
      </c>
      <c r="D5262" s="889">
        <v>46032</v>
      </c>
      <c r="E5262" s="890">
        <v>0.34965277777777776</v>
      </c>
      <c r="F5262" s="890">
        <v>0.75532407407407409</v>
      </c>
    </row>
    <row r="5263" spans="1:6">
      <c r="A5263" s="888" t="s">
        <v>4327</v>
      </c>
      <c r="B5263" s="888" t="s">
        <v>4328</v>
      </c>
      <c r="C5263" s="888" t="s">
        <v>2340</v>
      </c>
    </row>
    <row r="5264" spans="1:6">
      <c r="A5264" s="888">
        <v>287</v>
      </c>
      <c r="B5264" s="888" t="s">
        <v>1186</v>
      </c>
      <c r="C5264" s="888" t="s">
        <v>2310</v>
      </c>
      <c r="D5264" s="889">
        <v>46033</v>
      </c>
      <c r="E5264" s="888" t="s">
        <v>310</v>
      </c>
      <c r="F5264" s="888" t="s">
        <v>310</v>
      </c>
    </row>
    <row r="5265" spans="1:6">
      <c r="A5265" s="888">
        <v>287</v>
      </c>
      <c r="B5265" s="888" t="s">
        <v>1186</v>
      </c>
      <c r="C5265" s="888" t="s">
        <v>2310</v>
      </c>
      <c r="D5265" s="889">
        <v>46034</v>
      </c>
      <c r="E5265" s="890">
        <v>0.35017361111111112</v>
      </c>
      <c r="F5265" s="890">
        <v>0.73355324074074069</v>
      </c>
    </row>
    <row r="5266" spans="1:6">
      <c r="A5266" s="888" t="s">
        <v>4329</v>
      </c>
      <c r="B5266" s="888" t="s">
        <v>4330</v>
      </c>
      <c r="C5266" s="888" t="s">
        <v>1576</v>
      </c>
    </row>
    <row r="5267" spans="1:6">
      <c r="A5267" s="888">
        <v>287</v>
      </c>
      <c r="B5267" s="888" t="s">
        <v>1186</v>
      </c>
      <c r="C5267" s="888" t="s">
        <v>2310</v>
      </c>
      <c r="D5267" s="889">
        <v>46035</v>
      </c>
      <c r="E5267" s="890">
        <v>0.34490740740740738</v>
      </c>
      <c r="F5267" s="890">
        <v>0.73343749999999996</v>
      </c>
    </row>
    <row r="5268" spans="1:6">
      <c r="A5268" s="888" t="s">
        <v>4331</v>
      </c>
      <c r="B5268" s="888" t="s">
        <v>4332</v>
      </c>
      <c r="C5268" s="888" t="s">
        <v>1484</v>
      </c>
    </row>
    <row r="5269" spans="1:6">
      <c r="A5269" s="888">
        <v>287</v>
      </c>
      <c r="B5269" s="888" t="s">
        <v>1186</v>
      </c>
      <c r="C5269" s="888" t="s">
        <v>2310</v>
      </c>
      <c r="D5269" s="889">
        <v>46036</v>
      </c>
      <c r="E5269" s="890">
        <v>0.34409722222222222</v>
      </c>
      <c r="F5269" s="890">
        <v>0.73055555555555551</v>
      </c>
    </row>
    <row r="5270" spans="1:6">
      <c r="A5270" s="888" t="s">
        <v>4333</v>
      </c>
      <c r="B5270" s="888" t="s">
        <v>4334</v>
      </c>
      <c r="C5270" s="888" t="s">
        <v>1753</v>
      </c>
    </row>
    <row r="5271" spans="1:6">
      <c r="A5271" s="888">
        <v>287</v>
      </c>
      <c r="B5271" s="888" t="s">
        <v>1186</v>
      </c>
      <c r="C5271" s="888" t="s">
        <v>2310</v>
      </c>
      <c r="D5271" s="889">
        <v>46037</v>
      </c>
      <c r="E5271" s="890">
        <v>0.34956018518518517</v>
      </c>
      <c r="F5271" s="890">
        <v>0.8346527777777778</v>
      </c>
    </row>
    <row r="5272" spans="1:6">
      <c r="A5272" s="888" t="s">
        <v>4335</v>
      </c>
      <c r="B5272" s="888" t="s">
        <v>4336</v>
      </c>
      <c r="C5272" s="888" t="s">
        <v>4337</v>
      </c>
    </row>
    <row r="5273" spans="1:6">
      <c r="A5273" s="888">
        <v>287</v>
      </c>
      <c r="B5273" s="888" t="s">
        <v>1186</v>
      </c>
      <c r="C5273" s="888" t="s">
        <v>2310</v>
      </c>
      <c r="D5273" s="889">
        <v>46038</v>
      </c>
      <c r="E5273" s="890">
        <v>0.34439814814814818</v>
      </c>
      <c r="F5273" s="890">
        <v>0.75556712962962957</v>
      </c>
    </row>
    <row r="5274" spans="1:6">
      <c r="A5274" s="888" t="s">
        <v>4338</v>
      </c>
      <c r="B5274" s="888" t="s">
        <v>4339</v>
      </c>
      <c r="C5274" s="888" t="s">
        <v>1613</v>
      </c>
    </row>
    <row r="5275" spans="1:6">
      <c r="A5275" s="888">
        <v>287</v>
      </c>
      <c r="B5275" s="888" t="s">
        <v>1186</v>
      </c>
      <c r="C5275" s="888" t="s">
        <v>2310</v>
      </c>
      <c r="D5275" s="889">
        <v>46039</v>
      </c>
      <c r="E5275" s="888" t="s">
        <v>310</v>
      </c>
      <c r="F5275" s="888" t="s">
        <v>310</v>
      </c>
    </row>
    <row r="5276" spans="1:6">
      <c r="A5276" s="888">
        <v>287</v>
      </c>
      <c r="B5276" s="888" t="s">
        <v>1186</v>
      </c>
      <c r="C5276" s="888" t="s">
        <v>2310</v>
      </c>
      <c r="D5276" s="889">
        <v>46040</v>
      </c>
      <c r="E5276" s="888" t="s">
        <v>310</v>
      </c>
      <c r="F5276" s="888" t="s">
        <v>310</v>
      </c>
    </row>
    <row r="5277" spans="1:6">
      <c r="A5277" s="888">
        <v>287</v>
      </c>
      <c r="B5277" s="888" t="s">
        <v>1186</v>
      </c>
      <c r="C5277" s="888" t="s">
        <v>2310</v>
      </c>
      <c r="D5277" s="889">
        <v>46041</v>
      </c>
      <c r="E5277" s="890">
        <v>0.34489583333333335</v>
      </c>
      <c r="F5277" s="890">
        <v>0.75239583333333337</v>
      </c>
    </row>
    <row r="5278" spans="1:6">
      <c r="A5278" s="888" t="s">
        <v>4340</v>
      </c>
      <c r="B5278" s="888" t="s">
        <v>4341</v>
      </c>
      <c r="C5278" s="888" t="s">
        <v>1645</v>
      </c>
    </row>
    <row r="5279" spans="1:6">
      <c r="A5279" s="888">
        <v>287</v>
      </c>
      <c r="B5279" s="888" t="s">
        <v>1186</v>
      </c>
      <c r="C5279" s="888" t="s">
        <v>2310</v>
      </c>
      <c r="D5279" s="889">
        <v>46042</v>
      </c>
      <c r="E5279" s="890">
        <v>0.34855324074074073</v>
      </c>
      <c r="F5279" s="890">
        <v>0.75483796296296302</v>
      </c>
    </row>
    <row r="5280" spans="1:6">
      <c r="A5280" s="888" t="s">
        <v>4342</v>
      </c>
      <c r="B5280" s="888" t="s">
        <v>4343</v>
      </c>
      <c r="C5280" s="888" t="s">
        <v>1375</v>
      </c>
    </row>
    <row r="5281" spans="1:6">
      <c r="A5281" s="888">
        <v>287</v>
      </c>
      <c r="B5281" s="888" t="s">
        <v>1186</v>
      </c>
      <c r="C5281" s="888" t="s">
        <v>2310</v>
      </c>
      <c r="D5281" s="889">
        <v>46043</v>
      </c>
      <c r="E5281" s="890">
        <v>0.34239583333333334</v>
      </c>
      <c r="F5281" s="890">
        <v>0.75398148148148147</v>
      </c>
    </row>
    <row r="5282" spans="1:6">
      <c r="A5282" s="888" t="s">
        <v>4344</v>
      </c>
      <c r="B5282" s="888" t="s">
        <v>4345</v>
      </c>
      <c r="C5282" s="888" t="s">
        <v>1369</v>
      </c>
    </row>
    <row r="5283" spans="1:6">
      <c r="A5283" s="888">
        <v>287</v>
      </c>
      <c r="B5283" s="888" t="s">
        <v>1186</v>
      </c>
      <c r="C5283" s="888" t="s">
        <v>2310</v>
      </c>
      <c r="D5283" s="889">
        <v>46044</v>
      </c>
      <c r="E5283" s="890">
        <v>0.34958333333333336</v>
      </c>
      <c r="F5283" s="890">
        <v>0.75574074074074071</v>
      </c>
    </row>
    <row r="5284" spans="1:6">
      <c r="A5284" s="888" t="s">
        <v>4346</v>
      </c>
      <c r="B5284" s="888" t="s">
        <v>4347</v>
      </c>
      <c r="C5284" s="888" t="s">
        <v>1375</v>
      </c>
    </row>
    <row r="5285" spans="1:6">
      <c r="A5285" s="888">
        <v>287</v>
      </c>
      <c r="B5285" s="888" t="s">
        <v>1186</v>
      </c>
      <c r="C5285" s="888" t="s">
        <v>2310</v>
      </c>
      <c r="D5285" s="889">
        <v>46045</v>
      </c>
      <c r="E5285" s="890">
        <v>0.35143518518518518</v>
      </c>
      <c r="F5285" s="890">
        <v>0.75362268518518516</v>
      </c>
    </row>
    <row r="5286" spans="1:6">
      <c r="A5286" s="888" t="s">
        <v>4348</v>
      </c>
      <c r="B5286" s="888" t="s">
        <v>4349</v>
      </c>
      <c r="C5286" s="888" t="s">
        <v>1538</v>
      </c>
    </row>
    <row r="5287" spans="1:6">
      <c r="A5287" s="888">
        <v>287</v>
      </c>
      <c r="B5287" s="888" t="s">
        <v>1186</v>
      </c>
      <c r="C5287" s="888" t="s">
        <v>2310</v>
      </c>
      <c r="D5287" s="889">
        <v>46046</v>
      </c>
      <c r="E5287" s="888" t="s">
        <v>310</v>
      </c>
      <c r="F5287" s="888" t="s">
        <v>310</v>
      </c>
    </row>
    <row r="5288" spans="1:6">
      <c r="A5288" s="888">
        <v>287</v>
      </c>
      <c r="B5288" s="888" t="s">
        <v>1186</v>
      </c>
      <c r="C5288" s="888" t="s">
        <v>2310</v>
      </c>
      <c r="D5288" s="889">
        <v>46047</v>
      </c>
      <c r="E5288" s="888" t="s">
        <v>310</v>
      </c>
      <c r="F5288" s="888" t="s">
        <v>310</v>
      </c>
    </row>
    <row r="5289" spans="1:6">
      <c r="A5289" s="888">
        <v>287</v>
      </c>
      <c r="B5289" s="888" t="s">
        <v>1186</v>
      </c>
      <c r="C5289" s="888" t="s">
        <v>2310</v>
      </c>
      <c r="D5289" s="889">
        <v>46048</v>
      </c>
      <c r="E5289" s="890">
        <v>0.34997685185185184</v>
      </c>
      <c r="F5289" s="890">
        <v>0.75497685185185182</v>
      </c>
    </row>
    <row r="5290" spans="1:6">
      <c r="A5290" s="888" t="s">
        <v>4350</v>
      </c>
      <c r="B5290" s="888" t="s">
        <v>4351</v>
      </c>
      <c r="C5290" s="888" t="s">
        <v>1356</v>
      </c>
    </row>
    <row r="5291" spans="1:6">
      <c r="A5291" s="888">
        <v>287</v>
      </c>
      <c r="B5291" s="888" t="s">
        <v>1186</v>
      </c>
      <c r="C5291" s="888" t="s">
        <v>2310</v>
      </c>
      <c r="D5291" s="889">
        <v>46049</v>
      </c>
      <c r="E5291" s="890">
        <v>0.34728009259259257</v>
      </c>
      <c r="F5291" s="890">
        <v>0.75681712962962966</v>
      </c>
    </row>
    <row r="5292" spans="1:6">
      <c r="A5292" s="888" t="s">
        <v>4352</v>
      </c>
      <c r="B5292" s="888" t="s">
        <v>4353</v>
      </c>
      <c r="C5292" s="888" t="s">
        <v>1874</v>
      </c>
    </row>
    <row r="5293" spans="1:6">
      <c r="A5293" s="888">
        <v>287</v>
      </c>
      <c r="B5293" s="888" t="s">
        <v>1186</v>
      </c>
      <c r="C5293" s="888" t="s">
        <v>2310</v>
      </c>
      <c r="D5293" s="889">
        <v>46050</v>
      </c>
      <c r="E5293" s="890">
        <v>0.35048611111111111</v>
      </c>
      <c r="F5293" s="890">
        <v>0.75385416666666671</v>
      </c>
    </row>
    <row r="5294" spans="1:6">
      <c r="A5294" s="888" t="s">
        <v>4354</v>
      </c>
      <c r="B5294" s="888" t="s">
        <v>4355</v>
      </c>
      <c r="C5294" s="888" t="s">
        <v>1363</v>
      </c>
    </row>
    <row r="5295" spans="1:6">
      <c r="A5295" s="888">
        <v>287</v>
      </c>
      <c r="B5295" s="888" t="s">
        <v>1186</v>
      </c>
      <c r="C5295" s="888" t="s">
        <v>2310</v>
      </c>
      <c r="D5295" s="889">
        <v>46051</v>
      </c>
      <c r="E5295" s="890">
        <v>0.34912037037037036</v>
      </c>
      <c r="F5295" s="890">
        <v>0.75605324074074076</v>
      </c>
    </row>
    <row r="5296" spans="1:6">
      <c r="A5296" s="888" t="s">
        <v>4356</v>
      </c>
      <c r="B5296" s="888" t="s">
        <v>4357</v>
      </c>
      <c r="C5296" s="888" t="s">
        <v>1868</v>
      </c>
    </row>
    <row r="5297" spans="1:6">
      <c r="A5297" s="888">
        <v>287</v>
      </c>
      <c r="B5297" s="888" t="s">
        <v>1186</v>
      </c>
      <c r="C5297" s="888" t="s">
        <v>2310</v>
      </c>
      <c r="D5297" s="889">
        <v>46052</v>
      </c>
      <c r="E5297" s="890">
        <v>0.34664351851851855</v>
      </c>
      <c r="F5297" s="890">
        <v>0.75769675925925928</v>
      </c>
    </row>
    <row r="5298" spans="1:6">
      <c r="A5298" s="888" t="s">
        <v>4358</v>
      </c>
      <c r="B5298" s="888" t="s">
        <v>4359</v>
      </c>
      <c r="C5298" s="888" t="s">
        <v>1613</v>
      </c>
    </row>
    <row r="5299" spans="1:6">
      <c r="A5299" s="888">
        <v>287</v>
      </c>
      <c r="B5299" s="888" t="s">
        <v>1186</v>
      </c>
      <c r="C5299" s="888" t="s">
        <v>2310</v>
      </c>
      <c r="D5299" s="889">
        <v>46053</v>
      </c>
      <c r="E5299" s="888" t="s">
        <v>310</v>
      </c>
      <c r="F5299" s="888" t="s">
        <v>310</v>
      </c>
    </row>
    <row r="5300" spans="1:6">
      <c r="A5300" s="888">
        <v>287</v>
      </c>
      <c r="B5300" s="888" t="s">
        <v>1186</v>
      </c>
      <c r="C5300" s="888" t="s">
        <v>2310</v>
      </c>
      <c r="D5300" s="889">
        <v>46054</v>
      </c>
      <c r="E5300" s="888" t="s">
        <v>310</v>
      </c>
      <c r="F5300" s="888" t="s">
        <v>310</v>
      </c>
    </row>
    <row r="5301" spans="1:6">
      <c r="A5301" s="888">
        <v>288</v>
      </c>
      <c r="B5301" s="888" t="s">
        <v>1187</v>
      </c>
      <c r="C5301" s="888" t="s">
        <v>2310</v>
      </c>
      <c r="D5301" s="889">
        <v>46023</v>
      </c>
      <c r="E5301" s="888" t="s">
        <v>310</v>
      </c>
      <c r="F5301" s="888" t="s">
        <v>310</v>
      </c>
    </row>
    <row r="5302" spans="1:6">
      <c r="A5302" s="888">
        <v>288</v>
      </c>
      <c r="B5302" s="888" t="s">
        <v>1187</v>
      </c>
      <c r="C5302" s="888" t="s">
        <v>2310</v>
      </c>
      <c r="D5302" s="889">
        <v>46024</v>
      </c>
      <c r="E5302" s="888" t="s">
        <v>310</v>
      </c>
      <c r="F5302" s="888" t="s">
        <v>310</v>
      </c>
    </row>
    <row r="5303" spans="1:6">
      <c r="A5303" s="888">
        <v>288</v>
      </c>
      <c r="B5303" s="888" t="s">
        <v>1187</v>
      </c>
      <c r="C5303" s="888" t="s">
        <v>2310</v>
      </c>
      <c r="D5303" s="889">
        <v>46025</v>
      </c>
      <c r="E5303" s="888" t="s">
        <v>310</v>
      </c>
      <c r="F5303" s="888" t="s">
        <v>310</v>
      </c>
    </row>
    <row r="5304" spans="1:6">
      <c r="A5304" s="888">
        <v>288</v>
      </c>
      <c r="B5304" s="888" t="s">
        <v>1187</v>
      </c>
      <c r="C5304" s="888" t="s">
        <v>2310</v>
      </c>
      <c r="D5304" s="889">
        <v>46026</v>
      </c>
      <c r="E5304" s="888" t="s">
        <v>310</v>
      </c>
      <c r="F5304" s="888" t="s">
        <v>310</v>
      </c>
    </row>
    <row r="5305" spans="1:6">
      <c r="A5305" s="888">
        <v>288</v>
      </c>
      <c r="B5305" s="888" t="s">
        <v>1187</v>
      </c>
      <c r="C5305" s="888" t="s">
        <v>2310</v>
      </c>
      <c r="D5305" s="889">
        <v>46027</v>
      </c>
      <c r="E5305" s="888" t="s">
        <v>310</v>
      </c>
      <c r="F5305" s="888" t="s">
        <v>310</v>
      </c>
    </row>
    <row r="5306" spans="1:6">
      <c r="A5306" s="888">
        <v>288</v>
      </c>
      <c r="B5306" s="888" t="s">
        <v>1187</v>
      </c>
      <c r="C5306" s="888" t="s">
        <v>2310</v>
      </c>
      <c r="D5306" s="889">
        <v>46028</v>
      </c>
      <c r="E5306" s="888" t="s">
        <v>310</v>
      </c>
      <c r="F5306" s="888" t="s">
        <v>310</v>
      </c>
    </row>
    <row r="5307" spans="1:6">
      <c r="A5307" s="888">
        <v>288</v>
      </c>
      <c r="B5307" s="888" t="s">
        <v>1187</v>
      </c>
      <c r="C5307" s="888" t="s">
        <v>2310</v>
      </c>
      <c r="D5307" s="889">
        <v>46029</v>
      </c>
      <c r="E5307" s="888" t="s">
        <v>310</v>
      </c>
      <c r="F5307" s="888" t="s">
        <v>310</v>
      </c>
    </row>
    <row r="5308" spans="1:6">
      <c r="A5308" s="888">
        <v>288</v>
      </c>
      <c r="B5308" s="888" t="s">
        <v>1187</v>
      </c>
      <c r="C5308" s="888" t="s">
        <v>2310</v>
      </c>
      <c r="D5308" s="889">
        <v>46030</v>
      </c>
      <c r="E5308" s="888" t="s">
        <v>310</v>
      </c>
      <c r="F5308" s="888" t="s">
        <v>310</v>
      </c>
    </row>
    <row r="5309" spans="1:6">
      <c r="A5309" s="888">
        <v>288</v>
      </c>
      <c r="B5309" s="888" t="s">
        <v>1187</v>
      </c>
      <c r="C5309" s="888" t="s">
        <v>2310</v>
      </c>
      <c r="D5309" s="889">
        <v>46031</v>
      </c>
      <c r="E5309" s="888" t="s">
        <v>310</v>
      </c>
      <c r="F5309" s="888" t="s">
        <v>310</v>
      </c>
    </row>
    <row r="5310" spans="1:6">
      <c r="A5310" s="888">
        <v>288</v>
      </c>
      <c r="B5310" s="888" t="s">
        <v>1187</v>
      </c>
      <c r="C5310" s="888" t="s">
        <v>2310</v>
      </c>
      <c r="D5310" s="889">
        <v>46032</v>
      </c>
      <c r="E5310" s="888" t="s">
        <v>310</v>
      </c>
      <c r="F5310" s="888" t="s">
        <v>310</v>
      </c>
    </row>
    <row r="5311" spans="1:6">
      <c r="A5311" s="888">
        <v>288</v>
      </c>
      <c r="B5311" s="888" t="s">
        <v>1187</v>
      </c>
      <c r="C5311" s="888" t="s">
        <v>2310</v>
      </c>
      <c r="D5311" s="889">
        <v>46033</v>
      </c>
      <c r="E5311" s="888" t="s">
        <v>310</v>
      </c>
      <c r="F5311" s="888" t="s">
        <v>310</v>
      </c>
    </row>
    <row r="5312" spans="1:6">
      <c r="A5312" s="888">
        <v>288</v>
      </c>
      <c r="B5312" s="888" t="s">
        <v>1187</v>
      </c>
      <c r="C5312" s="888" t="s">
        <v>2310</v>
      </c>
      <c r="D5312" s="889">
        <v>46034</v>
      </c>
      <c r="E5312" s="888" t="s">
        <v>310</v>
      </c>
      <c r="F5312" s="888" t="s">
        <v>310</v>
      </c>
    </row>
    <row r="5313" spans="1:6">
      <c r="A5313" s="888">
        <v>288</v>
      </c>
      <c r="B5313" s="888" t="s">
        <v>1187</v>
      </c>
      <c r="C5313" s="888" t="s">
        <v>2310</v>
      </c>
      <c r="D5313" s="889">
        <v>46035</v>
      </c>
      <c r="E5313" s="888" t="s">
        <v>310</v>
      </c>
      <c r="F5313" s="888" t="s">
        <v>310</v>
      </c>
    </row>
    <row r="5314" spans="1:6">
      <c r="A5314" s="888">
        <v>288</v>
      </c>
      <c r="B5314" s="888" t="s">
        <v>1187</v>
      </c>
      <c r="C5314" s="888" t="s">
        <v>2310</v>
      </c>
      <c r="D5314" s="889">
        <v>46036</v>
      </c>
      <c r="E5314" s="888" t="s">
        <v>310</v>
      </c>
      <c r="F5314" s="888" t="s">
        <v>310</v>
      </c>
    </row>
    <row r="5315" spans="1:6">
      <c r="A5315" s="888">
        <v>288</v>
      </c>
      <c r="B5315" s="888" t="s">
        <v>1187</v>
      </c>
      <c r="C5315" s="888" t="s">
        <v>2310</v>
      </c>
      <c r="D5315" s="889">
        <v>46037</v>
      </c>
      <c r="E5315" s="890">
        <v>0.50525462962962964</v>
      </c>
      <c r="F5315" s="890">
        <v>0.50582175925925921</v>
      </c>
    </row>
    <row r="5316" spans="1:6">
      <c r="A5316" s="888" t="s">
        <v>4360</v>
      </c>
      <c r="B5316" s="888" t="s">
        <v>4361</v>
      </c>
      <c r="C5316" s="888" t="s">
        <v>1570</v>
      </c>
    </row>
    <row r="5317" spans="1:6">
      <c r="A5317" s="888">
        <v>288</v>
      </c>
      <c r="B5317" s="888" t="s">
        <v>1187</v>
      </c>
      <c r="C5317" s="888" t="s">
        <v>2310</v>
      </c>
      <c r="D5317" s="889">
        <v>46038</v>
      </c>
      <c r="E5317" s="888" t="s">
        <v>310</v>
      </c>
      <c r="F5317" s="888" t="s">
        <v>310</v>
      </c>
    </row>
    <row r="5318" spans="1:6">
      <c r="A5318" s="888">
        <v>288</v>
      </c>
      <c r="B5318" s="888" t="s">
        <v>1187</v>
      </c>
      <c r="C5318" s="888" t="s">
        <v>2310</v>
      </c>
      <c r="D5318" s="889">
        <v>46039</v>
      </c>
      <c r="E5318" s="888" t="s">
        <v>310</v>
      </c>
      <c r="F5318" s="888" t="s">
        <v>310</v>
      </c>
    </row>
    <row r="5319" spans="1:6">
      <c r="A5319" s="888">
        <v>288</v>
      </c>
      <c r="B5319" s="888" t="s">
        <v>1187</v>
      </c>
      <c r="C5319" s="888" t="s">
        <v>2310</v>
      </c>
      <c r="D5319" s="889">
        <v>46040</v>
      </c>
      <c r="E5319" s="888" t="s">
        <v>310</v>
      </c>
      <c r="F5319" s="888" t="s">
        <v>310</v>
      </c>
    </row>
    <row r="5320" spans="1:6">
      <c r="A5320" s="888">
        <v>288</v>
      </c>
      <c r="B5320" s="888" t="s">
        <v>1187</v>
      </c>
      <c r="C5320" s="888" t="s">
        <v>2310</v>
      </c>
      <c r="D5320" s="889">
        <v>46041</v>
      </c>
      <c r="E5320" s="888" t="s">
        <v>310</v>
      </c>
      <c r="F5320" s="888" t="s">
        <v>310</v>
      </c>
    </row>
    <row r="5321" spans="1:6">
      <c r="A5321" s="888">
        <v>288</v>
      </c>
      <c r="B5321" s="888" t="s">
        <v>1187</v>
      </c>
      <c r="C5321" s="888" t="s">
        <v>2310</v>
      </c>
      <c r="D5321" s="889">
        <v>46042</v>
      </c>
      <c r="E5321" s="888" t="s">
        <v>310</v>
      </c>
      <c r="F5321" s="888" t="s">
        <v>310</v>
      </c>
    </row>
    <row r="5322" spans="1:6">
      <c r="A5322" s="888">
        <v>288</v>
      </c>
      <c r="B5322" s="888" t="s">
        <v>1187</v>
      </c>
      <c r="C5322" s="888" t="s">
        <v>2310</v>
      </c>
      <c r="D5322" s="889">
        <v>46043</v>
      </c>
      <c r="E5322" s="888" t="s">
        <v>310</v>
      </c>
      <c r="F5322" s="888" t="s">
        <v>310</v>
      </c>
    </row>
    <row r="5323" spans="1:6">
      <c r="A5323" s="888">
        <v>288</v>
      </c>
      <c r="B5323" s="888" t="s">
        <v>1187</v>
      </c>
      <c r="C5323" s="888" t="s">
        <v>2310</v>
      </c>
      <c r="D5323" s="889">
        <v>46044</v>
      </c>
      <c r="E5323" s="888" t="s">
        <v>310</v>
      </c>
      <c r="F5323" s="888" t="s">
        <v>310</v>
      </c>
    </row>
    <row r="5324" spans="1:6">
      <c r="A5324" s="888">
        <v>288</v>
      </c>
      <c r="B5324" s="888" t="s">
        <v>1187</v>
      </c>
      <c r="C5324" s="888" t="s">
        <v>2310</v>
      </c>
      <c r="D5324" s="889">
        <v>46045</v>
      </c>
      <c r="E5324" s="888" t="s">
        <v>310</v>
      </c>
      <c r="F5324" s="888" t="s">
        <v>310</v>
      </c>
    </row>
    <row r="5325" spans="1:6">
      <c r="A5325" s="888">
        <v>288</v>
      </c>
      <c r="B5325" s="888" t="s">
        <v>1187</v>
      </c>
      <c r="C5325" s="888" t="s">
        <v>2310</v>
      </c>
      <c r="D5325" s="889">
        <v>46046</v>
      </c>
      <c r="E5325" s="888" t="s">
        <v>310</v>
      </c>
      <c r="F5325" s="888" t="s">
        <v>310</v>
      </c>
    </row>
    <row r="5326" spans="1:6">
      <c r="A5326" s="888">
        <v>288</v>
      </c>
      <c r="B5326" s="888" t="s">
        <v>1187</v>
      </c>
      <c r="C5326" s="888" t="s">
        <v>2310</v>
      </c>
      <c r="D5326" s="889">
        <v>46047</v>
      </c>
      <c r="E5326" s="888" t="s">
        <v>310</v>
      </c>
      <c r="F5326" s="888" t="s">
        <v>310</v>
      </c>
    </row>
    <row r="5327" spans="1:6">
      <c r="A5327" s="888">
        <v>288</v>
      </c>
      <c r="B5327" s="888" t="s">
        <v>1187</v>
      </c>
      <c r="C5327" s="888" t="s">
        <v>2310</v>
      </c>
      <c r="D5327" s="889">
        <v>46048</v>
      </c>
      <c r="E5327" s="888" t="s">
        <v>310</v>
      </c>
      <c r="F5327" s="888" t="s">
        <v>310</v>
      </c>
    </row>
    <row r="5328" spans="1:6">
      <c r="A5328" s="888">
        <v>288</v>
      </c>
      <c r="B5328" s="888" t="s">
        <v>1187</v>
      </c>
      <c r="C5328" s="888" t="s">
        <v>2310</v>
      </c>
      <c r="D5328" s="889">
        <v>46049</v>
      </c>
      <c r="E5328" s="888" t="s">
        <v>310</v>
      </c>
      <c r="F5328" s="888" t="s">
        <v>310</v>
      </c>
    </row>
    <row r="5329" spans="1:6">
      <c r="A5329" s="888">
        <v>288</v>
      </c>
      <c r="B5329" s="888" t="s">
        <v>1187</v>
      </c>
      <c r="C5329" s="888" t="s">
        <v>2310</v>
      </c>
      <c r="D5329" s="889">
        <v>46050</v>
      </c>
      <c r="E5329" s="888" t="s">
        <v>310</v>
      </c>
      <c r="F5329" s="888" t="s">
        <v>310</v>
      </c>
    </row>
    <row r="5330" spans="1:6">
      <c r="A5330" s="888">
        <v>288</v>
      </c>
      <c r="B5330" s="888" t="s">
        <v>1187</v>
      </c>
      <c r="C5330" s="888" t="s">
        <v>2310</v>
      </c>
      <c r="D5330" s="889">
        <v>46051</v>
      </c>
      <c r="E5330" s="888" t="s">
        <v>310</v>
      </c>
      <c r="F5330" s="888" t="s">
        <v>310</v>
      </c>
    </row>
    <row r="5331" spans="1:6">
      <c r="A5331" s="888">
        <v>288</v>
      </c>
      <c r="B5331" s="888" t="s">
        <v>1187</v>
      </c>
      <c r="C5331" s="888" t="s">
        <v>2310</v>
      </c>
      <c r="D5331" s="889">
        <v>46052</v>
      </c>
      <c r="E5331" s="888" t="s">
        <v>310</v>
      </c>
      <c r="F5331" s="888" t="s">
        <v>310</v>
      </c>
    </row>
    <row r="5332" spans="1:6">
      <c r="A5332" s="888">
        <v>288</v>
      </c>
      <c r="B5332" s="888" t="s">
        <v>1187</v>
      </c>
      <c r="C5332" s="888" t="s">
        <v>2310</v>
      </c>
      <c r="D5332" s="889">
        <v>46053</v>
      </c>
      <c r="E5332" s="888" t="s">
        <v>310</v>
      </c>
      <c r="F5332" s="888" t="s">
        <v>310</v>
      </c>
    </row>
    <row r="5333" spans="1:6">
      <c r="A5333" s="888">
        <v>288</v>
      </c>
      <c r="B5333" s="888" t="s">
        <v>1187</v>
      </c>
      <c r="C5333" s="888" t="s">
        <v>2310</v>
      </c>
      <c r="D5333" s="889">
        <v>46054</v>
      </c>
      <c r="E5333" s="888" t="s">
        <v>310</v>
      </c>
      <c r="F5333" s="888" t="s">
        <v>310</v>
      </c>
    </row>
    <row r="5334" spans="1:6">
      <c r="A5334" s="888">
        <v>290</v>
      </c>
      <c r="B5334" s="888" t="s">
        <v>1188</v>
      </c>
      <c r="C5334" s="888" t="s">
        <v>2310</v>
      </c>
      <c r="D5334" s="889">
        <v>46023</v>
      </c>
      <c r="E5334" s="888" t="s">
        <v>310</v>
      </c>
      <c r="F5334" s="888" t="s">
        <v>310</v>
      </c>
    </row>
    <row r="5335" spans="1:6">
      <c r="A5335" s="888">
        <v>290</v>
      </c>
      <c r="B5335" s="888" t="s">
        <v>1188</v>
      </c>
      <c r="C5335" s="888" t="s">
        <v>2310</v>
      </c>
      <c r="D5335" s="889">
        <v>46024</v>
      </c>
      <c r="E5335" s="888" t="s">
        <v>310</v>
      </c>
      <c r="F5335" s="888" t="s">
        <v>310</v>
      </c>
    </row>
    <row r="5336" spans="1:6">
      <c r="A5336" s="888">
        <v>290</v>
      </c>
      <c r="B5336" s="888" t="s">
        <v>1188</v>
      </c>
      <c r="C5336" s="888" t="s">
        <v>2310</v>
      </c>
      <c r="D5336" s="889">
        <v>46025</v>
      </c>
      <c r="E5336" s="890">
        <v>0.46357638888888891</v>
      </c>
      <c r="F5336" s="888" t="s">
        <v>310</v>
      </c>
    </row>
    <row r="5337" spans="1:6">
      <c r="A5337" s="888" t="s">
        <v>4362</v>
      </c>
      <c r="B5337" s="888" t="s">
        <v>1258</v>
      </c>
      <c r="C5337" s="888" t="s">
        <v>1259</v>
      </c>
    </row>
    <row r="5338" spans="1:6">
      <c r="A5338" s="888">
        <v>290</v>
      </c>
      <c r="B5338" s="888" t="s">
        <v>1188</v>
      </c>
      <c r="C5338" s="888" t="s">
        <v>2310</v>
      </c>
      <c r="D5338" s="889">
        <v>46026</v>
      </c>
      <c r="E5338" s="888" t="s">
        <v>310</v>
      </c>
      <c r="F5338" s="888" t="s">
        <v>310</v>
      </c>
    </row>
    <row r="5339" spans="1:6">
      <c r="A5339" s="888">
        <v>290</v>
      </c>
      <c r="B5339" s="888" t="s">
        <v>1188</v>
      </c>
      <c r="C5339" s="888" t="s">
        <v>2310</v>
      </c>
      <c r="D5339" s="889">
        <v>46027</v>
      </c>
      <c r="E5339" s="888" t="s">
        <v>310</v>
      </c>
      <c r="F5339" s="888" t="s">
        <v>310</v>
      </c>
    </row>
    <row r="5340" spans="1:6">
      <c r="A5340" s="888">
        <v>290</v>
      </c>
      <c r="B5340" s="888" t="s">
        <v>1188</v>
      </c>
      <c r="C5340" s="888" t="s">
        <v>2310</v>
      </c>
      <c r="D5340" s="889">
        <v>46028</v>
      </c>
      <c r="E5340" s="890">
        <v>0.34710648148148149</v>
      </c>
      <c r="F5340" s="890">
        <v>0.89153935185185185</v>
      </c>
    </row>
    <row r="5341" spans="1:6">
      <c r="A5341" s="888" t="s">
        <v>4363</v>
      </c>
      <c r="B5341" s="888" t="s">
        <v>4364</v>
      </c>
      <c r="C5341" s="888" t="s">
        <v>4365</v>
      </c>
    </row>
    <row r="5342" spans="1:6">
      <c r="A5342" s="888">
        <v>290</v>
      </c>
      <c r="B5342" s="888" t="s">
        <v>1188</v>
      </c>
      <c r="C5342" s="888" t="s">
        <v>2310</v>
      </c>
      <c r="D5342" s="889">
        <v>46029</v>
      </c>
      <c r="E5342" s="890">
        <v>0.76491898148148152</v>
      </c>
      <c r="F5342" s="888" t="s">
        <v>310</v>
      </c>
    </row>
    <row r="5343" spans="1:6">
      <c r="A5343" s="888" t="s">
        <v>4366</v>
      </c>
      <c r="B5343" s="888" t="s">
        <v>1258</v>
      </c>
      <c r="C5343" s="888" t="s">
        <v>1259</v>
      </c>
    </row>
    <row r="5344" spans="1:6">
      <c r="A5344" s="888">
        <v>290</v>
      </c>
      <c r="B5344" s="888" t="s">
        <v>1188</v>
      </c>
      <c r="C5344" s="888" t="s">
        <v>2310</v>
      </c>
      <c r="D5344" s="889">
        <v>46030</v>
      </c>
      <c r="E5344" s="888" t="s">
        <v>310</v>
      </c>
      <c r="F5344" s="888" t="s">
        <v>310</v>
      </c>
    </row>
    <row r="5345" spans="1:6">
      <c r="A5345" s="888">
        <v>290</v>
      </c>
      <c r="B5345" s="888" t="s">
        <v>1188</v>
      </c>
      <c r="C5345" s="888" t="s">
        <v>2310</v>
      </c>
      <c r="D5345" s="889">
        <v>46031</v>
      </c>
      <c r="E5345" s="888" t="s">
        <v>310</v>
      </c>
      <c r="F5345" s="888" t="s">
        <v>310</v>
      </c>
    </row>
    <row r="5346" spans="1:6">
      <c r="A5346" s="888">
        <v>290</v>
      </c>
      <c r="B5346" s="888" t="s">
        <v>1188</v>
      </c>
      <c r="C5346" s="888" t="s">
        <v>2310</v>
      </c>
      <c r="D5346" s="889">
        <v>46032</v>
      </c>
      <c r="E5346" s="890">
        <v>0.75518518518518518</v>
      </c>
      <c r="F5346" s="888" t="s">
        <v>310</v>
      </c>
    </row>
    <row r="5347" spans="1:6">
      <c r="A5347" s="888" t="s">
        <v>4367</v>
      </c>
      <c r="B5347" s="888" t="s">
        <v>1258</v>
      </c>
      <c r="C5347" s="888" t="s">
        <v>1259</v>
      </c>
    </row>
    <row r="5348" spans="1:6">
      <c r="A5348" s="888">
        <v>290</v>
      </c>
      <c r="B5348" s="888" t="s">
        <v>1188</v>
      </c>
      <c r="C5348" s="888" t="s">
        <v>2310</v>
      </c>
      <c r="D5348" s="889">
        <v>46033</v>
      </c>
      <c r="E5348" s="888" t="s">
        <v>310</v>
      </c>
      <c r="F5348" s="888" t="s">
        <v>310</v>
      </c>
    </row>
    <row r="5349" spans="1:6">
      <c r="A5349" s="888">
        <v>290</v>
      </c>
      <c r="B5349" s="888" t="s">
        <v>1188</v>
      </c>
      <c r="C5349" s="888" t="s">
        <v>2310</v>
      </c>
      <c r="D5349" s="889">
        <v>46034</v>
      </c>
      <c r="E5349" s="890">
        <v>0.36723379629629632</v>
      </c>
      <c r="F5349" s="890">
        <v>0.76873842592592589</v>
      </c>
    </row>
    <row r="5350" spans="1:6">
      <c r="A5350" s="888" t="s">
        <v>4368</v>
      </c>
      <c r="B5350" s="888" t="s">
        <v>4369</v>
      </c>
      <c r="C5350" s="888" t="s">
        <v>1466</v>
      </c>
    </row>
    <row r="5351" spans="1:6">
      <c r="A5351" s="888">
        <v>290</v>
      </c>
      <c r="B5351" s="888" t="s">
        <v>1188</v>
      </c>
      <c r="C5351" s="888" t="s">
        <v>2310</v>
      </c>
      <c r="D5351" s="889">
        <v>46035</v>
      </c>
      <c r="E5351" s="890">
        <v>0.35684027777777777</v>
      </c>
      <c r="F5351" s="890">
        <v>0.75763888888888886</v>
      </c>
    </row>
    <row r="5352" spans="1:6">
      <c r="A5352" s="888" t="s">
        <v>4370</v>
      </c>
      <c r="B5352" s="888" t="s">
        <v>4371</v>
      </c>
      <c r="C5352" s="888" t="s">
        <v>1378</v>
      </c>
    </row>
    <row r="5353" spans="1:6">
      <c r="A5353" s="888">
        <v>290</v>
      </c>
      <c r="B5353" s="888" t="s">
        <v>1188</v>
      </c>
      <c r="C5353" s="888" t="s">
        <v>2310</v>
      </c>
      <c r="D5353" s="889">
        <v>46036</v>
      </c>
      <c r="E5353" s="890">
        <v>0.38049768518518517</v>
      </c>
      <c r="F5353" s="890">
        <v>0.82579861111111108</v>
      </c>
    </row>
    <row r="5354" spans="1:6">
      <c r="A5354" s="888" t="s">
        <v>4372</v>
      </c>
      <c r="B5354" s="888" t="s">
        <v>4373</v>
      </c>
      <c r="C5354" s="888" t="s">
        <v>1490</v>
      </c>
    </row>
    <row r="5355" spans="1:6">
      <c r="A5355" s="888">
        <v>290</v>
      </c>
      <c r="B5355" s="888" t="s">
        <v>1188</v>
      </c>
      <c r="C5355" s="888" t="s">
        <v>2310</v>
      </c>
      <c r="D5355" s="889">
        <v>46037</v>
      </c>
      <c r="E5355" s="890">
        <v>0.37744212962962964</v>
      </c>
      <c r="F5355" s="890">
        <v>0.7663078703703704</v>
      </c>
    </row>
    <row r="5356" spans="1:6">
      <c r="A5356" s="888" t="s">
        <v>4374</v>
      </c>
      <c r="B5356" s="888" t="s">
        <v>4375</v>
      </c>
      <c r="C5356" s="888" t="s">
        <v>2232</v>
      </c>
    </row>
    <row r="5357" spans="1:6">
      <c r="A5357" s="888">
        <v>290</v>
      </c>
      <c r="B5357" s="888" t="s">
        <v>1188</v>
      </c>
      <c r="C5357" s="888" t="s">
        <v>2310</v>
      </c>
      <c r="D5357" s="889">
        <v>46038</v>
      </c>
      <c r="E5357" s="890">
        <v>0.36047453703703702</v>
      </c>
      <c r="F5357" s="890">
        <v>0.36645833333333333</v>
      </c>
    </row>
    <row r="5358" spans="1:6">
      <c r="A5358" s="888" t="s">
        <v>4376</v>
      </c>
      <c r="B5358" s="888" t="s">
        <v>4377</v>
      </c>
      <c r="C5358" s="888" t="s">
        <v>4378</v>
      </c>
    </row>
    <row r="5359" spans="1:6">
      <c r="A5359" s="888">
        <v>290</v>
      </c>
      <c r="B5359" s="888" t="s">
        <v>1188</v>
      </c>
      <c r="C5359" s="888" t="s">
        <v>2310</v>
      </c>
      <c r="D5359" s="889">
        <v>46039</v>
      </c>
      <c r="E5359" s="888" t="s">
        <v>310</v>
      </c>
      <c r="F5359" s="888" t="s">
        <v>310</v>
      </c>
    </row>
    <row r="5360" spans="1:6">
      <c r="A5360" s="888">
        <v>290</v>
      </c>
      <c r="B5360" s="888" t="s">
        <v>1188</v>
      </c>
      <c r="C5360" s="888" t="s">
        <v>2310</v>
      </c>
      <c r="D5360" s="889">
        <v>46040</v>
      </c>
      <c r="E5360" s="888" t="s">
        <v>310</v>
      </c>
      <c r="F5360" s="888" t="s">
        <v>310</v>
      </c>
    </row>
    <row r="5361" spans="1:6">
      <c r="A5361" s="888">
        <v>290</v>
      </c>
      <c r="B5361" s="888" t="s">
        <v>1188</v>
      </c>
      <c r="C5361" s="888" t="s">
        <v>2310</v>
      </c>
      <c r="D5361" s="889">
        <v>46041</v>
      </c>
      <c r="E5361" s="890">
        <v>0.35530092592592594</v>
      </c>
      <c r="F5361" s="890">
        <v>0.7524305555555556</v>
      </c>
    </row>
    <row r="5362" spans="1:6">
      <c r="A5362" s="888" t="s">
        <v>4379</v>
      </c>
      <c r="B5362" s="888" t="s">
        <v>4380</v>
      </c>
      <c r="C5362" s="888" t="s">
        <v>1514</v>
      </c>
    </row>
    <row r="5363" spans="1:6">
      <c r="A5363" s="888">
        <v>290</v>
      </c>
      <c r="B5363" s="888" t="s">
        <v>1188</v>
      </c>
      <c r="C5363" s="888" t="s">
        <v>2310</v>
      </c>
      <c r="D5363" s="889">
        <v>46042</v>
      </c>
      <c r="E5363" s="890">
        <v>0.36144675925925923</v>
      </c>
      <c r="F5363" s="890">
        <v>0.77127314814814818</v>
      </c>
    </row>
    <row r="5364" spans="1:6">
      <c r="A5364" s="888" t="s">
        <v>4381</v>
      </c>
      <c r="B5364" s="888" t="s">
        <v>4382</v>
      </c>
      <c r="C5364" s="888" t="s">
        <v>1874</v>
      </c>
    </row>
    <row r="5365" spans="1:6">
      <c r="A5365" s="888">
        <v>290</v>
      </c>
      <c r="B5365" s="888" t="s">
        <v>1188</v>
      </c>
      <c r="C5365" s="888" t="s">
        <v>2310</v>
      </c>
      <c r="D5365" s="889">
        <v>46043</v>
      </c>
      <c r="E5365" s="890">
        <v>0.36822916666666666</v>
      </c>
      <c r="F5365" s="888" t="s">
        <v>310</v>
      </c>
    </row>
    <row r="5366" spans="1:6">
      <c r="A5366" s="888" t="s">
        <v>4383</v>
      </c>
      <c r="B5366" s="888" t="s">
        <v>1258</v>
      </c>
      <c r="C5366" s="888" t="s">
        <v>1259</v>
      </c>
    </row>
    <row r="5367" spans="1:6">
      <c r="A5367" s="888">
        <v>290</v>
      </c>
      <c r="B5367" s="888" t="s">
        <v>1188</v>
      </c>
      <c r="C5367" s="888" t="s">
        <v>2310</v>
      </c>
      <c r="D5367" s="889">
        <v>46044</v>
      </c>
      <c r="E5367" s="890">
        <v>0.61799768518518516</v>
      </c>
      <c r="F5367" s="890">
        <v>0.75719907407407405</v>
      </c>
    </row>
    <row r="5368" spans="1:6">
      <c r="A5368" s="888" t="s">
        <v>4384</v>
      </c>
      <c r="B5368" s="888" t="s">
        <v>4385</v>
      </c>
      <c r="C5368" s="888" t="s">
        <v>4386</v>
      </c>
    </row>
    <row r="5369" spans="1:6">
      <c r="A5369" s="888">
        <v>290</v>
      </c>
      <c r="B5369" s="888" t="s">
        <v>1188</v>
      </c>
      <c r="C5369" s="888" t="s">
        <v>2310</v>
      </c>
      <c r="D5369" s="889">
        <v>46045</v>
      </c>
      <c r="E5369" s="890">
        <v>0.5709953703703704</v>
      </c>
      <c r="F5369" s="888" t="s">
        <v>310</v>
      </c>
    </row>
    <row r="5370" spans="1:6">
      <c r="A5370" s="888" t="s">
        <v>4387</v>
      </c>
      <c r="B5370" s="888" t="s">
        <v>1258</v>
      </c>
      <c r="C5370" s="888" t="s">
        <v>1259</v>
      </c>
    </row>
    <row r="5371" spans="1:6">
      <c r="A5371" s="888">
        <v>290</v>
      </c>
      <c r="B5371" s="888" t="s">
        <v>1188</v>
      </c>
      <c r="C5371" s="888" t="s">
        <v>2310</v>
      </c>
      <c r="D5371" s="889">
        <v>46046</v>
      </c>
      <c r="E5371" s="888" t="s">
        <v>310</v>
      </c>
      <c r="F5371" s="888" t="s">
        <v>310</v>
      </c>
    </row>
    <row r="5372" spans="1:6">
      <c r="A5372" s="888">
        <v>290</v>
      </c>
      <c r="B5372" s="888" t="s">
        <v>1188</v>
      </c>
      <c r="C5372" s="888" t="s">
        <v>2310</v>
      </c>
      <c r="D5372" s="889">
        <v>46047</v>
      </c>
      <c r="E5372" s="888" t="s">
        <v>310</v>
      </c>
      <c r="F5372" s="888" t="s">
        <v>310</v>
      </c>
    </row>
    <row r="5373" spans="1:6">
      <c r="A5373" s="888">
        <v>290</v>
      </c>
      <c r="B5373" s="888" t="s">
        <v>1188</v>
      </c>
      <c r="C5373" s="888" t="s">
        <v>2310</v>
      </c>
      <c r="D5373" s="889">
        <v>46048</v>
      </c>
      <c r="E5373" s="888" t="s">
        <v>310</v>
      </c>
      <c r="F5373" s="888" t="s">
        <v>310</v>
      </c>
    </row>
    <row r="5374" spans="1:6">
      <c r="A5374" s="888">
        <v>290</v>
      </c>
      <c r="B5374" s="888" t="s">
        <v>1188</v>
      </c>
      <c r="C5374" s="888" t="s">
        <v>2310</v>
      </c>
      <c r="D5374" s="889">
        <v>46049</v>
      </c>
      <c r="E5374" s="890">
        <v>0.6419907407407407</v>
      </c>
      <c r="F5374" s="890">
        <v>0.75690972222222219</v>
      </c>
    </row>
    <row r="5375" spans="1:6">
      <c r="A5375" s="888" t="s">
        <v>4388</v>
      </c>
      <c r="B5375" s="888" t="s">
        <v>4389</v>
      </c>
      <c r="C5375" s="888" t="s">
        <v>4390</v>
      </c>
    </row>
    <row r="5376" spans="1:6">
      <c r="A5376" s="888">
        <v>290</v>
      </c>
      <c r="B5376" s="888" t="s">
        <v>1188</v>
      </c>
      <c r="C5376" s="888" t="s">
        <v>2310</v>
      </c>
      <c r="D5376" s="889">
        <v>46050</v>
      </c>
      <c r="E5376" s="890">
        <v>0.36616898148148147</v>
      </c>
      <c r="F5376" s="890">
        <v>0.75388888888888894</v>
      </c>
    </row>
    <row r="5377" spans="1:6">
      <c r="A5377" s="888" t="s">
        <v>4391</v>
      </c>
      <c r="B5377" s="888" t="s">
        <v>4392</v>
      </c>
      <c r="C5377" s="888" t="s">
        <v>1410</v>
      </c>
    </row>
    <row r="5378" spans="1:6">
      <c r="A5378" s="888">
        <v>290</v>
      </c>
      <c r="B5378" s="888" t="s">
        <v>1188</v>
      </c>
      <c r="C5378" s="888" t="s">
        <v>2310</v>
      </c>
      <c r="D5378" s="889">
        <v>46051</v>
      </c>
      <c r="E5378" s="888" t="s">
        <v>310</v>
      </c>
      <c r="F5378" s="888" t="s">
        <v>310</v>
      </c>
    </row>
    <row r="5379" spans="1:6">
      <c r="A5379" s="888">
        <v>290</v>
      </c>
      <c r="B5379" s="888" t="s">
        <v>1188</v>
      </c>
      <c r="C5379" s="888" t="s">
        <v>2310</v>
      </c>
      <c r="D5379" s="889">
        <v>46052</v>
      </c>
      <c r="E5379" s="888" t="s">
        <v>310</v>
      </c>
      <c r="F5379" s="888" t="s">
        <v>310</v>
      </c>
    </row>
    <row r="5380" spans="1:6">
      <c r="A5380" s="888">
        <v>290</v>
      </c>
      <c r="B5380" s="888" t="s">
        <v>1188</v>
      </c>
      <c r="C5380" s="888" t="s">
        <v>2310</v>
      </c>
      <c r="D5380" s="889">
        <v>46053</v>
      </c>
      <c r="E5380" s="888" t="s">
        <v>310</v>
      </c>
      <c r="F5380" s="888" t="s">
        <v>310</v>
      </c>
    </row>
    <row r="5381" spans="1:6">
      <c r="A5381" s="888">
        <v>290</v>
      </c>
      <c r="B5381" s="888" t="s">
        <v>1188</v>
      </c>
      <c r="C5381" s="888" t="s">
        <v>2310</v>
      </c>
      <c r="D5381" s="889">
        <v>46054</v>
      </c>
      <c r="E5381" s="888" t="s">
        <v>310</v>
      </c>
      <c r="F5381" s="888" t="s">
        <v>310</v>
      </c>
    </row>
    <row r="5382" spans="1:6">
      <c r="A5382" s="888">
        <v>291</v>
      </c>
      <c r="B5382" s="888" t="s">
        <v>1189</v>
      </c>
      <c r="C5382" s="888" t="s">
        <v>1767</v>
      </c>
      <c r="D5382" s="889">
        <v>46023</v>
      </c>
      <c r="E5382" s="888" t="s">
        <v>310</v>
      </c>
      <c r="F5382" s="888" t="s">
        <v>310</v>
      </c>
    </row>
    <row r="5383" spans="1:6">
      <c r="A5383" s="888">
        <v>291</v>
      </c>
      <c r="B5383" s="888" t="s">
        <v>1189</v>
      </c>
      <c r="C5383" s="888" t="s">
        <v>1767</v>
      </c>
      <c r="D5383" s="889">
        <v>46024</v>
      </c>
      <c r="E5383" s="888" t="s">
        <v>310</v>
      </c>
      <c r="F5383" s="888" t="s">
        <v>310</v>
      </c>
    </row>
    <row r="5384" spans="1:6">
      <c r="A5384" s="888">
        <v>291</v>
      </c>
      <c r="B5384" s="888" t="s">
        <v>1189</v>
      </c>
      <c r="C5384" s="888" t="s">
        <v>1767</v>
      </c>
      <c r="D5384" s="889">
        <v>46025</v>
      </c>
      <c r="E5384" s="888" t="s">
        <v>310</v>
      </c>
      <c r="F5384" s="888" t="s">
        <v>310</v>
      </c>
    </row>
    <row r="5385" spans="1:6">
      <c r="A5385" s="888">
        <v>291</v>
      </c>
      <c r="B5385" s="888" t="s">
        <v>1189</v>
      </c>
      <c r="C5385" s="888" t="s">
        <v>1767</v>
      </c>
      <c r="D5385" s="889">
        <v>46026</v>
      </c>
      <c r="E5385" s="888" t="s">
        <v>310</v>
      </c>
      <c r="F5385" s="888" t="s">
        <v>310</v>
      </c>
    </row>
    <row r="5386" spans="1:6">
      <c r="A5386" s="888">
        <v>291</v>
      </c>
      <c r="B5386" s="888" t="s">
        <v>1189</v>
      </c>
      <c r="C5386" s="888" t="s">
        <v>1767</v>
      </c>
      <c r="D5386" s="889">
        <v>46027</v>
      </c>
      <c r="E5386" s="890">
        <v>0.37185185185185188</v>
      </c>
      <c r="F5386" s="890">
        <v>0.8102893518518518</v>
      </c>
    </row>
    <row r="5387" spans="1:6">
      <c r="A5387" s="888" t="s">
        <v>4393</v>
      </c>
      <c r="B5387" s="888" t="s">
        <v>4394</v>
      </c>
      <c r="C5387" s="888" t="s">
        <v>1787</v>
      </c>
    </row>
    <row r="5388" spans="1:6">
      <c r="A5388" s="888">
        <v>291</v>
      </c>
      <c r="B5388" s="888" t="s">
        <v>1189</v>
      </c>
      <c r="C5388" s="888" t="s">
        <v>1767</v>
      </c>
      <c r="D5388" s="889">
        <v>46028</v>
      </c>
      <c r="E5388" s="890">
        <v>0.36451388888888892</v>
      </c>
      <c r="F5388" s="890">
        <v>0.86586805555555557</v>
      </c>
    </row>
    <row r="5389" spans="1:6">
      <c r="A5389" s="888" t="s">
        <v>4395</v>
      </c>
      <c r="B5389" s="888" t="s">
        <v>4396</v>
      </c>
      <c r="C5389" s="888" t="s">
        <v>3734</v>
      </c>
    </row>
    <row r="5390" spans="1:6">
      <c r="A5390" s="888">
        <v>291</v>
      </c>
      <c r="B5390" s="888" t="s">
        <v>1189</v>
      </c>
      <c r="C5390" s="888" t="s">
        <v>1767</v>
      </c>
      <c r="D5390" s="889">
        <v>46029</v>
      </c>
      <c r="E5390" s="890">
        <v>0.36324074074074075</v>
      </c>
      <c r="F5390" s="890">
        <v>0.83505787037037038</v>
      </c>
    </row>
    <row r="5391" spans="1:6">
      <c r="A5391" s="888" t="s">
        <v>4397</v>
      </c>
      <c r="B5391" s="888" t="s">
        <v>4398</v>
      </c>
      <c r="C5391" s="888" t="s">
        <v>4399</v>
      </c>
    </row>
    <row r="5392" spans="1:6">
      <c r="A5392" s="888">
        <v>291</v>
      </c>
      <c r="B5392" s="888" t="s">
        <v>1189</v>
      </c>
      <c r="C5392" s="888" t="s">
        <v>1767</v>
      </c>
      <c r="D5392" s="889">
        <v>46030</v>
      </c>
      <c r="E5392" s="890">
        <v>0.3677199074074074</v>
      </c>
      <c r="F5392" s="890">
        <v>0.79795138888888884</v>
      </c>
    </row>
    <row r="5393" spans="1:6">
      <c r="A5393" s="888" t="s">
        <v>4400</v>
      </c>
      <c r="B5393" s="888" t="s">
        <v>4401</v>
      </c>
      <c r="C5393" s="888" t="s">
        <v>3007</v>
      </c>
    </row>
    <row r="5394" spans="1:6">
      <c r="A5394" s="888">
        <v>291</v>
      </c>
      <c r="B5394" s="888" t="s">
        <v>1189</v>
      </c>
      <c r="C5394" s="888" t="s">
        <v>1767</v>
      </c>
      <c r="D5394" s="889">
        <v>46031</v>
      </c>
      <c r="E5394" s="890">
        <v>0.35737268518518517</v>
      </c>
      <c r="F5394" s="890">
        <v>0.80385416666666665</v>
      </c>
    </row>
    <row r="5395" spans="1:6">
      <c r="A5395" s="888" t="s">
        <v>4402</v>
      </c>
      <c r="B5395" s="888" t="s">
        <v>4403</v>
      </c>
      <c r="C5395" s="888" t="s">
        <v>1300</v>
      </c>
    </row>
    <row r="5396" spans="1:6">
      <c r="A5396" s="888">
        <v>291</v>
      </c>
      <c r="B5396" s="888" t="s">
        <v>1189</v>
      </c>
      <c r="C5396" s="888" t="s">
        <v>1767</v>
      </c>
      <c r="D5396" s="889">
        <v>46032</v>
      </c>
      <c r="E5396" s="890">
        <v>0.35723379629629631</v>
      </c>
      <c r="F5396" s="890">
        <v>0.80621527777777779</v>
      </c>
    </row>
    <row r="5397" spans="1:6">
      <c r="A5397" s="888" t="s">
        <v>4404</v>
      </c>
      <c r="B5397" s="888" t="s">
        <v>3243</v>
      </c>
      <c r="C5397" s="888" t="s">
        <v>1416</v>
      </c>
    </row>
    <row r="5398" spans="1:6">
      <c r="A5398" s="888">
        <v>291</v>
      </c>
      <c r="B5398" s="888" t="s">
        <v>1189</v>
      </c>
      <c r="C5398" s="888" t="s">
        <v>1767</v>
      </c>
      <c r="D5398" s="889">
        <v>46033</v>
      </c>
      <c r="E5398" s="888" t="s">
        <v>310</v>
      </c>
      <c r="F5398" s="888" t="s">
        <v>310</v>
      </c>
    </row>
    <row r="5399" spans="1:6">
      <c r="A5399" s="888">
        <v>291</v>
      </c>
      <c r="B5399" s="888" t="s">
        <v>1189</v>
      </c>
      <c r="C5399" s="888" t="s">
        <v>1767</v>
      </c>
      <c r="D5399" s="889">
        <v>46034</v>
      </c>
      <c r="E5399" s="890">
        <v>0.37439814814814815</v>
      </c>
      <c r="F5399" s="890">
        <v>0.82437499999999997</v>
      </c>
    </row>
    <row r="5400" spans="1:6">
      <c r="A5400" s="888" t="s">
        <v>4405</v>
      </c>
      <c r="B5400" s="888" t="s">
        <v>4406</v>
      </c>
      <c r="C5400" s="888" t="s">
        <v>2558</v>
      </c>
    </row>
    <row r="5401" spans="1:6">
      <c r="A5401" s="888">
        <v>291</v>
      </c>
      <c r="B5401" s="888" t="s">
        <v>1189</v>
      </c>
      <c r="C5401" s="888" t="s">
        <v>1767</v>
      </c>
      <c r="D5401" s="889">
        <v>46035</v>
      </c>
      <c r="E5401" s="890">
        <v>0.36399305555555556</v>
      </c>
      <c r="F5401" s="890">
        <v>0.84128472222222217</v>
      </c>
    </row>
    <row r="5402" spans="1:6">
      <c r="A5402" s="888" t="s">
        <v>4407</v>
      </c>
      <c r="B5402" s="888" t="s">
        <v>4408</v>
      </c>
      <c r="C5402" s="888" t="s">
        <v>4409</v>
      </c>
    </row>
    <row r="5403" spans="1:6">
      <c r="A5403" s="888">
        <v>291</v>
      </c>
      <c r="B5403" s="888" t="s">
        <v>1189</v>
      </c>
      <c r="C5403" s="888" t="s">
        <v>1767</v>
      </c>
      <c r="D5403" s="889">
        <v>46036</v>
      </c>
      <c r="E5403" s="890">
        <v>0.36645833333333333</v>
      </c>
      <c r="F5403" s="890">
        <v>0.92415509259259254</v>
      </c>
    </row>
    <row r="5404" spans="1:6">
      <c r="A5404" s="888" t="s">
        <v>4410</v>
      </c>
      <c r="B5404" s="888" t="s">
        <v>4411</v>
      </c>
      <c r="C5404" s="888" t="s">
        <v>4412</v>
      </c>
    </row>
    <row r="5405" spans="1:6">
      <c r="A5405" s="888">
        <v>291</v>
      </c>
      <c r="B5405" s="888" t="s">
        <v>1189</v>
      </c>
      <c r="C5405" s="888" t="s">
        <v>1767</v>
      </c>
      <c r="D5405" s="889">
        <v>46037</v>
      </c>
      <c r="E5405" s="890">
        <v>0.37210648148148145</v>
      </c>
      <c r="F5405" s="890">
        <v>0.9537268518518518</v>
      </c>
    </row>
    <row r="5406" spans="1:6">
      <c r="A5406" s="888" t="s">
        <v>4413</v>
      </c>
      <c r="B5406" s="888" t="s">
        <v>4414</v>
      </c>
      <c r="C5406" s="888" t="s">
        <v>3737</v>
      </c>
    </row>
    <row r="5407" spans="1:6">
      <c r="A5407" s="888">
        <v>291</v>
      </c>
      <c r="B5407" s="888" t="s">
        <v>1189</v>
      </c>
      <c r="C5407" s="888" t="s">
        <v>1767</v>
      </c>
      <c r="D5407" s="889">
        <v>46038</v>
      </c>
      <c r="E5407" s="890">
        <v>0.35553240740740738</v>
      </c>
      <c r="F5407" s="890">
        <v>0.83285879629629633</v>
      </c>
    </row>
    <row r="5408" spans="1:6">
      <c r="A5408" s="888" t="s">
        <v>4415</v>
      </c>
      <c r="B5408" s="888" t="s">
        <v>4416</v>
      </c>
      <c r="C5408" s="888" t="s">
        <v>4409</v>
      </c>
    </row>
    <row r="5409" spans="1:6">
      <c r="A5409" s="888">
        <v>291</v>
      </c>
      <c r="B5409" s="888" t="s">
        <v>1189</v>
      </c>
      <c r="C5409" s="888" t="s">
        <v>1767</v>
      </c>
      <c r="D5409" s="889">
        <v>46039</v>
      </c>
      <c r="E5409" s="888" t="s">
        <v>310</v>
      </c>
      <c r="F5409" s="888" t="s">
        <v>310</v>
      </c>
    </row>
    <row r="5410" spans="1:6">
      <c r="A5410" s="888">
        <v>291</v>
      </c>
      <c r="B5410" s="888" t="s">
        <v>1189</v>
      </c>
      <c r="C5410" s="888" t="s">
        <v>1767</v>
      </c>
      <c r="D5410" s="889">
        <v>46040</v>
      </c>
      <c r="E5410" s="888" t="s">
        <v>310</v>
      </c>
      <c r="F5410" s="888" t="s">
        <v>310</v>
      </c>
    </row>
    <row r="5411" spans="1:6">
      <c r="A5411" s="888">
        <v>291</v>
      </c>
      <c r="B5411" s="888" t="s">
        <v>1189</v>
      </c>
      <c r="C5411" s="888" t="s">
        <v>1767</v>
      </c>
      <c r="D5411" s="889">
        <v>46041</v>
      </c>
      <c r="E5411" s="890">
        <v>0.36432870370370368</v>
      </c>
      <c r="F5411" s="890">
        <v>0.81723379629629633</v>
      </c>
    </row>
    <row r="5412" spans="1:6">
      <c r="A5412" s="888" t="s">
        <v>4417</v>
      </c>
      <c r="B5412" s="888" t="s">
        <v>4418</v>
      </c>
      <c r="C5412" s="888" t="s">
        <v>1887</v>
      </c>
    </row>
    <row r="5413" spans="1:6">
      <c r="A5413" s="888">
        <v>291</v>
      </c>
      <c r="B5413" s="888" t="s">
        <v>1189</v>
      </c>
      <c r="C5413" s="888" t="s">
        <v>1767</v>
      </c>
      <c r="D5413" s="889">
        <v>46042</v>
      </c>
      <c r="E5413" s="890">
        <v>0.37358796296296298</v>
      </c>
      <c r="F5413" s="890">
        <v>0.79840277777777779</v>
      </c>
    </row>
    <row r="5414" spans="1:6">
      <c r="A5414" s="888" t="s">
        <v>4419</v>
      </c>
      <c r="B5414" s="888" t="s">
        <v>4420</v>
      </c>
      <c r="C5414" s="888" t="s">
        <v>1399</v>
      </c>
    </row>
    <row r="5415" spans="1:6">
      <c r="A5415" s="888">
        <v>291</v>
      </c>
      <c r="B5415" s="888" t="s">
        <v>1189</v>
      </c>
      <c r="C5415" s="888" t="s">
        <v>1767</v>
      </c>
      <c r="D5415" s="889">
        <v>46043</v>
      </c>
      <c r="E5415" s="890">
        <v>0.37048611111111113</v>
      </c>
      <c r="F5415" s="890">
        <v>0.81082175925925926</v>
      </c>
    </row>
    <row r="5416" spans="1:6">
      <c r="A5416" s="888" t="s">
        <v>4421</v>
      </c>
      <c r="B5416" s="888" t="s">
        <v>4422</v>
      </c>
      <c r="C5416" s="888" t="s">
        <v>4423</v>
      </c>
    </row>
    <row r="5417" spans="1:6">
      <c r="A5417" s="888">
        <v>291</v>
      </c>
      <c r="B5417" s="888" t="s">
        <v>1189</v>
      </c>
      <c r="C5417" s="888" t="s">
        <v>1767</v>
      </c>
      <c r="D5417" s="889">
        <v>46044</v>
      </c>
      <c r="E5417" s="890">
        <v>0.36458333333333331</v>
      </c>
      <c r="F5417" s="890">
        <v>0.95373842592592595</v>
      </c>
    </row>
    <row r="5418" spans="1:6">
      <c r="A5418" s="888" t="s">
        <v>4424</v>
      </c>
      <c r="B5418" s="888" t="s">
        <v>4425</v>
      </c>
      <c r="C5418" s="888" t="s">
        <v>4426</v>
      </c>
    </row>
    <row r="5419" spans="1:6">
      <c r="A5419" s="888">
        <v>291</v>
      </c>
      <c r="B5419" s="888" t="s">
        <v>1189</v>
      </c>
      <c r="C5419" s="888" t="s">
        <v>1767</v>
      </c>
      <c r="D5419" s="889">
        <v>46045</v>
      </c>
      <c r="E5419" s="890">
        <v>0.37229166666666669</v>
      </c>
      <c r="F5419" s="890">
        <v>0.9096643518518519</v>
      </c>
    </row>
    <row r="5420" spans="1:6">
      <c r="A5420" s="888" t="s">
        <v>4427</v>
      </c>
      <c r="B5420" s="888" t="s">
        <v>2595</v>
      </c>
      <c r="C5420" s="888" t="s">
        <v>4428</v>
      </c>
    </row>
    <row r="5421" spans="1:6">
      <c r="A5421" s="888">
        <v>291</v>
      </c>
      <c r="B5421" s="888" t="s">
        <v>1189</v>
      </c>
      <c r="C5421" s="888" t="s">
        <v>1767</v>
      </c>
      <c r="D5421" s="889">
        <v>46046</v>
      </c>
      <c r="E5421" s="888" t="s">
        <v>310</v>
      </c>
      <c r="F5421" s="888" t="s">
        <v>310</v>
      </c>
    </row>
    <row r="5422" spans="1:6">
      <c r="A5422" s="888">
        <v>291</v>
      </c>
      <c r="B5422" s="888" t="s">
        <v>1189</v>
      </c>
      <c r="C5422" s="888" t="s">
        <v>1767</v>
      </c>
      <c r="D5422" s="889">
        <v>46047</v>
      </c>
      <c r="E5422" s="888" t="s">
        <v>310</v>
      </c>
      <c r="F5422" s="888" t="s">
        <v>310</v>
      </c>
    </row>
    <row r="5423" spans="1:6">
      <c r="A5423" s="888">
        <v>291</v>
      </c>
      <c r="B5423" s="888" t="s">
        <v>1189</v>
      </c>
      <c r="C5423" s="888" t="s">
        <v>1767</v>
      </c>
      <c r="D5423" s="889">
        <v>46048</v>
      </c>
      <c r="E5423" s="888" t="s">
        <v>310</v>
      </c>
      <c r="F5423" s="888" t="s">
        <v>310</v>
      </c>
    </row>
    <row r="5424" spans="1:6">
      <c r="A5424" s="888">
        <v>291</v>
      </c>
      <c r="B5424" s="888" t="s">
        <v>1189</v>
      </c>
      <c r="C5424" s="888" t="s">
        <v>1767</v>
      </c>
      <c r="D5424" s="889">
        <v>46049</v>
      </c>
      <c r="E5424" s="890">
        <v>0.36770833333333336</v>
      </c>
      <c r="F5424" s="890">
        <v>0.82945601851851847</v>
      </c>
    </row>
    <row r="5425" spans="1:6">
      <c r="A5425" s="888" t="s">
        <v>4429</v>
      </c>
      <c r="B5425" s="888" t="s">
        <v>4430</v>
      </c>
      <c r="C5425" s="888" t="s">
        <v>4042</v>
      </c>
    </row>
    <row r="5426" spans="1:6">
      <c r="A5426" s="888">
        <v>291</v>
      </c>
      <c r="B5426" s="888" t="s">
        <v>1189</v>
      </c>
      <c r="C5426" s="888" t="s">
        <v>1767</v>
      </c>
      <c r="D5426" s="889">
        <v>46050</v>
      </c>
      <c r="E5426" s="890">
        <v>0.3661921296296296</v>
      </c>
      <c r="F5426" s="890">
        <v>0.80068287037037034</v>
      </c>
    </row>
    <row r="5427" spans="1:6">
      <c r="A5427" s="888" t="s">
        <v>4431</v>
      </c>
      <c r="B5427" s="888" t="s">
        <v>4432</v>
      </c>
      <c r="C5427" s="888" t="s">
        <v>1895</v>
      </c>
    </row>
    <row r="5428" spans="1:6">
      <c r="A5428" s="888">
        <v>291</v>
      </c>
      <c r="B5428" s="888" t="s">
        <v>1189</v>
      </c>
      <c r="C5428" s="888" t="s">
        <v>1767</v>
      </c>
      <c r="D5428" s="889">
        <v>46051</v>
      </c>
      <c r="E5428" s="890">
        <v>0.36416666666666669</v>
      </c>
      <c r="F5428" s="890">
        <v>0.8150694444444444</v>
      </c>
    </row>
    <row r="5429" spans="1:6">
      <c r="A5429" s="888" t="s">
        <v>4433</v>
      </c>
      <c r="B5429" s="888" t="s">
        <v>4434</v>
      </c>
      <c r="C5429" s="888" t="s">
        <v>3286</v>
      </c>
    </row>
    <row r="5430" spans="1:6">
      <c r="A5430" s="888">
        <v>291</v>
      </c>
      <c r="B5430" s="888" t="s">
        <v>1189</v>
      </c>
      <c r="C5430" s="888" t="s">
        <v>1767</v>
      </c>
      <c r="D5430" s="889">
        <v>46052</v>
      </c>
      <c r="E5430" s="890">
        <v>0.37053240740740739</v>
      </c>
      <c r="F5430" s="890">
        <v>0.83922453703703703</v>
      </c>
    </row>
    <row r="5431" spans="1:6">
      <c r="A5431" s="888" t="s">
        <v>4435</v>
      </c>
      <c r="B5431" s="888" t="s">
        <v>4436</v>
      </c>
      <c r="C5431" s="888" t="s">
        <v>1297</v>
      </c>
    </row>
    <row r="5432" spans="1:6">
      <c r="A5432" s="888">
        <v>291</v>
      </c>
      <c r="B5432" s="888" t="s">
        <v>1189</v>
      </c>
      <c r="C5432" s="888" t="s">
        <v>1767</v>
      </c>
      <c r="D5432" s="889">
        <v>46053</v>
      </c>
      <c r="E5432" s="888" t="s">
        <v>310</v>
      </c>
      <c r="F5432" s="888" t="s">
        <v>310</v>
      </c>
    </row>
    <row r="5433" spans="1:6">
      <c r="A5433" s="888">
        <v>291</v>
      </c>
      <c r="B5433" s="888" t="s">
        <v>1189</v>
      </c>
      <c r="C5433" s="888" t="s">
        <v>1767</v>
      </c>
      <c r="D5433" s="889">
        <v>46054</v>
      </c>
      <c r="E5433" s="888" t="s">
        <v>310</v>
      </c>
      <c r="F5433" s="888" t="s">
        <v>310</v>
      </c>
    </row>
    <row r="5434" spans="1:6">
      <c r="A5434" s="888">
        <v>293</v>
      </c>
      <c r="B5434" s="888" t="s">
        <v>1190</v>
      </c>
      <c r="C5434" s="888" t="s">
        <v>1107</v>
      </c>
      <c r="D5434" s="889">
        <v>46023</v>
      </c>
      <c r="E5434" s="888" t="s">
        <v>310</v>
      </c>
      <c r="F5434" s="888" t="s">
        <v>310</v>
      </c>
    </row>
    <row r="5435" spans="1:6">
      <c r="A5435" s="888">
        <v>293</v>
      </c>
      <c r="B5435" s="888" t="s">
        <v>1190</v>
      </c>
      <c r="C5435" s="888" t="s">
        <v>1107</v>
      </c>
      <c r="D5435" s="889">
        <v>46024</v>
      </c>
      <c r="E5435" s="888" t="s">
        <v>310</v>
      </c>
      <c r="F5435" s="888" t="s">
        <v>310</v>
      </c>
    </row>
    <row r="5436" spans="1:6">
      <c r="A5436" s="888">
        <v>293</v>
      </c>
      <c r="B5436" s="888" t="s">
        <v>1190</v>
      </c>
      <c r="C5436" s="888" t="s">
        <v>1107</v>
      </c>
      <c r="D5436" s="889">
        <v>46025</v>
      </c>
      <c r="E5436" s="888" t="s">
        <v>310</v>
      </c>
      <c r="F5436" s="888" t="s">
        <v>310</v>
      </c>
    </row>
    <row r="5437" spans="1:6">
      <c r="A5437" s="888">
        <v>293</v>
      </c>
      <c r="B5437" s="888" t="s">
        <v>1190</v>
      </c>
      <c r="C5437" s="888" t="s">
        <v>1107</v>
      </c>
      <c r="D5437" s="889">
        <v>46026</v>
      </c>
      <c r="E5437" s="888" t="s">
        <v>310</v>
      </c>
      <c r="F5437" s="888" t="s">
        <v>310</v>
      </c>
    </row>
    <row r="5438" spans="1:6">
      <c r="A5438" s="888">
        <v>293</v>
      </c>
      <c r="B5438" s="888" t="s">
        <v>1190</v>
      </c>
      <c r="C5438" s="888" t="s">
        <v>1107</v>
      </c>
      <c r="D5438" s="889">
        <v>46027</v>
      </c>
      <c r="E5438" s="890">
        <v>0.34851851851851851</v>
      </c>
      <c r="F5438" s="890">
        <v>0.75561342592592595</v>
      </c>
    </row>
    <row r="5439" spans="1:6">
      <c r="A5439" s="888" t="s">
        <v>4437</v>
      </c>
      <c r="B5439" s="888" t="s">
        <v>4438</v>
      </c>
      <c r="C5439" s="888" t="s">
        <v>1868</v>
      </c>
    </row>
    <row r="5440" spans="1:6">
      <c r="A5440" s="888">
        <v>293</v>
      </c>
      <c r="B5440" s="888" t="s">
        <v>1190</v>
      </c>
      <c r="C5440" s="888" t="s">
        <v>1107</v>
      </c>
      <c r="D5440" s="889">
        <v>46028</v>
      </c>
      <c r="E5440" s="890">
        <v>0.35098379629629628</v>
      </c>
      <c r="F5440" s="890">
        <v>0.75796296296296295</v>
      </c>
    </row>
    <row r="5441" spans="1:6">
      <c r="A5441" s="888" t="s">
        <v>4439</v>
      </c>
      <c r="B5441" s="888" t="s">
        <v>4440</v>
      </c>
      <c r="C5441" s="888" t="s">
        <v>1868</v>
      </c>
    </row>
    <row r="5442" spans="1:6">
      <c r="A5442" s="888">
        <v>293</v>
      </c>
      <c r="B5442" s="888" t="s">
        <v>1190</v>
      </c>
      <c r="C5442" s="888" t="s">
        <v>1107</v>
      </c>
      <c r="D5442" s="889">
        <v>46029</v>
      </c>
      <c r="E5442" s="890">
        <v>0.35292824074074075</v>
      </c>
      <c r="F5442" s="890">
        <v>0.75901620370370371</v>
      </c>
    </row>
    <row r="5443" spans="1:6">
      <c r="A5443" s="888" t="s">
        <v>4441</v>
      </c>
      <c r="B5443" s="888" t="s">
        <v>4442</v>
      </c>
      <c r="C5443" s="888" t="s">
        <v>1375</v>
      </c>
    </row>
    <row r="5444" spans="1:6">
      <c r="A5444" s="888">
        <v>293</v>
      </c>
      <c r="B5444" s="888" t="s">
        <v>1190</v>
      </c>
      <c r="C5444" s="888" t="s">
        <v>1107</v>
      </c>
      <c r="D5444" s="889">
        <v>46030</v>
      </c>
      <c r="E5444" s="890">
        <v>0.35563657407407406</v>
      </c>
      <c r="F5444" s="890">
        <v>0.76728009259259256</v>
      </c>
    </row>
    <row r="5445" spans="1:6">
      <c r="A5445" s="888" t="s">
        <v>4443</v>
      </c>
      <c r="B5445" s="888" t="s">
        <v>4444</v>
      </c>
      <c r="C5445" s="888" t="s">
        <v>1369</v>
      </c>
    </row>
    <row r="5446" spans="1:6">
      <c r="A5446" s="888">
        <v>293</v>
      </c>
      <c r="B5446" s="888" t="s">
        <v>1190</v>
      </c>
      <c r="C5446" s="888" t="s">
        <v>1107</v>
      </c>
      <c r="D5446" s="889">
        <v>46031</v>
      </c>
      <c r="E5446" s="888" t="s">
        <v>310</v>
      </c>
      <c r="F5446" s="888" t="s">
        <v>310</v>
      </c>
    </row>
    <row r="5447" spans="1:6">
      <c r="A5447" s="888">
        <v>293</v>
      </c>
      <c r="B5447" s="888" t="s">
        <v>1190</v>
      </c>
      <c r="C5447" s="888" t="s">
        <v>1107</v>
      </c>
      <c r="D5447" s="889">
        <v>46032</v>
      </c>
      <c r="E5447" s="888" t="s">
        <v>310</v>
      </c>
      <c r="F5447" s="888" t="s">
        <v>310</v>
      </c>
    </row>
    <row r="5448" spans="1:6">
      <c r="A5448" s="888">
        <v>293</v>
      </c>
      <c r="B5448" s="888" t="s">
        <v>1190</v>
      </c>
      <c r="C5448" s="888" t="s">
        <v>1107</v>
      </c>
      <c r="D5448" s="889">
        <v>46033</v>
      </c>
      <c r="E5448" s="888" t="s">
        <v>310</v>
      </c>
      <c r="F5448" s="888" t="s">
        <v>310</v>
      </c>
    </row>
    <row r="5449" spans="1:6">
      <c r="A5449" s="888">
        <v>293</v>
      </c>
      <c r="B5449" s="888" t="s">
        <v>1190</v>
      </c>
      <c r="C5449" s="888" t="s">
        <v>1107</v>
      </c>
      <c r="D5449" s="889">
        <v>46034</v>
      </c>
      <c r="E5449" s="888" t="s">
        <v>310</v>
      </c>
      <c r="F5449" s="888" t="s">
        <v>310</v>
      </c>
    </row>
    <row r="5450" spans="1:6">
      <c r="A5450" s="888">
        <v>293</v>
      </c>
      <c r="B5450" s="888" t="s">
        <v>1190</v>
      </c>
      <c r="C5450" s="888" t="s">
        <v>1107</v>
      </c>
      <c r="D5450" s="889">
        <v>46035</v>
      </c>
      <c r="E5450" s="890">
        <v>0.35261574074074076</v>
      </c>
      <c r="F5450" s="890">
        <v>0.76688657407407412</v>
      </c>
    </row>
    <row r="5451" spans="1:6">
      <c r="A5451" s="888" t="s">
        <v>4445</v>
      </c>
      <c r="B5451" s="888" t="s">
        <v>4446</v>
      </c>
      <c r="C5451" s="888" t="s">
        <v>2009</v>
      </c>
    </row>
    <row r="5452" spans="1:6">
      <c r="A5452" s="888">
        <v>293</v>
      </c>
      <c r="B5452" s="888" t="s">
        <v>1190</v>
      </c>
      <c r="C5452" s="888" t="s">
        <v>1107</v>
      </c>
      <c r="D5452" s="889">
        <v>46036</v>
      </c>
      <c r="E5452" s="890">
        <v>0.35251157407407407</v>
      </c>
      <c r="F5452" s="890">
        <v>0.76519675925925923</v>
      </c>
    </row>
    <row r="5453" spans="1:6">
      <c r="A5453" s="888" t="s">
        <v>4447</v>
      </c>
      <c r="B5453" s="888" t="s">
        <v>4448</v>
      </c>
      <c r="C5453" s="888" t="s">
        <v>1816</v>
      </c>
    </row>
    <row r="5454" spans="1:6">
      <c r="A5454" s="888">
        <v>293</v>
      </c>
      <c r="B5454" s="888" t="s">
        <v>1190</v>
      </c>
      <c r="C5454" s="888" t="s">
        <v>1107</v>
      </c>
      <c r="D5454" s="889">
        <v>46037</v>
      </c>
      <c r="E5454" s="890">
        <v>0.56532407407407403</v>
      </c>
      <c r="F5454" s="890">
        <v>0.75954861111111116</v>
      </c>
    </row>
    <row r="5455" spans="1:6">
      <c r="A5455" s="888" t="s">
        <v>4449</v>
      </c>
      <c r="B5455" s="888" t="s">
        <v>4450</v>
      </c>
      <c r="C5455" s="888" t="s">
        <v>4451</v>
      </c>
    </row>
    <row r="5456" spans="1:6">
      <c r="A5456" s="888">
        <v>293</v>
      </c>
      <c r="B5456" s="888" t="s">
        <v>1190</v>
      </c>
      <c r="C5456" s="888" t="s">
        <v>1107</v>
      </c>
      <c r="D5456" s="889">
        <v>46038</v>
      </c>
      <c r="E5456" s="888" t="s">
        <v>310</v>
      </c>
      <c r="F5456" s="888" t="s">
        <v>310</v>
      </c>
    </row>
    <row r="5457" spans="1:6">
      <c r="A5457" s="888">
        <v>293</v>
      </c>
      <c r="B5457" s="888" t="s">
        <v>1190</v>
      </c>
      <c r="C5457" s="888" t="s">
        <v>1107</v>
      </c>
      <c r="D5457" s="889">
        <v>46039</v>
      </c>
      <c r="E5457" s="888" t="s">
        <v>310</v>
      </c>
      <c r="F5457" s="888" t="s">
        <v>310</v>
      </c>
    </row>
    <row r="5458" spans="1:6">
      <c r="A5458" s="888">
        <v>293</v>
      </c>
      <c r="B5458" s="888" t="s">
        <v>1190</v>
      </c>
      <c r="C5458" s="888" t="s">
        <v>1107</v>
      </c>
      <c r="D5458" s="889">
        <v>46040</v>
      </c>
      <c r="E5458" s="888" t="s">
        <v>310</v>
      </c>
      <c r="F5458" s="888" t="s">
        <v>310</v>
      </c>
    </row>
    <row r="5459" spans="1:6">
      <c r="A5459" s="888">
        <v>293</v>
      </c>
      <c r="B5459" s="888" t="s">
        <v>1190</v>
      </c>
      <c r="C5459" s="888" t="s">
        <v>1107</v>
      </c>
      <c r="D5459" s="889">
        <v>46041</v>
      </c>
      <c r="E5459" s="890">
        <v>0.35092592592592592</v>
      </c>
      <c r="F5459" s="890">
        <v>0.5030324074074074</v>
      </c>
    </row>
    <row r="5460" spans="1:6">
      <c r="A5460" s="888" t="s">
        <v>4452</v>
      </c>
      <c r="B5460" s="888" t="s">
        <v>4453</v>
      </c>
      <c r="C5460" s="888" t="s">
        <v>4454</v>
      </c>
    </row>
    <row r="5461" spans="1:6">
      <c r="A5461" s="888">
        <v>293</v>
      </c>
      <c r="B5461" s="888" t="s">
        <v>1190</v>
      </c>
      <c r="C5461" s="888" t="s">
        <v>1107</v>
      </c>
      <c r="D5461" s="889">
        <v>46042</v>
      </c>
      <c r="E5461" s="890">
        <v>0.37356481481481479</v>
      </c>
      <c r="F5461" s="890">
        <v>0.77328703703703705</v>
      </c>
    </row>
    <row r="5462" spans="1:6">
      <c r="A5462" s="888" t="s">
        <v>4455</v>
      </c>
      <c r="B5462" s="888" t="s">
        <v>4456</v>
      </c>
      <c r="C5462" s="888" t="s">
        <v>1526</v>
      </c>
    </row>
    <row r="5463" spans="1:6">
      <c r="A5463" s="888">
        <v>293</v>
      </c>
      <c r="B5463" s="888" t="s">
        <v>1190</v>
      </c>
      <c r="C5463" s="888" t="s">
        <v>1107</v>
      </c>
      <c r="D5463" s="889">
        <v>46043</v>
      </c>
      <c r="E5463" s="890">
        <v>0.35309027777777779</v>
      </c>
      <c r="F5463" s="890">
        <v>0.75743055555555561</v>
      </c>
    </row>
    <row r="5464" spans="1:6">
      <c r="A5464" s="888" t="s">
        <v>4457</v>
      </c>
      <c r="B5464" s="888" t="s">
        <v>4458</v>
      </c>
      <c r="C5464" s="888" t="s">
        <v>1266</v>
      </c>
    </row>
    <row r="5465" spans="1:6">
      <c r="A5465" s="888">
        <v>293</v>
      </c>
      <c r="B5465" s="888" t="s">
        <v>1190</v>
      </c>
      <c r="C5465" s="888" t="s">
        <v>1107</v>
      </c>
      <c r="D5465" s="889">
        <v>46044</v>
      </c>
      <c r="E5465" s="890">
        <v>0.35350694444444447</v>
      </c>
      <c r="F5465" s="890">
        <v>0.76041666666666663</v>
      </c>
    </row>
    <row r="5466" spans="1:6">
      <c r="A5466" s="888" t="s">
        <v>4459</v>
      </c>
      <c r="B5466" s="888" t="s">
        <v>4460</v>
      </c>
      <c r="C5466" s="888" t="s">
        <v>1868</v>
      </c>
    </row>
    <row r="5467" spans="1:6">
      <c r="A5467" s="888">
        <v>293</v>
      </c>
      <c r="B5467" s="888" t="s">
        <v>1190</v>
      </c>
      <c r="C5467" s="888" t="s">
        <v>1107</v>
      </c>
      <c r="D5467" s="889">
        <v>46045</v>
      </c>
      <c r="E5467" s="888" t="s">
        <v>310</v>
      </c>
      <c r="F5467" s="888" t="s">
        <v>310</v>
      </c>
    </row>
    <row r="5468" spans="1:6">
      <c r="A5468" s="888">
        <v>293</v>
      </c>
      <c r="B5468" s="888" t="s">
        <v>1190</v>
      </c>
      <c r="C5468" s="888" t="s">
        <v>1107</v>
      </c>
      <c r="D5468" s="889">
        <v>46046</v>
      </c>
      <c r="E5468" s="888" t="s">
        <v>310</v>
      </c>
      <c r="F5468" s="888" t="s">
        <v>310</v>
      </c>
    </row>
    <row r="5469" spans="1:6">
      <c r="A5469" s="888">
        <v>293</v>
      </c>
      <c r="B5469" s="888" t="s">
        <v>1190</v>
      </c>
      <c r="C5469" s="888" t="s">
        <v>1107</v>
      </c>
      <c r="D5469" s="889">
        <v>46047</v>
      </c>
      <c r="E5469" s="888" t="s">
        <v>310</v>
      </c>
      <c r="F5469" s="888" t="s">
        <v>310</v>
      </c>
    </row>
    <row r="5470" spans="1:6">
      <c r="A5470" s="888">
        <v>293</v>
      </c>
      <c r="B5470" s="888" t="s">
        <v>1190</v>
      </c>
      <c r="C5470" s="888" t="s">
        <v>1107</v>
      </c>
      <c r="D5470" s="889">
        <v>46048</v>
      </c>
      <c r="E5470" s="890">
        <v>0.56115740740740738</v>
      </c>
      <c r="F5470" s="890">
        <v>0.76766203703703706</v>
      </c>
    </row>
    <row r="5471" spans="1:6">
      <c r="A5471" s="888" t="s">
        <v>4461</v>
      </c>
      <c r="B5471" s="888" t="s">
        <v>4462</v>
      </c>
      <c r="C5471" s="888" t="s">
        <v>4463</v>
      </c>
    </row>
    <row r="5472" spans="1:6">
      <c r="A5472" s="888">
        <v>293</v>
      </c>
      <c r="B5472" s="888" t="s">
        <v>1190</v>
      </c>
      <c r="C5472" s="888" t="s">
        <v>1107</v>
      </c>
      <c r="D5472" s="889">
        <v>46049</v>
      </c>
      <c r="E5472" s="890">
        <v>0.3447453703703704</v>
      </c>
      <c r="F5472" s="890">
        <v>0.77386574074074077</v>
      </c>
    </row>
    <row r="5473" spans="1:6">
      <c r="A5473" s="888" t="s">
        <v>4464</v>
      </c>
      <c r="B5473" s="888" t="s">
        <v>4465</v>
      </c>
      <c r="C5473" s="888" t="s">
        <v>1396</v>
      </c>
    </row>
    <row r="5474" spans="1:6">
      <c r="A5474" s="888">
        <v>293</v>
      </c>
      <c r="B5474" s="888" t="s">
        <v>1190</v>
      </c>
      <c r="C5474" s="888" t="s">
        <v>1107</v>
      </c>
      <c r="D5474" s="889">
        <v>46050</v>
      </c>
      <c r="E5474" s="890">
        <v>0.35087962962962965</v>
      </c>
      <c r="F5474" s="890">
        <v>0.75966435185185188</v>
      </c>
    </row>
    <row r="5475" spans="1:6">
      <c r="A5475" s="888" t="s">
        <v>4466</v>
      </c>
      <c r="B5475" s="888" t="s">
        <v>4467</v>
      </c>
      <c r="C5475" s="888" t="s">
        <v>1372</v>
      </c>
    </row>
    <row r="5476" spans="1:6">
      <c r="A5476" s="888">
        <v>293</v>
      </c>
      <c r="B5476" s="888" t="s">
        <v>1190</v>
      </c>
      <c r="C5476" s="888" t="s">
        <v>1107</v>
      </c>
      <c r="D5476" s="889">
        <v>46051</v>
      </c>
      <c r="E5476" s="890">
        <v>0.35564814814814816</v>
      </c>
      <c r="F5476" s="890">
        <v>0.75861111111111112</v>
      </c>
    </row>
    <row r="5477" spans="1:6">
      <c r="A5477" s="888" t="s">
        <v>4468</v>
      </c>
      <c r="B5477" s="888" t="s">
        <v>4469</v>
      </c>
      <c r="C5477" s="888" t="s">
        <v>1624</v>
      </c>
    </row>
    <row r="5478" spans="1:6">
      <c r="A5478" s="888">
        <v>293</v>
      </c>
      <c r="B5478" s="888" t="s">
        <v>1190</v>
      </c>
      <c r="C5478" s="888" t="s">
        <v>1107</v>
      </c>
      <c r="D5478" s="889">
        <v>46052</v>
      </c>
      <c r="E5478" s="888" t="s">
        <v>310</v>
      </c>
      <c r="F5478" s="888" t="s">
        <v>310</v>
      </c>
    </row>
    <row r="5479" spans="1:6">
      <c r="A5479" s="888">
        <v>293</v>
      </c>
      <c r="B5479" s="888" t="s">
        <v>1190</v>
      </c>
      <c r="C5479" s="888" t="s">
        <v>1107</v>
      </c>
      <c r="D5479" s="889">
        <v>46053</v>
      </c>
      <c r="E5479" s="888" t="s">
        <v>310</v>
      </c>
      <c r="F5479" s="888" t="s">
        <v>310</v>
      </c>
    </row>
    <row r="5480" spans="1:6">
      <c r="A5480" s="888">
        <v>293</v>
      </c>
      <c r="B5480" s="888" t="s">
        <v>1190</v>
      </c>
      <c r="C5480" s="888" t="s">
        <v>1107</v>
      </c>
      <c r="D5480" s="889">
        <v>46054</v>
      </c>
      <c r="E5480" s="888" t="s">
        <v>310</v>
      </c>
      <c r="F5480" s="888" t="s">
        <v>310</v>
      </c>
    </row>
    <row r="5481" spans="1:6">
      <c r="A5481" s="888">
        <v>294</v>
      </c>
      <c r="B5481" s="888" t="s">
        <v>1191</v>
      </c>
      <c r="C5481" s="888" t="s">
        <v>2488</v>
      </c>
      <c r="D5481" s="889">
        <v>46023</v>
      </c>
      <c r="E5481" s="888" t="s">
        <v>310</v>
      </c>
      <c r="F5481" s="888" t="s">
        <v>310</v>
      </c>
    </row>
    <row r="5482" spans="1:6">
      <c r="A5482" s="888">
        <v>294</v>
      </c>
      <c r="B5482" s="888" t="s">
        <v>1191</v>
      </c>
      <c r="C5482" s="888" t="s">
        <v>2488</v>
      </c>
      <c r="D5482" s="889">
        <v>46024</v>
      </c>
      <c r="E5482" s="888" t="s">
        <v>310</v>
      </c>
      <c r="F5482" s="888" t="s">
        <v>310</v>
      </c>
    </row>
    <row r="5483" spans="1:6">
      <c r="A5483" s="888">
        <v>294</v>
      </c>
      <c r="B5483" s="888" t="s">
        <v>1191</v>
      </c>
      <c r="C5483" s="888" t="s">
        <v>2488</v>
      </c>
      <c r="D5483" s="889">
        <v>46025</v>
      </c>
      <c r="E5483" s="888" t="s">
        <v>310</v>
      </c>
      <c r="F5483" s="888" t="s">
        <v>310</v>
      </c>
    </row>
    <row r="5484" spans="1:6">
      <c r="A5484" s="888">
        <v>294</v>
      </c>
      <c r="B5484" s="888" t="s">
        <v>1191</v>
      </c>
      <c r="C5484" s="888" t="s">
        <v>2488</v>
      </c>
      <c r="D5484" s="889">
        <v>46026</v>
      </c>
      <c r="E5484" s="888" t="s">
        <v>310</v>
      </c>
      <c r="F5484" s="888" t="s">
        <v>310</v>
      </c>
    </row>
    <row r="5485" spans="1:6">
      <c r="A5485" s="888">
        <v>294</v>
      </c>
      <c r="B5485" s="888" t="s">
        <v>1191</v>
      </c>
      <c r="C5485" s="888" t="s">
        <v>2488</v>
      </c>
      <c r="D5485" s="889">
        <v>46027</v>
      </c>
      <c r="E5485" s="890">
        <v>0.37215277777777778</v>
      </c>
      <c r="F5485" s="890">
        <v>0.7514467592592593</v>
      </c>
    </row>
    <row r="5486" spans="1:6">
      <c r="A5486" s="888" t="s">
        <v>4470</v>
      </c>
      <c r="B5486" s="888" t="s">
        <v>4471</v>
      </c>
      <c r="C5486" s="888" t="s">
        <v>1323</v>
      </c>
    </row>
    <row r="5487" spans="1:6">
      <c r="A5487" s="888">
        <v>294</v>
      </c>
      <c r="B5487" s="888" t="s">
        <v>1191</v>
      </c>
      <c r="C5487" s="888" t="s">
        <v>2488</v>
      </c>
      <c r="D5487" s="889">
        <v>46028</v>
      </c>
      <c r="E5487" s="890">
        <v>0.38593749999999999</v>
      </c>
      <c r="F5487" s="890">
        <v>0.75896990740740744</v>
      </c>
    </row>
    <row r="5488" spans="1:6">
      <c r="A5488" s="888" t="s">
        <v>4472</v>
      </c>
      <c r="B5488" s="888" t="s">
        <v>4473</v>
      </c>
      <c r="C5488" s="888" t="s">
        <v>3568</v>
      </c>
    </row>
    <row r="5489" spans="1:6">
      <c r="A5489" s="888">
        <v>294</v>
      </c>
      <c r="B5489" s="888" t="s">
        <v>1191</v>
      </c>
      <c r="C5489" s="888" t="s">
        <v>2488</v>
      </c>
      <c r="D5489" s="889">
        <v>46029</v>
      </c>
      <c r="E5489" s="890">
        <v>0.39057870370370368</v>
      </c>
      <c r="F5489" s="890">
        <v>0.75784722222222223</v>
      </c>
    </row>
    <row r="5490" spans="1:6">
      <c r="A5490" s="888" t="s">
        <v>4474</v>
      </c>
      <c r="B5490" s="888" t="s">
        <v>4475</v>
      </c>
      <c r="C5490" s="888" t="s">
        <v>2014</v>
      </c>
    </row>
    <row r="5491" spans="1:6">
      <c r="A5491" s="888">
        <v>294</v>
      </c>
      <c r="B5491" s="888" t="s">
        <v>1191</v>
      </c>
      <c r="C5491" s="888" t="s">
        <v>2488</v>
      </c>
      <c r="D5491" s="889">
        <v>46030</v>
      </c>
      <c r="E5491" s="888" t="s">
        <v>310</v>
      </c>
      <c r="F5491" s="888" t="s">
        <v>310</v>
      </c>
    </row>
    <row r="5492" spans="1:6">
      <c r="A5492" s="888">
        <v>294</v>
      </c>
      <c r="B5492" s="888" t="s">
        <v>1191</v>
      </c>
      <c r="C5492" s="888" t="s">
        <v>2488</v>
      </c>
      <c r="D5492" s="889">
        <v>46031</v>
      </c>
      <c r="E5492" s="890">
        <v>0.37582175925925926</v>
      </c>
      <c r="F5492" s="890">
        <v>0.75238425925925922</v>
      </c>
    </row>
    <row r="5493" spans="1:6">
      <c r="A5493" s="888" t="s">
        <v>4476</v>
      </c>
      <c r="B5493" s="888" t="s">
        <v>4477</v>
      </c>
      <c r="C5493" s="888" t="s">
        <v>1308</v>
      </c>
    </row>
    <row r="5494" spans="1:6">
      <c r="A5494" s="888">
        <v>294</v>
      </c>
      <c r="B5494" s="888" t="s">
        <v>1191</v>
      </c>
      <c r="C5494" s="888" t="s">
        <v>2488</v>
      </c>
      <c r="D5494" s="889">
        <v>46032</v>
      </c>
      <c r="E5494" s="888" t="s">
        <v>310</v>
      </c>
      <c r="F5494" s="888" t="s">
        <v>310</v>
      </c>
    </row>
    <row r="5495" spans="1:6">
      <c r="A5495" s="888">
        <v>294</v>
      </c>
      <c r="B5495" s="888" t="s">
        <v>1191</v>
      </c>
      <c r="C5495" s="888" t="s">
        <v>2488</v>
      </c>
      <c r="D5495" s="889">
        <v>46033</v>
      </c>
      <c r="E5495" s="888" t="s">
        <v>310</v>
      </c>
      <c r="F5495" s="888" t="s">
        <v>310</v>
      </c>
    </row>
    <row r="5496" spans="1:6">
      <c r="A5496" s="888">
        <v>294</v>
      </c>
      <c r="B5496" s="888" t="s">
        <v>1191</v>
      </c>
      <c r="C5496" s="888" t="s">
        <v>2488</v>
      </c>
      <c r="D5496" s="889">
        <v>46034</v>
      </c>
      <c r="E5496" s="890">
        <v>0.37312499999999998</v>
      </c>
      <c r="F5496" s="890">
        <v>0.81637731481481479</v>
      </c>
    </row>
    <row r="5497" spans="1:6">
      <c r="A5497" s="888" t="s">
        <v>4478</v>
      </c>
      <c r="B5497" s="888" t="s">
        <v>4479</v>
      </c>
      <c r="C5497" s="888" t="s">
        <v>2796</v>
      </c>
    </row>
    <row r="5498" spans="1:6">
      <c r="A5498" s="888">
        <v>294</v>
      </c>
      <c r="B5498" s="888" t="s">
        <v>1191</v>
      </c>
      <c r="C5498" s="888" t="s">
        <v>2488</v>
      </c>
      <c r="D5498" s="889">
        <v>46035</v>
      </c>
      <c r="E5498" s="888" t="s">
        <v>310</v>
      </c>
      <c r="F5498" s="888" t="s">
        <v>310</v>
      </c>
    </row>
    <row r="5499" spans="1:6">
      <c r="A5499" s="888">
        <v>294</v>
      </c>
      <c r="B5499" s="888" t="s">
        <v>1191</v>
      </c>
      <c r="C5499" s="888" t="s">
        <v>2488</v>
      </c>
      <c r="D5499" s="889">
        <v>46036</v>
      </c>
      <c r="E5499" s="890">
        <v>0.37938657407407406</v>
      </c>
      <c r="F5499" s="890">
        <v>0.75311342592592589</v>
      </c>
    </row>
    <row r="5500" spans="1:6">
      <c r="A5500" s="888" t="s">
        <v>4480</v>
      </c>
      <c r="B5500" s="888" t="s">
        <v>4481</v>
      </c>
      <c r="C5500" s="888" t="s">
        <v>1326</v>
      </c>
    </row>
    <row r="5501" spans="1:6">
      <c r="A5501" s="888">
        <v>294</v>
      </c>
      <c r="B5501" s="888" t="s">
        <v>1191</v>
      </c>
      <c r="C5501" s="888" t="s">
        <v>2488</v>
      </c>
      <c r="D5501" s="889">
        <v>46037</v>
      </c>
      <c r="E5501" s="890">
        <v>0.66399305555555554</v>
      </c>
      <c r="F5501" s="888" t="s">
        <v>310</v>
      </c>
    </row>
    <row r="5502" spans="1:6">
      <c r="A5502" s="888" t="s">
        <v>4482</v>
      </c>
      <c r="B5502" s="888" t="s">
        <v>1258</v>
      </c>
      <c r="C5502" s="888" t="s">
        <v>1259</v>
      </c>
    </row>
    <row r="5503" spans="1:6">
      <c r="A5503" s="888">
        <v>294</v>
      </c>
      <c r="B5503" s="888" t="s">
        <v>1191</v>
      </c>
      <c r="C5503" s="888" t="s">
        <v>2488</v>
      </c>
      <c r="D5503" s="889">
        <v>46038</v>
      </c>
      <c r="E5503" s="890">
        <v>0.37312499999999998</v>
      </c>
      <c r="F5503" s="890">
        <v>0.7537962962962963</v>
      </c>
    </row>
    <row r="5504" spans="1:6">
      <c r="A5504" s="888" t="s">
        <v>4483</v>
      </c>
      <c r="B5504" s="888" t="s">
        <v>4484</v>
      </c>
      <c r="C5504" s="888" t="s">
        <v>1311</v>
      </c>
    </row>
    <row r="5505" spans="1:6">
      <c r="A5505" s="888">
        <v>294</v>
      </c>
      <c r="B5505" s="888" t="s">
        <v>1191</v>
      </c>
      <c r="C5505" s="888" t="s">
        <v>2488</v>
      </c>
      <c r="D5505" s="889">
        <v>46039</v>
      </c>
      <c r="E5505" s="888" t="s">
        <v>310</v>
      </c>
      <c r="F5505" s="888" t="s">
        <v>310</v>
      </c>
    </row>
    <row r="5506" spans="1:6">
      <c r="A5506" s="888">
        <v>294</v>
      </c>
      <c r="B5506" s="888" t="s">
        <v>1191</v>
      </c>
      <c r="C5506" s="888" t="s">
        <v>2488</v>
      </c>
      <c r="D5506" s="889">
        <v>46040</v>
      </c>
      <c r="E5506" s="890">
        <v>0.3790277777777778</v>
      </c>
      <c r="F5506" s="890">
        <v>0.37960648148148146</v>
      </c>
    </row>
    <row r="5507" spans="1:6">
      <c r="A5507" s="888" t="s">
        <v>4485</v>
      </c>
      <c r="B5507" s="888" t="s">
        <v>4486</v>
      </c>
      <c r="C5507" s="888" t="s">
        <v>1570</v>
      </c>
    </row>
    <row r="5508" spans="1:6">
      <c r="A5508" s="888">
        <v>294</v>
      </c>
      <c r="B5508" s="888" t="s">
        <v>1191</v>
      </c>
      <c r="C5508" s="888" t="s">
        <v>2488</v>
      </c>
      <c r="D5508" s="889">
        <v>46041</v>
      </c>
      <c r="E5508" s="888" t="s">
        <v>310</v>
      </c>
      <c r="F5508" s="888" t="s">
        <v>310</v>
      </c>
    </row>
    <row r="5509" spans="1:6">
      <c r="A5509" s="888">
        <v>294</v>
      </c>
      <c r="B5509" s="888" t="s">
        <v>1191</v>
      </c>
      <c r="C5509" s="888" t="s">
        <v>2488</v>
      </c>
      <c r="D5509" s="889">
        <v>46042</v>
      </c>
      <c r="E5509" s="890">
        <v>0.3778125</v>
      </c>
      <c r="F5509" s="890">
        <v>0.76405092592592594</v>
      </c>
    </row>
    <row r="5510" spans="1:6">
      <c r="A5510" s="888" t="s">
        <v>4487</v>
      </c>
      <c r="B5510" s="888" t="s">
        <v>4488</v>
      </c>
      <c r="C5510" s="888" t="s">
        <v>1598</v>
      </c>
    </row>
    <row r="5511" spans="1:6">
      <c r="A5511" s="888">
        <v>294</v>
      </c>
      <c r="B5511" s="888" t="s">
        <v>1191</v>
      </c>
      <c r="C5511" s="888" t="s">
        <v>2488</v>
      </c>
      <c r="D5511" s="889">
        <v>46043</v>
      </c>
      <c r="E5511" s="890">
        <v>0.38473379629629628</v>
      </c>
      <c r="F5511" s="890">
        <v>0.75348379629629625</v>
      </c>
    </row>
    <row r="5512" spans="1:6">
      <c r="A5512" s="888" t="s">
        <v>4489</v>
      </c>
      <c r="B5512" s="888" t="s">
        <v>4490</v>
      </c>
      <c r="C5512" s="888" t="s">
        <v>3459</v>
      </c>
    </row>
    <row r="5513" spans="1:6">
      <c r="A5513" s="888">
        <v>294</v>
      </c>
      <c r="B5513" s="888" t="s">
        <v>1191</v>
      </c>
      <c r="C5513" s="888" t="s">
        <v>2488</v>
      </c>
      <c r="D5513" s="889">
        <v>46044</v>
      </c>
      <c r="E5513" s="890">
        <v>0.56936342592592593</v>
      </c>
      <c r="F5513" s="890">
        <v>0.7540972222222222</v>
      </c>
    </row>
    <row r="5514" spans="1:6">
      <c r="A5514" s="888" t="s">
        <v>4491</v>
      </c>
      <c r="B5514" s="888" t="s">
        <v>4492</v>
      </c>
      <c r="C5514" s="888" t="s">
        <v>2472</v>
      </c>
    </row>
    <row r="5515" spans="1:6">
      <c r="A5515" s="888">
        <v>294</v>
      </c>
      <c r="B5515" s="888" t="s">
        <v>1191</v>
      </c>
      <c r="C5515" s="888" t="s">
        <v>2488</v>
      </c>
      <c r="D5515" s="889">
        <v>46045</v>
      </c>
      <c r="E5515" s="890">
        <v>0.37236111111111109</v>
      </c>
      <c r="F5515" s="890">
        <v>0.75280092592592596</v>
      </c>
    </row>
    <row r="5516" spans="1:6">
      <c r="A5516" s="888" t="s">
        <v>4493</v>
      </c>
      <c r="B5516" s="888" t="s">
        <v>4494</v>
      </c>
      <c r="C5516" s="888" t="s">
        <v>1311</v>
      </c>
    </row>
    <row r="5517" spans="1:6">
      <c r="A5517" s="888">
        <v>294</v>
      </c>
      <c r="B5517" s="888" t="s">
        <v>1191</v>
      </c>
      <c r="C5517" s="888" t="s">
        <v>2488</v>
      </c>
      <c r="D5517" s="889">
        <v>46046</v>
      </c>
      <c r="E5517" s="888" t="s">
        <v>310</v>
      </c>
      <c r="F5517" s="888" t="s">
        <v>310</v>
      </c>
    </row>
    <row r="5518" spans="1:6">
      <c r="A5518" s="888">
        <v>294</v>
      </c>
      <c r="B5518" s="888" t="s">
        <v>1191</v>
      </c>
      <c r="C5518" s="888" t="s">
        <v>2488</v>
      </c>
      <c r="D5518" s="889">
        <v>46047</v>
      </c>
      <c r="E5518" s="888" t="s">
        <v>310</v>
      </c>
      <c r="F5518" s="888" t="s">
        <v>310</v>
      </c>
    </row>
    <row r="5519" spans="1:6">
      <c r="A5519" s="888">
        <v>294</v>
      </c>
      <c r="B5519" s="888" t="s">
        <v>1191</v>
      </c>
      <c r="C5519" s="888" t="s">
        <v>2488</v>
      </c>
      <c r="D5519" s="889">
        <v>46048</v>
      </c>
      <c r="E5519" s="890">
        <v>0.3762152777777778</v>
      </c>
      <c r="F5519" s="890">
        <v>0.75442129629629628</v>
      </c>
    </row>
    <row r="5520" spans="1:6">
      <c r="A5520" s="888" t="s">
        <v>4495</v>
      </c>
      <c r="B5520" s="888" t="s">
        <v>4496</v>
      </c>
      <c r="C5520" s="888" t="s">
        <v>1336</v>
      </c>
    </row>
    <row r="5521" spans="1:6">
      <c r="A5521" s="888">
        <v>294</v>
      </c>
      <c r="B5521" s="888" t="s">
        <v>1191</v>
      </c>
      <c r="C5521" s="888" t="s">
        <v>2488</v>
      </c>
      <c r="D5521" s="889">
        <v>46049</v>
      </c>
      <c r="E5521" s="890">
        <v>0.56743055555555555</v>
      </c>
      <c r="F5521" s="890">
        <v>0.75099537037037034</v>
      </c>
    </row>
    <row r="5522" spans="1:6">
      <c r="A5522" s="888" t="s">
        <v>4497</v>
      </c>
      <c r="B5522" s="888" t="s">
        <v>4498</v>
      </c>
      <c r="C5522" s="888" t="s">
        <v>3645</v>
      </c>
    </row>
    <row r="5523" spans="1:6">
      <c r="A5523" s="888">
        <v>294</v>
      </c>
      <c r="B5523" s="888" t="s">
        <v>1191</v>
      </c>
      <c r="C5523" s="888" t="s">
        <v>2488</v>
      </c>
      <c r="D5523" s="889">
        <v>46050</v>
      </c>
      <c r="E5523" s="890">
        <v>0.37024305555555553</v>
      </c>
      <c r="F5523" s="890">
        <v>0.75041666666666662</v>
      </c>
    </row>
    <row r="5524" spans="1:6">
      <c r="A5524" s="888" t="s">
        <v>4499</v>
      </c>
      <c r="B5524" s="888" t="s">
        <v>4500</v>
      </c>
      <c r="C5524" s="888" t="s">
        <v>1585</v>
      </c>
    </row>
    <row r="5525" spans="1:6">
      <c r="A5525" s="888">
        <v>294</v>
      </c>
      <c r="B5525" s="888" t="s">
        <v>1191</v>
      </c>
      <c r="C5525" s="888" t="s">
        <v>2488</v>
      </c>
      <c r="D5525" s="889">
        <v>46051</v>
      </c>
      <c r="E5525" s="890">
        <v>0.39187499999999997</v>
      </c>
      <c r="F5525" s="890">
        <v>0.75300925925925921</v>
      </c>
    </row>
    <row r="5526" spans="1:6">
      <c r="A5526" s="888" t="s">
        <v>4501</v>
      </c>
      <c r="B5526" s="888" t="s">
        <v>4502</v>
      </c>
      <c r="C5526" s="888" t="s">
        <v>4503</v>
      </c>
    </row>
    <row r="5527" spans="1:6">
      <c r="A5527" s="888">
        <v>294</v>
      </c>
      <c r="B5527" s="888" t="s">
        <v>1191</v>
      </c>
      <c r="C5527" s="888" t="s">
        <v>2488</v>
      </c>
      <c r="D5527" s="889">
        <v>46052</v>
      </c>
      <c r="E5527" s="890">
        <v>0.5717592592592593</v>
      </c>
      <c r="F5527" s="890">
        <v>0.75526620370370368</v>
      </c>
    </row>
    <row r="5528" spans="1:6">
      <c r="A5528" s="888" t="s">
        <v>4504</v>
      </c>
      <c r="B5528" s="888" t="s">
        <v>4505</v>
      </c>
      <c r="C5528" s="888" t="s">
        <v>3645</v>
      </c>
    </row>
    <row r="5529" spans="1:6">
      <c r="A5529" s="888">
        <v>294</v>
      </c>
      <c r="B5529" s="888" t="s">
        <v>1191</v>
      </c>
      <c r="C5529" s="888" t="s">
        <v>2488</v>
      </c>
      <c r="D5529" s="889">
        <v>46053</v>
      </c>
      <c r="E5529" s="888" t="s">
        <v>310</v>
      </c>
      <c r="F5529" s="888" t="s">
        <v>310</v>
      </c>
    </row>
    <row r="5530" spans="1:6">
      <c r="A5530" s="888">
        <v>294</v>
      </c>
      <c r="B5530" s="888" t="s">
        <v>1191</v>
      </c>
      <c r="C5530" s="888" t="s">
        <v>2488</v>
      </c>
      <c r="D5530" s="889">
        <v>46054</v>
      </c>
      <c r="E5530" s="888" t="s">
        <v>310</v>
      </c>
      <c r="F5530" s="888" t="s">
        <v>310</v>
      </c>
    </row>
    <row r="5531" spans="1:6">
      <c r="A5531" s="888">
        <v>297</v>
      </c>
      <c r="B5531" s="888" t="s">
        <v>1192</v>
      </c>
      <c r="C5531" s="888" t="s">
        <v>1387</v>
      </c>
      <c r="D5531" s="889">
        <v>46023</v>
      </c>
      <c r="E5531" s="888" t="s">
        <v>310</v>
      </c>
      <c r="F5531" s="888" t="s">
        <v>310</v>
      </c>
    </row>
    <row r="5532" spans="1:6">
      <c r="A5532" s="888">
        <v>297</v>
      </c>
      <c r="B5532" s="888" t="s">
        <v>1192</v>
      </c>
      <c r="C5532" s="888" t="s">
        <v>1387</v>
      </c>
      <c r="D5532" s="889">
        <v>46024</v>
      </c>
      <c r="E5532" s="888" t="s">
        <v>310</v>
      </c>
      <c r="F5532" s="888" t="s">
        <v>310</v>
      </c>
    </row>
    <row r="5533" spans="1:6">
      <c r="A5533" s="888">
        <v>297</v>
      </c>
      <c r="B5533" s="888" t="s">
        <v>1192</v>
      </c>
      <c r="C5533" s="888" t="s">
        <v>1387</v>
      </c>
      <c r="D5533" s="889">
        <v>46025</v>
      </c>
      <c r="E5533" s="888" t="s">
        <v>310</v>
      </c>
      <c r="F5533" s="888" t="s">
        <v>310</v>
      </c>
    </row>
    <row r="5534" spans="1:6">
      <c r="A5534" s="888">
        <v>297</v>
      </c>
      <c r="B5534" s="888" t="s">
        <v>1192</v>
      </c>
      <c r="C5534" s="888" t="s">
        <v>1387</v>
      </c>
      <c r="D5534" s="889">
        <v>46026</v>
      </c>
      <c r="E5534" s="888" t="s">
        <v>310</v>
      </c>
      <c r="F5534" s="888" t="s">
        <v>310</v>
      </c>
    </row>
    <row r="5535" spans="1:6">
      <c r="A5535" s="888">
        <v>297</v>
      </c>
      <c r="B5535" s="888" t="s">
        <v>1192</v>
      </c>
      <c r="C5535" s="888" t="s">
        <v>1387</v>
      </c>
      <c r="D5535" s="889">
        <v>46027</v>
      </c>
      <c r="E5535" s="890">
        <v>0.34989583333333335</v>
      </c>
      <c r="F5535" s="890">
        <v>0.7535532407407407</v>
      </c>
    </row>
    <row r="5536" spans="1:6">
      <c r="A5536" s="888" t="s">
        <v>4506</v>
      </c>
      <c r="B5536" s="888" t="s">
        <v>4507</v>
      </c>
      <c r="C5536" s="888" t="s">
        <v>1363</v>
      </c>
    </row>
    <row r="5537" spans="1:6">
      <c r="A5537" s="888">
        <v>297</v>
      </c>
      <c r="B5537" s="888" t="s">
        <v>1192</v>
      </c>
      <c r="C5537" s="888" t="s">
        <v>1387</v>
      </c>
      <c r="D5537" s="889">
        <v>46028</v>
      </c>
      <c r="E5537" s="890">
        <v>0.3525578703703704</v>
      </c>
      <c r="F5537" s="890">
        <v>0.75648148148148153</v>
      </c>
    </row>
    <row r="5538" spans="1:6">
      <c r="A5538" s="888" t="s">
        <v>4508</v>
      </c>
      <c r="B5538" s="888" t="s">
        <v>4509</v>
      </c>
      <c r="C5538" s="888" t="s">
        <v>1266</v>
      </c>
    </row>
    <row r="5539" spans="1:6">
      <c r="A5539" s="888">
        <v>297</v>
      </c>
      <c r="B5539" s="888" t="s">
        <v>1192</v>
      </c>
      <c r="C5539" s="888" t="s">
        <v>1387</v>
      </c>
      <c r="D5539" s="889">
        <v>46029</v>
      </c>
      <c r="E5539" s="890">
        <v>0.37510416666666668</v>
      </c>
      <c r="F5539" s="890">
        <v>0.7771527777777778</v>
      </c>
    </row>
    <row r="5540" spans="1:6">
      <c r="A5540" s="888" t="s">
        <v>4510</v>
      </c>
      <c r="B5540" s="888" t="s">
        <v>4511</v>
      </c>
      <c r="C5540" s="888" t="s">
        <v>1538</v>
      </c>
    </row>
    <row r="5541" spans="1:6">
      <c r="A5541" s="888">
        <v>297</v>
      </c>
      <c r="B5541" s="888" t="s">
        <v>1192</v>
      </c>
      <c r="C5541" s="888" t="s">
        <v>1387</v>
      </c>
      <c r="D5541" s="889">
        <v>46030</v>
      </c>
      <c r="E5541" s="890">
        <v>0.35152777777777777</v>
      </c>
      <c r="F5541" s="890">
        <v>0.7593981481481481</v>
      </c>
    </row>
    <row r="5542" spans="1:6">
      <c r="A5542" s="888" t="s">
        <v>4512</v>
      </c>
      <c r="B5542" s="888" t="s">
        <v>4513</v>
      </c>
      <c r="C5542" s="888" t="s">
        <v>1645</v>
      </c>
    </row>
    <row r="5543" spans="1:6">
      <c r="A5543" s="888">
        <v>297</v>
      </c>
      <c r="B5543" s="888" t="s">
        <v>1192</v>
      </c>
      <c r="C5543" s="888" t="s">
        <v>1387</v>
      </c>
      <c r="D5543" s="889">
        <v>46031</v>
      </c>
      <c r="E5543" s="888" t="s">
        <v>310</v>
      </c>
      <c r="F5543" s="888" t="s">
        <v>310</v>
      </c>
    </row>
    <row r="5544" spans="1:6">
      <c r="A5544" s="888">
        <v>297</v>
      </c>
      <c r="B5544" s="888" t="s">
        <v>1192</v>
      </c>
      <c r="C5544" s="888" t="s">
        <v>1387</v>
      </c>
      <c r="D5544" s="889">
        <v>46032</v>
      </c>
      <c r="E5544" s="888" t="s">
        <v>310</v>
      </c>
      <c r="F5544" s="888" t="s">
        <v>310</v>
      </c>
    </row>
    <row r="5545" spans="1:6">
      <c r="A5545" s="888">
        <v>297</v>
      </c>
      <c r="B5545" s="888" t="s">
        <v>1192</v>
      </c>
      <c r="C5545" s="888" t="s">
        <v>1387</v>
      </c>
      <c r="D5545" s="889">
        <v>46033</v>
      </c>
      <c r="E5545" s="888" t="s">
        <v>310</v>
      </c>
      <c r="F5545" s="888" t="s">
        <v>310</v>
      </c>
    </row>
    <row r="5546" spans="1:6">
      <c r="A5546" s="888">
        <v>297</v>
      </c>
      <c r="B5546" s="888" t="s">
        <v>1192</v>
      </c>
      <c r="C5546" s="888" t="s">
        <v>1387</v>
      </c>
      <c r="D5546" s="889">
        <v>46034</v>
      </c>
      <c r="E5546" s="890">
        <v>0.37144675925925924</v>
      </c>
      <c r="F5546" s="890">
        <v>0.75420138888888888</v>
      </c>
    </row>
    <row r="5547" spans="1:6">
      <c r="A5547" s="888" t="s">
        <v>4514</v>
      </c>
      <c r="B5547" s="888" t="s">
        <v>4515</v>
      </c>
      <c r="C5547" s="888" t="s">
        <v>1314</v>
      </c>
    </row>
    <row r="5548" spans="1:6">
      <c r="A5548" s="888">
        <v>297</v>
      </c>
      <c r="B5548" s="888" t="s">
        <v>1192</v>
      </c>
      <c r="C5548" s="888" t="s">
        <v>1387</v>
      </c>
      <c r="D5548" s="889">
        <v>46035</v>
      </c>
      <c r="E5548" s="890">
        <v>0.34965277777777776</v>
      </c>
      <c r="F5548" s="890">
        <v>0.76113425925925926</v>
      </c>
    </row>
    <row r="5549" spans="1:6">
      <c r="A5549" s="888" t="s">
        <v>4516</v>
      </c>
      <c r="B5549" s="888" t="s">
        <v>4517</v>
      </c>
      <c r="C5549" s="888" t="s">
        <v>1369</v>
      </c>
    </row>
    <row r="5550" spans="1:6">
      <c r="A5550" s="888">
        <v>297</v>
      </c>
      <c r="B5550" s="888" t="s">
        <v>1192</v>
      </c>
      <c r="C5550" s="888" t="s">
        <v>1387</v>
      </c>
      <c r="D5550" s="889">
        <v>46036</v>
      </c>
      <c r="E5550" s="890">
        <v>0.36975694444444446</v>
      </c>
      <c r="F5550" s="890">
        <v>0.78263888888888888</v>
      </c>
    </row>
    <row r="5551" spans="1:6">
      <c r="A5551" s="888" t="s">
        <v>4518</v>
      </c>
      <c r="B5551" s="888" t="s">
        <v>4519</v>
      </c>
      <c r="C5551" s="888" t="s">
        <v>1360</v>
      </c>
    </row>
    <row r="5552" spans="1:6">
      <c r="A5552" s="888">
        <v>297</v>
      </c>
      <c r="B5552" s="888" t="s">
        <v>1192</v>
      </c>
      <c r="C5552" s="888" t="s">
        <v>1387</v>
      </c>
      <c r="D5552" s="889">
        <v>46037</v>
      </c>
      <c r="E5552" s="890">
        <v>0.35219907407407408</v>
      </c>
      <c r="F5552" s="890">
        <v>0.50195601851851857</v>
      </c>
    </row>
    <row r="5553" spans="1:6">
      <c r="A5553" s="888" t="s">
        <v>4520</v>
      </c>
      <c r="B5553" s="888" t="s">
        <v>4521</v>
      </c>
      <c r="C5553" s="888" t="s">
        <v>2197</v>
      </c>
    </row>
    <row r="5554" spans="1:6">
      <c r="A5554" s="888">
        <v>297</v>
      </c>
      <c r="B5554" s="888" t="s">
        <v>1192</v>
      </c>
      <c r="C5554" s="888" t="s">
        <v>1387</v>
      </c>
      <c r="D5554" s="889">
        <v>46038</v>
      </c>
      <c r="E5554" s="888" t="s">
        <v>310</v>
      </c>
      <c r="F5554" s="888" t="s">
        <v>310</v>
      </c>
    </row>
    <row r="5555" spans="1:6">
      <c r="A5555" s="888">
        <v>297</v>
      </c>
      <c r="B5555" s="888" t="s">
        <v>1192</v>
      </c>
      <c r="C5555" s="888" t="s">
        <v>1387</v>
      </c>
      <c r="D5555" s="889">
        <v>46039</v>
      </c>
      <c r="E5555" s="888" t="s">
        <v>310</v>
      </c>
      <c r="F5555" s="888" t="s">
        <v>310</v>
      </c>
    </row>
    <row r="5556" spans="1:6">
      <c r="A5556" s="888">
        <v>297</v>
      </c>
      <c r="B5556" s="888" t="s">
        <v>1192</v>
      </c>
      <c r="C5556" s="888" t="s">
        <v>1387</v>
      </c>
      <c r="D5556" s="889">
        <v>46040</v>
      </c>
      <c r="E5556" s="888" t="s">
        <v>310</v>
      </c>
      <c r="F5556" s="888" t="s">
        <v>310</v>
      </c>
    </row>
    <row r="5557" spans="1:6">
      <c r="A5557" s="888">
        <v>297</v>
      </c>
      <c r="B5557" s="888" t="s">
        <v>1192</v>
      </c>
      <c r="C5557" s="888" t="s">
        <v>1387</v>
      </c>
      <c r="D5557" s="889">
        <v>46041</v>
      </c>
      <c r="E5557" s="890">
        <v>0.34307870370370369</v>
      </c>
      <c r="F5557" s="890">
        <v>0.76219907407407406</v>
      </c>
    </row>
    <row r="5558" spans="1:6">
      <c r="A5558" s="888" t="s">
        <v>4522</v>
      </c>
      <c r="B5558" s="888" t="s">
        <v>4523</v>
      </c>
      <c r="C5558" s="888" t="s">
        <v>1773</v>
      </c>
    </row>
    <row r="5559" spans="1:6">
      <c r="A5559" s="888">
        <v>297</v>
      </c>
      <c r="B5559" s="888" t="s">
        <v>1192</v>
      </c>
      <c r="C5559" s="888" t="s">
        <v>1387</v>
      </c>
      <c r="D5559" s="889">
        <v>46042</v>
      </c>
      <c r="E5559" s="890">
        <v>0.34847222222222224</v>
      </c>
      <c r="F5559" s="890">
        <v>0.75248842592592591</v>
      </c>
    </row>
    <row r="5560" spans="1:6">
      <c r="A5560" s="888" t="s">
        <v>4524</v>
      </c>
      <c r="B5560" s="888" t="s">
        <v>4525</v>
      </c>
      <c r="C5560" s="888" t="s">
        <v>1266</v>
      </c>
    </row>
    <row r="5561" spans="1:6">
      <c r="A5561" s="888">
        <v>297</v>
      </c>
      <c r="B5561" s="888" t="s">
        <v>1192</v>
      </c>
      <c r="C5561" s="888" t="s">
        <v>1387</v>
      </c>
      <c r="D5561" s="889">
        <v>46043</v>
      </c>
      <c r="E5561" s="890">
        <v>0.3757638888888889</v>
      </c>
      <c r="F5561" s="890">
        <v>0.75513888888888892</v>
      </c>
    </row>
    <row r="5562" spans="1:6">
      <c r="A5562" s="888" t="s">
        <v>4526</v>
      </c>
      <c r="B5562" s="888" t="s">
        <v>4527</v>
      </c>
      <c r="C5562" s="888" t="s">
        <v>1323</v>
      </c>
    </row>
    <row r="5563" spans="1:6">
      <c r="A5563" s="888">
        <v>297</v>
      </c>
      <c r="B5563" s="888" t="s">
        <v>1192</v>
      </c>
      <c r="C5563" s="888" t="s">
        <v>1387</v>
      </c>
      <c r="D5563" s="889">
        <v>46044</v>
      </c>
      <c r="E5563" s="890">
        <v>0.3511111111111111</v>
      </c>
      <c r="F5563" s="890">
        <v>0.75317129629629631</v>
      </c>
    </row>
    <row r="5564" spans="1:6">
      <c r="A5564" s="888" t="s">
        <v>4528</v>
      </c>
      <c r="B5564" s="888" t="s">
        <v>4529</v>
      </c>
      <c r="C5564" s="888" t="s">
        <v>1538</v>
      </c>
    </row>
    <row r="5565" spans="1:6">
      <c r="A5565" s="888">
        <v>297</v>
      </c>
      <c r="B5565" s="888" t="s">
        <v>1192</v>
      </c>
      <c r="C5565" s="888" t="s">
        <v>1387</v>
      </c>
      <c r="D5565" s="889">
        <v>46045</v>
      </c>
      <c r="E5565" s="888" t="s">
        <v>310</v>
      </c>
      <c r="F5565" s="888" t="s">
        <v>310</v>
      </c>
    </row>
    <row r="5566" spans="1:6">
      <c r="A5566" s="888">
        <v>297</v>
      </c>
      <c r="B5566" s="888" t="s">
        <v>1192</v>
      </c>
      <c r="C5566" s="888" t="s">
        <v>1387</v>
      </c>
      <c r="D5566" s="889">
        <v>46046</v>
      </c>
      <c r="E5566" s="888" t="s">
        <v>310</v>
      </c>
      <c r="F5566" s="888" t="s">
        <v>310</v>
      </c>
    </row>
    <row r="5567" spans="1:6">
      <c r="A5567" s="888">
        <v>297</v>
      </c>
      <c r="B5567" s="888" t="s">
        <v>1192</v>
      </c>
      <c r="C5567" s="888" t="s">
        <v>1387</v>
      </c>
      <c r="D5567" s="889">
        <v>46047</v>
      </c>
      <c r="E5567" s="888" t="s">
        <v>310</v>
      </c>
      <c r="F5567" s="888" t="s">
        <v>310</v>
      </c>
    </row>
    <row r="5568" spans="1:6">
      <c r="A5568" s="888">
        <v>297</v>
      </c>
      <c r="B5568" s="888" t="s">
        <v>1192</v>
      </c>
      <c r="C5568" s="888" t="s">
        <v>1387</v>
      </c>
      <c r="D5568" s="889">
        <v>46048</v>
      </c>
      <c r="E5568" s="890">
        <v>0.55131944444444447</v>
      </c>
      <c r="F5568" s="890">
        <v>0.85574074074074069</v>
      </c>
    </row>
    <row r="5569" spans="1:6">
      <c r="A5569" s="888" t="s">
        <v>4530</v>
      </c>
      <c r="B5569" s="888" t="s">
        <v>4531</v>
      </c>
      <c r="C5569" s="888" t="s">
        <v>2741</v>
      </c>
    </row>
    <row r="5570" spans="1:6">
      <c r="A5570" s="888">
        <v>297</v>
      </c>
      <c r="B5570" s="888" t="s">
        <v>1192</v>
      </c>
      <c r="C5570" s="888" t="s">
        <v>1387</v>
      </c>
      <c r="D5570" s="889">
        <v>46049</v>
      </c>
      <c r="E5570" s="890">
        <v>0.34150462962962963</v>
      </c>
      <c r="F5570" s="890">
        <v>0.75958333333333339</v>
      </c>
    </row>
    <row r="5571" spans="1:6">
      <c r="A5571" s="888" t="s">
        <v>4532</v>
      </c>
      <c r="B5571" s="888" t="s">
        <v>4533</v>
      </c>
      <c r="C5571" s="888" t="s">
        <v>1790</v>
      </c>
    </row>
    <row r="5572" spans="1:6">
      <c r="A5572" s="888">
        <v>297</v>
      </c>
      <c r="B5572" s="888" t="s">
        <v>1192</v>
      </c>
      <c r="C5572" s="888" t="s">
        <v>1387</v>
      </c>
      <c r="D5572" s="889">
        <v>46050</v>
      </c>
      <c r="E5572" s="890">
        <v>0.36087962962962961</v>
      </c>
      <c r="F5572" s="890">
        <v>0.75466435185185188</v>
      </c>
    </row>
    <row r="5573" spans="1:6">
      <c r="A5573" s="888" t="s">
        <v>4534</v>
      </c>
      <c r="B5573" s="888" t="s">
        <v>4535</v>
      </c>
      <c r="C5573" s="888" t="s">
        <v>1291</v>
      </c>
    </row>
    <row r="5574" spans="1:6">
      <c r="A5574" s="888">
        <v>297</v>
      </c>
      <c r="B5574" s="888" t="s">
        <v>1192</v>
      </c>
      <c r="C5574" s="888" t="s">
        <v>1387</v>
      </c>
      <c r="D5574" s="889">
        <v>46051</v>
      </c>
      <c r="E5574" s="890">
        <v>0.34796296296296297</v>
      </c>
      <c r="F5574" s="890">
        <v>0.75614583333333329</v>
      </c>
    </row>
    <row r="5575" spans="1:6">
      <c r="A5575" s="888" t="s">
        <v>4536</v>
      </c>
      <c r="B5575" s="888" t="s">
        <v>4537</v>
      </c>
      <c r="C5575" s="888" t="s">
        <v>2077</v>
      </c>
    </row>
    <row r="5576" spans="1:6">
      <c r="A5576" s="888">
        <v>297</v>
      </c>
      <c r="B5576" s="888" t="s">
        <v>1192</v>
      </c>
      <c r="C5576" s="888" t="s">
        <v>1387</v>
      </c>
      <c r="D5576" s="889">
        <v>46052</v>
      </c>
      <c r="E5576" s="888" t="s">
        <v>310</v>
      </c>
      <c r="F5576" s="888" t="s">
        <v>310</v>
      </c>
    </row>
    <row r="5577" spans="1:6">
      <c r="A5577" s="888">
        <v>297</v>
      </c>
      <c r="B5577" s="888" t="s">
        <v>1192</v>
      </c>
      <c r="C5577" s="888" t="s">
        <v>1387</v>
      </c>
      <c r="D5577" s="889">
        <v>46053</v>
      </c>
      <c r="E5577" s="888" t="s">
        <v>310</v>
      </c>
      <c r="F5577" s="888" t="s">
        <v>310</v>
      </c>
    </row>
    <row r="5578" spans="1:6">
      <c r="A5578" s="888">
        <v>297</v>
      </c>
      <c r="B5578" s="888" t="s">
        <v>1192</v>
      </c>
      <c r="C5578" s="888" t="s">
        <v>1387</v>
      </c>
      <c r="D5578" s="889">
        <v>46054</v>
      </c>
      <c r="E5578" s="888" t="s">
        <v>310</v>
      </c>
      <c r="F5578" s="888" t="s">
        <v>310</v>
      </c>
    </row>
    <row r="5579" spans="1:6">
      <c r="A5579" s="888">
        <v>299</v>
      </c>
      <c r="B5579" s="888" t="s">
        <v>4538</v>
      </c>
      <c r="C5579" s="888" t="s">
        <v>2441</v>
      </c>
      <c r="D5579" s="889">
        <v>46023</v>
      </c>
      <c r="E5579" s="888" t="s">
        <v>310</v>
      </c>
      <c r="F5579" s="888" t="s">
        <v>310</v>
      </c>
    </row>
    <row r="5580" spans="1:6">
      <c r="A5580" s="888">
        <v>299</v>
      </c>
      <c r="B5580" s="888" t="s">
        <v>4538</v>
      </c>
      <c r="C5580" s="888" t="s">
        <v>2441</v>
      </c>
      <c r="D5580" s="889">
        <v>46024</v>
      </c>
      <c r="E5580" s="888" t="s">
        <v>310</v>
      </c>
      <c r="F5580" s="888" t="s">
        <v>310</v>
      </c>
    </row>
    <row r="5581" spans="1:6">
      <c r="A5581" s="888">
        <v>299</v>
      </c>
      <c r="B5581" s="888" t="s">
        <v>4538</v>
      </c>
      <c r="C5581" s="888" t="s">
        <v>2441</v>
      </c>
      <c r="D5581" s="889">
        <v>46025</v>
      </c>
      <c r="E5581" s="888" t="s">
        <v>310</v>
      </c>
      <c r="F5581" s="888" t="s">
        <v>310</v>
      </c>
    </row>
    <row r="5582" spans="1:6">
      <c r="A5582" s="888">
        <v>299</v>
      </c>
      <c r="B5582" s="888" t="s">
        <v>4538</v>
      </c>
      <c r="C5582" s="888" t="s">
        <v>2441</v>
      </c>
      <c r="D5582" s="889">
        <v>46026</v>
      </c>
      <c r="E5582" s="888" t="s">
        <v>310</v>
      </c>
      <c r="F5582" s="888" t="s">
        <v>310</v>
      </c>
    </row>
    <row r="5583" spans="1:6">
      <c r="A5583" s="888">
        <v>299</v>
      </c>
      <c r="B5583" s="888" t="s">
        <v>4538</v>
      </c>
      <c r="C5583" s="888" t="s">
        <v>2441</v>
      </c>
      <c r="D5583" s="889">
        <v>46027</v>
      </c>
      <c r="E5583" s="890">
        <v>0.36281249999999998</v>
      </c>
      <c r="F5583" s="890">
        <v>0.81682870370370375</v>
      </c>
    </row>
    <row r="5584" spans="1:6">
      <c r="A5584" s="888" t="s">
        <v>4539</v>
      </c>
      <c r="B5584" s="888" t="s">
        <v>4540</v>
      </c>
      <c r="C5584" s="888" t="s">
        <v>2064</v>
      </c>
    </row>
    <row r="5585" spans="1:6">
      <c r="A5585" s="888">
        <v>299</v>
      </c>
      <c r="B5585" s="888" t="s">
        <v>4538</v>
      </c>
      <c r="C5585" s="888" t="s">
        <v>2441</v>
      </c>
      <c r="D5585" s="889">
        <v>46028</v>
      </c>
      <c r="E5585" s="890">
        <v>0.35719907407407409</v>
      </c>
      <c r="F5585" s="890">
        <v>0.76248842592592592</v>
      </c>
    </row>
    <row r="5586" spans="1:6">
      <c r="A5586" s="888" t="s">
        <v>4541</v>
      </c>
      <c r="B5586" s="888" t="s">
        <v>4542</v>
      </c>
      <c r="C5586" s="888" t="s">
        <v>2340</v>
      </c>
    </row>
    <row r="5587" spans="1:6">
      <c r="A5587" s="888">
        <v>299</v>
      </c>
      <c r="B5587" s="888" t="s">
        <v>4538</v>
      </c>
      <c r="C5587" s="888" t="s">
        <v>2441</v>
      </c>
      <c r="D5587" s="889">
        <v>46029</v>
      </c>
      <c r="E5587" s="890">
        <v>0.36334490740740738</v>
      </c>
      <c r="F5587" s="890">
        <v>0.79556712962962961</v>
      </c>
    </row>
    <row r="5588" spans="1:6">
      <c r="A5588" s="888" t="s">
        <v>4543</v>
      </c>
      <c r="B5588" s="888" t="s">
        <v>4544</v>
      </c>
      <c r="C5588" s="888" t="s">
        <v>2563</v>
      </c>
    </row>
    <row r="5589" spans="1:6">
      <c r="A5589" s="888">
        <v>299</v>
      </c>
      <c r="B5589" s="888" t="s">
        <v>4538</v>
      </c>
      <c r="C5589" s="888" t="s">
        <v>2441</v>
      </c>
      <c r="D5589" s="889">
        <v>46030</v>
      </c>
      <c r="E5589" s="890">
        <v>0.35935185185185187</v>
      </c>
      <c r="F5589" s="890">
        <v>0.79572916666666671</v>
      </c>
    </row>
    <row r="5590" spans="1:6">
      <c r="A5590" s="888" t="s">
        <v>4545</v>
      </c>
      <c r="B5590" s="888" t="s">
        <v>4546</v>
      </c>
      <c r="C5590" s="888" t="s">
        <v>2268</v>
      </c>
    </row>
    <row r="5591" spans="1:6">
      <c r="A5591" s="888">
        <v>299</v>
      </c>
      <c r="B5591" s="888" t="s">
        <v>4538</v>
      </c>
      <c r="C5591" s="888" t="s">
        <v>2441</v>
      </c>
      <c r="D5591" s="889">
        <v>46031</v>
      </c>
      <c r="E5591" s="890">
        <v>0.77327546296296301</v>
      </c>
      <c r="F5591" s="888" t="s">
        <v>310</v>
      </c>
    </row>
    <row r="5592" spans="1:6">
      <c r="A5592" s="888" t="s">
        <v>4547</v>
      </c>
      <c r="B5592" s="888" t="s">
        <v>1258</v>
      </c>
      <c r="C5592" s="888" t="s">
        <v>1259</v>
      </c>
    </row>
    <row r="5593" spans="1:6">
      <c r="A5593" s="888">
        <v>299</v>
      </c>
      <c r="B5593" s="888" t="s">
        <v>4538</v>
      </c>
      <c r="C5593" s="888" t="s">
        <v>2441</v>
      </c>
      <c r="D5593" s="889">
        <v>46032</v>
      </c>
      <c r="E5593" s="888" t="s">
        <v>310</v>
      </c>
      <c r="F5593" s="888" t="s">
        <v>310</v>
      </c>
    </row>
    <row r="5594" spans="1:6">
      <c r="A5594" s="888">
        <v>299</v>
      </c>
      <c r="B5594" s="888" t="s">
        <v>4538</v>
      </c>
      <c r="C5594" s="888" t="s">
        <v>2441</v>
      </c>
      <c r="D5594" s="889">
        <v>46033</v>
      </c>
      <c r="E5594" s="888" t="s">
        <v>310</v>
      </c>
      <c r="F5594" s="888" t="s">
        <v>310</v>
      </c>
    </row>
    <row r="5595" spans="1:6">
      <c r="A5595" s="888">
        <v>299</v>
      </c>
      <c r="B5595" s="888" t="s">
        <v>4538</v>
      </c>
      <c r="C5595" s="888" t="s">
        <v>2441</v>
      </c>
      <c r="D5595" s="889">
        <v>46034</v>
      </c>
      <c r="E5595" s="890">
        <v>0.36092592592592593</v>
      </c>
      <c r="F5595" s="890">
        <v>0.78267361111111111</v>
      </c>
    </row>
    <row r="5596" spans="1:6">
      <c r="A5596" s="888" t="s">
        <v>4548</v>
      </c>
      <c r="B5596" s="888" t="s">
        <v>4549</v>
      </c>
      <c r="C5596" s="888" t="s">
        <v>1390</v>
      </c>
    </row>
    <row r="5597" spans="1:6">
      <c r="A5597" s="888">
        <v>299</v>
      </c>
      <c r="B5597" s="888" t="s">
        <v>4538</v>
      </c>
      <c r="C5597" s="888" t="s">
        <v>2441</v>
      </c>
      <c r="D5597" s="889">
        <v>46035</v>
      </c>
      <c r="E5597" s="890">
        <v>0.35457175925925927</v>
      </c>
      <c r="F5597" s="890">
        <v>0.77888888888888885</v>
      </c>
    </row>
    <row r="5598" spans="1:6">
      <c r="A5598" s="888" t="s">
        <v>4550</v>
      </c>
      <c r="B5598" s="888" t="s">
        <v>4551</v>
      </c>
      <c r="C5598" s="888" t="s">
        <v>1393</v>
      </c>
    </row>
    <row r="5599" spans="1:6">
      <c r="A5599" s="888">
        <v>299</v>
      </c>
      <c r="B5599" s="888" t="s">
        <v>4538</v>
      </c>
      <c r="C5599" s="888" t="s">
        <v>2441</v>
      </c>
      <c r="D5599" s="889">
        <v>46036</v>
      </c>
      <c r="E5599" s="890">
        <v>0.3671875</v>
      </c>
      <c r="F5599" s="890">
        <v>0.8019560185185185</v>
      </c>
    </row>
    <row r="5600" spans="1:6">
      <c r="A5600" s="888" t="s">
        <v>4552</v>
      </c>
      <c r="B5600" s="888" t="s">
        <v>4553</v>
      </c>
      <c r="C5600" s="888" t="s">
        <v>1895</v>
      </c>
    </row>
    <row r="5601" spans="1:6">
      <c r="A5601" s="888">
        <v>299</v>
      </c>
      <c r="B5601" s="888" t="s">
        <v>4538</v>
      </c>
      <c r="C5601" s="888" t="s">
        <v>2441</v>
      </c>
      <c r="D5601" s="889">
        <v>46037</v>
      </c>
      <c r="E5601" s="890">
        <v>0.36023148148148149</v>
      </c>
      <c r="F5601" s="890">
        <v>0.79758101851851848</v>
      </c>
    </row>
    <row r="5602" spans="1:6">
      <c r="A5602" s="888" t="s">
        <v>4554</v>
      </c>
      <c r="B5602" s="888" t="s">
        <v>4555</v>
      </c>
      <c r="C5602" s="888" t="s">
        <v>2634</v>
      </c>
    </row>
    <row r="5603" spans="1:6">
      <c r="A5603" s="888">
        <v>299</v>
      </c>
      <c r="B5603" s="888" t="s">
        <v>4538</v>
      </c>
      <c r="C5603" s="888" t="s">
        <v>2441</v>
      </c>
      <c r="D5603" s="889">
        <v>46038</v>
      </c>
      <c r="E5603" s="888" t="s">
        <v>310</v>
      </c>
      <c r="F5603" s="888" t="s">
        <v>310</v>
      </c>
    </row>
    <row r="5604" spans="1:6">
      <c r="A5604" s="888">
        <v>299</v>
      </c>
      <c r="B5604" s="888" t="s">
        <v>4538</v>
      </c>
      <c r="C5604" s="888" t="s">
        <v>2441</v>
      </c>
      <c r="D5604" s="889">
        <v>46039</v>
      </c>
      <c r="E5604" s="888" t="s">
        <v>310</v>
      </c>
      <c r="F5604" s="888" t="s">
        <v>310</v>
      </c>
    </row>
    <row r="5605" spans="1:6">
      <c r="A5605" s="888">
        <v>299</v>
      </c>
      <c r="B5605" s="888" t="s">
        <v>4538</v>
      </c>
      <c r="C5605" s="888" t="s">
        <v>2441</v>
      </c>
      <c r="D5605" s="889">
        <v>46040</v>
      </c>
      <c r="E5605" s="888" t="s">
        <v>310</v>
      </c>
      <c r="F5605" s="888" t="s">
        <v>310</v>
      </c>
    </row>
    <row r="5606" spans="1:6">
      <c r="A5606" s="888">
        <v>299</v>
      </c>
      <c r="B5606" s="888" t="s">
        <v>4538</v>
      </c>
      <c r="C5606" s="888" t="s">
        <v>2441</v>
      </c>
      <c r="D5606" s="889">
        <v>46041</v>
      </c>
      <c r="E5606" s="890">
        <v>0.36754629629629632</v>
      </c>
      <c r="F5606" s="890">
        <v>0.79464120370370372</v>
      </c>
    </row>
    <row r="5607" spans="1:6">
      <c r="A5607" s="888" t="s">
        <v>4556</v>
      </c>
      <c r="B5607" s="888" t="s">
        <v>4557</v>
      </c>
      <c r="C5607" s="888" t="s">
        <v>1425</v>
      </c>
    </row>
    <row r="5608" spans="1:6">
      <c r="A5608" s="888">
        <v>299</v>
      </c>
      <c r="B5608" s="888" t="s">
        <v>4538</v>
      </c>
      <c r="C5608" s="888" t="s">
        <v>2441</v>
      </c>
      <c r="D5608" s="889">
        <v>46042</v>
      </c>
      <c r="E5608" s="890">
        <v>0.36234953703703704</v>
      </c>
      <c r="F5608" s="890">
        <v>0.76528935185185187</v>
      </c>
    </row>
    <row r="5609" spans="1:6">
      <c r="A5609" s="888" t="s">
        <v>4558</v>
      </c>
      <c r="B5609" s="888" t="s">
        <v>4559</v>
      </c>
      <c r="C5609" s="888" t="s">
        <v>1624</v>
      </c>
    </row>
    <row r="5610" spans="1:6">
      <c r="A5610" s="888">
        <v>299</v>
      </c>
      <c r="B5610" s="888" t="s">
        <v>4538</v>
      </c>
      <c r="C5610" s="888" t="s">
        <v>2441</v>
      </c>
      <c r="D5610" s="889">
        <v>46043</v>
      </c>
      <c r="E5610" s="890">
        <v>0.36152777777777778</v>
      </c>
      <c r="F5610" s="890">
        <v>0.77394675925925926</v>
      </c>
    </row>
    <row r="5611" spans="1:6">
      <c r="A5611" s="888" t="s">
        <v>4560</v>
      </c>
      <c r="B5611" s="888" t="s">
        <v>4561</v>
      </c>
      <c r="C5611" s="888" t="s">
        <v>1816</v>
      </c>
    </row>
    <row r="5612" spans="1:6">
      <c r="A5612" s="888">
        <v>299</v>
      </c>
      <c r="B5612" s="888" t="s">
        <v>4538</v>
      </c>
      <c r="C5612" s="888" t="s">
        <v>2441</v>
      </c>
      <c r="D5612" s="889">
        <v>46044</v>
      </c>
      <c r="E5612" s="890">
        <v>0.36790509259259258</v>
      </c>
      <c r="F5612" s="890">
        <v>0.81475694444444446</v>
      </c>
    </row>
    <row r="5613" spans="1:6">
      <c r="A5613" s="888" t="s">
        <v>4562</v>
      </c>
      <c r="B5613" s="888" t="s">
        <v>4563</v>
      </c>
      <c r="C5613" s="888" t="s">
        <v>1300</v>
      </c>
    </row>
    <row r="5614" spans="1:6">
      <c r="A5614" s="888">
        <v>299</v>
      </c>
      <c r="B5614" s="888" t="s">
        <v>4538</v>
      </c>
      <c r="C5614" s="888" t="s">
        <v>2441</v>
      </c>
      <c r="D5614" s="889">
        <v>46045</v>
      </c>
      <c r="E5614" s="888" t="s">
        <v>310</v>
      </c>
      <c r="F5614" s="888" t="s">
        <v>310</v>
      </c>
    </row>
    <row r="5615" spans="1:6">
      <c r="A5615" s="888">
        <v>299</v>
      </c>
      <c r="B5615" s="888" t="s">
        <v>4538</v>
      </c>
      <c r="C5615" s="888" t="s">
        <v>2441</v>
      </c>
      <c r="D5615" s="889">
        <v>46046</v>
      </c>
      <c r="E5615" s="888" t="s">
        <v>310</v>
      </c>
      <c r="F5615" s="888" t="s">
        <v>310</v>
      </c>
    </row>
    <row r="5616" spans="1:6">
      <c r="A5616" s="888">
        <v>299</v>
      </c>
      <c r="B5616" s="888" t="s">
        <v>4538</v>
      </c>
      <c r="C5616" s="888" t="s">
        <v>2441</v>
      </c>
      <c r="D5616" s="889">
        <v>46047</v>
      </c>
      <c r="E5616" s="888" t="s">
        <v>310</v>
      </c>
      <c r="F5616" s="888" t="s">
        <v>310</v>
      </c>
    </row>
    <row r="5617" spans="1:6">
      <c r="A5617" s="888">
        <v>299</v>
      </c>
      <c r="B5617" s="888" t="s">
        <v>4538</v>
      </c>
      <c r="C5617" s="888" t="s">
        <v>2441</v>
      </c>
      <c r="D5617" s="889">
        <v>46048</v>
      </c>
      <c r="E5617" s="890">
        <v>0.35945601851851849</v>
      </c>
      <c r="F5617" s="890">
        <v>0.77071759259259254</v>
      </c>
    </row>
    <row r="5618" spans="1:6">
      <c r="A5618" s="888" t="s">
        <v>4564</v>
      </c>
      <c r="B5618" s="888" t="s">
        <v>4565</v>
      </c>
      <c r="C5618" s="888" t="s">
        <v>1613</v>
      </c>
    </row>
    <row r="5619" spans="1:6">
      <c r="A5619" s="888">
        <v>299</v>
      </c>
      <c r="B5619" s="888" t="s">
        <v>4538</v>
      </c>
      <c r="C5619" s="888" t="s">
        <v>2441</v>
      </c>
      <c r="D5619" s="889">
        <v>46049</v>
      </c>
      <c r="E5619" s="890">
        <v>0.35468749999999999</v>
      </c>
      <c r="F5619" s="890">
        <v>0.82059027777777782</v>
      </c>
    </row>
    <row r="5620" spans="1:6">
      <c r="A5620" s="888" t="s">
        <v>4566</v>
      </c>
      <c r="B5620" s="888" t="s">
        <v>4567</v>
      </c>
      <c r="C5620" s="888" t="s">
        <v>4568</v>
      </c>
    </row>
    <row r="5621" spans="1:6">
      <c r="A5621" s="888">
        <v>299</v>
      </c>
      <c r="B5621" s="888" t="s">
        <v>4538</v>
      </c>
      <c r="C5621" s="888" t="s">
        <v>2441</v>
      </c>
      <c r="D5621" s="889">
        <v>46050</v>
      </c>
      <c r="E5621" s="890">
        <v>0.35965277777777777</v>
      </c>
      <c r="F5621" s="890">
        <v>0.81130787037037033</v>
      </c>
    </row>
    <row r="5622" spans="1:6">
      <c r="A5622" s="888" t="s">
        <v>4569</v>
      </c>
      <c r="B5622" s="888" t="s">
        <v>4570</v>
      </c>
      <c r="C5622" s="888" t="s">
        <v>4083</v>
      </c>
    </row>
    <row r="5623" spans="1:6">
      <c r="A5623" s="888">
        <v>299</v>
      </c>
      <c r="B5623" s="888" t="s">
        <v>4538</v>
      </c>
      <c r="C5623" s="888" t="s">
        <v>2441</v>
      </c>
      <c r="D5623" s="889">
        <v>46051</v>
      </c>
      <c r="E5623" s="890">
        <v>0.35900462962962965</v>
      </c>
      <c r="F5623" s="890">
        <v>0.7547800925925926</v>
      </c>
    </row>
    <row r="5624" spans="1:6">
      <c r="A5624" s="888" t="s">
        <v>4571</v>
      </c>
      <c r="B5624" s="888" t="s">
        <v>4572</v>
      </c>
      <c r="C5624" s="888" t="s">
        <v>1404</v>
      </c>
    </row>
    <row r="5625" spans="1:6">
      <c r="A5625" s="888">
        <v>299</v>
      </c>
      <c r="B5625" s="888" t="s">
        <v>4538</v>
      </c>
      <c r="C5625" s="888" t="s">
        <v>2441</v>
      </c>
      <c r="D5625" s="889">
        <v>46052</v>
      </c>
      <c r="E5625" s="888" t="s">
        <v>310</v>
      </c>
      <c r="F5625" s="888" t="s">
        <v>310</v>
      </c>
    </row>
    <row r="5626" spans="1:6">
      <c r="A5626" s="888">
        <v>299</v>
      </c>
      <c r="B5626" s="888" t="s">
        <v>4538</v>
      </c>
      <c r="C5626" s="888" t="s">
        <v>2441</v>
      </c>
      <c r="D5626" s="889">
        <v>46053</v>
      </c>
      <c r="E5626" s="888" t="s">
        <v>310</v>
      </c>
      <c r="F5626" s="888" t="s">
        <v>310</v>
      </c>
    </row>
    <row r="5627" spans="1:6">
      <c r="A5627" s="888">
        <v>299</v>
      </c>
      <c r="B5627" s="888" t="s">
        <v>4538</v>
      </c>
      <c r="C5627" s="888" t="s">
        <v>2441</v>
      </c>
      <c r="D5627" s="889">
        <v>46054</v>
      </c>
      <c r="E5627" s="888" t="s">
        <v>310</v>
      </c>
      <c r="F5627" s="888" t="s">
        <v>310</v>
      </c>
    </row>
    <row r="5628" spans="1:6">
      <c r="A5628" s="888">
        <v>3</v>
      </c>
      <c r="B5628" s="888" t="s">
        <v>1108</v>
      </c>
      <c r="C5628" s="888" t="s">
        <v>1387</v>
      </c>
      <c r="D5628" s="889">
        <v>46023</v>
      </c>
      <c r="E5628" s="888" t="s">
        <v>310</v>
      </c>
      <c r="F5628" s="888" t="s">
        <v>310</v>
      </c>
    </row>
    <row r="5629" spans="1:6">
      <c r="A5629" s="888">
        <v>3</v>
      </c>
      <c r="B5629" s="888" t="s">
        <v>1108</v>
      </c>
      <c r="C5629" s="888" t="s">
        <v>1387</v>
      </c>
      <c r="D5629" s="889">
        <v>46024</v>
      </c>
      <c r="E5629" s="888" t="s">
        <v>310</v>
      </c>
      <c r="F5629" s="888" t="s">
        <v>310</v>
      </c>
    </row>
    <row r="5630" spans="1:6">
      <c r="A5630" s="888">
        <v>3</v>
      </c>
      <c r="B5630" s="888" t="s">
        <v>1108</v>
      </c>
      <c r="C5630" s="888" t="s">
        <v>1387</v>
      </c>
      <c r="D5630" s="889">
        <v>46025</v>
      </c>
      <c r="E5630" s="888" t="s">
        <v>310</v>
      </c>
      <c r="F5630" s="888" t="s">
        <v>310</v>
      </c>
    </row>
    <row r="5631" spans="1:6">
      <c r="A5631" s="888">
        <v>3</v>
      </c>
      <c r="B5631" s="888" t="s">
        <v>1108</v>
      </c>
      <c r="C5631" s="888" t="s">
        <v>1387</v>
      </c>
      <c r="D5631" s="889">
        <v>46026</v>
      </c>
      <c r="E5631" s="888" t="s">
        <v>310</v>
      </c>
      <c r="F5631" s="888" t="s">
        <v>310</v>
      </c>
    </row>
    <row r="5632" spans="1:6">
      <c r="A5632" s="888">
        <v>3</v>
      </c>
      <c r="B5632" s="888" t="s">
        <v>1108</v>
      </c>
      <c r="C5632" s="888" t="s">
        <v>1387</v>
      </c>
      <c r="D5632" s="889">
        <v>46027</v>
      </c>
      <c r="E5632" s="890">
        <v>0.35260416666666666</v>
      </c>
      <c r="F5632" s="890">
        <v>0.75673611111111116</v>
      </c>
    </row>
    <row r="5633" spans="1:6">
      <c r="A5633" s="888" t="s">
        <v>4573</v>
      </c>
      <c r="B5633" s="888" t="s">
        <v>4574</v>
      </c>
      <c r="C5633" s="888" t="s">
        <v>1266</v>
      </c>
    </row>
    <row r="5634" spans="1:6">
      <c r="A5634" s="888">
        <v>3</v>
      </c>
      <c r="B5634" s="888" t="s">
        <v>1108</v>
      </c>
      <c r="C5634" s="888" t="s">
        <v>1387</v>
      </c>
      <c r="D5634" s="889">
        <v>46028</v>
      </c>
      <c r="E5634" s="890">
        <v>0.3591435185185185</v>
      </c>
      <c r="F5634" s="890">
        <v>0.75562499999999999</v>
      </c>
    </row>
    <row r="5635" spans="1:6">
      <c r="A5635" s="888" t="s">
        <v>4575</v>
      </c>
      <c r="B5635" s="888" t="s">
        <v>4576</v>
      </c>
      <c r="C5635" s="888" t="s">
        <v>1452</v>
      </c>
    </row>
    <row r="5636" spans="1:6">
      <c r="A5636" s="888">
        <v>3</v>
      </c>
      <c r="B5636" s="888" t="s">
        <v>1108</v>
      </c>
      <c r="C5636" s="888" t="s">
        <v>1387</v>
      </c>
      <c r="D5636" s="889">
        <v>46029</v>
      </c>
      <c r="E5636" s="890">
        <v>0.35692129629629632</v>
      </c>
      <c r="F5636" s="890">
        <v>0.73063657407407412</v>
      </c>
    </row>
    <row r="5637" spans="1:6">
      <c r="A5637" s="888" t="s">
        <v>4577</v>
      </c>
      <c r="B5637" s="888" t="s">
        <v>4578</v>
      </c>
      <c r="C5637" s="888" t="s">
        <v>1326</v>
      </c>
    </row>
    <row r="5638" spans="1:6">
      <c r="A5638" s="888">
        <v>3</v>
      </c>
      <c r="B5638" s="888" t="s">
        <v>1108</v>
      </c>
      <c r="C5638" s="888" t="s">
        <v>1387</v>
      </c>
      <c r="D5638" s="889">
        <v>46030</v>
      </c>
      <c r="E5638" s="890">
        <v>0.35297453703703702</v>
      </c>
      <c r="F5638" s="890">
        <v>0.75616898148148148</v>
      </c>
    </row>
    <row r="5639" spans="1:6">
      <c r="A5639" s="888" t="s">
        <v>4579</v>
      </c>
      <c r="B5639" s="888" t="s">
        <v>4580</v>
      </c>
      <c r="C5639" s="888" t="s">
        <v>1363</v>
      </c>
    </row>
    <row r="5640" spans="1:6">
      <c r="A5640" s="888">
        <v>3</v>
      </c>
      <c r="B5640" s="888" t="s">
        <v>1108</v>
      </c>
      <c r="C5640" s="888" t="s">
        <v>1387</v>
      </c>
      <c r="D5640" s="889">
        <v>46031</v>
      </c>
      <c r="E5640" s="888" t="s">
        <v>310</v>
      </c>
      <c r="F5640" s="888" t="s">
        <v>310</v>
      </c>
    </row>
    <row r="5641" spans="1:6">
      <c r="A5641" s="888">
        <v>3</v>
      </c>
      <c r="B5641" s="888" t="s">
        <v>1108</v>
      </c>
      <c r="C5641" s="888" t="s">
        <v>1387</v>
      </c>
      <c r="D5641" s="889">
        <v>46032</v>
      </c>
      <c r="E5641" s="888" t="s">
        <v>310</v>
      </c>
      <c r="F5641" s="888" t="s">
        <v>310</v>
      </c>
    </row>
    <row r="5642" spans="1:6">
      <c r="A5642" s="888">
        <v>3</v>
      </c>
      <c r="B5642" s="888" t="s">
        <v>1108</v>
      </c>
      <c r="C5642" s="888" t="s">
        <v>1387</v>
      </c>
      <c r="D5642" s="889">
        <v>46033</v>
      </c>
      <c r="E5642" s="888" t="s">
        <v>310</v>
      </c>
      <c r="F5642" s="888" t="s">
        <v>310</v>
      </c>
    </row>
    <row r="5643" spans="1:6">
      <c r="A5643" s="888">
        <v>3</v>
      </c>
      <c r="B5643" s="888" t="s">
        <v>1108</v>
      </c>
      <c r="C5643" s="888" t="s">
        <v>1387</v>
      </c>
      <c r="D5643" s="889">
        <v>46034</v>
      </c>
      <c r="E5643" s="890">
        <v>0.35736111111111113</v>
      </c>
      <c r="F5643" s="890">
        <v>0.52258101851851857</v>
      </c>
    </row>
    <row r="5644" spans="1:6">
      <c r="A5644" s="888" t="s">
        <v>4581</v>
      </c>
      <c r="B5644" s="888" t="s">
        <v>4582</v>
      </c>
      <c r="C5644" s="888" t="s">
        <v>4583</v>
      </c>
    </row>
    <row r="5645" spans="1:6">
      <c r="A5645" s="888">
        <v>3</v>
      </c>
      <c r="B5645" s="888" t="s">
        <v>1108</v>
      </c>
      <c r="C5645" s="888" t="s">
        <v>1387</v>
      </c>
      <c r="D5645" s="889">
        <v>46035</v>
      </c>
      <c r="E5645" s="890">
        <v>0.35380787037037037</v>
      </c>
      <c r="F5645" s="890">
        <v>0.75271990740740746</v>
      </c>
    </row>
    <row r="5646" spans="1:6">
      <c r="A5646" s="888" t="s">
        <v>4584</v>
      </c>
      <c r="B5646" s="888" t="s">
        <v>4585</v>
      </c>
      <c r="C5646" s="888" t="s">
        <v>1383</v>
      </c>
    </row>
    <row r="5647" spans="1:6">
      <c r="A5647" s="888">
        <v>3</v>
      </c>
      <c r="B5647" s="888" t="s">
        <v>1108</v>
      </c>
      <c r="C5647" s="888" t="s">
        <v>1387</v>
      </c>
      <c r="D5647" s="889">
        <v>46036</v>
      </c>
      <c r="E5647" s="890">
        <v>0.35591435185185183</v>
      </c>
      <c r="F5647" s="890">
        <v>0.75280092592592596</v>
      </c>
    </row>
    <row r="5648" spans="1:6">
      <c r="A5648" s="888" t="s">
        <v>4586</v>
      </c>
      <c r="B5648" s="888" t="s">
        <v>4587</v>
      </c>
      <c r="C5648" s="888" t="s">
        <v>1514</v>
      </c>
    </row>
    <row r="5649" spans="1:6">
      <c r="A5649" s="888">
        <v>3</v>
      </c>
      <c r="B5649" s="888" t="s">
        <v>1108</v>
      </c>
      <c r="C5649" s="888" t="s">
        <v>1387</v>
      </c>
      <c r="D5649" s="889">
        <v>46037</v>
      </c>
      <c r="E5649" s="890">
        <v>0.35214120370370372</v>
      </c>
      <c r="F5649" s="890">
        <v>0.76050925925925927</v>
      </c>
    </row>
    <row r="5650" spans="1:6">
      <c r="A5650" s="888" t="s">
        <v>4588</v>
      </c>
      <c r="B5650" s="888" t="s">
        <v>4589</v>
      </c>
      <c r="C5650" s="888" t="s">
        <v>2077</v>
      </c>
    </row>
    <row r="5651" spans="1:6">
      <c r="A5651" s="888">
        <v>3</v>
      </c>
      <c r="B5651" s="888" t="s">
        <v>1108</v>
      </c>
      <c r="C5651" s="888" t="s">
        <v>1387</v>
      </c>
      <c r="D5651" s="889">
        <v>46038</v>
      </c>
      <c r="E5651" s="888" t="s">
        <v>310</v>
      </c>
      <c r="F5651" s="888" t="s">
        <v>310</v>
      </c>
    </row>
    <row r="5652" spans="1:6">
      <c r="A5652" s="888">
        <v>3</v>
      </c>
      <c r="B5652" s="888" t="s">
        <v>1108</v>
      </c>
      <c r="C5652" s="888" t="s">
        <v>1387</v>
      </c>
      <c r="D5652" s="889">
        <v>46039</v>
      </c>
      <c r="E5652" s="888" t="s">
        <v>310</v>
      </c>
      <c r="F5652" s="888" t="s">
        <v>310</v>
      </c>
    </row>
    <row r="5653" spans="1:6">
      <c r="A5653" s="888">
        <v>3</v>
      </c>
      <c r="B5653" s="888" t="s">
        <v>1108</v>
      </c>
      <c r="C5653" s="888" t="s">
        <v>1387</v>
      </c>
      <c r="D5653" s="889">
        <v>46040</v>
      </c>
      <c r="E5653" s="888" t="s">
        <v>310</v>
      </c>
      <c r="F5653" s="888" t="s">
        <v>310</v>
      </c>
    </row>
    <row r="5654" spans="1:6">
      <c r="A5654" s="888">
        <v>3</v>
      </c>
      <c r="B5654" s="888" t="s">
        <v>1108</v>
      </c>
      <c r="C5654" s="888" t="s">
        <v>1387</v>
      </c>
      <c r="D5654" s="889">
        <v>46041</v>
      </c>
      <c r="E5654" s="890">
        <v>0.35765046296296299</v>
      </c>
      <c r="F5654" s="890">
        <v>0.75298611111111113</v>
      </c>
    </row>
    <row r="5655" spans="1:6">
      <c r="A5655" s="888" t="s">
        <v>4590</v>
      </c>
      <c r="B5655" s="888" t="s">
        <v>4591</v>
      </c>
      <c r="C5655" s="888" t="s">
        <v>1413</v>
      </c>
    </row>
    <row r="5656" spans="1:6">
      <c r="A5656" s="888">
        <v>3</v>
      </c>
      <c r="B5656" s="888" t="s">
        <v>1108</v>
      </c>
      <c r="C5656" s="888" t="s">
        <v>1387</v>
      </c>
      <c r="D5656" s="889">
        <v>46042</v>
      </c>
      <c r="E5656" s="890">
        <v>0.3512615740740741</v>
      </c>
      <c r="F5656" s="890">
        <v>0.75490740740740736</v>
      </c>
    </row>
    <row r="5657" spans="1:6">
      <c r="A5657" s="888" t="s">
        <v>4592</v>
      </c>
      <c r="B5657" s="888" t="s">
        <v>4593</v>
      </c>
      <c r="C5657" s="888" t="s">
        <v>1363</v>
      </c>
    </row>
    <row r="5658" spans="1:6">
      <c r="A5658" s="888">
        <v>3</v>
      </c>
      <c r="B5658" s="888" t="s">
        <v>1108</v>
      </c>
      <c r="C5658" s="888" t="s">
        <v>1387</v>
      </c>
      <c r="D5658" s="889">
        <v>46043</v>
      </c>
      <c r="E5658" s="890">
        <v>0.37474537037037037</v>
      </c>
      <c r="F5658" s="890">
        <v>0.76564814814814819</v>
      </c>
    </row>
    <row r="5659" spans="1:6">
      <c r="A5659" s="888" t="s">
        <v>4594</v>
      </c>
      <c r="B5659" s="888" t="s">
        <v>4595</v>
      </c>
      <c r="C5659" s="888" t="s">
        <v>1437</v>
      </c>
    </row>
    <row r="5660" spans="1:6">
      <c r="A5660" s="888">
        <v>3</v>
      </c>
      <c r="B5660" s="888" t="s">
        <v>1108</v>
      </c>
      <c r="C5660" s="888" t="s">
        <v>1387</v>
      </c>
      <c r="D5660" s="889">
        <v>46044</v>
      </c>
      <c r="E5660" s="890">
        <v>0.35751157407407408</v>
      </c>
      <c r="F5660" s="890">
        <v>0.75309027777777782</v>
      </c>
    </row>
    <row r="5661" spans="1:6">
      <c r="A5661" s="888" t="s">
        <v>4596</v>
      </c>
      <c r="B5661" s="888" t="s">
        <v>4597</v>
      </c>
      <c r="C5661" s="888" t="s">
        <v>1404</v>
      </c>
    </row>
    <row r="5662" spans="1:6">
      <c r="A5662" s="888">
        <v>3</v>
      </c>
      <c r="B5662" s="888" t="s">
        <v>1108</v>
      </c>
      <c r="C5662" s="888" t="s">
        <v>1387</v>
      </c>
      <c r="D5662" s="889">
        <v>46045</v>
      </c>
      <c r="E5662" s="888" t="s">
        <v>310</v>
      </c>
      <c r="F5662" s="888" t="s">
        <v>310</v>
      </c>
    </row>
    <row r="5663" spans="1:6">
      <c r="A5663" s="888">
        <v>3</v>
      </c>
      <c r="B5663" s="888" t="s">
        <v>1108</v>
      </c>
      <c r="C5663" s="888" t="s">
        <v>1387</v>
      </c>
      <c r="D5663" s="889">
        <v>46046</v>
      </c>
      <c r="E5663" s="888" t="s">
        <v>310</v>
      </c>
      <c r="F5663" s="888" t="s">
        <v>310</v>
      </c>
    </row>
    <row r="5664" spans="1:6">
      <c r="A5664" s="888">
        <v>3</v>
      </c>
      <c r="B5664" s="888" t="s">
        <v>1108</v>
      </c>
      <c r="C5664" s="888" t="s">
        <v>1387</v>
      </c>
      <c r="D5664" s="889">
        <v>46047</v>
      </c>
      <c r="E5664" s="888" t="s">
        <v>310</v>
      </c>
      <c r="F5664" s="888" t="s">
        <v>310</v>
      </c>
    </row>
    <row r="5665" spans="1:6">
      <c r="A5665" s="888">
        <v>3</v>
      </c>
      <c r="B5665" s="888" t="s">
        <v>1108</v>
      </c>
      <c r="C5665" s="888" t="s">
        <v>1387</v>
      </c>
      <c r="D5665" s="889">
        <v>46048</v>
      </c>
      <c r="E5665" s="890">
        <v>0.35942129629629632</v>
      </c>
      <c r="F5665" s="890">
        <v>0.77052083333333332</v>
      </c>
    </row>
    <row r="5666" spans="1:6">
      <c r="A5666" s="888" t="s">
        <v>4598</v>
      </c>
      <c r="B5666" s="888" t="s">
        <v>4599</v>
      </c>
      <c r="C5666" s="888" t="s">
        <v>1613</v>
      </c>
    </row>
    <row r="5667" spans="1:6">
      <c r="A5667" s="888">
        <v>3</v>
      </c>
      <c r="B5667" s="888" t="s">
        <v>1108</v>
      </c>
      <c r="C5667" s="888" t="s">
        <v>1387</v>
      </c>
      <c r="D5667" s="889">
        <v>46049</v>
      </c>
      <c r="E5667" s="890">
        <v>0.3576388888888889</v>
      </c>
      <c r="F5667" s="890">
        <v>0.75518518518518518</v>
      </c>
    </row>
    <row r="5668" spans="1:6">
      <c r="A5668" s="888" t="s">
        <v>4600</v>
      </c>
      <c r="B5668" s="888" t="s">
        <v>4601</v>
      </c>
      <c r="C5668" s="888" t="s">
        <v>1514</v>
      </c>
    </row>
    <row r="5669" spans="1:6">
      <c r="A5669" s="888">
        <v>3</v>
      </c>
      <c r="B5669" s="888" t="s">
        <v>1108</v>
      </c>
      <c r="C5669" s="888" t="s">
        <v>1387</v>
      </c>
      <c r="D5669" s="889">
        <v>46050</v>
      </c>
      <c r="E5669" s="890">
        <v>0.35473379629629631</v>
      </c>
      <c r="F5669" s="890">
        <v>0.75744212962962965</v>
      </c>
    </row>
    <row r="5670" spans="1:6">
      <c r="A5670" s="888" t="s">
        <v>4602</v>
      </c>
      <c r="B5670" s="888" t="s">
        <v>4603</v>
      </c>
      <c r="C5670" s="888" t="s">
        <v>1624</v>
      </c>
    </row>
    <row r="5671" spans="1:6">
      <c r="A5671" s="888">
        <v>3</v>
      </c>
      <c r="B5671" s="888" t="s">
        <v>1108</v>
      </c>
      <c r="C5671" s="888" t="s">
        <v>1387</v>
      </c>
      <c r="D5671" s="889">
        <v>46051</v>
      </c>
      <c r="E5671" s="890">
        <v>0.35932870370370368</v>
      </c>
      <c r="F5671" s="890">
        <v>0.75895833333333329</v>
      </c>
    </row>
    <row r="5672" spans="1:6">
      <c r="A5672" s="888" t="s">
        <v>4604</v>
      </c>
      <c r="B5672" s="888" t="s">
        <v>4605</v>
      </c>
      <c r="C5672" s="888" t="s">
        <v>1288</v>
      </c>
    </row>
    <row r="5673" spans="1:6">
      <c r="A5673" s="888">
        <v>3</v>
      </c>
      <c r="B5673" s="888" t="s">
        <v>1108</v>
      </c>
      <c r="C5673" s="888" t="s">
        <v>1387</v>
      </c>
      <c r="D5673" s="889">
        <v>46052</v>
      </c>
      <c r="E5673" s="888" t="s">
        <v>310</v>
      </c>
      <c r="F5673" s="888" t="s">
        <v>310</v>
      </c>
    </row>
    <row r="5674" spans="1:6">
      <c r="A5674" s="888">
        <v>3</v>
      </c>
      <c r="B5674" s="888" t="s">
        <v>1108</v>
      </c>
      <c r="C5674" s="888" t="s">
        <v>1387</v>
      </c>
      <c r="D5674" s="889">
        <v>46053</v>
      </c>
      <c r="E5674" s="888" t="s">
        <v>310</v>
      </c>
      <c r="F5674" s="888" t="s">
        <v>310</v>
      </c>
    </row>
    <row r="5675" spans="1:6">
      <c r="A5675" s="888">
        <v>3</v>
      </c>
      <c r="B5675" s="888" t="s">
        <v>1108</v>
      </c>
      <c r="C5675" s="888" t="s">
        <v>1387</v>
      </c>
      <c r="D5675" s="889">
        <v>46054</v>
      </c>
      <c r="E5675" s="888" t="s">
        <v>310</v>
      </c>
      <c r="F5675" s="888" t="s">
        <v>310</v>
      </c>
    </row>
    <row r="5676" spans="1:6">
      <c r="A5676" s="888">
        <v>30</v>
      </c>
      <c r="B5676" s="888" t="s">
        <v>1113</v>
      </c>
      <c r="C5676" s="888" t="s">
        <v>1387</v>
      </c>
      <c r="D5676" s="889">
        <v>46023</v>
      </c>
      <c r="E5676" s="888" t="s">
        <v>310</v>
      </c>
      <c r="F5676" s="888" t="s">
        <v>310</v>
      </c>
    </row>
    <row r="5677" spans="1:6">
      <c r="A5677" s="888">
        <v>30</v>
      </c>
      <c r="B5677" s="888" t="s">
        <v>1113</v>
      </c>
      <c r="C5677" s="888" t="s">
        <v>1387</v>
      </c>
      <c r="D5677" s="889">
        <v>46024</v>
      </c>
      <c r="E5677" s="888" t="s">
        <v>310</v>
      </c>
      <c r="F5677" s="888" t="s">
        <v>310</v>
      </c>
    </row>
    <row r="5678" spans="1:6">
      <c r="A5678" s="888">
        <v>30</v>
      </c>
      <c r="B5678" s="888" t="s">
        <v>1113</v>
      </c>
      <c r="C5678" s="888" t="s">
        <v>1387</v>
      </c>
      <c r="D5678" s="889">
        <v>46025</v>
      </c>
      <c r="E5678" s="888" t="s">
        <v>310</v>
      </c>
      <c r="F5678" s="888" t="s">
        <v>310</v>
      </c>
    </row>
    <row r="5679" spans="1:6">
      <c r="A5679" s="888">
        <v>30</v>
      </c>
      <c r="B5679" s="888" t="s">
        <v>1113</v>
      </c>
      <c r="C5679" s="888" t="s">
        <v>1387</v>
      </c>
      <c r="D5679" s="889">
        <v>46026</v>
      </c>
      <c r="E5679" s="888" t="s">
        <v>310</v>
      </c>
      <c r="F5679" s="888" t="s">
        <v>310</v>
      </c>
    </row>
    <row r="5680" spans="1:6">
      <c r="A5680" s="888">
        <v>30</v>
      </c>
      <c r="B5680" s="888" t="s">
        <v>1113</v>
      </c>
      <c r="C5680" s="888" t="s">
        <v>1387</v>
      </c>
      <c r="D5680" s="889">
        <v>46027</v>
      </c>
      <c r="E5680" s="890">
        <v>0.3526273148148148</v>
      </c>
      <c r="F5680" s="890">
        <v>0.7540162037037037</v>
      </c>
    </row>
    <row r="5681" spans="1:6">
      <c r="A5681" s="888" t="s">
        <v>4606</v>
      </c>
      <c r="B5681" s="888" t="s">
        <v>4607</v>
      </c>
      <c r="C5681" s="888" t="s">
        <v>1466</v>
      </c>
    </row>
    <row r="5682" spans="1:6">
      <c r="A5682" s="888">
        <v>30</v>
      </c>
      <c r="B5682" s="888" t="s">
        <v>1113</v>
      </c>
      <c r="C5682" s="888" t="s">
        <v>1387</v>
      </c>
      <c r="D5682" s="889">
        <v>46028</v>
      </c>
      <c r="E5682" s="890">
        <v>0.57383101851851848</v>
      </c>
      <c r="F5682" s="890">
        <v>0.75383101851851853</v>
      </c>
    </row>
    <row r="5683" spans="1:6">
      <c r="A5683" s="888" t="s">
        <v>4608</v>
      </c>
      <c r="B5683" s="888" t="s">
        <v>4609</v>
      </c>
      <c r="C5683" s="888" t="s">
        <v>4610</v>
      </c>
    </row>
    <row r="5684" spans="1:6">
      <c r="A5684" s="888">
        <v>30</v>
      </c>
      <c r="B5684" s="888" t="s">
        <v>1113</v>
      </c>
      <c r="C5684" s="888" t="s">
        <v>1387</v>
      </c>
      <c r="D5684" s="889">
        <v>46029</v>
      </c>
      <c r="E5684" s="890">
        <v>0.42093750000000002</v>
      </c>
      <c r="F5684" s="890">
        <v>0.7530324074074074</v>
      </c>
    </row>
    <row r="5685" spans="1:6">
      <c r="A5685" s="888" t="s">
        <v>4611</v>
      </c>
      <c r="B5685" s="888" t="s">
        <v>4612</v>
      </c>
      <c r="C5685" s="888" t="s">
        <v>4613</v>
      </c>
    </row>
    <row r="5686" spans="1:6">
      <c r="A5686" s="888">
        <v>30</v>
      </c>
      <c r="B5686" s="888" t="s">
        <v>1113</v>
      </c>
      <c r="C5686" s="888" t="s">
        <v>1387</v>
      </c>
      <c r="D5686" s="889">
        <v>46030</v>
      </c>
      <c r="E5686" s="890">
        <v>0.36841435185185184</v>
      </c>
      <c r="F5686" s="890">
        <v>0.75285879629629626</v>
      </c>
    </row>
    <row r="5687" spans="1:6">
      <c r="A5687" s="888" t="s">
        <v>4614</v>
      </c>
      <c r="B5687" s="888" t="s">
        <v>4615</v>
      </c>
      <c r="C5687" s="888" t="s">
        <v>3170</v>
      </c>
    </row>
    <row r="5688" spans="1:6">
      <c r="A5688" s="888">
        <v>30</v>
      </c>
      <c r="B5688" s="888" t="s">
        <v>1113</v>
      </c>
      <c r="C5688" s="888" t="s">
        <v>1387</v>
      </c>
      <c r="D5688" s="889">
        <v>46031</v>
      </c>
      <c r="E5688" s="888" t="s">
        <v>310</v>
      </c>
      <c r="F5688" s="888" t="s">
        <v>310</v>
      </c>
    </row>
    <row r="5689" spans="1:6">
      <c r="A5689" s="888">
        <v>30</v>
      </c>
      <c r="B5689" s="888" t="s">
        <v>1113</v>
      </c>
      <c r="C5689" s="888" t="s">
        <v>1387</v>
      </c>
      <c r="D5689" s="889">
        <v>46032</v>
      </c>
      <c r="E5689" s="888" t="s">
        <v>310</v>
      </c>
      <c r="F5689" s="888" t="s">
        <v>310</v>
      </c>
    </row>
    <row r="5690" spans="1:6">
      <c r="A5690" s="888">
        <v>30</v>
      </c>
      <c r="B5690" s="888" t="s">
        <v>1113</v>
      </c>
      <c r="C5690" s="888" t="s">
        <v>1387</v>
      </c>
      <c r="D5690" s="889">
        <v>46033</v>
      </c>
      <c r="E5690" s="888" t="s">
        <v>310</v>
      </c>
      <c r="F5690" s="888" t="s">
        <v>310</v>
      </c>
    </row>
    <row r="5691" spans="1:6">
      <c r="A5691" s="888">
        <v>30</v>
      </c>
      <c r="B5691" s="888" t="s">
        <v>1113</v>
      </c>
      <c r="C5691" s="888" t="s">
        <v>1387</v>
      </c>
      <c r="D5691" s="889">
        <v>46034</v>
      </c>
      <c r="E5691" s="890">
        <v>0.41528935185185184</v>
      </c>
      <c r="F5691" s="890">
        <v>0.75292824074074072</v>
      </c>
    </row>
    <row r="5692" spans="1:6">
      <c r="A5692" s="888" t="s">
        <v>4616</v>
      </c>
      <c r="B5692" s="888" t="s">
        <v>4617</v>
      </c>
      <c r="C5692" s="888" t="s">
        <v>4323</v>
      </c>
    </row>
    <row r="5693" spans="1:6">
      <c r="A5693" s="888">
        <v>30</v>
      </c>
      <c r="B5693" s="888" t="s">
        <v>1113</v>
      </c>
      <c r="C5693" s="888" t="s">
        <v>1387</v>
      </c>
      <c r="D5693" s="889">
        <v>46035</v>
      </c>
      <c r="E5693" s="890">
        <v>0.35518518518518516</v>
      </c>
      <c r="F5693" s="890">
        <v>0.75385416666666671</v>
      </c>
    </row>
    <row r="5694" spans="1:6">
      <c r="A5694" s="888" t="s">
        <v>4618</v>
      </c>
      <c r="B5694" s="888" t="s">
        <v>4619</v>
      </c>
      <c r="C5694" s="888" t="s">
        <v>1383</v>
      </c>
    </row>
    <row r="5695" spans="1:6">
      <c r="A5695" s="888">
        <v>30</v>
      </c>
      <c r="B5695" s="888" t="s">
        <v>1113</v>
      </c>
      <c r="C5695" s="888" t="s">
        <v>1387</v>
      </c>
      <c r="D5695" s="889">
        <v>46036</v>
      </c>
      <c r="E5695" s="890">
        <v>0.44755787037037037</v>
      </c>
      <c r="F5695" s="890">
        <v>0.75430555555555556</v>
      </c>
    </row>
    <row r="5696" spans="1:6">
      <c r="A5696" s="888" t="s">
        <v>4620</v>
      </c>
      <c r="B5696" s="888" t="s">
        <v>4621</v>
      </c>
      <c r="C5696" s="888" t="s">
        <v>4622</v>
      </c>
    </row>
    <row r="5697" spans="1:6">
      <c r="A5697" s="888">
        <v>30</v>
      </c>
      <c r="B5697" s="888" t="s">
        <v>1113</v>
      </c>
      <c r="C5697" s="888" t="s">
        <v>1387</v>
      </c>
      <c r="D5697" s="889">
        <v>46037</v>
      </c>
      <c r="E5697" s="888" t="s">
        <v>310</v>
      </c>
      <c r="F5697" s="888" t="s">
        <v>310</v>
      </c>
    </row>
    <row r="5698" spans="1:6">
      <c r="A5698" s="888">
        <v>30</v>
      </c>
      <c r="B5698" s="888" t="s">
        <v>1113</v>
      </c>
      <c r="C5698" s="888" t="s">
        <v>1387</v>
      </c>
      <c r="D5698" s="889">
        <v>46038</v>
      </c>
      <c r="E5698" s="888" t="s">
        <v>310</v>
      </c>
      <c r="F5698" s="888" t="s">
        <v>310</v>
      </c>
    </row>
    <row r="5699" spans="1:6">
      <c r="A5699" s="888">
        <v>30</v>
      </c>
      <c r="B5699" s="888" t="s">
        <v>1113</v>
      </c>
      <c r="C5699" s="888" t="s">
        <v>1387</v>
      </c>
      <c r="D5699" s="889">
        <v>46039</v>
      </c>
      <c r="E5699" s="888" t="s">
        <v>310</v>
      </c>
      <c r="F5699" s="888" t="s">
        <v>310</v>
      </c>
    </row>
    <row r="5700" spans="1:6">
      <c r="A5700" s="888">
        <v>30</v>
      </c>
      <c r="B5700" s="888" t="s">
        <v>1113</v>
      </c>
      <c r="C5700" s="888" t="s">
        <v>1387</v>
      </c>
      <c r="D5700" s="889">
        <v>46040</v>
      </c>
      <c r="E5700" s="888" t="s">
        <v>310</v>
      </c>
      <c r="F5700" s="888" t="s">
        <v>310</v>
      </c>
    </row>
    <row r="5701" spans="1:6">
      <c r="A5701" s="888">
        <v>30</v>
      </c>
      <c r="B5701" s="888" t="s">
        <v>1113</v>
      </c>
      <c r="C5701" s="888" t="s">
        <v>1387</v>
      </c>
      <c r="D5701" s="889">
        <v>46041</v>
      </c>
      <c r="E5701" s="890">
        <v>0.35523148148148148</v>
      </c>
      <c r="F5701" s="890">
        <v>0.75228009259259254</v>
      </c>
    </row>
    <row r="5702" spans="1:6">
      <c r="A5702" s="888" t="s">
        <v>4623</v>
      </c>
      <c r="B5702" s="888" t="s">
        <v>4624</v>
      </c>
      <c r="C5702" s="888" t="s">
        <v>1514</v>
      </c>
    </row>
    <row r="5703" spans="1:6">
      <c r="A5703" s="888">
        <v>30</v>
      </c>
      <c r="B5703" s="888" t="s">
        <v>1113</v>
      </c>
      <c r="C5703" s="888" t="s">
        <v>1387</v>
      </c>
      <c r="D5703" s="889">
        <v>46042</v>
      </c>
      <c r="E5703" s="890">
        <v>0.39734953703703701</v>
      </c>
      <c r="F5703" s="890">
        <v>0.75346064814814817</v>
      </c>
    </row>
    <row r="5704" spans="1:6">
      <c r="A5704" s="888" t="s">
        <v>4625</v>
      </c>
      <c r="B5704" s="888" t="s">
        <v>4626</v>
      </c>
      <c r="C5704" s="888" t="s">
        <v>4627</v>
      </c>
    </row>
    <row r="5705" spans="1:6">
      <c r="A5705" s="888">
        <v>30</v>
      </c>
      <c r="B5705" s="888" t="s">
        <v>1113</v>
      </c>
      <c r="C5705" s="888" t="s">
        <v>1387</v>
      </c>
      <c r="D5705" s="889">
        <v>46043</v>
      </c>
      <c r="E5705" s="890">
        <v>0.7553009259259259</v>
      </c>
      <c r="F5705" s="888" t="s">
        <v>310</v>
      </c>
    </row>
    <row r="5706" spans="1:6">
      <c r="A5706" s="888" t="s">
        <v>4628</v>
      </c>
      <c r="B5706" s="888" t="s">
        <v>1258</v>
      </c>
      <c r="C5706" s="888" t="s">
        <v>1259</v>
      </c>
    </row>
    <row r="5707" spans="1:6">
      <c r="A5707" s="888">
        <v>30</v>
      </c>
      <c r="B5707" s="888" t="s">
        <v>1113</v>
      </c>
      <c r="C5707" s="888" t="s">
        <v>1387</v>
      </c>
      <c r="D5707" s="889">
        <v>46044</v>
      </c>
      <c r="E5707" s="890">
        <v>0.42158564814814814</v>
      </c>
      <c r="F5707" s="890">
        <v>0.75185185185185188</v>
      </c>
    </row>
    <row r="5708" spans="1:6">
      <c r="A5708" s="888" t="s">
        <v>4629</v>
      </c>
      <c r="B5708" s="888" t="s">
        <v>4630</v>
      </c>
      <c r="C5708" s="888" t="s">
        <v>4631</v>
      </c>
    </row>
    <row r="5709" spans="1:6">
      <c r="A5709" s="888">
        <v>30</v>
      </c>
      <c r="B5709" s="888" t="s">
        <v>1113</v>
      </c>
      <c r="C5709" s="888" t="s">
        <v>1387</v>
      </c>
      <c r="D5709" s="889">
        <v>46045</v>
      </c>
      <c r="E5709" s="888" t="s">
        <v>310</v>
      </c>
      <c r="F5709" s="888" t="s">
        <v>310</v>
      </c>
    </row>
    <row r="5710" spans="1:6">
      <c r="A5710" s="888">
        <v>30</v>
      </c>
      <c r="B5710" s="888" t="s">
        <v>1113</v>
      </c>
      <c r="C5710" s="888" t="s">
        <v>1387</v>
      </c>
      <c r="D5710" s="889">
        <v>46046</v>
      </c>
      <c r="E5710" s="888" t="s">
        <v>310</v>
      </c>
      <c r="F5710" s="888" t="s">
        <v>310</v>
      </c>
    </row>
    <row r="5711" spans="1:6">
      <c r="A5711" s="888">
        <v>30</v>
      </c>
      <c r="B5711" s="888" t="s">
        <v>1113</v>
      </c>
      <c r="C5711" s="888" t="s">
        <v>1387</v>
      </c>
      <c r="D5711" s="889">
        <v>46047</v>
      </c>
      <c r="E5711" s="888" t="s">
        <v>310</v>
      </c>
      <c r="F5711" s="888" t="s">
        <v>310</v>
      </c>
    </row>
    <row r="5712" spans="1:6">
      <c r="A5712" s="888">
        <v>30</v>
      </c>
      <c r="B5712" s="888" t="s">
        <v>1113</v>
      </c>
      <c r="C5712" s="888" t="s">
        <v>1387</v>
      </c>
      <c r="D5712" s="889">
        <v>46048</v>
      </c>
      <c r="E5712" s="890">
        <v>0.35449074074074072</v>
      </c>
      <c r="F5712" s="890">
        <v>0.75309027777777782</v>
      </c>
    </row>
    <row r="5713" spans="1:6">
      <c r="A5713" s="888" t="s">
        <v>4632</v>
      </c>
      <c r="B5713" s="888" t="s">
        <v>4633</v>
      </c>
      <c r="C5713" s="888" t="s">
        <v>1383</v>
      </c>
    </row>
    <row r="5714" spans="1:6">
      <c r="A5714" s="888">
        <v>30</v>
      </c>
      <c r="B5714" s="888" t="s">
        <v>1113</v>
      </c>
      <c r="C5714" s="888" t="s">
        <v>1387</v>
      </c>
      <c r="D5714" s="889">
        <v>46049</v>
      </c>
      <c r="E5714" s="890">
        <v>0.55717592592592591</v>
      </c>
      <c r="F5714" s="890">
        <v>0.75488425925925928</v>
      </c>
    </row>
    <row r="5715" spans="1:6">
      <c r="A5715" s="888" t="s">
        <v>4634</v>
      </c>
      <c r="B5715" s="888" t="s">
        <v>4635</v>
      </c>
      <c r="C5715" s="888" t="s">
        <v>4636</v>
      </c>
    </row>
    <row r="5716" spans="1:6">
      <c r="A5716" s="888">
        <v>30</v>
      </c>
      <c r="B5716" s="888" t="s">
        <v>1113</v>
      </c>
      <c r="C5716" s="888" t="s">
        <v>1387</v>
      </c>
      <c r="D5716" s="889">
        <v>46050</v>
      </c>
      <c r="E5716" s="890">
        <v>0.56530092592592596</v>
      </c>
      <c r="F5716" s="890">
        <v>0.75246527777777783</v>
      </c>
    </row>
    <row r="5717" spans="1:6">
      <c r="A5717" s="888" t="s">
        <v>4637</v>
      </c>
      <c r="B5717" s="888" t="s">
        <v>4638</v>
      </c>
      <c r="C5717" s="888" t="s">
        <v>4639</v>
      </c>
    </row>
    <row r="5718" spans="1:6">
      <c r="A5718" s="888">
        <v>30</v>
      </c>
      <c r="B5718" s="888" t="s">
        <v>1113</v>
      </c>
      <c r="C5718" s="888" t="s">
        <v>1387</v>
      </c>
      <c r="D5718" s="889">
        <v>46051</v>
      </c>
      <c r="E5718" s="890">
        <v>0.35469907407407408</v>
      </c>
      <c r="F5718" s="890">
        <v>0.75453703703703701</v>
      </c>
    </row>
    <row r="5719" spans="1:6">
      <c r="A5719" s="888" t="s">
        <v>4640</v>
      </c>
      <c r="B5719" s="888" t="s">
        <v>4641</v>
      </c>
      <c r="C5719" s="888" t="s">
        <v>1526</v>
      </c>
    </row>
    <row r="5720" spans="1:6">
      <c r="A5720" s="888">
        <v>30</v>
      </c>
      <c r="B5720" s="888" t="s">
        <v>1113</v>
      </c>
      <c r="C5720" s="888" t="s">
        <v>1387</v>
      </c>
      <c r="D5720" s="889">
        <v>46052</v>
      </c>
      <c r="E5720" s="888" t="s">
        <v>310</v>
      </c>
      <c r="F5720" s="888" t="s">
        <v>310</v>
      </c>
    </row>
    <row r="5721" spans="1:6">
      <c r="A5721" s="888">
        <v>30</v>
      </c>
      <c r="B5721" s="888" t="s">
        <v>1113</v>
      </c>
      <c r="C5721" s="888" t="s">
        <v>1387</v>
      </c>
      <c r="D5721" s="889">
        <v>46053</v>
      </c>
      <c r="E5721" s="888" t="s">
        <v>310</v>
      </c>
      <c r="F5721" s="888" t="s">
        <v>310</v>
      </c>
    </row>
    <row r="5722" spans="1:6">
      <c r="A5722" s="888">
        <v>30</v>
      </c>
      <c r="B5722" s="888" t="s">
        <v>1113</v>
      </c>
      <c r="C5722" s="888" t="s">
        <v>1387</v>
      </c>
      <c r="D5722" s="889">
        <v>46054</v>
      </c>
      <c r="E5722" s="888" t="s">
        <v>310</v>
      </c>
      <c r="F5722" s="888" t="s">
        <v>310</v>
      </c>
    </row>
    <row r="5723" spans="1:6">
      <c r="A5723" s="888">
        <v>300</v>
      </c>
      <c r="B5723" s="888" t="s">
        <v>1193</v>
      </c>
      <c r="C5723" s="888" t="s">
        <v>1387</v>
      </c>
      <c r="D5723" s="889">
        <v>46023</v>
      </c>
      <c r="E5723" s="888" t="s">
        <v>310</v>
      </c>
      <c r="F5723" s="888" t="s">
        <v>310</v>
      </c>
    </row>
    <row r="5724" spans="1:6">
      <c r="A5724" s="888">
        <v>300</v>
      </c>
      <c r="B5724" s="888" t="s">
        <v>1193</v>
      </c>
      <c r="C5724" s="888" t="s">
        <v>1387</v>
      </c>
      <c r="D5724" s="889">
        <v>46024</v>
      </c>
      <c r="E5724" s="888" t="s">
        <v>310</v>
      </c>
      <c r="F5724" s="888" t="s">
        <v>310</v>
      </c>
    </row>
    <row r="5725" spans="1:6">
      <c r="A5725" s="888">
        <v>300</v>
      </c>
      <c r="B5725" s="888" t="s">
        <v>1193</v>
      </c>
      <c r="C5725" s="888" t="s">
        <v>1387</v>
      </c>
      <c r="D5725" s="889">
        <v>46025</v>
      </c>
      <c r="E5725" s="888" t="s">
        <v>310</v>
      </c>
      <c r="F5725" s="888" t="s">
        <v>310</v>
      </c>
    </row>
    <row r="5726" spans="1:6">
      <c r="A5726" s="888">
        <v>300</v>
      </c>
      <c r="B5726" s="888" t="s">
        <v>1193</v>
      </c>
      <c r="C5726" s="888" t="s">
        <v>1387</v>
      </c>
      <c r="D5726" s="889">
        <v>46026</v>
      </c>
      <c r="E5726" s="888" t="s">
        <v>310</v>
      </c>
      <c r="F5726" s="888" t="s">
        <v>310</v>
      </c>
    </row>
    <row r="5727" spans="1:6">
      <c r="A5727" s="888">
        <v>300</v>
      </c>
      <c r="B5727" s="888" t="s">
        <v>1193</v>
      </c>
      <c r="C5727" s="888" t="s">
        <v>1387</v>
      </c>
      <c r="D5727" s="889">
        <v>46027</v>
      </c>
      <c r="E5727" s="890">
        <v>0.34581018518518519</v>
      </c>
      <c r="F5727" s="890">
        <v>0.75456018518518519</v>
      </c>
    </row>
    <row r="5728" spans="1:6">
      <c r="A5728" s="888" t="s">
        <v>4642</v>
      </c>
      <c r="B5728" s="888" t="s">
        <v>4643</v>
      </c>
      <c r="C5728" s="888" t="s">
        <v>1372</v>
      </c>
    </row>
    <row r="5729" spans="1:6">
      <c r="A5729" s="888">
        <v>300</v>
      </c>
      <c r="B5729" s="888" t="s">
        <v>1193</v>
      </c>
      <c r="C5729" s="888" t="s">
        <v>1387</v>
      </c>
      <c r="D5729" s="889">
        <v>46028</v>
      </c>
      <c r="E5729" s="888" t="s">
        <v>310</v>
      </c>
      <c r="F5729" s="888" t="s">
        <v>310</v>
      </c>
    </row>
    <row r="5730" spans="1:6">
      <c r="A5730" s="888">
        <v>300</v>
      </c>
      <c r="B5730" s="888" t="s">
        <v>1193</v>
      </c>
      <c r="C5730" s="888" t="s">
        <v>1387</v>
      </c>
      <c r="D5730" s="889">
        <v>46029</v>
      </c>
      <c r="E5730" s="890">
        <v>0.35283564814814816</v>
      </c>
      <c r="F5730" s="890">
        <v>0.78885416666666663</v>
      </c>
    </row>
    <row r="5731" spans="1:6">
      <c r="A5731" s="888" t="s">
        <v>4644</v>
      </c>
      <c r="B5731" s="888" t="s">
        <v>4645</v>
      </c>
      <c r="C5731" s="888" t="s">
        <v>2268</v>
      </c>
    </row>
    <row r="5732" spans="1:6">
      <c r="A5732" s="888">
        <v>300</v>
      </c>
      <c r="B5732" s="888" t="s">
        <v>1193</v>
      </c>
      <c r="C5732" s="888" t="s">
        <v>1387</v>
      </c>
      <c r="D5732" s="889">
        <v>46030</v>
      </c>
      <c r="E5732" s="890">
        <v>0.35673611111111109</v>
      </c>
      <c r="F5732" s="890">
        <v>0.75163194444444448</v>
      </c>
    </row>
    <row r="5733" spans="1:6">
      <c r="A5733" s="888" t="s">
        <v>4646</v>
      </c>
      <c r="B5733" s="888" t="s">
        <v>4647</v>
      </c>
      <c r="C5733" s="888" t="s">
        <v>1413</v>
      </c>
    </row>
    <row r="5734" spans="1:6">
      <c r="A5734" s="888">
        <v>300</v>
      </c>
      <c r="B5734" s="888" t="s">
        <v>1193</v>
      </c>
      <c r="C5734" s="888" t="s">
        <v>1387</v>
      </c>
      <c r="D5734" s="889">
        <v>46031</v>
      </c>
      <c r="E5734" s="888" t="s">
        <v>310</v>
      </c>
      <c r="F5734" s="888" t="s">
        <v>310</v>
      </c>
    </row>
    <row r="5735" spans="1:6">
      <c r="A5735" s="888">
        <v>300</v>
      </c>
      <c r="B5735" s="888" t="s">
        <v>1193</v>
      </c>
      <c r="C5735" s="888" t="s">
        <v>1387</v>
      </c>
      <c r="D5735" s="889">
        <v>46032</v>
      </c>
      <c r="E5735" s="888" t="s">
        <v>310</v>
      </c>
      <c r="F5735" s="888" t="s">
        <v>310</v>
      </c>
    </row>
    <row r="5736" spans="1:6">
      <c r="A5736" s="888">
        <v>300</v>
      </c>
      <c r="B5736" s="888" t="s">
        <v>1193</v>
      </c>
      <c r="C5736" s="888" t="s">
        <v>1387</v>
      </c>
      <c r="D5736" s="889">
        <v>46033</v>
      </c>
      <c r="E5736" s="888" t="s">
        <v>310</v>
      </c>
      <c r="F5736" s="888" t="s">
        <v>310</v>
      </c>
    </row>
    <row r="5737" spans="1:6">
      <c r="A5737" s="888">
        <v>300</v>
      </c>
      <c r="B5737" s="888" t="s">
        <v>1193</v>
      </c>
      <c r="C5737" s="888" t="s">
        <v>1387</v>
      </c>
      <c r="D5737" s="889">
        <v>46034</v>
      </c>
      <c r="E5737" s="890">
        <v>0.85039351851851852</v>
      </c>
      <c r="F5737" s="890">
        <v>0.85545138888888894</v>
      </c>
    </row>
    <row r="5738" spans="1:6">
      <c r="A5738" s="888" t="s">
        <v>4648</v>
      </c>
      <c r="B5738" s="888" t="s">
        <v>4649</v>
      </c>
      <c r="C5738" s="888" t="s">
        <v>4650</v>
      </c>
    </row>
    <row r="5739" spans="1:6">
      <c r="A5739" s="888">
        <v>300</v>
      </c>
      <c r="B5739" s="888" t="s">
        <v>1193</v>
      </c>
      <c r="C5739" s="888" t="s">
        <v>1387</v>
      </c>
      <c r="D5739" s="889">
        <v>46035</v>
      </c>
      <c r="E5739" s="888" t="s">
        <v>310</v>
      </c>
      <c r="F5739" s="888" t="s">
        <v>310</v>
      </c>
    </row>
    <row r="5740" spans="1:6">
      <c r="A5740" s="888">
        <v>300</v>
      </c>
      <c r="B5740" s="888" t="s">
        <v>1193</v>
      </c>
      <c r="C5740" s="888" t="s">
        <v>1387</v>
      </c>
      <c r="D5740" s="889">
        <v>46036</v>
      </c>
      <c r="E5740" s="890">
        <v>0.35608796296296297</v>
      </c>
      <c r="F5740" s="888" t="s">
        <v>310</v>
      </c>
    </row>
    <row r="5741" spans="1:6">
      <c r="A5741" s="888" t="s">
        <v>4651</v>
      </c>
      <c r="B5741" s="888" t="s">
        <v>1258</v>
      </c>
      <c r="C5741" s="888" t="s">
        <v>1259</v>
      </c>
    </row>
    <row r="5742" spans="1:6">
      <c r="A5742" s="888">
        <v>300</v>
      </c>
      <c r="B5742" s="888" t="s">
        <v>1193</v>
      </c>
      <c r="C5742" s="888" t="s">
        <v>1387</v>
      </c>
      <c r="D5742" s="889">
        <v>46037</v>
      </c>
      <c r="E5742" s="888" t="s">
        <v>310</v>
      </c>
      <c r="F5742" s="888" t="s">
        <v>310</v>
      </c>
    </row>
    <row r="5743" spans="1:6">
      <c r="A5743" s="888">
        <v>300</v>
      </c>
      <c r="B5743" s="888" t="s">
        <v>1193</v>
      </c>
      <c r="C5743" s="888" t="s">
        <v>1387</v>
      </c>
      <c r="D5743" s="889">
        <v>46038</v>
      </c>
      <c r="E5743" s="888" t="s">
        <v>310</v>
      </c>
      <c r="F5743" s="888" t="s">
        <v>310</v>
      </c>
    </row>
    <row r="5744" spans="1:6">
      <c r="A5744" s="888">
        <v>300</v>
      </c>
      <c r="B5744" s="888" t="s">
        <v>1193</v>
      </c>
      <c r="C5744" s="888" t="s">
        <v>1387</v>
      </c>
      <c r="D5744" s="889">
        <v>46039</v>
      </c>
      <c r="E5744" s="888" t="s">
        <v>310</v>
      </c>
      <c r="F5744" s="888" t="s">
        <v>310</v>
      </c>
    </row>
    <row r="5745" spans="1:6">
      <c r="A5745" s="888">
        <v>300</v>
      </c>
      <c r="B5745" s="888" t="s">
        <v>1193</v>
      </c>
      <c r="C5745" s="888" t="s">
        <v>1387</v>
      </c>
      <c r="D5745" s="889">
        <v>46040</v>
      </c>
      <c r="E5745" s="888" t="s">
        <v>310</v>
      </c>
      <c r="F5745" s="888" t="s">
        <v>310</v>
      </c>
    </row>
    <row r="5746" spans="1:6">
      <c r="A5746" s="888">
        <v>300</v>
      </c>
      <c r="B5746" s="888" t="s">
        <v>1193</v>
      </c>
      <c r="C5746" s="888" t="s">
        <v>1387</v>
      </c>
      <c r="D5746" s="889">
        <v>46041</v>
      </c>
      <c r="E5746" s="890">
        <v>0.35460648148148149</v>
      </c>
      <c r="F5746" s="890">
        <v>0.75217592592592597</v>
      </c>
    </row>
    <row r="5747" spans="1:6">
      <c r="A5747" s="888" t="s">
        <v>4652</v>
      </c>
      <c r="B5747" s="888" t="s">
        <v>4653</v>
      </c>
      <c r="C5747" s="888" t="s">
        <v>1457</v>
      </c>
    </row>
    <row r="5748" spans="1:6">
      <c r="A5748" s="888">
        <v>300</v>
      </c>
      <c r="B5748" s="888" t="s">
        <v>1193</v>
      </c>
      <c r="C5748" s="888" t="s">
        <v>1387</v>
      </c>
      <c r="D5748" s="889">
        <v>46042</v>
      </c>
      <c r="E5748" s="890">
        <v>0.35797453703703702</v>
      </c>
      <c r="F5748" s="890">
        <v>0.75423611111111111</v>
      </c>
    </row>
    <row r="5749" spans="1:6">
      <c r="A5749" s="888" t="s">
        <v>4654</v>
      </c>
      <c r="B5749" s="888" t="s">
        <v>4655</v>
      </c>
      <c r="C5749" s="888" t="s">
        <v>1452</v>
      </c>
    </row>
    <row r="5750" spans="1:6">
      <c r="A5750" s="888">
        <v>300</v>
      </c>
      <c r="B5750" s="888" t="s">
        <v>1193</v>
      </c>
      <c r="C5750" s="888" t="s">
        <v>1387</v>
      </c>
      <c r="D5750" s="889">
        <v>46043</v>
      </c>
      <c r="E5750" s="890">
        <v>0.35561342592592593</v>
      </c>
      <c r="F5750" s="890">
        <v>0.75368055555555558</v>
      </c>
    </row>
    <row r="5751" spans="1:6">
      <c r="A5751" s="888" t="s">
        <v>4656</v>
      </c>
      <c r="B5751" s="888" t="s">
        <v>4657</v>
      </c>
      <c r="C5751" s="888" t="s">
        <v>1457</v>
      </c>
    </row>
    <row r="5752" spans="1:6">
      <c r="A5752" s="888">
        <v>300</v>
      </c>
      <c r="B5752" s="888" t="s">
        <v>1193</v>
      </c>
      <c r="C5752" s="888" t="s">
        <v>1387</v>
      </c>
      <c r="D5752" s="889">
        <v>46044</v>
      </c>
      <c r="E5752" s="890">
        <v>0.35524305555555558</v>
      </c>
      <c r="F5752" s="890">
        <v>0.75628472222222221</v>
      </c>
    </row>
    <row r="5753" spans="1:6">
      <c r="A5753" s="888" t="s">
        <v>4658</v>
      </c>
      <c r="B5753" s="888" t="s">
        <v>4659</v>
      </c>
      <c r="C5753" s="888" t="s">
        <v>1466</v>
      </c>
    </row>
    <row r="5754" spans="1:6">
      <c r="A5754" s="888">
        <v>300</v>
      </c>
      <c r="B5754" s="888" t="s">
        <v>1193</v>
      </c>
      <c r="C5754" s="888" t="s">
        <v>1387</v>
      </c>
      <c r="D5754" s="889">
        <v>46045</v>
      </c>
      <c r="E5754" s="888" t="s">
        <v>310</v>
      </c>
      <c r="F5754" s="888" t="s">
        <v>310</v>
      </c>
    </row>
    <row r="5755" spans="1:6">
      <c r="A5755" s="888">
        <v>300</v>
      </c>
      <c r="B5755" s="888" t="s">
        <v>1193</v>
      </c>
      <c r="C5755" s="888" t="s">
        <v>1387</v>
      </c>
      <c r="D5755" s="889">
        <v>46046</v>
      </c>
      <c r="E5755" s="888" t="s">
        <v>310</v>
      </c>
      <c r="F5755" s="888" t="s">
        <v>310</v>
      </c>
    </row>
    <row r="5756" spans="1:6">
      <c r="A5756" s="888">
        <v>300</v>
      </c>
      <c r="B5756" s="888" t="s">
        <v>1193</v>
      </c>
      <c r="C5756" s="888" t="s">
        <v>1387</v>
      </c>
      <c r="D5756" s="889">
        <v>46047</v>
      </c>
      <c r="E5756" s="888" t="s">
        <v>310</v>
      </c>
      <c r="F5756" s="888" t="s">
        <v>310</v>
      </c>
    </row>
    <row r="5757" spans="1:6">
      <c r="A5757" s="888">
        <v>300</v>
      </c>
      <c r="B5757" s="888" t="s">
        <v>1193</v>
      </c>
      <c r="C5757" s="888" t="s">
        <v>1387</v>
      </c>
      <c r="D5757" s="889">
        <v>46048</v>
      </c>
      <c r="E5757" s="890">
        <v>0.35745370370370372</v>
      </c>
      <c r="F5757" s="890">
        <v>0.85629629629629633</v>
      </c>
    </row>
    <row r="5758" spans="1:6">
      <c r="A5758" s="888" t="s">
        <v>4660</v>
      </c>
      <c r="B5758" s="888" t="s">
        <v>4661</v>
      </c>
      <c r="C5758" s="888" t="s">
        <v>4662</v>
      </c>
    </row>
    <row r="5759" spans="1:6">
      <c r="A5759" s="888">
        <v>300</v>
      </c>
      <c r="B5759" s="888" t="s">
        <v>1193</v>
      </c>
      <c r="C5759" s="888" t="s">
        <v>1387</v>
      </c>
      <c r="D5759" s="889">
        <v>46049</v>
      </c>
      <c r="E5759" s="890">
        <v>0.35261574074074076</v>
      </c>
      <c r="F5759" s="890">
        <v>0.75755787037037037</v>
      </c>
    </row>
    <row r="5760" spans="1:6">
      <c r="A5760" s="888" t="s">
        <v>4663</v>
      </c>
      <c r="B5760" s="888" t="s">
        <v>4664</v>
      </c>
      <c r="C5760" s="888" t="s">
        <v>1356</v>
      </c>
    </row>
    <row r="5761" spans="1:6">
      <c r="A5761" s="888">
        <v>300</v>
      </c>
      <c r="B5761" s="888" t="s">
        <v>1193</v>
      </c>
      <c r="C5761" s="888" t="s">
        <v>1387</v>
      </c>
      <c r="D5761" s="889">
        <v>46050</v>
      </c>
      <c r="E5761" s="890">
        <v>0.35803240740740738</v>
      </c>
      <c r="F5761" s="890">
        <v>0.76776620370370374</v>
      </c>
    </row>
    <row r="5762" spans="1:6">
      <c r="A5762" s="888" t="s">
        <v>4665</v>
      </c>
      <c r="B5762" s="888" t="s">
        <v>4666</v>
      </c>
      <c r="C5762" s="888" t="s">
        <v>1874</v>
      </c>
    </row>
    <row r="5763" spans="1:6">
      <c r="A5763" s="888">
        <v>300</v>
      </c>
      <c r="B5763" s="888" t="s">
        <v>1193</v>
      </c>
      <c r="C5763" s="888" t="s">
        <v>1387</v>
      </c>
      <c r="D5763" s="889">
        <v>46051</v>
      </c>
      <c r="E5763" s="890">
        <v>0.35275462962962961</v>
      </c>
      <c r="F5763" s="890">
        <v>0.75664351851851852</v>
      </c>
    </row>
    <row r="5764" spans="1:6">
      <c r="A5764" s="888" t="s">
        <v>4667</v>
      </c>
      <c r="B5764" s="888" t="s">
        <v>4668</v>
      </c>
      <c r="C5764" s="888" t="s">
        <v>1266</v>
      </c>
    </row>
    <row r="5765" spans="1:6">
      <c r="A5765" s="888">
        <v>300</v>
      </c>
      <c r="B5765" s="888" t="s">
        <v>1193</v>
      </c>
      <c r="C5765" s="888" t="s">
        <v>1387</v>
      </c>
      <c r="D5765" s="889">
        <v>46052</v>
      </c>
      <c r="E5765" s="888" t="s">
        <v>310</v>
      </c>
      <c r="F5765" s="888" t="s">
        <v>310</v>
      </c>
    </row>
    <row r="5766" spans="1:6">
      <c r="A5766" s="888">
        <v>300</v>
      </c>
      <c r="B5766" s="888" t="s">
        <v>1193</v>
      </c>
      <c r="C5766" s="888" t="s">
        <v>1387</v>
      </c>
      <c r="D5766" s="889">
        <v>46053</v>
      </c>
      <c r="E5766" s="888" t="s">
        <v>310</v>
      </c>
      <c r="F5766" s="888" t="s">
        <v>310</v>
      </c>
    </row>
    <row r="5767" spans="1:6">
      <c r="A5767" s="888">
        <v>300</v>
      </c>
      <c r="B5767" s="888" t="s">
        <v>1193</v>
      </c>
      <c r="C5767" s="888" t="s">
        <v>1387</v>
      </c>
      <c r="D5767" s="889">
        <v>46054</v>
      </c>
      <c r="E5767" s="888" t="s">
        <v>310</v>
      </c>
      <c r="F5767" s="888" t="s">
        <v>310</v>
      </c>
    </row>
    <row r="5768" spans="1:6">
      <c r="A5768" s="888">
        <v>301</v>
      </c>
      <c r="B5768" s="888" t="s">
        <v>1194</v>
      </c>
      <c r="C5768" s="888" t="s">
        <v>2310</v>
      </c>
      <c r="D5768" s="889">
        <v>46023</v>
      </c>
      <c r="E5768" s="888" t="s">
        <v>310</v>
      </c>
      <c r="F5768" s="888" t="s">
        <v>310</v>
      </c>
    </row>
    <row r="5769" spans="1:6">
      <c r="A5769" s="888">
        <v>301</v>
      </c>
      <c r="B5769" s="888" t="s">
        <v>1194</v>
      </c>
      <c r="C5769" s="888" t="s">
        <v>2310</v>
      </c>
      <c r="D5769" s="889">
        <v>46024</v>
      </c>
      <c r="E5769" s="888" t="s">
        <v>310</v>
      </c>
      <c r="F5769" s="888" t="s">
        <v>310</v>
      </c>
    </row>
    <row r="5770" spans="1:6">
      <c r="A5770" s="888">
        <v>301</v>
      </c>
      <c r="B5770" s="888" t="s">
        <v>1194</v>
      </c>
      <c r="C5770" s="888" t="s">
        <v>2310</v>
      </c>
      <c r="D5770" s="889">
        <v>46025</v>
      </c>
      <c r="E5770" s="888" t="s">
        <v>310</v>
      </c>
      <c r="F5770" s="888" t="s">
        <v>310</v>
      </c>
    </row>
    <row r="5771" spans="1:6">
      <c r="A5771" s="888">
        <v>301</v>
      </c>
      <c r="B5771" s="888" t="s">
        <v>1194</v>
      </c>
      <c r="C5771" s="888" t="s">
        <v>2310</v>
      </c>
      <c r="D5771" s="889">
        <v>46026</v>
      </c>
      <c r="E5771" s="888" t="s">
        <v>310</v>
      </c>
      <c r="F5771" s="888" t="s">
        <v>310</v>
      </c>
    </row>
    <row r="5772" spans="1:6">
      <c r="A5772" s="888">
        <v>301</v>
      </c>
      <c r="B5772" s="888" t="s">
        <v>1194</v>
      </c>
      <c r="C5772" s="888" t="s">
        <v>2310</v>
      </c>
      <c r="D5772" s="889">
        <v>46027</v>
      </c>
      <c r="E5772" s="888" t="s">
        <v>310</v>
      </c>
      <c r="F5772" s="888" t="s">
        <v>310</v>
      </c>
    </row>
    <row r="5773" spans="1:6">
      <c r="A5773" s="888">
        <v>301</v>
      </c>
      <c r="B5773" s="888" t="s">
        <v>1194</v>
      </c>
      <c r="C5773" s="888" t="s">
        <v>2310</v>
      </c>
      <c r="D5773" s="889">
        <v>46028</v>
      </c>
      <c r="E5773" s="888" t="s">
        <v>310</v>
      </c>
      <c r="F5773" s="888" t="s">
        <v>310</v>
      </c>
    </row>
    <row r="5774" spans="1:6">
      <c r="A5774" s="888">
        <v>301</v>
      </c>
      <c r="B5774" s="888" t="s">
        <v>1194</v>
      </c>
      <c r="C5774" s="888" t="s">
        <v>2310</v>
      </c>
      <c r="D5774" s="889">
        <v>46029</v>
      </c>
      <c r="E5774" s="888" t="s">
        <v>310</v>
      </c>
      <c r="F5774" s="888" t="s">
        <v>310</v>
      </c>
    </row>
    <row r="5775" spans="1:6">
      <c r="A5775" s="888">
        <v>301</v>
      </c>
      <c r="B5775" s="888" t="s">
        <v>1194</v>
      </c>
      <c r="C5775" s="888" t="s">
        <v>2310</v>
      </c>
      <c r="D5775" s="889">
        <v>46030</v>
      </c>
      <c r="E5775" s="888" t="s">
        <v>310</v>
      </c>
      <c r="F5775" s="888" t="s">
        <v>310</v>
      </c>
    </row>
    <row r="5776" spans="1:6">
      <c r="A5776" s="888">
        <v>301</v>
      </c>
      <c r="B5776" s="888" t="s">
        <v>1194</v>
      </c>
      <c r="C5776" s="888" t="s">
        <v>2310</v>
      </c>
      <c r="D5776" s="889">
        <v>46031</v>
      </c>
      <c r="E5776" s="888" t="s">
        <v>310</v>
      </c>
      <c r="F5776" s="888" t="s">
        <v>310</v>
      </c>
    </row>
    <row r="5777" spans="1:6">
      <c r="A5777" s="888">
        <v>301</v>
      </c>
      <c r="B5777" s="888" t="s">
        <v>1194</v>
      </c>
      <c r="C5777" s="888" t="s">
        <v>2310</v>
      </c>
      <c r="D5777" s="889">
        <v>46032</v>
      </c>
      <c r="E5777" s="888" t="s">
        <v>310</v>
      </c>
      <c r="F5777" s="888" t="s">
        <v>310</v>
      </c>
    </row>
    <row r="5778" spans="1:6">
      <c r="A5778" s="888">
        <v>301</v>
      </c>
      <c r="B5778" s="888" t="s">
        <v>1194</v>
      </c>
      <c r="C5778" s="888" t="s">
        <v>2310</v>
      </c>
      <c r="D5778" s="889">
        <v>46033</v>
      </c>
      <c r="E5778" s="888" t="s">
        <v>310</v>
      </c>
      <c r="F5778" s="888" t="s">
        <v>310</v>
      </c>
    </row>
    <row r="5779" spans="1:6">
      <c r="A5779" s="888">
        <v>301</v>
      </c>
      <c r="B5779" s="888" t="s">
        <v>1194</v>
      </c>
      <c r="C5779" s="888" t="s">
        <v>2310</v>
      </c>
      <c r="D5779" s="889">
        <v>46034</v>
      </c>
      <c r="E5779" s="888" t="s">
        <v>310</v>
      </c>
      <c r="F5779" s="888" t="s">
        <v>310</v>
      </c>
    </row>
    <row r="5780" spans="1:6">
      <c r="A5780" s="888">
        <v>301</v>
      </c>
      <c r="B5780" s="888" t="s">
        <v>1194</v>
      </c>
      <c r="C5780" s="888" t="s">
        <v>2310</v>
      </c>
      <c r="D5780" s="889">
        <v>46035</v>
      </c>
      <c r="E5780" s="888" t="s">
        <v>310</v>
      </c>
      <c r="F5780" s="888" t="s">
        <v>310</v>
      </c>
    </row>
    <row r="5781" spans="1:6">
      <c r="A5781" s="888">
        <v>301</v>
      </c>
      <c r="B5781" s="888" t="s">
        <v>1194</v>
      </c>
      <c r="C5781" s="888" t="s">
        <v>2310</v>
      </c>
      <c r="D5781" s="889">
        <v>46036</v>
      </c>
      <c r="E5781" s="888" t="s">
        <v>310</v>
      </c>
      <c r="F5781" s="888" t="s">
        <v>310</v>
      </c>
    </row>
    <row r="5782" spans="1:6">
      <c r="A5782" s="888">
        <v>301</v>
      </c>
      <c r="B5782" s="888" t="s">
        <v>1194</v>
      </c>
      <c r="C5782" s="888" t="s">
        <v>2310</v>
      </c>
      <c r="D5782" s="889">
        <v>46037</v>
      </c>
      <c r="E5782" s="888" t="s">
        <v>310</v>
      </c>
      <c r="F5782" s="888" t="s">
        <v>310</v>
      </c>
    </row>
    <row r="5783" spans="1:6">
      <c r="A5783" s="888">
        <v>301</v>
      </c>
      <c r="B5783" s="888" t="s">
        <v>1194</v>
      </c>
      <c r="C5783" s="888" t="s">
        <v>2310</v>
      </c>
      <c r="D5783" s="889">
        <v>46038</v>
      </c>
      <c r="E5783" s="888" t="s">
        <v>310</v>
      </c>
      <c r="F5783" s="888" t="s">
        <v>310</v>
      </c>
    </row>
    <row r="5784" spans="1:6">
      <c r="A5784" s="888">
        <v>301</v>
      </c>
      <c r="B5784" s="888" t="s">
        <v>1194</v>
      </c>
      <c r="C5784" s="888" t="s">
        <v>2310</v>
      </c>
      <c r="D5784" s="889">
        <v>46039</v>
      </c>
      <c r="E5784" s="888" t="s">
        <v>310</v>
      </c>
      <c r="F5784" s="888" t="s">
        <v>310</v>
      </c>
    </row>
    <row r="5785" spans="1:6">
      <c r="A5785" s="888">
        <v>301</v>
      </c>
      <c r="B5785" s="888" t="s">
        <v>1194</v>
      </c>
      <c r="C5785" s="888" t="s">
        <v>2310</v>
      </c>
      <c r="D5785" s="889">
        <v>46040</v>
      </c>
      <c r="E5785" s="888" t="s">
        <v>310</v>
      </c>
      <c r="F5785" s="888" t="s">
        <v>310</v>
      </c>
    </row>
    <row r="5786" spans="1:6">
      <c r="A5786" s="888">
        <v>301</v>
      </c>
      <c r="B5786" s="888" t="s">
        <v>1194</v>
      </c>
      <c r="C5786" s="888" t="s">
        <v>2310</v>
      </c>
      <c r="D5786" s="889">
        <v>46041</v>
      </c>
      <c r="E5786" s="888" t="s">
        <v>310</v>
      </c>
      <c r="F5786" s="888" t="s">
        <v>310</v>
      </c>
    </row>
    <row r="5787" spans="1:6">
      <c r="A5787" s="888">
        <v>301</v>
      </c>
      <c r="B5787" s="888" t="s">
        <v>1194</v>
      </c>
      <c r="C5787" s="888" t="s">
        <v>2310</v>
      </c>
      <c r="D5787" s="889">
        <v>46042</v>
      </c>
      <c r="E5787" s="888" t="s">
        <v>310</v>
      </c>
      <c r="F5787" s="888" t="s">
        <v>310</v>
      </c>
    </row>
    <row r="5788" spans="1:6">
      <c r="A5788" s="888">
        <v>301</v>
      </c>
      <c r="B5788" s="888" t="s">
        <v>1194</v>
      </c>
      <c r="C5788" s="888" t="s">
        <v>2310</v>
      </c>
      <c r="D5788" s="889">
        <v>46043</v>
      </c>
      <c r="E5788" s="888" t="s">
        <v>310</v>
      </c>
      <c r="F5788" s="888" t="s">
        <v>310</v>
      </c>
    </row>
    <row r="5789" spans="1:6">
      <c r="A5789" s="888">
        <v>301</v>
      </c>
      <c r="B5789" s="888" t="s">
        <v>1194</v>
      </c>
      <c r="C5789" s="888" t="s">
        <v>2310</v>
      </c>
      <c r="D5789" s="889">
        <v>46044</v>
      </c>
      <c r="E5789" s="888" t="s">
        <v>310</v>
      </c>
      <c r="F5789" s="888" t="s">
        <v>310</v>
      </c>
    </row>
    <row r="5790" spans="1:6">
      <c r="A5790" s="888">
        <v>301</v>
      </c>
      <c r="B5790" s="888" t="s">
        <v>1194</v>
      </c>
      <c r="C5790" s="888" t="s">
        <v>2310</v>
      </c>
      <c r="D5790" s="889">
        <v>46045</v>
      </c>
      <c r="E5790" s="888" t="s">
        <v>310</v>
      </c>
      <c r="F5790" s="888" t="s">
        <v>310</v>
      </c>
    </row>
    <row r="5791" spans="1:6">
      <c r="A5791" s="888">
        <v>301</v>
      </c>
      <c r="B5791" s="888" t="s">
        <v>1194</v>
      </c>
      <c r="C5791" s="888" t="s">
        <v>2310</v>
      </c>
      <c r="D5791" s="889">
        <v>46046</v>
      </c>
      <c r="E5791" s="888" t="s">
        <v>310</v>
      </c>
      <c r="F5791" s="888" t="s">
        <v>310</v>
      </c>
    </row>
    <row r="5792" spans="1:6">
      <c r="A5792" s="888">
        <v>301</v>
      </c>
      <c r="B5792" s="888" t="s">
        <v>1194</v>
      </c>
      <c r="C5792" s="888" t="s">
        <v>2310</v>
      </c>
      <c r="D5792" s="889">
        <v>46047</v>
      </c>
      <c r="E5792" s="888" t="s">
        <v>310</v>
      </c>
      <c r="F5792" s="888" t="s">
        <v>310</v>
      </c>
    </row>
    <row r="5793" spans="1:6">
      <c r="A5793" s="888">
        <v>301</v>
      </c>
      <c r="B5793" s="888" t="s">
        <v>1194</v>
      </c>
      <c r="C5793" s="888" t="s">
        <v>2310</v>
      </c>
      <c r="D5793" s="889">
        <v>46048</v>
      </c>
      <c r="E5793" s="888" t="s">
        <v>310</v>
      </c>
      <c r="F5793" s="888" t="s">
        <v>310</v>
      </c>
    </row>
    <row r="5794" spans="1:6">
      <c r="A5794" s="888">
        <v>301</v>
      </c>
      <c r="B5794" s="888" t="s">
        <v>1194</v>
      </c>
      <c r="C5794" s="888" t="s">
        <v>2310</v>
      </c>
      <c r="D5794" s="889">
        <v>46049</v>
      </c>
      <c r="E5794" s="888" t="s">
        <v>310</v>
      </c>
      <c r="F5794" s="888" t="s">
        <v>310</v>
      </c>
    </row>
    <row r="5795" spans="1:6">
      <c r="A5795" s="888">
        <v>301</v>
      </c>
      <c r="B5795" s="888" t="s">
        <v>1194</v>
      </c>
      <c r="C5795" s="888" t="s">
        <v>2310</v>
      </c>
      <c r="D5795" s="889">
        <v>46050</v>
      </c>
      <c r="E5795" s="888" t="s">
        <v>310</v>
      </c>
      <c r="F5795" s="888" t="s">
        <v>310</v>
      </c>
    </row>
    <row r="5796" spans="1:6">
      <c r="A5796" s="888">
        <v>301</v>
      </c>
      <c r="B5796" s="888" t="s">
        <v>1194</v>
      </c>
      <c r="C5796" s="888" t="s">
        <v>2310</v>
      </c>
      <c r="D5796" s="889">
        <v>46051</v>
      </c>
      <c r="E5796" s="888" t="s">
        <v>310</v>
      </c>
      <c r="F5796" s="888" t="s">
        <v>310</v>
      </c>
    </row>
    <row r="5797" spans="1:6">
      <c r="A5797" s="888">
        <v>301</v>
      </c>
      <c r="B5797" s="888" t="s">
        <v>1194</v>
      </c>
      <c r="C5797" s="888" t="s">
        <v>2310</v>
      </c>
      <c r="D5797" s="889">
        <v>46052</v>
      </c>
      <c r="E5797" s="888" t="s">
        <v>310</v>
      </c>
      <c r="F5797" s="888" t="s">
        <v>310</v>
      </c>
    </row>
    <row r="5798" spans="1:6">
      <c r="A5798" s="888">
        <v>301</v>
      </c>
      <c r="B5798" s="888" t="s">
        <v>1194</v>
      </c>
      <c r="C5798" s="888" t="s">
        <v>2310</v>
      </c>
      <c r="D5798" s="889">
        <v>46053</v>
      </c>
      <c r="E5798" s="888" t="s">
        <v>310</v>
      </c>
      <c r="F5798" s="888" t="s">
        <v>310</v>
      </c>
    </row>
    <row r="5799" spans="1:6">
      <c r="A5799" s="888">
        <v>301</v>
      </c>
      <c r="B5799" s="888" t="s">
        <v>1194</v>
      </c>
      <c r="C5799" s="888" t="s">
        <v>2310</v>
      </c>
      <c r="D5799" s="889">
        <v>46054</v>
      </c>
      <c r="E5799" s="888" t="s">
        <v>310</v>
      </c>
      <c r="F5799" s="888" t="s">
        <v>310</v>
      </c>
    </row>
    <row r="5800" spans="1:6">
      <c r="A5800" s="888">
        <v>302</v>
      </c>
      <c r="B5800" s="888" t="s">
        <v>90</v>
      </c>
      <c r="C5800" s="888" t="s">
        <v>1253</v>
      </c>
      <c r="D5800" s="889">
        <v>46023</v>
      </c>
      <c r="E5800" s="888" t="s">
        <v>310</v>
      </c>
      <c r="F5800" s="888" t="s">
        <v>310</v>
      </c>
    </row>
    <row r="5801" spans="1:6">
      <c r="A5801" s="888">
        <v>302</v>
      </c>
      <c r="B5801" s="888" t="s">
        <v>90</v>
      </c>
      <c r="C5801" s="888" t="s">
        <v>1253</v>
      </c>
      <c r="D5801" s="889">
        <v>46024</v>
      </c>
      <c r="E5801" s="888" t="s">
        <v>310</v>
      </c>
      <c r="F5801" s="888" t="s">
        <v>310</v>
      </c>
    </row>
    <row r="5802" spans="1:6">
      <c r="A5802" s="888">
        <v>302</v>
      </c>
      <c r="B5802" s="888" t="s">
        <v>90</v>
      </c>
      <c r="C5802" s="888" t="s">
        <v>1253</v>
      </c>
      <c r="D5802" s="889">
        <v>46025</v>
      </c>
      <c r="E5802" s="888" t="s">
        <v>310</v>
      </c>
      <c r="F5802" s="888" t="s">
        <v>310</v>
      </c>
    </row>
    <row r="5803" spans="1:6">
      <c r="A5803" s="888">
        <v>302</v>
      </c>
      <c r="B5803" s="888" t="s">
        <v>90</v>
      </c>
      <c r="C5803" s="888" t="s">
        <v>1253</v>
      </c>
      <c r="D5803" s="889">
        <v>46026</v>
      </c>
      <c r="E5803" s="888" t="s">
        <v>310</v>
      </c>
      <c r="F5803" s="888" t="s">
        <v>310</v>
      </c>
    </row>
    <row r="5804" spans="1:6">
      <c r="A5804" s="888">
        <v>302</v>
      </c>
      <c r="B5804" s="888" t="s">
        <v>90</v>
      </c>
      <c r="C5804" s="888" t="s">
        <v>1253</v>
      </c>
      <c r="D5804" s="889">
        <v>46027</v>
      </c>
      <c r="E5804" s="888" t="s">
        <v>310</v>
      </c>
      <c r="F5804" s="888" t="s">
        <v>310</v>
      </c>
    </row>
    <row r="5805" spans="1:6">
      <c r="A5805" s="888">
        <v>302</v>
      </c>
      <c r="B5805" s="888" t="s">
        <v>90</v>
      </c>
      <c r="C5805" s="888" t="s">
        <v>1253</v>
      </c>
      <c r="D5805" s="889">
        <v>46028</v>
      </c>
      <c r="E5805" s="888" t="s">
        <v>310</v>
      </c>
      <c r="F5805" s="888" t="s">
        <v>310</v>
      </c>
    </row>
    <row r="5806" spans="1:6">
      <c r="A5806" s="888">
        <v>302</v>
      </c>
      <c r="B5806" s="888" t="s">
        <v>90</v>
      </c>
      <c r="C5806" s="888" t="s">
        <v>1253</v>
      </c>
      <c r="D5806" s="889">
        <v>46029</v>
      </c>
      <c r="E5806" s="888" t="s">
        <v>310</v>
      </c>
      <c r="F5806" s="888" t="s">
        <v>310</v>
      </c>
    </row>
    <row r="5807" spans="1:6">
      <c r="A5807" s="888">
        <v>302</v>
      </c>
      <c r="B5807" s="888" t="s">
        <v>90</v>
      </c>
      <c r="C5807" s="888" t="s">
        <v>1253</v>
      </c>
      <c r="D5807" s="889">
        <v>46030</v>
      </c>
      <c r="E5807" s="888" t="s">
        <v>310</v>
      </c>
      <c r="F5807" s="888" t="s">
        <v>310</v>
      </c>
    </row>
    <row r="5808" spans="1:6">
      <c r="A5808" s="888">
        <v>302</v>
      </c>
      <c r="B5808" s="888" t="s">
        <v>90</v>
      </c>
      <c r="C5808" s="888" t="s">
        <v>1253</v>
      </c>
      <c r="D5808" s="889">
        <v>46031</v>
      </c>
      <c r="E5808" s="888" t="s">
        <v>310</v>
      </c>
      <c r="F5808" s="888" t="s">
        <v>310</v>
      </c>
    </row>
    <row r="5809" spans="1:6">
      <c r="A5809" s="888">
        <v>302</v>
      </c>
      <c r="B5809" s="888" t="s">
        <v>90</v>
      </c>
      <c r="C5809" s="888" t="s">
        <v>1253</v>
      </c>
      <c r="D5809" s="889">
        <v>46032</v>
      </c>
      <c r="E5809" s="888" t="s">
        <v>310</v>
      </c>
      <c r="F5809" s="888" t="s">
        <v>310</v>
      </c>
    </row>
    <row r="5810" spans="1:6">
      <c r="A5810" s="888">
        <v>302</v>
      </c>
      <c r="B5810" s="888" t="s">
        <v>90</v>
      </c>
      <c r="C5810" s="888" t="s">
        <v>1253</v>
      </c>
      <c r="D5810" s="889">
        <v>46033</v>
      </c>
      <c r="E5810" s="888" t="s">
        <v>310</v>
      </c>
      <c r="F5810" s="888" t="s">
        <v>310</v>
      </c>
    </row>
    <row r="5811" spans="1:6">
      <c r="A5811" s="888">
        <v>302</v>
      </c>
      <c r="B5811" s="888" t="s">
        <v>90</v>
      </c>
      <c r="C5811" s="888" t="s">
        <v>1253</v>
      </c>
      <c r="D5811" s="889">
        <v>46034</v>
      </c>
      <c r="E5811" s="888" t="s">
        <v>310</v>
      </c>
      <c r="F5811" s="888" t="s">
        <v>310</v>
      </c>
    </row>
    <row r="5812" spans="1:6">
      <c r="A5812" s="888">
        <v>302</v>
      </c>
      <c r="B5812" s="888" t="s">
        <v>90</v>
      </c>
      <c r="C5812" s="888" t="s">
        <v>1253</v>
      </c>
      <c r="D5812" s="889">
        <v>46035</v>
      </c>
      <c r="E5812" s="888" t="s">
        <v>310</v>
      </c>
      <c r="F5812" s="888" t="s">
        <v>310</v>
      </c>
    </row>
    <row r="5813" spans="1:6">
      <c r="A5813" s="888">
        <v>302</v>
      </c>
      <c r="B5813" s="888" t="s">
        <v>90</v>
      </c>
      <c r="C5813" s="888" t="s">
        <v>1253</v>
      </c>
      <c r="D5813" s="889">
        <v>46036</v>
      </c>
      <c r="E5813" s="888" t="s">
        <v>310</v>
      </c>
      <c r="F5813" s="888" t="s">
        <v>310</v>
      </c>
    </row>
    <row r="5814" spans="1:6">
      <c r="A5814" s="888">
        <v>302</v>
      </c>
      <c r="B5814" s="888" t="s">
        <v>90</v>
      </c>
      <c r="C5814" s="888" t="s">
        <v>1253</v>
      </c>
      <c r="D5814" s="889">
        <v>46037</v>
      </c>
      <c r="E5814" s="888" t="s">
        <v>310</v>
      </c>
      <c r="F5814" s="888" t="s">
        <v>310</v>
      </c>
    </row>
    <row r="5815" spans="1:6">
      <c r="A5815" s="888">
        <v>302</v>
      </c>
      <c r="B5815" s="888" t="s">
        <v>90</v>
      </c>
      <c r="C5815" s="888" t="s">
        <v>1253</v>
      </c>
      <c r="D5815" s="889">
        <v>46038</v>
      </c>
      <c r="E5815" s="888" t="s">
        <v>310</v>
      </c>
      <c r="F5815" s="888" t="s">
        <v>310</v>
      </c>
    </row>
    <row r="5816" spans="1:6">
      <c r="A5816" s="888">
        <v>302</v>
      </c>
      <c r="B5816" s="888" t="s">
        <v>90</v>
      </c>
      <c r="C5816" s="888" t="s">
        <v>1253</v>
      </c>
      <c r="D5816" s="889">
        <v>46039</v>
      </c>
      <c r="E5816" s="888" t="s">
        <v>310</v>
      </c>
      <c r="F5816" s="888" t="s">
        <v>310</v>
      </c>
    </row>
    <row r="5817" spans="1:6">
      <c r="A5817" s="888">
        <v>302</v>
      </c>
      <c r="B5817" s="888" t="s">
        <v>90</v>
      </c>
      <c r="C5817" s="888" t="s">
        <v>1253</v>
      </c>
      <c r="D5817" s="889">
        <v>46040</v>
      </c>
      <c r="E5817" s="888" t="s">
        <v>310</v>
      </c>
      <c r="F5817" s="888" t="s">
        <v>310</v>
      </c>
    </row>
    <row r="5818" spans="1:6">
      <c r="A5818" s="888">
        <v>302</v>
      </c>
      <c r="B5818" s="888" t="s">
        <v>90</v>
      </c>
      <c r="C5818" s="888" t="s">
        <v>1253</v>
      </c>
      <c r="D5818" s="889">
        <v>46041</v>
      </c>
      <c r="E5818" s="888" t="s">
        <v>310</v>
      </c>
      <c r="F5818" s="888" t="s">
        <v>310</v>
      </c>
    </row>
    <row r="5819" spans="1:6">
      <c r="A5819" s="888">
        <v>302</v>
      </c>
      <c r="B5819" s="888" t="s">
        <v>90</v>
      </c>
      <c r="C5819" s="888" t="s">
        <v>1253</v>
      </c>
      <c r="D5819" s="889">
        <v>46042</v>
      </c>
      <c r="E5819" s="888" t="s">
        <v>310</v>
      </c>
      <c r="F5819" s="888" t="s">
        <v>310</v>
      </c>
    </row>
    <row r="5820" spans="1:6">
      <c r="A5820" s="888">
        <v>302</v>
      </c>
      <c r="B5820" s="888" t="s">
        <v>90</v>
      </c>
      <c r="C5820" s="888" t="s">
        <v>1253</v>
      </c>
      <c r="D5820" s="889">
        <v>46043</v>
      </c>
      <c r="E5820" s="888" t="s">
        <v>310</v>
      </c>
      <c r="F5820" s="888" t="s">
        <v>310</v>
      </c>
    </row>
    <row r="5821" spans="1:6">
      <c r="A5821" s="888">
        <v>302</v>
      </c>
      <c r="B5821" s="888" t="s">
        <v>90</v>
      </c>
      <c r="C5821" s="888" t="s">
        <v>1253</v>
      </c>
      <c r="D5821" s="889">
        <v>46044</v>
      </c>
      <c r="E5821" s="888" t="s">
        <v>310</v>
      </c>
      <c r="F5821" s="888" t="s">
        <v>310</v>
      </c>
    </row>
    <row r="5822" spans="1:6">
      <c r="A5822" s="888">
        <v>302</v>
      </c>
      <c r="B5822" s="888" t="s">
        <v>90</v>
      </c>
      <c r="C5822" s="888" t="s">
        <v>1253</v>
      </c>
      <c r="D5822" s="889">
        <v>46045</v>
      </c>
      <c r="E5822" s="888" t="s">
        <v>310</v>
      </c>
      <c r="F5822" s="888" t="s">
        <v>310</v>
      </c>
    </row>
    <row r="5823" spans="1:6">
      <c r="A5823" s="888">
        <v>302</v>
      </c>
      <c r="B5823" s="888" t="s">
        <v>90</v>
      </c>
      <c r="C5823" s="888" t="s">
        <v>1253</v>
      </c>
      <c r="D5823" s="889">
        <v>46046</v>
      </c>
      <c r="E5823" s="888" t="s">
        <v>310</v>
      </c>
      <c r="F5823" s="888" t="s">
        <v>310</v>
      </c>
    </row>
    <row r="5824" spans="1:6">
      <c r="A5824" s="888">
        <v>302</v>
      </c>
      <c r="B5824" s="888" t="s">
        <v>90</v>
      </c>
      <c r="C5824" s="888" t="s">
        <v>1253</v>
      </c>
      <c r="D5824" s="889">
        <v>46047</v>
      </c>
      <c r="E5824" s="888" t="s">
        <v>310</v>
      </c>
      <c r="F5824" s="888" t="s">
        <v>310</v>
      </c>
    </row>
    <row r="5825" spans="1:8">
      <c r="A5825" s="888">
        <v>302</v>
      </c>
      <c r="B5825" s="888" t="s">
        <v>90</v>
      </c>
      <c r="C5825" s="888" t="s">
        <v>1253</v>
      </c>
      <c r="D5825" s="889">
        <v>46048</v>
      </c>
      <c r="E5825" s="888" t="s">
        <v>310</v>
      </c>
      <c r="F5825" s="888" t="s">
        <v>310</v>
      </c>
    </row>
    <row r="5826" spans="1:8">
      <c r="A5826" s="888">
        <v>302</v>
      </c>
      <c r="B5826" s="888" t="s">
        <v>90</v>
      </c>
      <c r="C5826" s="888" t="s">
        <v>1253</v>
      </c>
      <c r="D5826" s="889">
        <v>46049</v>
      </c>
      <c r="E5826" s="888" t="s">
        <v>310</v>
      </c>
      <c r="F5826" s="888" t="s">
        <v>310</v>
      </c>
    </row>
    <row r="5827" spans="1:8">
      <c r="A5827" s="888">
        <v>302</v>
      </c>
      <c r="B5827" s="888" t="s">
        <v>90</v>
      </c>
      <c r="C5827" s="888" t="s">
        <v>1253</v>
      </c>
      <c r="D5827" s="889">
        <v>46050</v>
      </c>
      <c r="E5827" s="888" t="s">
        <v>310</v>
      </c>
      <c r="F5827" s="888" t="s">
        <v>310</v>
      </c>
    </row>
    <row r="5828" spans="1:8">
      <c r="A5828" s="888">
        <v>302</v>
      </c>
      <c r="B5828" s="888" t="s">
        <v>90</v>
      </c>
      <c r="C5828" s="888" t="s">
        <v>1253</v>
      </c>
      <c r="D5828" s="889">
        <v>46051</v>
      </c>
      <c r="E5828" s="888" t="s">
        <v>310</v>
      </c>
      <c r="F5828" s="888" t="s">
        <v>310</v>
      </c>
    </row>
    <row r="5829" spans="1:8">
      <c r="A5829" s="888">
        <v>302</v>
      </c>
      <c r="B5829" s="888" t="s">
        <v>90</v>
      </c>
      <c r="C5829" s="888" t="s">
        <v>1253</v>
      </c>
      <c r="D5829" s="889">
        <v>46052</v>
      </c>
      <c r="E5829" s="888" t="s">
        <v>310</v>
      </c>
      <c r="F5829" s="888" t="s">
        <v>310</v>
      </c>
    </row>
    <row r="5830" spans="1:8">
      <c r="A5830" s="888">
        <v>302</v>
      </c>
      <c r="B5830" s="888" t="s">
        <v>90</v>
      </c>
      <c r="C5830" s="888" t="s">
        <v>1253</v>
      </c>
      <c r="D5830" s="889">
        <v>46053</v>
      </c>
      <c r="E5830" s="888" t="s">
        <v>310</v>
      </c>
      <c r="F5830" s="888" t="s">
        <v>310</v>
      </c>
    </row>
    <row r="5831" spans="1:8">
      <c r="A5831" s="888">
        <v>302</v>
      </c>
      <c r="B5831" s="888" t="s">
        <v>90</v>
      </c>
      <c r="C5831" s="888" t="s">
        <v>1253</v>
      </c>
      <c r="D5831" s="889">
        <v>46054</v>
      </c>
      <c r="E5831" s="888" t="s">
        <v>310</v>
      </c>
      <c r="F5831" s="888" t="s">
        <v>310</v>
      </c>
    </row>
    <row r="5832" spans="1:8">
      <c r="A5832" s="888">
        <v>303</v>
      </c>
      <c r="B5832" s="888" t="s">
        <v>97</v>
      </c>
      <c r="C5832" s="888" t="s">
        <v>1253</v>
      </c>
      <c r="D5832" s="889">
        <v>46023</v>
      </c>
      <c r="E5832" s="192" t="s">
        <v>1039</v>
      </c>
      <c r="F5832" s="888" t="s">
        <v>4669</v>
      </c>
      <c r="G5832" s="192" t="s">
        <v>1039</v>
      </c>
      <c r="H5832" s="888" t="s">
        <v>4669</v>
      </c>
    </row>
    <row r="5833" spans="1:8">
      <c r="A5833" s="888">
        <v>303</v>
      </c>
      <c r="B5833" s="888" t="s">
        <v>97</v>
      </c>
      <c r="C5833" s="888" t="s">
        <v>1253</v>
      </c>
      <c r="D5833" s="889">
        <v>46024</v>
      </c>
      <c r="E5833" s="192" t="s">
        <v>1039</v>
      </c>
      <c r="F5833" s="888" t="s">
        <v>996</v>
      </c>
      <c r="G5833" s="192" t="s">
        <v>1039</v>
      </c>
      <c r="H5833" s="888" t="s">
        <v>996</v>
      </c>
    </row>
    <row r="5834" spans="1:8">
      <c r="A5834" s="888">
        <v>303</v>
      </c>
      <c r="B5834" s="888" t="s">
        <v>97</v>
      </c>
      <c r="C5834" s="888" t="s">
        <v>1253</v>
      </c>
      <c r="D5834" s="889">
        <v>46025</v>
      </c>
      <c r="E5834" s="192" t="s">
        <v>1039</v>
      </c>
      <c r="F5834" s="888" t="s">
        <v>1344</v>
      </c>
      <c r="G5834" s="192" t="s">
        <v>1039</v>
      </c>
      <c r="H5834" s="888" t="s">
        <v>1344</v>
      </c>
    </row>
    <row r="5835" spans="1:8">
      <c r="A5835" s="888">
        <v>303</v>
      </c>
      <c r="B5835" s="888" t="s">
        <v>97</v>
      </c>
      <c r="C5835" s="888" t="s">
        <v>1253</v>
      </c>
      <c r="D5835" s="889">
        <v>46026</v>
      </c>
      <c r="E5835" s="192" t="s">
        <v>1039</v>
      </c>
      <c r="F5835" s="888" t="s">
        <v>1344</v>
      </c>
      <c r="G5835" s="192" t="s">
        <v>1039</v>
      </c>
      <c r="H5835" s="888" t="s">
        <v>1344</v>
      </c>
    </row>
    <row r="5836" spans="1:8">
      <c r="A5836" s="888">
        <v>303</v>
      </c>
      <c r="B5836" s="888" t="s">
        <v>97</v>
      </c>
      <c r="C5836" s="888" t="s">
        <v>1253</v>
      </c>
      <c r="D5836" s="889">
        <v>46027</v>
      </c>
      <c r="E5836" s="890">
        <v>0.34787037037037039</v>
      </c>
      <c r="F5836" s="890">
        <v>0.75170138888888893</v>
      </c>
    </row>
    <row r="5837" spans="1:8">
      <c r="A5837" s="888" t="s">
        <v>4670</v>
      </c>
      <c r="B5837" s="888" t="s">
        <v>4671</v>
      </c>
      <c r="C5837" s="888" t="s">
        <v>1266</v>
      </c>
    </row>
    <row r="5838" spans="1:8">
      <c r="A5838" s="888">
        <v>303</v>
      </c>
      <c r="B5838" s="888" t="s">
        <v>97</v>
      </c>
      <c r="C5838" s="888" t="s">
        <v>1253</v>
      </c>
      <c r="D5838" s="889">
        <v>46028</v>
      </c>
      <c r="E5838" s="890">
        <v>0.35672453703703705</v>
      </c>
      <c r="F5838" s="890">
        <v>0.77501157407407406</v>
      </c>
    </row>
    <row r="5839" spans="1:8">
      <c r="A5839" s="888" t="s">
        <v>4672</v>
      </c>
      <c r="B5839" s="888" t="s">
        <v>4673</v>
      </c>
      <c r="C5839" s="888" t="s">
        <v>1790</v>
      </c>
    </row>
    <row r="5840" spans="1:8">
      <c r="A5840" s="888">
        <v>303</v>
      </c>
      <c r="B5840" s="888" t="s">
        <v>97</v>
      </c>
      <c r="C5840" s="888" t="s">
        <v>1253</v>
      </c>
      <c r="D5840" s="889">
        <v>46029</v>
      </c>
      <c r="E5840" s="192" t="s">
        <v>1039</v>
      </c>
      <c r="F5840" s="888" t="s">
        <v>4674</v>
      </c>
      <c r="G5840" s="192" t="s">
        <v>1039</v>
      </c>
      <c r="H5840" s="891" t="s">
        <v>4674</v>
      </c>
    </row>
    <row r="5841" spans="1:8">
      <c r="A5841" s="888">
        <v>303</v>
      </c>
      <c r="B5841" s="888" t="s">
        <v>97</v>
      </c>
      <c r="C5841" s="888" t="s">
        <v>1253</v>
      </c>
      <c r="D5841" s="889">
        <v>46030</v>
      </c>
      <c r="E5841" s="890">
        <v>0.3331365740740741</v>
      </c>
      <c r="F5841" s="890">
        <v>0.75442129629629628</v>
      </c>
    </row>
    <row r="5842" spans="1:8">
      <c r="A5842" s="888" t="s">
        <v>4675</v>
      </c>
      <c r="B5842" s="888" t="s">
        <v>4676</v>
      </c>
      <c r="C5842" s="888" t="s">
        <v>1390</v>
      </c>
    </row>
    <row r="5843" spans="1:8">
      <c r="A5843" s="888">
        <v>303</v>
      </c>
      <c r="B5843" s="888" t="s">
        <v>97</v>
      </c>
      <c r="C5843" s="888" t="s">
        <v>1253</v>
      </c>
      <c r="D5843" s="889">
        <v>46031</v>
      </c>
      <c r="E5843" s="192" t="s">
        <v>1039</v>
      </c>
      <c r="F5843" s="888" t="s">
        <v>996</v>
      </c>
      <c r="G5843" s="192" t="s">
        <v>1039</v>
      </c>
      <c r="H5843" s="888" t="s">
        <v>996</v>
      </c>
    </row>
    <row r="5844" spans="1:8">
      <c r="A5844" s="888">
        <v>303</v>
      </c>
      <c r="B5844" s="888" t="s">
        <v>97</v>
      </c>
      <c r="C5844" s="888" t="s">
        <v>1253</v>
      </c>
      <c r="D5844" s="889">
        <v>46032</v>
      </c>
      <c r="E5844" s="192" t="s">
        <v>1039</v>
      </c>
      <c r="F5844" s="888" t="s">
        <v>1344</v>
      </c>
      <c r="G5844" s="192" t="s">
        <v>1039</v>
      </c>
      <c r="H5844" s="888" t="s">
        <v>1344</v>
      </c>
    </row>
    <row r="5845" spans="1:8">
      <c r="A5845" s="888">
        <v>303</v>
      </c>
      <c r="B5845" s="888" t="s">
        <v>97</v>
      </c>
      <c r="C5845" s="888" t="s">
        <v>1253</v>
      </c>
      <c r="D5845" s="889">
        <v>46033</v>
      </c>
      <c r="E5845" s="192" t="s">
        <v>1039</v>
      </c>
      <c r="F5845" s="888" t="s">
        <v>1344</v>
      </c>
      <c r="G5845" s="192" t="s">
        <v>1039</v>
      </c>
      <c r="H5845" s="888" t="s">
        <v>1344</v>
      </c>
    </row>
    <row r="5846" spans="1:8">
      <c r="A5846" s="888">
        <v>303</v>
      </c>
      <c r="B5846" s="888" t="s">
        <v>97</v>
      </c>
      <c r="C5846" s="888" t="s">
        <v>1253</v>
      </c>
      <c r="D5846" s="889">
        <v>46034</v>
      </c>
      <c r="E5846" s="890">
        <v>0.34651620370370373</v>
      </c>
      <c r="F5846" s="890">
        <v>0.75572916666666667</v>
      </c>
    </row>
    <row r="5847" spans="1:8">
      <c r="A5847" s="888" t="s">
        <v>4677</v>
      </c>
      <c r="B5847" s="888" t="s">
        <v>4678</v>
      </c>
      <c r="C5847" s="888" t="s">
        <v>1372</v>
      </c>
    </row>
    <row r="5848" spans="1:8">
      <c r="A5848" s="888">
        <v>303</v>
      </c>
      <c r="B5848" s="888" t="s">
        <v>97</v>
      </c>
      <c r="C5848" s="888" t="s">
        <v>1253</v>
      </c>
      <c r="D5848" s="889">
        <v>46035</v>
      </c>
      <c r="E5848" s="890">
        <v>0.34412037037037035</v>
      </c>
      <c r="F5848" s="890">
        <v>0.67886574074074069</v>
      </c>
    </row>
    <row r="5849" spans="1:8">
      <c r="A5849" s="888" t="s">
        <v>4679</v>
      </c>
      <c r="B5849" s="888" t="s">
        <v>4680</v>
      </c>
      <c r="C5849" s="888" t="s">
        <v>2761</v>
      </c>
    </row>
    <row r="5850" spans="1:8">
      <c r="A5850" s="888">
        <v>303</v>
      </c>
      <c r="B5850" s="888" t="s">
        <v>97</v>
      </c>
      <c r="C5850" s="888" t="s">
        <v>1253</v>
      </c>
      <c r="D5850" s="889">
        <v>46036</v>
      </c>
      <c r="E5850" s="192" t="s">
        <v>1039</v>
      </c>
      <c r="F5850" s="888" t="s">
        <v>996</v>
      </c>
      <c r="G5850" s="192" t="s">
        <v>1039</v>
      </c>
      <c r="H5850" s="888" t="s">
        <v>996</v>
      </c>
    </row>
    <row r="5851" spans="1:8">
      <c r="A5851" s="888">
        <v>303</v>
      </c>
      <c r="B5851" s="888" t="s">
        <v>97</v>
      </c>
      <c r="C5851" s="888" t="s">
        <v>1253</v>
      </c>
      <c r="D5851" s="889">
        <v>46037</v>
      </c>
      <c r="E5851" s="890">
        <v>0.34413194444444445</v>
      </c>
      <c r="F5851" s="890">
        <v>0.75512731481481477</v>
      </c>
    </row>
    <row r="5852" spans="1:8">
      <c r="A5852" s="888" t="s">
        <v>4681</v>
      </c>
      <c r="B5852" s="888" t="s">
        <v>4682</v>
      </c>
      <c r="C5852" s="888" t="s">
        <v>1613</v>
      </c>
    </row>
    <row r="5853" spans="1:8">
      <c r="A5853" s="888">
        <v>303</v>
      </c>
      <c r="B5853" s="888" t="s">
        <v>97</v>
      </c>
      <c r="C5853" s="888" t="s">
        <v>1253</v>
      </c>
      <c r="D5853" s="889">
        <v>46038</v>
      </c>
      <c r="E5853" s="890">
        <v>0.3513310185185185</v>
      </c>
      <c r="F5853" s="890">
        <v>0.77497685185185183</v>
      </c>
    </row>
    <row r="5854" spans="1:8">
      <c r="A5854" s="888" t="s">
        <v>4683</v>
      </c>
      <c r="B5854" s="888" t="s">
        <v>4684</v>
      </c>
      <c r="C5854" s="888" t="s">
        <v>1419</v>
      </c>
    </row>
    <row r="5855" spans="1:8">
      <c r="A5855" s="888">
        <v>303</v>
      </c>
      <c r="B5855" s="888" t="s">
        <v>97</v>
      </c>
      <c r="C5855" s="888" t="s">
        <v>1253</v>
      </c>
      <c r="D5855" s="889">
        <v>46039</v>
      </c>
      <c r="E5855" s="192" t="s">
        <v>1039</v>
      </c>
      <c r="F5855" s="888" t="s">
        <v>1344</v>
      </c>
      <c r="G5855" s="192" t="s">
        <v>1039</v>
      </c>
      <c r="H5855" s="888" t="s">
        <v>1344</v>
      </c>
    </row>
    <row r="5856" spans="1:8">
      <c r="A5856" s="888">
        <v>303</v>
      </c>
      <c r="B5856" s="888" t="s">
        <v>97</v>
      </c>
      <c r="C5856" s="888" t="s">
        <v>1253</v>
      </c>
      <c r="D5856" s="889">
        <v>46040</v>
      </c>
      <c r="E5856" s="192" t="s">
        <v>1039</v>
      </c>
      <c r="F5856" s="888" t="s">
        <v>1344</v>
      </c>
      <c r="G5856" s="192" t="s">
        <v>1039</v>
      </c>
      <c r="H5856" s="888" t="s">
        <v>1344</v>
      </c>
    </row>
    <row r="5857" spans="1:8">
      <c r="A5857" s="888">
        <v>303</v>
      </c>
      <c r="B5857" s="888" t="s">
        <v>97</v>
      </c>
      <c r="C5857" s="888" t="s">
        <v>1253</v>
      </c>
      <c r="D5857" s="889">
        <v>46041</v>
      </c>
      <c r="E5857" s="890">
        <v>0.34445601851851854</v>
      </c>
      <c r="F5857" s="890">
        <v>0.76129629629629625</v>
      </c>
    </row>
    <row r="5858" spans="1:8">
      <c r="A5858" s="888" t="s">
        <v>4685</v>
      </c>
      <c r="B5858" s="888" t="s">
        <v>4686</v>
      </c>
      <c r="C5858" s="888" t="s">
        <v>1303</v>
      </c>
    </row>
    <row r="5859" spans="1:8">
      <c r="A5859" s="888">
        <v>303</v>
      </c>
      <c r="B5859" s="888" t="s">
        <v>97</v>
      </c>
      <c r="C5859" s="888" t="s">
        <v>1253</v>
      </c>
      <c r="D5859" s="889">
        <v>46042</v>
      </c>
      <c r="E5859" s="890">
        <v>0.34380787037037036</v>
      </c>
      <c r="F5859" s="890">
        <v>0.75222222222222224</v>
      </c>
    </row>
    <row r="5860" spans="1:8">
      <c r="A5860" s="888" t="s">
        <v>4687</v>
      </c>
      <c r="B5860" s="888" t="s">
        <v>4688</v>
      </c>
      <c r="C5860" s="888" t="s">
        <v>2077</v>
      </c>
    </row>
    <row r="5861" spans="1:8">
      <c r="A5861" s="888">
        <v>303</v>
      </c>
      <c r="B5861" s="888" t="s">
        <v>97</v>
      </c>
      <c r="C5861" s="888" t="s">
        <v>1253</v>
      </c>
      <c r="D5861" s="889">
        <v>46043</v>
      </c>
      <c r="E5861" s="192" t="s">
        <v>1039</v>
      </c>
      <c r="F5861" s="888" t="s">
        <v>996</v>
      </c>
      <c r="G5861" s="192" t="s">
        <v>1039</v>
      </c>
      <c r="H5861" s="888" t="s">
        <v>996</v>
      </c>
    </row>
    <row r="5862" spans="1:8">
      <c r="A5862" s="888">
        <v>303</v>
      </c>
      <c r="B5862" s="888" t="s">
        <v>97</v>
      </c>
      <c r="C5862" s="888" t="s">
        <v>1253</v>
      </c>
      <c r="D5862" s="889">
        <v>46044</v>
      </c>
      <c r="E5862" s="890">
        <v>0.34171296296296294</v>
      </c>
      <c r="F5862" s="890">
        <v>0.77344907407407404</v>
      </c>
    </row>
    <row r="5863" spans="1:8">
      <c r="A5863" s="888" t="s">
        <v>4689</v>
      </c>
      <c r="B5863" s="888" t="s">
        <v>4690</v>
      </c>
      <c r="C5863" s="888" t="s">
        <v>2563</v>
      </c>
    </row>
    <row r="5864" spans="1:8">
      <c r="A5864" s="888">
        <v>303</v>
      </c>
      <c r="B5864" s="888" t="s">
        <v>97</v>
      </c>
      <c r="C5864" s="888" t="s">
        <v>1253</v>
      </c>
      <c r="D5864" s="889">
        <v>46045</v>
      </c>
      <c r="E5864" s="890">
        <v>0.34053240740740742</v>
      </c>
      <c r="F5864" s="890">
        <v>0.7620717592592593</v>
      </c>
    </row>
    <row r="5865" spans="1:8">
      <c r="A5865" s="888" t="s">
        <v>4691</v>
      </c>
      <c r="B5865" s="888" t="s">
        <v>4692</v>
      </c>
      <c r="C5865" s="888" t="s">
        <v>1390</v>
      </c>
    </row>
    <row r="5866" spans="1:8">
      <c r="A5866" s="888">
        <v>303</v>
      </c>
      <c r="B5866" s="888" t="s">
        <v>97</v>
      </c>
      <c r="C5866" s="888" t="s">
        <v>1253</v>
      </c>
      <c r="D5866" s="889">
        <v>46046</v>
      </c>
      <c r="E5866" s="192" t="s">
        <v>1039</v>
      </c>
      <c r="F5866" s="888" t="s">
        <v>1344</v>
      </c>
      <c r="G5866" s="192" t="s">
        <v>1039</v>
      </c>
      <c r="H5866" s="888" t="s">
        <v>1344</v>
      </c>
    </row>
    <row r="5867" spans="1:8">
      <c r="A5867" s="888">
        <v>303</v>
      </c>
      <c r="B5867" s="888" t="s">
        <v>97</v>
      </c>
      <c r="C5867" s="888" t="s">
        <v>1253</v>
      </c>
      <c r="D5867" s="889">
        <v>46047</v>
      </c>
      <c r="E5867" s="192" t="s">
        <v>1039</v>
      </c>
      <c r="F5867" s="888" t="s">
        <v>1344</v>
      </c>
      <c r="G5867" s="192" t="s">
        <v>1039</v>
      </c>
      <c r="H5867" s="888" t="s">
        <v>1344</v>
      </c>
    </row>
    <row r="5868" spans="1:8">
      <c r="A5868" s="888">
        <v>303</v>
      </c>
      <c r="B5868" s="888" t="s">
        <v>97</v>
      </c>
      <c r="C5868" s="888" t="s">
        <v>1253</v>
      </c>
      <c r="D5868" s="889">
        <v>46048</v>
      </c>
      <c r="E5868" s="192" t="s">
        <v>1039</v>
      </c>
      <c r="F5868" s="888" t="s">
        <v>996</v>
      </c>
      <c r="G5868" s="192" t="s">
        <v>1039</v>
      </c>
      <c r="H5868" s="888" t="s">
        <v>996</v>
      </c>
    </row>
    <row r="5869" spans="1:8">
      <c r="A5869" s="888">
        <v>303</v>
      </c>
      <c r="B5869" s="888" t="s">
        <v>97</v>
      </c>
      <c r="C5869" s="888" t="s">
        <v>1253</v>
      </c>
      <c r="D5869" s="889">
        <v>46049</v>
      </c>
      <c r="E5869" s="890">
        <v>0.34791666666666665</v>
      </c>
      <c r="F5869" s="890">
        <v>0.75282407407407403</v>
      </c>
    </row>
    <row r="5870" spans="1:8">
      <c r="A5870" s="888" t="s">
        <v>4693</v>
      </c>
      <c r="B5870" s="888" t="s">
        <v>4694</v>
      </c>
      <c r="C5870" s="888" t="s">
        <v>1356</v>
      </c>
    </row>
    <row r="5871" spans="1:8">
      <c r="A5871" s="888">
        <v>303</v>
      </c>
      <c r="B5871" s="888" t="s">
        <v>97</v>
      </c>
      <c r="C5871" s="888" t="s">
        <v>1253</v>
      </c>
      <c r="D5871" s="889">
        <v>46050</v>
      </c>
      <c r="E5871" s="192" t="s">
        <v>1039</v>
      </c>
      <c r="F5871" s="888" t="s">
        <v>996</v>
      </c>
      <c r="G5871" s="192" t="s">
        <v>1039</v>
      </c>
      <c r="H5871" s="888" t="s">
        <v>996</v>
      </c>
    </row>
    <row r="5872" spans="1:8">
      <c r="A5872" s="888">
        <v>303</v>
      </c>
      <c r="B5872" s="888" t="s">
        <v>97</v>
      </c>
      <c r="C5872" s="888" t="s">
        <v>1253</v>
      </c>
      <c r="D5872" s="889">
        <v>46051</v>
      </c>
      <c r="E5872" s="890">
        <v>0.35100694444444447</v>
      </c>
      <c r="F5872" s="890">
        <v>0.75074074074074071</v>
      </c>
    </row>
    <row r="5873" spans="1:8">
      <c r="A5873" s="888" t="s">
        <v>4695</v>
      </c>
      <c r="B5873" s="888" t="s">
        <v>4696</v>
      </c>
      <c r="C5873" s="888" t="s">
        <v>1526</v>
      </c>
    </row>
    <row r="5874" spans="1:8">
      <c r="A5874" s="888">
        <v>303</v>
      </c>
      <c r="B5874" s="888" t="s">
        <v>97</v>
      </c>
      <c r="C5874" s="888" t="s">
        <v>1253</v>
      </c>
      <c r="D5874" s="889">
        <v>46052</v>
      </c>
      <c r="E5874" s="192" t="s">
        <v>1039</v>
      </c>
      <c r="F5874" s="888" t="s">
        <v>996</v>
      </c>
      <c r="G5874" s="192" t="s">
        <v>1039</v>
      </c>
      <c r="H5874" s="888" t="s">
        <v>996</v>
      </c>
    </row>
    <row r="5875" spans="1:8">
      <c r="A5875" s="888" t="s">
        <v>4697</v>
      </c>
      <c r="B5875" s="888" t="s">
        <v>1258</v>
      </c>
      <c r="C5875" s="888" t="s">
        <v>1259</v>
      </c>
    </row>
    <row r="5876" spans="1:8">
      <c r="A5876" s="888">
        <v>303</v>
      </c>
      <c r="B5876" s="888" t="s">
        <v>97</v>
      </c>
      <c r="C5876" s="888" t="s">
        <v>1253</v>
      </c>
      <c r="D5876" s="889">
        <v>46053</v>
      </c>
      <c r="E5876" s="192" t="s">
        <v>1039</v>
      </c>
      <c r="F5876" s="888" t="s">
        <v>1344</v>
      </c>
      <c r="G5876" s="192" t="s">
        <v>1039</v>
      </c>
      <c r="H5876" s="888" t="s">
        <v>1344</v>
      </c>
    </row>
    <row r="5877" spans="1:8">
      <c r="A5877" s="888">
        <v>304</v>
      </c>
      <c r="B5877" s="888" t="s">
        <v>108</v>
      </c>
      <c r="C5877" s="888" t="s">
        <v>1253</v>
      </c>
      <c r="D5877" s="889">
        <v>46023</v>
      </c>
      <c r="E5877" s="888" t="s">
        <v>310</v>
      </c>
      <c r="F5877" s="888" t="s">
        <v>310</v>
      </c>
    </row>
    <row r="5878" spans="1:8">
      <c r="A5878" s="888">
        <v>304</v>
      </c>
      <c r="B5878" s="888" t="s">
        <v>108</v>
      </c>
      <c r="C5878" s="888" t="s">
        <v>1253</v>
      </c>
      <c r="D5878" s="889">
        <v>46024</v>
      </c>
      <c r="E5878" s="888" t="s">
        <v>310</v>
      </c>
      <c r="F5878" s="888" t="s">
        <v>310</v>
      </c>
    </row>
    <row r="5879" spans="1:8">
      <c r="A5879" s="888">
        <v>304</v>
      </c>
      <c r="B5879" s="888" t="s">
        <v>108</v>
      </c>
      <c r="C5879" s="888" t="s">
        <v>1253</v>
      </c>
      <c r="D5879" s="889">
        <v>46025</v>
      </c>
      <c r="E5879" s="888" t="s">
        <v>310</v>
      </c>
      <c r="F5879" s="888" t="s">
        <v>310</v>
      </c>
    </row>
    <row r="5880" spans="1:8">
      <c r="A5880" s="888">
        <v>304</v>
      </c>
      <c r="B5880" s="888" t="s">
        <v>108</v>
      </c>
      <c r="C5880" s="888" t="s">
        <v>1253</v>
      </c>
      <c r="D5880" s="889">
        <v>46026</v>
      </c>
      <c r="E5880" s="888" t="s">
        <v>310</v>
      </c>
      <c r="F5880" s="888" t="s">
        <v>310</v>
      </c>
    </row>
    <row r="5881" spans="1:8">
      <c r="A5881" s="888">
        <v>304</v>
      </c>
      <c r="B5881" s="888" t="s">
        <v>108</v>
      </c>
      <c r="C5881" s="888" t="s">
        <v>1253</v>
      </c>
      <c r="D5881" s="889">
        <v>46027</v>
      </c>
      <c r="E5881" s="888" t="s">
        <v>310</v>
      </c>
      <c r="F5881" s="888" t="s">
        <v>310</v>
      </c>
    </row>
    <row r="5882" spans="1:8">
      <c r="A5882" s="888">
        <v>304</v>
      </c>
      <c r="B5882" s="888" t="s">
        <v>108</v>
      </c>
      <c r="C5882" s="888" t="s">
        <v>1253</v>
      </c>
      <c r="D5882" s="889">
        <v>46028</v>
      </c>
      <c r="E5882" s="888" t="s">
        <v>310</v>
      </c>
      <c r="F5882" s="888" t="s">
        <v>310</v>
      </c>
    </row>
    <row r="5883" spans="1:8">
      <c r="A5883" s="888">
        <v>304</v>
      </c>
      <c r="B5883" s="888" t="s">
        <v>108</v>
      </c>
      <c r="C5883" s="888" t="s">
        <v>1253</v>
      </c>
      <c r="D5883" s="889">
        <v>46029</v>
      </c>
      <c r="E5883" s="888" t="s">
        <v>310</v>
      </c>
      <c r="F5883" s="888" t="s">
        <v>310</v>
      </c>
    </row>
    <row r="5884" spans="1:8">
      <c r="A5884" s="888">
        <v>304</v>
      </c>
      <c r="B5884" s="888" t="s">
        <v>108</v>
      </c>
      <c r="C5884" s="888" t="s">
        <v>1253</v>
      </c>
      <c r="D5884" s="889">
        <v>46030</v>
      </c>
      <c r="E5884" s="888" t="s">
        <v>310</v>
      </c>
      <c r="F5884" s="888" t="s">
        <v>310</v>
      </c>
    </row>
    <row r="5885" spans="1:8">
      <c r="A5885" s="888">
        <v>304</v>
      </c>
      <c r="B5885" s="888" t="s">
        <v>108</v>
      </c>
      <c r="C5885" s="888" t="s">
        <v>1253</v>
      </c>
      <c r="D5885" s="889">
        <v>46031</v>
      </c>
      <c r="E5885" s="888" t="s">
        <v>310</v>
      </c>
      <c r="F5885" s="888" t="s">
        <v>310</v>
      </c>
    </row>
    <row r="5886" spans="1:8">
      <c r="A5886" s="888">
        <v>304</v>
      </c>
      <c r="B5886" s="888" t="s">
        <v>108</v>
      </c>
      <c r="C5886" s="888" t="s">
        <v>1253</v>
      </c>
      <c r="D5886" s="889">
        <v>46032</v>
      </c>
      <c r="E5886" s="888" t="s">
        <v>310</v>
      </c>
      <c r="F5886" s="888" t="s">
        <v>310</v>
      </c>
    </row>
    <row r="5887" spans="1:8">
      <c r="A5887" s="888">
        <v>304</v>
      </c>
      <c r="B5887" s="888" t="s">
        <v>108</v>
      </c>
      <c r="C5887" s="888" t="s">
        <v>1253</v>
      </c>
      <c r="D5887" s="889">
        <v>46033</v>
      </c>
      <c r="E5887" s="888" t="s">
        <v>310</v>
      </c>
      <c r="F5887" s="888" t="s">
        <v>310</v>
      </c>
    </row>
    <row r="5888" spans="1:8">
      <c r="A5888" s="888">
        <v>304</v>
      </c>
      <c r="B5888" s="888" t="s">
        <v>108</v>
      </c>
      <c r="C5888" s="888" t="s">
        <v>1253</v>
      </c>
      <c r="D5888" s="889">
        <v>46034</v>
      </c>
      <c r="E5888" s="888" t="s">
        <v>310</v>
      </c>
      <c r="F5888" s="888" t="s">
        <v>310</v>
      </c>
    </row>
    <row r="5889" spans="1:6">
      <c r="A5889" s="888">
        <v>304</v>
      </c>
      <c r="B5889" s="888" t="s">
        <v>108</v>
      </c>
      <c r="C5889" s="888" t="s">
        <v>1253</v>
      </c>
      <c r="D5889" s="889">
        <v>46035</v>
      </c>
      <c r="E5889" s="888" t="s">
        <v>310</v>
      </c>
      <c r="F5889" s="888" t="s">
        <v>310</v>
      </c>
    </row>
    <row r="5890" spans="1:6">
      <c r="A5890" s="888">
        <v>304</v>
      </c>
      <c r="B5890" s="888" t="s">
        <v>108</v>
      </c>
      <c r="C5890" s="888" t="s">
        <v>1253</v>
      </c>
      <c r="D5890" s="889">
        <v>46036</v>
      </c>
      <c r="E5890" s="888" t="s">
        <v>310</v>
      </c>
      <c r="F5890" s="888" t="s">
        <v>310</v>
      </c>
    </row>
    <row r="5891" spans="1:6">
      <c r="A5891" s="888">
        <v>304</v>
      </c>
      <c r="B5891" s="888" t="s">
        <v>108</v>
      </c>
      <c r="C5891" s="888" t="s">
        <v>1253</v>
      </c>
      <c r="D5891" s="889">
        <v>46037</v>
      </c>
      <c r="E5891" s="888" t="s">
        <v>310</v>
      </c>
      <c r="F5891" s="888" t="s">
        <v>310</v>
      </c>
    </row>
    <row r="5892" spans="1:6">
      <c r="A5892" s="888">
        <v>304</v>
      </c>
      <c r="B5892" s="888" t="s">
        <v>108</v>
      </c>
      <c r="C5892" s="888" t="s">
        <v>1253</v>
      </c>
      <c r="D5892" s="889">
        <v>46038</v>
      </c>
      <c r="E5892" s="888" t="s">
        <v>310</v>
      </c>
      <c r="F5892" s="888" t="s">
        <v>310</v>
      </c>
    </row>
    <row r="5893" spans="1:6">
      <c r="A5893" s="888">
        <v>304</v>
      </c>
      <c r="B5893" s="888" t="s">
        <v>108</v>
      </c>
      <c r="C5893" s="888" t="s">
        <v>1253</v>
      </c>
      <c r="D5893" s="889">
        <v>46039</v>
      </c>
      <c r="E5893" s="888" t="s">
        <v>310</v>
      </c>
      <c r="F5893" s="888" t="s">
        <v>310</v>
      </c>
    </row>
    <row r="5894" spans="1:6">
      <c r="A5894" s="888">
        <v>304</v>
      </c>
      <c r="B5894" s="888" t="s">
        <v>108</v>
      </c>
      <c r="C5894" s="888" t="s">
        <v>1253</v>
      </c>
      <c r="D5894" s="889">
        <v>46040</v>
      </c>
      <c r="E5894" s="888" t="s">
        <v>310</v>
      </c>
      <c r="F5894" s="888" t="s">
        <v>310</v>
      </c>
    </row>
    <row r="5895" spans="1:6">
      <c r="A5895" s="888">
        <v>304</v>
      </c>
      <c r="B5895" s="888" t="s">
        <v>108</v>
      </c>
      <c r="C5895" s="888" t="s">
        <v>1253</v>
      </c>
      <c r="D5895" s="889">
        <v>46041</v>
      </c>
      <c r="E5895" s="888" t="s">
        <v>310</v>
      </c>
      <c r="F5895" s="888" t="s">
        <v>310</v>
      </c>
    </row>
    <row r="5896" spans="1:6">
      <c r="A5896" s="888">
        <v>304</v>
      </c>
      <c r="B5896" s="888" t="s">
        <v>108</v>
      </c>
      <c r="C5896" s="888" t="s">
        <v>1253</v>
      </c>
      <c r="D5896" s="889">
        <v>46042</v>
      </c>
      <c r="E5896" s="888" t="s">
        <v>310</v>
      </c>
      <c r="F5896" s="888" t="s">
        <v>310</v>
      </c>
    </row>
    <row r="5897" spans="1:6">
      <c r="A5897" s="888">
        <v>304</v>
      </c>
      <c r="B5897" s="888" t="s">
        <v>108</v>
      </c>
      <c r="C5897" s="888" t="s">
        <v>1253</v>
      </c>
      <c r="D5897" s="889">
        <v>46043</v>
      </c>
      <c r="E5897" s="888" t="s">
        <v>310</v>
      </c>
      <c r="F5897" s="888" t="s">
        <v>310</v>
      </c>
    </row>
    <row r="5898" spans="1:6">
      <c r="A5898" s="888">
        <v>304</v>
      </c>
      <c r="B5898" s="888" t="s">
        <v>108</v>
      </c>
      <c r="C5898" s="888" t="s">
        <v>1253</v>
      </c>
      <c r="D5898" s="889">
        <v>46044</v>
      </c>
      <c r="E5898" s="888" t="s">
        <v>310</v>
      </c>
      <c r="F5898" s="888" t="s">
        <v>310</v>
      </c>
    </row>
    <row r="5899" spans="1:6">
      <c r="A5899" s="888">
        <v>304</v>
      </c>
      <c r="B5899" s="888" t="s">
        <v>108</v>
      </c>
      <c r="C5899" s="888" t="s">
        <v>1253</v>
      </c>
      <c r="D5899" s="889">
        <v>46045</v>
      </c>
      <c r="E5899" s="888" t="s">
        <v>310</v>
      </c>
      <c r="F5899" s="888" t="s">
        <v>310</v>
      </c>
    </row>
    <row r="5900" spans="1:6">
      <c r="A5900" s="888">
        <v>304</v>
      </c>
      <c r="B5900" s="888" t="s">
        <v>108</v>
      </c>
      <c r="C5900" s="888" t="s">
        <v>1253</v>
      </c>
      <c r="D5900" s="889">
        <v>46046</v>
      </c>
      <c r="E5900" s="888" t="s">
        <v>310</v>
      </c>
      <c r="F5900" s="888" t="s">
        <v>310</v>
      </c>
    </row>
    <row r="5901" spans="1:6">
      <c r="A5901" s="888">
        <v>304</v>
      </c>
      <c r="B5901" s="888" t="s">
        <v>108</v>
      </c>
      <c r="C5901" s="888" t="s">
        <v>1253</v>
      </c>
      <c r="D5901" s="889">
        <v>46047</v>
      </c>
      <c r="E5901" s="888" t="s">
        <v>310</v>
      </c>
      <c r="F5901" s="888" t="s">
        <v>310</v>
      </c>
    </row>
    <row r="5902" spans="1:6">
      <c r="A5902" s="888">
        <v>304</v>
      </c>
      <c r="B5902" s="888" t="s">
        <v>108</v>
      </c>
      <c r="C5902" s="888" t="s">
        <v>1253</v>
      </c>
      <c r="D5902" s="889">
        <v>46048</v>
      </c>
      <c r="E5902" s="888" t="s">
        <v>310</v>
      </c>
      <c r="F5902" s="888" t="s">
        <v>310</v>
      </c>
    </row>
    <row r="5903" spans="1:6">
      <c r="A5903" s="888">
        <v>304</v>
      </c>
      <c r="B5903" s="888" t="s">
        <v>108</v>
      </c>
      <c r="C5903" s="888" t="s">
        <v>1253</v>
      </c>
      <c r="D5903" s="889">
        <v>46049</v>
      </c>
      <c r="E5903" s="888" t="s">
        <v>310</v>
      </c>
      <c r="F5903" s="888" t="s">
        <v>310</v>
      </c>
    </row>
    <row r="5904" spans="1:6">
      <c r="A5904" s="888">
        <v>304</v>
      </c>
      <c r="B5904" s="888" t="s">
        <v>108</v>
      </c>
      <c r="C5904" s="888" t="s">
        <v>1253</v>
      </c>
      <c r="D5904" s="889">
        <v>46050</v>
      </c>
      <c r="E5904" s="888" t="s">
        <v>310</v>
      </c>
      <c r="F5904" s="888" t="s">
        <v>310</v>
      </c>
    </row>
    <row r="5905" spans="1:6">
      <c r="A5905" s="888">
        <v>304</v>
      </c>
      <c r="B5905" s="888" t="s">
        <v>108</v>
      </c>
      <c r="C5905" s="888" t="s">
        <v>1253</v>
      </c>
      <c r="D5905" s="889">
        <v>46051</v>
      </c>
      <c r="E5905" s="888" t="s">
        <v>310</v>
      </c>
      <c r="F5905" s="888" t="s">
        <v>310</v>
      </c>
    </row>
    <row r="5906" spans="1:6">
      <c r="A5906" s="888">
        <v>304</v>
      </c>
      <c r="B5906" s="888" t="s">
        <v>108</v>
      </c>
      <c r="C5906" s="888" t="s">
        <v>1253</v>
      </c>
      <c r="D5906" s="889">
        <v>46052</v>
      </c>
      <c r="E5906" s="888" t="s">
        <v>310</v>
      </c>
      <c r="F5906" s="888" t="s">
        <v>310</v>
      </c>
    </row>
    <row r="5907" spans="1:6">
      <c r="A5907" s="888">
        <v>304</v>
      </c>
      <c r="B5907" s="888" t="s">
        <v>108</v>
      </c>
      <c r="C5907" s="888" t="s">
        <v>1253</v>
      </c>
      <c r="D5907" s="889">
        <v>46053</v>
      </c>
      <c r="E5907" s="888" t="s">
        <v>310</v>
      </c>
      <c r="F5907" s="888" t="s">
        <v>310</v>
      </c>
    </row>
    <row r="5908" spans="1:6">
      <c r="A5908" s="888">
        <v>304</v>
      </c>
      <c r="B5908" s="888" t="s">
        <v>108</v>
      </c>
      <c r="C5908" s="888" t="s">
        <v>1253</v>
      </c>
      <c r="D5908" s="889">
        <v>46054</v>
      </c>
      <c r="E5908" s="888" t="s">
        <v>310</v>
      </c>
      <c r="F5908" s="888" t="s">
        <v>310</v>
      </c>
    </row>
    <row r="5909" spans="1:6">
      <c r="A5909" s="888">
        <v>305</v>
      </c>
      <c r="B5909" s="888" t="s">
        <v>115</v>
      </c>
      <c r="C5909" s="888" t="s">
        <v>1253</v>
      </c>
      <c r="D5909" s="889">
        <v>46023</v>
      </c>
      <c r="E5909" s="888" t="s">
        <v>310</v>
      </c>
      <c r="F5909" s="888" t="s">
        <v>310</v>
      </c>
    </row>
    <row r="5910" spans="1:6">
      <c r="A5910" s="888">
        <v>305</v>
      </c>
      <c r="B5910" s="888" t="s">
        <v>115</v>
      </c>
      <c r="C5910" s="888" t="s">
        <v>1253</v>
      </c>
      <c r="D5910" s="889">
        <v>46024</v>
      </c>
      <c r="E5910" s="890">
        <v>0.3737847222222222</v>
      </c>
      <c r="F5910" s="890">
        <v>0.75254629629629632</v>
      </c>
    </row>
    <row r="5911" spans="1:6">
      <c r="A5911" s="888" t="s">
        <v>4698</v>
      </c>
      <c r="B5911" s="888" t="s">
        <v>4699</v>
      </c>
      <c r="C5911" s="888" t="s">
        <v>1336</v>
      </c>
    </row>
    <row r="5912" spans="1:6">
      <c r="A5912" s="888">
        <v>305</v>
      </c>
      <c r="B5912" s="888" t="s">
        <v>115</v>
      </c>
      <c r="C5912" s="888" t="s">
        <v>1253</v>
      </c>
      <c r="D5912" s="889">
        <v>46025</v>
      </c>
      <c r="E5912" s="888" t="s">
        <v>310</v>
      </c>
      <c r="F5912" s="888" t="s">
        <v>310</v>
      </c>
    </row>
    <row r="5913" spans="1:6">
      <c r="A5913" s="888">
        <v>305</v>
      </c>
      <c r="B5913" s="888" t="s">
        <v>115</v>
      </c>
      <c r="C5913" s="888" t="s">
        <v>1253</v>
      </c>
      <c r="D5913" s="889">
        <v>46026</v>
      </c>
      <c r="E5913" s="888" t="s">
        <v>310</v>
      </c>
      <c r="F5913" s="888" t="s">
        <v>310</v>
      </c>
    </row>
    <row r="5914" spans="1:6">
      <c r="A5914" s="888">
        <v>305</v>
      </c>
      <c r="B5914" s="888" t="s">
        <v>115</v>
      </c>
      <c r="C5914" s="888" t="s">
        <v>1253</v>
      </c>
      <c r="D5914" s="889">
        <v>46027</v>
      </c>
      <c r="E5914" s="888" t="s">
        <v>310</v>
      </c>
      <c r="F5914" s="888" t="s">
        <v>310</v>
      </c>
    </row>
    <row r="5915" spans="1:6">
      <c r="A5915" s="888">
        <v>305</v>
      </c>
      <c r="B5915" s="888" t="s">
        <v>115</v>
      </c>
      <c r="C5915" s="888" t="s">
        <v>1253</v>
      </c>
      <c r="D5915" s="889">
        <v>46028</v>
      </c>
      <c r="E5915" s="890">
        <v>0.39035879629629627</v>
      </c>
      <c r="F5915" s="890">
        <v>0.79026620370370371</v>
      </c>
    </row>
    <row r="5916" spans="1:6">
      <c r="A5916" s="888" t="s">
        <v>4700</v>
      </c>
      <c r="B5916" s="888" t="s">
        <v>4701</v>
      </c>
      <c r="C5916" s="888" t="s">
        <v>1526</v>
      </c>
    </row>
    <row r="5917" spans="1:6">
      <c r="A5917" s="888">
        <v>305</v>
      </c>
      <c r="B5917" s="888" t="s">
        <v>115</v>
      </c>
      <c r="C5917" s="888" t="s">
        <v>1253</v>
      </c>
      <c r="D5917" s="889">
        <v>46029</v>
      </c>
      <c r="E5917" s="890">
        <v>0.40674768518518517</v>
      </c>
      <c r="F5917" s="890">
        <v>0.67144675925925923</v>
      </c>
    </row>
    <row r="5918" spans="1:6">
      <c r="A5918" s="888" t="s">
        <v>4702</v>
      </c>
      <c r="B5918" s="888" t="s">
        <v>4703</v>
      </c>
      <c r="C5918" s="888" t="s">
        <v>4704</v>
      </c>
    </row>
    <row r="5919" spans="1:6">
      <c r="A5919" s="888">
        <v>305</v>
      </c>
      <c r="B5919" s="888" t="s">
        <v>115</v>
      </c>
      <c r="C5919" s="888" t="s">
        <v>1253</v>
      </c>
      <c r="D5919" s="889">
        <v>46030</v>
      </c>
      <c r="E5919" s="888" t="s">
        <v>310</v>
      </c>
      <c r="F5919" s="888" t="s">
        <v>310</v>
      </c>
    </row>
    <row r="5920" spans="1:6">
      <c r="A5920" s="888">
        <v>305</v>
      </c>
      <c r="B5920" s="888" t="s">
        <v>115</v>
      </c>
      <c r="C5920" s="888" t="s">
        <v>1253</v>
      </c>
      <c r="D5920" s="889">
        <v>46031</v>
      </c>
      <c r="E5920" s="888" t="s">
        <v>310</v>
      </c>
      <c r="F5920" s="888" t="s">
        <v>310</v>
      </c>
    </row>
    <row r="5921" spans="1:6">
      <c r="A5921" s="888">
        <v>305</v>
      </c>
      <c r="B5921" s="888" t="s">
        <v>115</v>
      </c>
      <c r="C5921" s="888" t="s">
        <v>1253</v>
      </c>
      <c r="D5921" s="889">
        <v>46032</v>
      </c>
      <c r="E5921" s="888" t="s">
        <v>310</v>
      </c>
      <c r="F5921" s="888" t="s">
        <v>310</v>
      </c>
    </row>
    <row r="5922" spans="1:6">
      <c r="A5922" s="888">
        <v>305</v>
      </c>
      <c r="B5922" s="888" t="s">
        <v>115</v>
      </c>
      <c r="C5922" s="888" t="s">
        <v>1253</v>
      </c>
      <c r="D5922" s="889">
        <v>46033</v>
      </c>
      <c r="E5922" s="888" t="s">
        <v>310</v>
      </c>
      <c r="F5922" s="888" t="s">
        <v>310</v>
      </c>
    </row>
    <row r="5923" spans="1:6">
      <c r="A5923" s="888">
        <v>305</v>
      </c>
      <c r="B5923" s="888" t="s">
        <v>115</v>
      </c>
      <c r="C5923" s="888" t="s">
        <v>1253</v>
      </c>
      <c r="D5923" s="889">
        <v>46034</v>
      </c>
      <c r="E5923" s="890">
        <v>0.40401620370370372</v>
      </c>
      <c r="F5923" s="888" t="s">
        <v>310</v>
      </c>
    </row>
    <row r="5924" spans="1:6">
      <c r="A5924" s="888" t="s">
        <v>4705</v>
      </c>
      <c r="B5924" s="888" t="s">
        <v>1258</v>
      </c>
      <c r="C5924" s="888" t="s">
        <v>1259</v>
      </c>
    </row>
    <row r="5925" spans="1:6">
      <c r="A5925" s="888">
        <v>305</v>
      </c>
      <c r="B5925" s="888" t="s">
        <v>115</v>
      </c>
      <c r="C5925" s="888" t="s">
        <v>1253</v>
      </c>
      <c r="D5925" s="889">
        <v>46035</v>
      </c>
      <c r="E5925" s="890">
        <v>0.60774305555555552</v>
      </c>
      <c r="F5925" s="888" t="s">
        <v>310</v>
      </c>
    </row>
    <row r="5926" spans="1:6">
      <c r="A5926" s="888" t="s">
        <v>4706</v>
      </c>
      <c r="B5926" s="888" t="s">
        <v>1258</v>
      </c>
      <c r="C5926" s="888" t="s">
        <v>1259</v>
      </c>
    </row>
    <row r="5927" spans="1:6">
      <c r="A5927" s="888">
        <v>305</v>
      </c>
      <c r="B5927" s="888" t="s">
        <v>115</v>
      </c>
      <c r="C5927" s="888" t="s">
        <v>1253</v>
      </c>
      <c r="D5927" s="889">
        <v>46036</v>
      </c>
      <c r="E5927" s="890">
        <v>0.46054398148148146</v>
      </c>
      <c r="F5927" s="888" t="s">
        <v>310</v>
      </c>
    </row>
    <row r="5928" spans="1:6">
      <c r="A5928" s="888" t="s">
        <v>4707</v>
      </c>
      <c r="B5928" s="888" t="s">
        <v>1258</v>
      </c>
      <c r="C5928" s="888" t="s">
        <v>1259</v>
      </c>
    </row>
    <row r="5929" spans="1:6">
      <c r="A5929" s="888">
        <v>305</v>
      </c>
      <c r="B5929" s="888" t="s">
        <v>115</v>
      </c>
      <c r="C5929" s="888" t="s">
        <v>1253</v>
      </c>
      <c r="D5929" s="889">
        <v>46037</v>
      </c>
      <c r="E5929" s="888" t="s">
        <v>310</v>
      </c>
      <c r="F5929" s="888" t="s">
        <v>310</v>
      </c>
    </row>
    <row r="5930" spans="1:6">
      <c r="A5930" s="888">
        <v>305</v>
      </c>
      <c r="B5930" s="888" t="s">
        <v>115</v>
      </c>
      <c r="C5930" s="888" t="s">
        <v>1253</v>
      </c>
      <c r="D5930" s="889">
        <v>46038</v>
      </c>
      <c r="E5930" s="888" t="s">
        <v>310</v>
      </c>
      <c r="F5930" s="888" t="s">
        <v>310</v>
      </c>
    </row>
    <row r="5931" spans="1:6">
      <c r="A5931" s="888">
        <v>305</v>
      </c>
      <c r="B5931" s="888" t="s">
        <v>115</v>
      </c>
      <c r="C5931" s="888" t="s">
        <v>1253</v>
      </c>
      <c r="D5931" s="889">
        <v>46039</v>
      </c>
      <c r="E5931" s="888" t="s">
        <v>310</v>
      </c>
      <c r="F5931" s="888" t="s">
        <v>310</v>
      </c>
    </row>
    <row r="5932" spans="1:6">
      <c r="A5932" s="888">
        <v>305</v>
      </c>
      <c r="B5932" s="888" t="s">
        <v>115</v>
      </c>
      <c r="C5932" s="888" t="s">
        <v>1253</v>
      </c>
      <c r="D5932" s="889">
        <v>46040</v>
      </c>
      <c r="E5932" s="888" t="s">
        <v>310</v>
      </c>
      <c r="F5932" s="888" t="s">
        <v>310</v>
      </c>
    </row>
    <row r="5933" spans="1:6">
      <c r="A5933" s="888">
        <v>305</v>
      </c>
      <c r="B5933" s="888" t="s">
        <v>115</v>
      </c>
      <c r="C5933" s="888" t="s">
        <v>1253</v>
      </c>
      <c r="D5933" s="889">
        <v>46041</v>
      </c>
      <c r="E5933" s="890">
        <v>0.40835648148148146</v>
      </c>
      <c r="F5933" s="890">
        <v>0.78576388888888893</v>
      </c>
    </row>
    <row r="5934" spans="1:6">
      <c r="A5934" s="888" t="s">
        <v>4708</v>
      </c>
      <c r="B5934" s="888" t="s">
        <v>4709</v>
      </c>
      <c r="C5934" s="888" t="s">
        <v>1610</v>
      </c>
    </row>
    <row r="5935" spans="1:6">
      <c r="A5935" s="888">
        <v>305</v>
      </c>
      <c r="B5935" s="888" t="s">
        <v>115</v>
      </c>
      <c r="C5935" s="888" t="s">
        <v>1253</v>
      </c>
      <c r="D5935" s="889">
        <v>46042</v>
      </c>
      <c r="E5935" s="888" t="s">
        <v>310</v>
      </c>
      <c r="F5935" s="888" t="s">
        <v>310</v>
      </c>
    </row>
    <row r="5936" spans="1:6">
      <c r="A5936" s="888">
        <v>305</v>
      </c>
      <c r="B5936" s="888" t="s">
        <v>115</v>
      </c>
      <c r="C5936" s="888" t="s">
        <v>1253</v>
      </c>
      <c r="D5936" s="889">
        <v>46043</v>
      </c>
      <c r="E5936" s="888" t="s">
        <v>310</v>
      </c>
      <c r="F5936" s="888" t="s">
        <v>310</v>
      </c>
    </row>
    <row r="5937" spans="1:6">
      <c r="A5937" s="888">
        <v>305</v>
      </c>
      <c r="B5937" s="888" t="s">
        <v>115</v>
      </c>
      <c r="C5937" s="888" t="s">
        <v>1253</v>
      </c>
      <c r="D5937" s="889">
        <v>46044</v>
      </c>
      <c r="E5937" s="888" t="s">
        <v>310</v>
      </c>
      <c r="F5937" s="888" t="s">
        <v>310</v>
      </c>
    </row>
    <row r="5938" spans="1:6">
      <c r="A5938" s="888">
        <v>305</v>
      </c>
      <c r="B5938" s="888" t="s">
        <v>115</v>
      </c>
      <c r="C5938" s="888" t="s">
        <v>1253</v>
      </c>
      <c r="D5938" s="889">
        <v>46045</v>
      </c>
      <c r="E5938" s="888" t="s">
        <v>310</v>
      </c>
      <c r="F5938" s="888" t="s">
        <v>310</v>
      </c>
    </row>
    <row r="5939" spans="1:6">
      <c r="A5939" s="888">
        <v>305</v>
      </c>
      <c r="B5939" s="888" t="s">
        <v>115</v>
      </c>
      <c r="C5939" s="888" t="s">
        <v>1253</v>
      </c>
      <c r="D5939" s="889">
        <v>46046</v>
      </c>
      <c r="E5939" s="888" t="s">
        <v>310</v>
      </c>
      <c r="F5939" s="888" t="s">
        <v>310</v>
      </c>
    </row>
    <row r="5940" spans="1:6">
      <c r="A5940" s="888">
        <v>305</v>
      </c>
      <c r="B5940" s="888" t="s">
        <v>115</v>
      </c>
      <c r="C5940" s="888" t="s">
        <v>1253</v>
      </c>
      <c r="D5940" s="889">
        <v>46047</v>
      </c>
      <c r="E5940" s="888" t="s">
        <v>310</v>
      </c>
      <c r="F5940" s="888" t="s">
        <v>310</v>
      </c>
    </row>
    <row r="5941" spans="1:6">
      <c r="A5941" s="888">
        <v>305</v>
      </c>
      <c r="B5941" s="888" t="s">
        <v>115</v>
      </c>
      <c r="C5941" s="888" t="s">
        <v>1253</v>
      </c>
      <c r="D5941" s="889">
        <v>46048</v>
      </c>
      <c r="E5941" s="890">
        <v>0.38670138888888889</v>
      </c>
      <c r="F5941" s="890">
        <v>0.78440972222222227</v>
      </c>
    </row>
    <row r="5942" spans="1:6">
      <c r="A5942" s="888" t="s">
        <v>4710</v>
      </c>
      <c r="B5942" s="888" t="s">
        <v>4711</v>
      </c>
      <c r="C5942" s="888" t="s">
        <v>1457</v>
      </c>
    </row>
    <row r="5943" spans="1:6">
      <c r="A5943" s="888">
        <v>305</v>
      </c>
      <c r="B5943" s="888" t="s">
        <v>115</v>
      </c>
      <c r="C5943" s="888" t="s">
        <v>1253</v>
      </c>
      <c r="D5943" s="889">
        <v>46049</v>
      </c>
      <c r="E5943" s="888" t="s">
        <v>310</v>
      </c>
      <c r="F5943" s="888" t="s">
        <v>310</v>
      </c>
    </row>
    <row r="5944" spans="1:6">
      <c r="A5944" s="888">
        <v>305</v>
      </c>
      <c r="B5944" s="888" t="s">
        <v>115</v>
      </c>
      <c r="C5944" s="888" t="s">
        <v>1253</v>
      </c>
      <c r="D5944" s="889">
        <v>46050</v>
      </c>
      <c r="E5944" s="888" t="s">
        <v>310</v>
      </c>
      <c r="F5944" s="888" t="s">
        <v>310</v>
      </c>
    </row>
    <row r="5945" spans="1:6">
      <c r="A5945" s="888">
        <v>305</v>
      </c>
      <c r="B5945" s="888" t="s">
        <v>115</v>
      </c>
      <c r="C5945" s="888" t="s">
        <v>1253</v>
      </c>
      <c r="D5945" s="889">
        <v>46051</v>
      </c>
      <c r="E5945" s="888" t="s">
        <v>310</v>
      </c>
      <c r="F5945" s="888" t="s">
        <v>310</v>
      </c>
    </row>
    <row r="5946" spans="1:6">
      <c r="A5946" s="888">
        <v>305</v>
      </c>
      <c r="B5946" s="888" t="s">
        <v>115</v>
      </c>
      <c r="C5946" s="888" t="s">
        <v>1253</v>
      </c>
      <c r="D5946" s="889">
        <v>46052</v>
      </c>
      <c r="E5946" s="890">
        <v>0.5803935185185185</v>
      </c>
      <c r="F5946" s="890">
        <v>0.76326388888888885</v>
      </c>
    </row>
    <row r="5947" spans="1:6">
      <c r="A5947" s="888" t="s">
        <v>4712</v>
      </c>
      <c r="B5947" s="888" t="s">
        <v>4713</v>
      </c>
      <c r="C5947" s="888" t="s">
        <v>4714</v>
      </c>
    </row>
    <row r="5948" spans="1:6">
      <c r="A5948" s="888">
        <v>305</v>
      </c>
      <c r="B5948" s="888" t="s">
        <v>115</v>
      </c>
      <c r="C5948" s="888" t="s">
        <v>1253</v>
      </c>
      <c r="D5948" s="889">
        <v>46053</v>
      </c>
      <c r="E5948" s="888" t="s">
        <v>310</v>
      </c>
      <c r="F5948" s="888" t="s">
        <v>310</v>
      </c>
    </row>
    <row r="5949" spans="1:6">
      <c r="A5949" s="888">
        <v>305</v>
      </c>
      <c r="B5949" s="888" t="s">
        <v>115</v>
      </c>
      <c r="C5949" s="888" t="s">
        <v>1253</v>
      </c>
      <c r="D5949" s="889">
        <v>46054</v>
      </c>
      <c r="E5949" s="888" t="s">
        <v>310</v>
      </c>
      <c r="F5949" s="888" t="s">
        <v>310</v>
      </c>
    </row>
    <row r="5950" spans="1:6">
      <c r="A5950" s="888">
        <v>306</v>
      </c>
      <c r="B5950" s="888" t="s">
        <v>119</v>
      </c>
      <c r="C5950" s="888" t="s">
        <v>1253</v>
      </c>
      <c r="D5950" s="889">
        <v>46023</v>
      </c>
      <c r="E5950" s="888" t="s">
        <v>310</v>
      </c>
      <c r="F5950" s="888" t="s">
        <v>310</v>
      </c>
    </row>
    <row r="5951" spans="1:6">
      <c r="A5951" s="888">
        <v>306</v>
      </c>
      <c r="B5951" s="888" t="s">
        <v>119</v>
      </c>
      <c r="C5951" s="888" t="s">
        <v>1253</v>
      </c>
      <c r="D5951" s="889">
        <v>46024</v>
      </c>
      <c r="E5951" s="890">
        <v>0.35194444444444445</v>
      </c>
      <c r="F5951" s="890">
        <v>0.76375000000000004</v>
      </c>
    </row>
    <row r="5952" spans="1:6">
      <c r="A5952" s="888" t="s">
        <v>4715</v>
      </c>
      <c r="B5952" s="888" t="s">
        <v>4716</v>
      </c>
      <c r="C5952" s="888" t="s">
        <v>1369</v>
      </c>
    </row>
    <row r="5953" spans="1:6">
      <c r="A5953" s="888">
        <v>306</v>
      </c>
      <c r="B5953" s="888" t="s">
        <v>119</v>
      </c>
      <c r="C5953" s="888" t="s">
        <v>1253</v>
      </c>
      <c r="D5953" s="889">
        <v>46025</v>
      </c>
      <c r="E5953" s="888" t="s">
        <v>310</v>
      </c>
      <c r="F5953" s="888" t="s">
        <v>310</v>
      </c>
    </row>
    <row r="5954" spans="1:6">
      <c r="A5954" s="888">
        <v>306</v>
      </c>
      <c r="B5954" s="888" t="s">
        <v>119</v>
      </c>
      <c r="C5954" s="888" t="s">
        <v>1253</v>
      </c>
      <c r="D5954" s="889">
        <v>46026</v>
      </c>
      <c r="E5954" s="888" t="s">
        <v>310</v>
      </c>
      <c r="F5954" s="888" t="s">
        <v>310</v>
      </c>
    </row>
    <row r="5955" spans="1:6">
      <c r="A5955" s="888">
        <v>306</v>
      </c>
      <c r="B5955" s="888" t="s">
        <v>119</v>
      </c>
      <c r="C5955" s="888" t="s">
        <v>1253</v>
      </c>
      <c r="D5955" s="889">
        <v>46027</v>
      </c>
      <c r="E5955" s="890">
        <v>0.37785879629629632</v>
      </c>
      <c r="F5955" s="890">
        <v>0.77947916666666661</v>
      </c>
    </row>
    <row r="5956" spans="1:6">
      <c r="A5956" s="888" t="s">
        <v>4717</v>
      </c>
      <c r="B5956" s="888" t="s">
        <v>4718</v>
      </c>
      <c r="C5956" s="888" t="s">
        <v>1466</v>
      </c>
    </row>
    <row r="5957" spans="1:6">
      <c r="A5957" s="888">
        <v>306</v>
      </c>
      <c r="B5957" s="888" t="s">
        <v>119</v>
      </c>
      <c r="C5957" s="888" t="s">
        <v>1253</v>
      </c>
      <c r="D5957" s="889">
        <v>46028</v>
      </c>
      <c r="E5957" s="890">
        <v>0.4289236111111111</v>
      </c>
      <c r="F5957" s="890">
        <v>0.7986226851851852</v>
      </c>
    </row>
    <row r="5958" spans="1:6">
      <c r="A5958" s="888" t="s">
        <v>4719</v>
      </c>
      <c r="B5958" s="888" t="s">
        <v>4720</v>
      </c>
      <c r="C5958" s="888" t="s">
        <v>1958</v>
      </c>
    </row>
    <row r="5959" spans="1:6">
      <c r="A5959" s="888">
        <v>306</v>
      </c>
      <c r="B5959" s="888" t="s">
        <v>119</v>
      </c>
      <c r="C5959" s="888" t="s">
        <v>1253</v>
      </c>
      <c r="D5959" s="889">
        <v>46029</v>
      </c>
      <c r="E5959" s="890">
        <v>0.36101851851851852</v>
      </c>
      <c r="F5959" s="890">
        <v>0.75502314814814819</v>
      </c>
    </row>
    <row r="5960" spans="1:6">
      <c r="A5960" s="888" t="s">
        <v>4721</v>
      </c>
      <c r="B5960" s="888" t="s">
        <v>4722</v>
      </c>
      <c r="C5960" s="888" t="s">
        <v>1291</v>
      </c>
    </row>
    <row r="5961" spans="1:6">
      <c r="A5961" s="888">
        <v>306</v>
      </c>
      <c r="B5961" s="888" t="s">
        <v>119</v>
      </c>
      <c r="C5961" s="888" t="s">
        <v>1253</v>
      </c>
      <c r="D5961" s="889">
        <v>46030</v>
      </c>
      <c r="E5961" s="888" t="s">
        <v>310</v>
      </c>
      <c r="F5961" s="888" t="s">
        <v>310</v>
      </c>
    </row>
    <row r="5962" spans="1:6">
      <c r="A5962" s="888">
        <v>306</v>
      </c>
      <c r="B5962" s="888" t="s">
        <v>119</v>
      </c>
      <c r="C5962" s="888" t="s">
        <v>1253</v>
      </c>
      <c r="D5962" s="889">
        <v>46031</v>
      </c>
      <c r="E5962" s="890">
        <v>0.35305555555555557</v>
      </c>
      <c r="F5962" s="890">
        <v>0.76570601851851849</v>
      </c>
    </row>
    <row r="5963" spans="1:6">
      <c r="A5963" s="888" t="s">
        <v>4723</v>
      </c>
      <c r="B5963" s="888" t="s">
        <v>4724</v>
      </c>
      <c r="C5963" s="888" t="s">
        <v>1816</v>
      </c>
    </row>
    <row r="5964" spans="1:6">
      <c r="A5964" s="888">
        <v>306</v>
      </c>
      <c r="B5964" s="888" t="s">
        <v>119</v>
      </c>
      <c r="C5964" s="888" t="s">
        <v>1253</v>
      </c>
      <c r="D5964" s="889">
        <v>46032</v>
      </c>
      <c r="E5964" s="888" t="s">
        <v>310</v>
      </c>
      <c r="F5964" s="888" t="s">
        <v>310</v>
      </c>
    </row>
    <row r="5965" spans="1:6">
      <c r="A5965" s="888">
        <v>306</v>
      </c>
      <c r="B5965" s="888" t="s">
        <v>119</v>
      </c>
      <c r="C5965" s="888" t="s">
        <v>1253</v>
      </c>
      <c r="D5965" s="889">
        <v>46033</v>
      </c>
      <c r="E5965" s="888" t="s">
        <v>310</v>
      </c>
      <c r="F5965" s="888" t="s">
        <v>310</v>
      </c>
    </row>
    <row r="5966" spans="1:6">
      <c r="A5966" s="888">
        <v>306</v>
      </c>
      <c r="B5966" s="888" t="s">
        <v>119</v>
      </c>
      <c r="C5966" s="888" t="s">
        <v>1253</v>
      </c>
      <c r="D5966" s="889">
        <v>46034</v>
      </c>
      <c r="E5966" s="890">
        <v>0.35185185185185186</v>
      </c>
      <c r="F5966" s="890">
        <v>0.76815972222222217</v>
      </c>
    </row>
    <row r="5967" spans="1:6">
      <c r="A5967" s="888" t="s">
        <v>4725</v>
      </c>
      <c r="B5967" s="888" t="s">
        <v>4726</v>
      </c>
      <c r="C5967" s="888" t="s">
        <v>1422</v>
      </c>
    </row>
    <row r="5968" spans="1:6">
      <c r="A5968" s="888">
        <v>306</v>
      </c>
      <c r="B5968" s="888" t="s">
        <v>119</v>
      </c>
      <c r="C5968" s="888" t="s">
        <v>1253</v>
      </c>
      <c r="D5968" s="889">
        <v>46035</v>
      </c>
      <c r="E5968" s="890">
        <v>0.42040509259259257</v>
      </c>
      <c r="F5968" s="890">
        <v>0.68535879629629626</v>
      </c>
    </row>
    <row r="5969" spans="1:6">
      <c r="A5969" s="888" t="s">
        <v>4727</v>
      </c>
      <c r="B5969" s="888" t="s">
        <v>4728</v>
      </c>
      <c r="C5969" s="888" t="s">
        <v>1782</v>
      </c>
    </row>
    <row r="5970" spans="1:6">
      <c r="A5970" s="888">
        <v>306</v>
      </c>
      <c r="B5970" s="888" t="s">
        <v>119</v>
      </c>
      <c r="C5970" s="888" t="s">
        <v>1253</v>
      </c>
      <c r="D5970" s="889">
        <v>46036</v>
      </c>
      <c r="E5970" s="890">
        <v>0.58019675925925929</v>
      </c>
      <c r="F5970" s="890">
        <v>0.7570486111111111</v>
      </c>
    </row>
    <row r="5971" spans="1:6">
      <c r="A5971" s="888" t="s">
        <v>4729</v>
      </c>
      <c r="B5971" s="888" t="s">
        <v>4730</v>
      </c>
      <c r="C5971" s="888" t="s">
        <v>3123</v>
      </c>
    </row>
    <row r="5972" spans="1:6">
      <c r="A5972" s="888">
        <v>306</v>
      </c>
      <c r="B5972" s="888" t="s">
        <v>119</v>
      </c>
      <c r="C5972" s="888" t="s">
        <v>1253</v>
      </c>
      <c r="D5972" s="889">
        <v>46037</v>
      </c>
      <c r="E5972" s="888" t="s">
        <v>310</v>
      </c>
      <c r="F5972" s="888" t="s">
        <v>310</v>
      </c>
    </row>
    <row r="5973" spans="1:6">
      <c r="A5973" s="888">
        <v>306</v>
      </c>
      <c r="B5973" s="888" t="s">
        <v>119</v>
      </c>
      <c r="C5973" s="888" t="s">
        <v>1253</v>
      </c>
      <c r="D5973" s="889">
        <v>46038</v>
      </c>
      <c r="E5973" s="890">
        <v>0.35689814814814813</v>
      </c>
      <c r="F5973" s="890">
        <v>0.82263888888888892</v>
      </c>
    </row>
    <row r="5974" spans="1:6">
      <c r="A5974" s="888" t="s">
        <v>4731</v>
      </c>
      <c r="B5974" s="888" t="s">
        <v>4732</v>
      </c>
      <c r="C5974" s="888" t="s">
        <v>4568</v>
      </c>
    </row>
    <row r="5975" spans="1:6">
      <c r="A5975" s="888">
        <v>306</v>
      </c>
      <c r="B5975" s="888" t="s">
        <v>119</v>
      </c>
      <c r="C5975" s="888" t="s">
        <v>1253</v>
      </c>
      <c r="D5975" s="889">
        <v>46039</v>
      </c>
      <c r="E5975" s="888" t="s">
        <v>310</v>
      </c>
      <c r="F5975" s="888" t="s">
        <v>310</v>
      </c>
    </row>
    <row r="5976" spans="1:6">
      <c r="A5976" s="888">
        <v>306</v>
      </c>
      <c r="B5976" s="888" t="s">
        <v>119</v>
      </c>
      <c r="C5976" s="888" t="s">
        <v>1253</v>
      </c>
      <c r="D5976" s="889">
        <v>46040</v>
      </c>
      <c r="E5976" s="888" t="s">
        <v>310</v>
      </c>
      <c r="F5976" s="888" t="s">
        <v>310</v>
      </c>
    </row>
    <row r="5977" spans="1:6">
      <c r="A5977" s="888">
        <v>306</v>
      </c>
      <c r="B5977" s="888" t="s">
        <v>119</v>
      </c>
      <c r="C5977" s="888" t="s">
        <v>1253</v>
      </c>
      <c r="D5977" s="889">
        <v>46041</v>
      </c>
      <c r="E5977" s="890">
        <v>0.53277777777777779</v>
      </c>
      <c r="F5977" s="890">
        <v>0.79371527777777773</v>
      </c>
    </row>
    <row r="5978" spans="1:6">
      <c r="A5978" s="888" t="s">
        <v>4733</v>
      </c>
      <c r="B5978" s="888" t="s">
        <v>4734</v>
      </c>
      <c r="C5978" s="888" t="s">
        <v>4735</v>
      </c>
    </row>
    <row r="5979" spans="1:6">
      <c r="A5979" s="888">
        <v>306</v>
      </c>
      <c r="B5979" s="888" t="s">
        <v>119</v>
      </c>
      <c r="C5979" s="888" t="s">
        <v>1253</v>
      </c>
      <c r="D5979" s="889">
        <v>46042</v>
      </c>
      <c r="E5979" s="890">
        <v>0.3528587962962963</v>
      </c>
      <c r="F5979" s="890">
        <v>0.76921296296296293</v>
      </c>
    </row>
    <row r="5980" spans="1:6">
      <c r="A5980" s="888" t="s">
        <v>4736</v>
      </c>
      <c r="B5980" s="888" t="s">
        <v>4737</v>
      </c>
      <c r="C5980" s="888" t="s">
        <v>1303</v>
      </c>
    </row>
    <row r="5981" spans="1:6">
      <c r="A5981" s="888">
        <v>306</v>
      </c>
      <c r="B5981" s="888" t="s">
        <v>119</v>
      </c>
      <c r="C5981" s="888" t="s">
        <v>1253</v>
      </c>
      <c r="D5981" s="889">
        <v>46043</v>
      </c>
      <c r="E5981" s="890">
        <v>0.42809027777777775</v>
      </c>
      <c r="F5981" s="890">
        <v>0.75634259259259262</v>
      </c>
    </row>
    <row r="5982" spans="1:6">
      <c r="A5982" s="888" t="s">
        <v>4738</v>
      </c>
      <c r="B5982" s="888" t="s">
        <v>4739</v>
      </c>
      <c r="C5982" s="888" t="s">
        <v>2596</v>
      </c>
    </row>
    <row r="5983" spans="1:6">
      <c r="A5983" s="888">
        <v>306</v>
      </c>
      <c r="B5983" s="888" t="s">
        <v>119</v>
      </c>
      <c r="C5983" s="888" t="s">
        <v>1253</v>
      </c>
      <c r="D5983" s="889">
        <v>46044</v>
      </c>
      <c r="E5983" s="890">
        <v>0.35901620370370368</v>
      </c>
      <c r="F5983" s="890">
        <v>0.56611111111111112</v>
      </c>
    </row>
    <row r="5984" spans="1:6">
      <c r="A5984" s="888" t="s">
        <v>4740</v>
      </c>
      <c r="B5984" s="888" t="s">
        <v>4741</v>
      </c>
      <c r="C5984" s="888" t="s">
        <v>4742</v>
      </c>
    </row>
    <row r="5985" spans="1:6">
      <c r="A5985" s="888">
        <v>306</v>
      </c>
      <c r="B5985" s="888" t="s">
        <v>119</v>
      </c>
      <c r="C5985" s="888" t="s">
        <v>1253</v>
      </c>
      <c r="D5985" s="889">
        <v>46045</v>
      </c>
      <c r="E5985" s="890">
        <v>0.35949074074074072</v>
      </c>
      <c r="F5985" s="890">
        <v>0.75657407407407407</v>
      </c>
    </row>
    <row r="5986" spans="1:6">
      <c r="A5986" s="888" t="s">
        <v>4743</v>
      </c>
      <c r="B5986" s="888" t="s">
        <v>4744</v>
      </c>
      <c r="C5986" s="888" t="s">
        <v>1514</v>
      </c>
    </row>
    <row r="5987" spans="1:6">
      <c r="A5987" s="888">
        <v>306</v>
      </c>
      <c r="B5987" s="888" t="s">
        <v>119</v>
      </c>
      <c r="C5987" s="888" t="s">
        <v>1253</v>
      </c>
      <c r="D5987" s="889">
        <v>46046</v>
      </c>
      <c r="E5987" s="888" t="s">
        <v>310</v>
      </c>
      <c r="F5987" s="888" t="s">
        <v>310</v>
      </c>
    </row>
    <row r="5988" spans="1:6">
      <c r="A5988" s="888">
        <v>306</v>
      </c>
      <c r="B5988" s="888" t="s">
        <v>119</v>
      </c>
      <c r="C5988" s="888" t="s">
        <v>1253</v>
      </c>
      <c r="D5988" s="889">
        <v>46047</v>
      </c>
      <c r="E5988" s="888" t="s">
        <v>310</v>
      </c>
      <c r="F5988" s="888" t="s">
        <v>310</v>
      </c>
    </row>
    <row r="5989" spans="1:6">
      <c r="A5989" s="888">
        <v>306</v>
      </c>
      <c r="B5989" s="888" t="s">
        <v>119</v>
      </c>
      <c r="C5989" s="888" t="s">
        <v>1253</v>
      </c>
      <c r="D5989" s="889">
        <v>46048</v>
      </c>
      <c r="E5989" s="890">
        <v>0.36244212962962963</v>
      </c>
      <c r="F5989" s="890">
        <v>0.76678240740740744</v>
      </c>
    </row>
    <row r="5990" spans="1:6">
      <c r="A5990" s="888" t="s">
        <v>4745</v>
      </c>
      <c r="B5990" s="888" t="s">
        <v>4746</v>
      </c>
      <c r="C5990" s="888" t="s">
        <v>1266</v>
      </c>
    </row>
    <row r="5991" spans="1:6">
      <c r="A5991" s="888">
        <v>306</v>
      </c>
      <c r="B5991" s="888" t="s">
        <v>119</v>
      </c>
      <c r="C5991" s="888" t="s">
        <v>1253</v>
      </c>
      <c r="D5991" s="889">
        <v>46049</v>
      </c>
      <c r="E5991" s="890">
        <v>0.55730324074074078</v>
      </c>
      <c r="F5991" s="890">
        <v>0.75717592592592597</v>
      </c>
    </row>
    <row r="5992" spans="1:6">
      <c r="A5992" s="888" t="s">
        <v>4747</v>
      </c>
      <c r="B5992" s="888" t="s">
        <v>4748</v>
      </c>
      <c r="C5992" s="888" t="s">
        <v>3870</v>
      </c>
    </row>
    <row r="5993" spans="1:6">
      <c r="A5993" s="888">
        <v>306</v>
      </c>
      <c r="B5993" s="888" t="s">
        <v>119</v>
      </c>
      <c r="C5993" s="888" t="s">
        <v>1253</v>
      </c>
      <c r="D5993" s="889">
        <v>46050</v>
      </c>
      <c r="E5993" s="890">
        <v>0.36418981481481483</v>
      </c>
      <c r="F5993" s="890">
        <v>0.69515046296296301</v>
      </c>
    </row>
    <row r="5994" spans="1:6">
      <c r="A5994" s="888" t="s">
        <v>4749</v>
      </c>
      <c r="B5994" s="888" t="s">
        <v>4750</v>
      </c>
      <c r="C5994" s="888" t="s">
        <v>3187</v>
      </c>
    </row>
    <row r="5995" spans="1:6">
      <c r="A5995" s="888">
        <v>306</v>
      </c>
      <c r="B5995" s="888" t="s">
        <v>119</v>
      </c>
      <c r="C5995" s="888" t="s">
        <v>1253</v>
      </c>
      <c r="D5995" s="889">
        <v>46051</v>
      </c>
      <c r="E5995" s="890">
        <v>0.3490509259259259</v>
      </c>
      <c r="F5995" s="890">
        <v>0.75864583333333335</v>
      </c>
    </row>
    <row r="5996" spans="1:6">
      <c r="A5996" s="888" t="s">
        <v>4751</v>
      </c>
      <c r="B5996" s="888" t="s">
        <v>4752</v>
      </c>
      <c r="C5996" s="888" t="s">
        <v>1874</v>
      </c>
    </row>
    <row r="5997" spans="1:6">
      <c r="A5997" s="888">
        <v>306</v>
      </c>
      <c r="B5997" s="888" t="s">
        <v>119</v>
      </c>
      <c r="C5997" s="888" t="s">
        <v>1253</v>
      </c>
      <c r="D5997" s="889">
        <v>46052</v>
      </c>
      <c r="E5997" s="890">
        <v>0.35560185185185184</v>
      </c>
      <c r="F5997" s="890">
        <v>0.76376157407407408</v>
      </c>
    </row>
    <row r="5998" spans="1:6">
      <c r="A5998" s="888" t="s">
        <v>4753</v>
      </c>
      <c r="B5998" s="888" t="s">
        <v>4754</v>
      </c>
      <c r="C5998" s="888" t="s">
        <v>2077</v>
      </c>
    </row>
    <row r="5999" spans="1:6">
      <c r="A5999" s="888">
        <v>306</v>
      </c>
      <c r="B5999" s="888" t="s">
        <v>119</v>
      </c>
      <c r="C5999" s="888" t="s">
        <v>1253</v>
      </c>
      <c r="D5999" s="889">
        <v>46053</v>
      </c>
      <c r="E5999" s="888" t="s">
        <v>310</v>
      </c>
      <c r="F5999" s="888" t="s">
        <v>310</v>
      </c>
    </row>
    <row r="6000" spans="1:6">
      <c r="A6000" s="888">
        <v>306</v>
      </c>
      <c r="B6000" s="888" t="s">
        <v>119</v>
      </c>
      <c r="C6000" s="888" t="s">
        <v>1253</v>
      </c>
      <c r="D6000" s="889">
        <v>46054</v>
      </c>
      <c r="E6000" s="888" t="s">
        <v>310</v>
      </c>
      <c r="F6000" s="888" t="s">
        <v>310</v>
      </c>
    </row>
    <row r="6001" spans="1:6">
      <c r="A6001" s="888">
        <v>307</v>
      </c>
      <c r="B6001" s="888" t="s">
        <v>297</v>
      </c>
      <c r="C6001" s="888" t="s">
        <v>1253</v>
      </c>
      <c r="D6001" s="889">
        <v>46023</v>
      </c>
      <c r="E6001" s="888" t="s">
        <v>310</v>
      </c>
      <c r="F6001" s="888" t="s">
        <v>310</v>
      </c>
    </row>
    <row r="6002" spans="1:6">
      <c r="A6002" s="888">
        <v>307</v>
      </c>
      <c r="B6002" s="888" t="s">
        <v>297</v>
      </c>
      <c r="C6002" s="888" t="s">
        <v>1253</v>
      </c>
      <c r="D6002" s="889">
        <v>46024</v>
      </c>
      <c r="E6002" s="888" t="s">
        <v>310</v>
      </c>
      <c r="F6002" s="888" t="s">
        <v>310</v>
      </c>
    </row>
    <row r="6003" spans="1:6">
      <c r="A6003" s="888">
        <v>307</v>
      </c>
      <c r="B6003" s="888" t="s">
        <v>297</v>
      </c>
      <c r="C6003" s="888" t="s">
        <v>1253</v>
      </c>
      <c r="D6003" s="889">
        <v>46025</v>
      </c>
      <c r="E6003" s="888" t="s">
        <v>310</v>
      </c>
      <c r="F6003" s="888" t="s">
        <v>310</v>
      </c>
    </row>
    <row r="6004" spans="1:6">
      <c r="A6004" s="888">
        <v>307</v>
      </c>
      <c r="B6004" s="888" t="s">
        <v>297</v>
      </c>
      <c r="C6004" s="888" t="s">
        <v>1253</v>
      </c>
      <c r="D6004" s="889">
        <v>46026</v>
      </c>
      <c r="E6004" s="888" t="s">
        <v>310</v>
      </c>
      <c r="F6004" s="888" t="s">
        <v>310</v>
      </c>
    </row>
    <row r="6005" spans="1:6">
      <c r="A6005" s="888">
        <v>307</v>
      </c>
      <c r="B6005" s="888" t="s">
        <v>297</v>
      </c>
      <c r="C6005" s="888" t="s">
        <v>1253</v>
      </c>
      <c r="D6005" s="889">
        <v>46027</v>
      </c>
      <c r="E6005" s="888" t="s">
        <v>310</v>
      </c>
      <c r="F6005" s="888" t="s">
        <v>310</v>
      </c>
    </row>
    <row r="6006" spans="1:6">
      <c r="A6006" s="888">
        <v>307</v>
      </c>
      <c r="B6006" s="888" t="s">
        <v>297</v>
      </c>
      <c r="C6006" s="888" t="s">
        <v>1253</v>
      </c>
      <c r="D6006" s="889">
        <v>46028</v>
      </c>
      <c r="E6006" s="888" t="s">
        <v>310</v>
      </c>
      <c r="F6006" s="888" t="s">
        <v>310</v>
      </c>
    </row>
    <row r="6007" spans="1:6">
      <c r="A6007" s="888">
        <v>307</v>
      </c>
      <c r="B6007" s="888" t="s">
        <v>297</v>
      </c>
      <c r="C6007" s="888" t="s">
        <v>1253</v>
      </c>
      <c r="D6007" s="889">
        <v>46029</v>
      </c>
      <c r="E6007" s="888" t="s">
        <v>310</v>
      </c>
      <c r="F6007" s="888" t="s">
        <v>310</v>
      </c>
    </row>
    <row r="6008" spans="1:6">
      <c r="A6008" s="888">
        <v>307</v>
      </c>
      <c r="B6008" s="888" t="s">
        <v>297</v>
      </c>
      <c r="C6008" s="888" t="s">
        <v>1253</v>
      </c>
      <c r="D6008" s="889">
        <v>46030</v>
      </c>
      <c r="E6008" s="888" t="s">
        <v>310</v>
      </c>
      <c r="F6008" s="888" t="s">
        <v>310</v>
      </c>
    </row>
    <row r="6009" spans="1:6">
      <c r="A6009" s="888">
        <v>307</v>
      </c>
      <c r="B6009" s="888" t="s">
        <v>297</v>
      </c>
      <c r="C6009" s="888" t="s">
        <v>1253</v>
      </c>
      <c r="D6009" s="889">
        <v>46031</v>
      </c>
      <c r="E6009" s="888" t="s">
        <v>310</v>
      </c>
      <c r="F6009" s="888" t="s">
        <v>310</v>
      </c>
    </row>
    <row r="6010" spans="1:6">
      <c r="A6010" s="888">
        <v>307</v>
      </c>
      <c r="B6010" s="888" t="s">
        <v>297</v>
      </c>
      <c r="C6010" s="888" t="s">
        <v>1253</v>
      </c>
      <c r="D6010" s="889">
        <v>46032</v>
      </c>
      <c r="E6010" s="888" t="s">
        <v>310</v>
      </c>
      <c r="F6010" s="888" t="s">
        <v>310</v>
      </c>
    </row>
    <row r="6011" spans="1:6">
      <c r="A6011" s="888">
        <v>307</v>
      </c>
      <c r="B6011" s="888" t="s">
        <v>297</v>
      </c>
      <c r="C6011" s="888" t="s">
        <v>1253</v>
      </c>
      <c r="D6011" s="889">
        <v>46033</v>
      </c>
      <c r="E6011" s="888" t="s">
        <v>310</v>
      </c>
      <c r="F6011" s="888" t="s">
        <v>310</v>
      </c>
    </row>
    <row r="6012" spans="1:6">
      <c r="A6012" s="888">
        <v>307</v>
      </c>
      <c r="B6012" s="888" t="s">
        <v>297</v>
      </c>
      <c r="C6012" s="888" t="s">
        <v>1253</v>
      </c>
      <c r="D6012" s="889">
        <v>46034</v>
      </c>
      <c r="E6012" s="890">
        <v>0.68596064814814817</v>
      </c>
      <c r="F6012" s="890">
        <v>0.68680555555555556</v>
      </c>
    </row>
    <row r="6013" spans="1:6">
      <c r="A6013" s="888" t="s">
        <v>4755</v>
      </c>
      <c r="B6013" s="888" t="s">
        <v>4756</v>
      </c>
      <c r="C6013" s="888" t="s">
        <v>1570</v>
      </c>
    </row>
    <row r="6014" spans="1:6">
      <c r="A6014" s="888">
        <v>307</v>
      </c>
      <c r="B6014" s="888" t="s">
        <v>297</v>
      </c>
      <c r="C6014" s="888" t="s">
        <v>1253</v>
      </c>
      <c r="D6014" s="889">
        <v>46035</v>
      </c>
      <c r="E6014" s="888" t="s">
        <v>310</v>
      </c>
      <c r="F6014" s="888" t="s">
        <v>310</v>
      </c>
    </row>
    <row r="6015" spans="1:6">
      <c r="A6015" s="888">
        <v>307</v>
      </c>
      <c r="B6015" s="888" t="s">
        <v>297</v>
      </c>
      <c r="C6015" s="888" t="s">
        <v>1253</v>
      </c>
      <c r="D6015" s="889">
        <v>46036</v>
      </c>
      <c r="E6015" s="888" t="s">
        <v>310</v>
      </c>
      <c r="F6015" s="888" t="s">
        <v>310</v>
      </c>
    </row>
    <row r="6016" spans="1:6">
      <c r="A6016" s="888">
        <v>307</v>
      </c>
      <c r="B6016" s="888" t="s">
        <v>297</v>
      </c>
      <c r="C6016" s="888" t="s">
        <v>1253</v>
      </c>
      <c r="D6016" s="889">
        <v>46037</v>
      </c>
      <c r="E6016" s="888" t="s">
        <v>310</v>
      </c>
      <c r="F6016" s="888" t="s">
        <v>310</v>
      </c>
    </row>
    <row r="6017" spans="1:6">
      <c r="A6017" s="888">
        <v>307</v>
      </c>
      <c r="B6017" s="888" t="s">
        <v>297</v>
      </c>
      <c r="C6017" s="888" t="s">
        <v>1253</v>
      </c>
      <c r="D6017" s="889">
        <v>46038</v>
      </c>
      <c r="E6017" s="888" t="s">
        <v>310</v>
      </c>
      <c r="F6017" s="888" t="s">
        <v>310</v>
      </c>
    </row>
    <row r="6018" spans="1:6">
      <c r="A6018" s="888">
        <v>307</v>
      </c>
      <c r="B6018" s="888" t="s">
        <v>297</v>
      </c>
      <c r="C6018" s="888" t="s">
        <v>1253</v>
      </c>
      <c r="D6018" s="889">
        <v>46039</v>
      </c>
      <c r="E6018" s="888" t="s">
        <v>310</v>
      </c>
      <c r="F6018" s="888" t="s">
        <v>310</v>
      </c>
    </row>
    <row r="6019" spans="1:6">
      <c r="A6019" s="888">
        <v>307</v>
      </c>
      <c r="B6019" s="888" t="s">
        <v>297</v>
      </c>
      <c r="C6019" s="888" t="s">
        <v>1253</v>
      </c>
      <c r="D6019" s="889">
        <v>46040</v>
      </c>
      <c r="E6019" s="888" t="s">
        <v>310</v>
      </c>
      <c r="F6019" s="888" t="s">
        <v>310</v>
      </c>
    </row>
    <row r="6020" spans="1:6">
      <c r="A6020" s="888">
        <v>307</v>
      </c>
      <c r="B6020" s="888" t="s">
        <v>297</v>
      </c>
      <c r="C6020" s="888" t="s">
        <v>1253</v>
      </c>
      <c r="D6020" s="889">
        <v>46041</v>
      </c>
      <c r="E6020" s="888" t="s">
        <v>310</v>
      </c>
      <c r="F6020" s="888" t="s">
        <v>310</v>
      </c>
    </row>
    <row r="6021" spans="1:6">
      <c r="A6021" s="888">
        <v>307</v>
      </c>
      <c r="B6021" s="888" t="s">
        <v>297</v>
      </c>
      <c r="C6021" s="888" t="s">
        <v>1253</v>
      </c>
      <c r="D6021" s="889">
        <v>46042</v>
      </c>
      <c r="E6021" s="888" t="s">
        <v>310</v>
      </c>
      <c r="F6021" s="888" t="s">
        <v>310</v>
      </c>
    </row>
    <row r="6022" spans="1:6">
      <c r="A6022" s="888">
        <v>307</v>
      </c>
      <c r="B6022" s="888" t="s">
        <v>297</v>
      </c>
      <c r="C6022" s="888" t="s">
        <v>1253</v>
      </c>
      <c r="D6022" s="889">
        <v>46043</v>
      </c>
      <c r="E6022" s="890">
        <v>0.72957175925925921</v>
      </c>
      <c r="F6022" s="890">
        <v>0.73024305555555558</v>
      </c>
    </row>
    <row r="6023" spans="1:6">
      <c r="A6023" s="888" t="s">
        <v>4757</v>
      </c>
      <c r="B6023" s="888" t="s">
        <v>4758</v>
      </c>
      <c r="C6023" s="888" t="s">
        <v>1570</v>
      </c>
    </row>
    <row r="6024" spans="1:6">
      <c r="A6024" s="888">
        <v>307</v>
      </c>
      <c r="B6024" s="888" t="s">
        <v>297</v>
      </c>
      <c r="C6024" s="888" t="s">
        <v>1253</v>
      </c>
      <c r="D6024" s="889">
        <v>46044</v>
      </c>
      <c r="E6024" s="888" t="s">
        <v>310</v>
      </c>
      <c r="F6024" s="888" t="s">
        <v>310</v>
      </c>
    </row>
    <row r="6025" spans="1:6">
      <c r="A6025" s="888">
        <v>307</v>
      </c>
      <c r="B6025" s="888" t="s">
        <v>297</v>
      </c>
      <c r="C6025" s="888" t="s">
        <v>1253</v>
      </c>
      <c r="D6025" s="889">
        <v>46045</v>
      </c>
      <c r="E6025" s="888" t="s">
        <v>310</v>
      </c>
      <c r="F6025" s="888" t="s">
        <v>310</v>
      </c>
    </row>
    <row r="6026" spans="1:6">
      <c r="A6026" s="888">
        <v>307</v>
      </c>
      <c r="B6026" s="888" t="s">
        <v>297</v>
      </c>
      <c r="C6026" s="888" t="s">
        <v>1253</v>
      </c>
      <c r="D6026" s="889">
        <v>46046</v>
      </c>
      <c r="E6026" s="888" t="s">
        <v>310</v>
      </c>
      <c r="F6026" s="888" t="s">
        <v>310</v>
      </c>
    </row>
    <row r="6027" spans="1:6">
      <c r="A6027" s="888">
        <v>307</v>
      </c>
      <c r="B6027" s="888" t="s">
        <v>297</v>
      </c>
      <c r="C6027" s="888" t="s">
        <v>1253</v>
      </c>
      <c r="D6027" s="889">
        <v>46047</v>
      </c>
      <c r="E6027" s="888" t="s">
        <v>310</v>
      </c>
      <c r="F6027" s="888" t="s">
        <v>310</v>
      </c>
    </row>
    <row r="6028" spans="1:6">
      <c r="A6028" s="888">
        <v>307</v>
      </c>
      <c r="B6028" s="888" t="s">
        <v>297</v>
      </c>
      <c r="C6028" s="888" t="s">
        <v>1253</v>
      </c>
      <c r="D6028" s="889">
        <v>46048</v>
      </c>
      <c r="E6028" s="888" t="s">
        <v>310</v>
      </c>
      <c r="F6028" s="888" t="s">
        <v>310</v>
      </c>
    </row>
    <row r="6029" spans="1:6">
      <c r="A6029" s="888">
        <v>307</v>
      </c>
      <c r="B6029" s="888" t="s">
        <v>297</v>
      </c>
      <c r="C6029" s="888" t="s">
        <v>1253</v>
      </c>
      <c r="D6029" s="889">
        <v>46049</v>
      </c>
      <c r="E6029" s="888" t="s">
        <v>310</v>
      </c>
      <c r="F6029" s="888" t="s">
        <v>310</v>
      </c>
    </row>
    <row r="6030" spans="1:6">
      <c r="A6030" s="888">
        <v>307</v>
      </c>
      <c r="B6030" s="888" t="s">
        <v>297</v>
      </c>
      <c r="C6030" s="888" t="s">
        <v>1253</v>
      </c>
      <c r="D6030" s="889">
        <v>46050</v>
      </c>
      <c r="E6030" s="888" t="s">
        <v>310</v>
      </c>
      <c r="F6030" s="888" t="s">
        <v>310</v>
      </c>
    </row>
    <row r="6031" spans="1:6">
      <c r="A6031" s="888">
        <v>307</v>
      </c>
      <c r="B6031" s="888" t="s">
        <v>297</v>
      </c>
      <c r="C6031" s="888" t="s">
        <v>1253</v>
      </c>
      <c r="D6031" s="889">
        <v>46051</v>
      </c>
      <c r="E6031" s="888" t="s">
        <v>310</v>
      </c>
      <c r="F6031" s="888" t="s">
        <v>310</v>
      </c>
    </row>
    <row r="6032" spans="1:6">
      <c r="A6032" s="888">
        <v>307</v>
      </c>
      <c r="B6032" s="888" t="s">
        <v>297</v>
      </c>
      <c r="C6032" s="888" t="s">
        <v>1253</v>
      </c>
      <c r="D6032" s="889">
        <v>46052</v>
      </c>
      <c r="E6032" s="888" t="s">
        <v>310</v>
      </c>
      <c r="F6032" s="888" t="s">
        <v>310</v>
      </c>
    </row>
    <row r="6033" spans="1:6">
      <c r="A6033" s="888">
        <v>307</v>
      </c>
      <c r="B6033" s="888" t="s">
        <v>297</v>
      </c>
      <c r="C6033" s="888" t="s">
        <v>1253</v>
      </c>
      <c r="D6033" s="889">
        <v>46053</v>
      </c>
      <c r="E6033" s="888" t="s">
        <v>310</v>
      </c>
      <c r="F6033" s="888" t="s">
        <v>310</v>
      </c>
    </row>
    <row r="6034" spans="1:6">
      <c r="A6034" s="888">
        <v>307</v>
      </c>
      <c r="B6034" s="888" t="s">
        <v>297</v>
      </c>
      <c r="C6034" s="888" t="s">
        <v>1253</v>
      </c>
      <c r="D6034" s="889">
        <v>46054</v>
      </c>
      <c r="E6034" s="888" t="s">
        <v>310</v>
      </c>
      <c r="F6034" s="888" t="s">
        <v>310</v>
      </c>
    </row>
    <row r="6035" spans="1:6">
      <c r="A6035" s="888">
        <v>308</v>
      </c>
      <c r="B6035" s="888" t="s">
        <v>207</v>
      </c>
      <c r="C6035" s="888" t="s">
        <v>1253</v>
      </c>
      <c r="D6035" s="889">
        <v>46023</v>
      </c>
      <c r="E6035" s="888" t="s">
        <v>310</v>
      </c>
      <c r="F6035" s="888" t="s">
        <v>310</v>
      </c>
    </row>
    <row r="6036" spans="1:6">
      <c r="A6036" s="888">
        <v>308</v>
      </c>
      <c r="B6036" s="888" t="s">
        <v>207</v>
      </c>
      <c r="C6036" s="888" t="s">
        <v>1253</v>
      </c>
      <c r="D6036" s="889">
        <v>46024</v>
      </c>
      <c r="E6036" s="890">
        <v>0.35392361111111109</v>
      </c>
      <c r="F6036" s="890">
        <v>0.77060185185185182</v>
      </c>
    </row>
    <row r="6037" spans="1:6">
      <c r="A6037" s="888" t="s">
        <v>4759</v>
      </c>
      <c r="B6037" s="888" t="s">
        <v>4760</v>
      </c>
      <c r="C6037" s="888" t="s">
        <v>1303</v>
      </c>
    </row>
    <row r="6038" spans="1:6">
      <c r="A6038" s="888">
        <v>308</v>
      </c>
      <c r="B6038" s="888" t="s">
        <v>207</v>
      </c>
      <c r="C6038" s="888" t="s">
        <v>1253</v>
      </c>
      <c r="D6038" s="889">
        <v>46025</v>
      </c>
      <c r="E6038" s="888" t="s">
        <v>310</v>
      </c>
      <c r="F6038" s="888" t="s">
        <v>310</v>
      </c>
    </row>
    <row r="6039" spans="1:6">
      <c r="A6039" s="888">
        <v>308</v>
      </c>
      <c r="B6039" s="888" t="s">
        <v>207</v>
      </c>
      <c r="C6039" s="888" t="s">
        <v>1253</v>
      </c>
      <c r="D6039" s="889">
        <v>46026</v>
      </c>
      <c r="E6039" s="888" t="s">
        <v>310</v>
      </c>
      <c r="F6039" s="888" t="s">
        <v>310</v>
      </c>
    </row>
    <row r="6040" spans="1:6">
      <c r="A6040" s="888">
        <v>308</v>
      </c>
      <c r="B6040" s="888" t="s">
        <v>207</v>
      </c>
      <c r="C6040" s="888" t="s">
        <v>1253</v>
      </c>
      <c r="D6040" s="889">
        <v>46027</v>
      </c>
      <c r="E6040" s="888" t="s">
        <v>310</v>
      </c>
      <c r="F6040" s="888" t="s">
        <v>310</v>
      </c>
    </row>
    <row r="6041" spans="1:6">
      <c r="A6041" s="888">
        <v>308</v>
      </c>
      <c r="B6041" s="888" t="s">
        <v>207</v>
      </c>
      <c r="C6041" s="888" t="s">
        <v>1253</v>
      </c>
      <c r="D6041" s="889">
        <v>46028</v>
      </c>
      <c r="E6041" s="890">
        <v>0.35804398148148148</v>
      </c>
      <c r="F6041" s="890">
        <v>0.85474537037037035</v>
      </c>
    </row>
    <row r="6042" spans="1:6">
      <c r="A6042" s="888" t="s">
        <v>4761</v>
      </c>
      <c r="B6042" s="888" t="s">
        <v>4762</v>
      </c>
      <c r="C6042" s="888" t="s">
        <v>4763</v>
      </c>
    </row>
    <row r="6043" spans="1:6">
      <c r="A6043" s="888">
        <v>308</v>
      </c>
      <c r="B6043" s="888" t="s">
        <v>207</v>
      </c>
      <c r="C6043" s="888" t="s">
        <v>1253</v>
      </c>
      <c r="D6043" s="889">
        <v>46029</v>
      </c>
      <c r="E6043" s="888" t="s">
        <v>310</v>
      </c>
      <c r="F6043" s="888" t="s">
        <v>310</v>
      </c>
    </row>
    <row r="6044" spans="1:6">
      <c r="A6044" s="888">
        <v>308</v>
      </c>
      <c r="B6044" s="888" t="s">
        <v>207</v>
      </c>
      <c r="C6044" s="888" t="s">
        <v>1253</v>
      </c>
      <c r="D6044" s="889">
        <v>46030</v>
      </c>
      <c r="E6044" s="890">
        <v>0.36599537037037039</v>
      </c>
      <c r="F6044" s="890">
        <v>0.85711805555555554</v>
      </c>
    </row>
    <row r="6045" spans="1:6">
      <c r="A6045" s="888" t="s">
        <v>4764</v>
      </c>
      <c r="B6045" s="888" t="s">
        <v>4765</v>
      </c>
      <c r="C6045" s="888" t="s">
        <v>2302</v>
      </c>
    </row>
    <row r="6046" spans="1:6">
      <c r="A6046" s="888">
        <v>308</v>
      </c>
      <c r="B6046" s="888" t="s">
        <v>207</v>
      </c>
      <c r="C6046" s="888" t="s">
        <v>1253</v>
      </c>
      <c r="D6046" s="889">
        <v>46031</v>
      </c>
      <c r="E6046" s="890">
        <v>0.35336805555555556</v>
      </c>
      <c r="F6046" s="890">
        <v>0.77278935185185182</v>
      </c>
    </row>
    <row r="6047" spans="1:6">
      <c r="A6047" s="888" t="s">
        <v>4766</v>
      </c>
      <c r="B6047" s="888" t="s">
        <v>4767</v>
      </c>
      <c r="C6047" s="888" t="s">
        <v>1773</v>
      </c>
    </row>
    <row r="6048" spans="1:6">
      <c r="A6048" s="888">
        <v>308</v>
      </c>
      <c r="B6048" s="888" t="s">
        <v>207</v>
      </c>
      <c r="C6048" s="888" t="s">
        <v>1253</v>
      </c>
      <c r="D6048" s="889">
        <v>46032</v>
      </c>
      <c r="E6048" s="888" t="s">
        <v>310</v>
      </c>
      <c r="F6048" s="888" t="s">
        <v>310</v>
      </c>
    </row>
    <row r="6049" spans="1:6">
      <c r="A6049" s="888">
        <v>308</v>
      </c>
      <c r="B6049" s="888" t="s">
        <v>207</v>
      </c>
      <c r="C6049" s="888" t="s">
        <v>1253</v>
      </c>
      <c r="D6049" s="889">
        <v>46033</v>
      </c>
      <c r="E6049" s="888" t="s">
        <v>310</v>
      </c>
      <c r="F6049" s="888" t="s">
        <v>310</v>
      </c>
    </row>
    <row r="6050" spans="1:6">
      <c r="A6050" s="888">
        <v>308</v>
      </c>
      <c r="B6050" s="888" t="s">
        <v>207</v>
      </c>
      <c r="C6050" s="888" t="s">
        <v>1253</v>
      </c>
      <c r="D6050" s="889">
        <v>46034</v>
      </c>
      <c r="E6050" s="888" t="s">
        <v>310</v>
      </c>
      <c r="F6050" s="888" t="s">
        <v>310</v>
      </c>
    </row>
    <row r="6051" spans="1:6">
      <c r="A6051" s="888">
        <v>308</v>
      </c>
      <c r="B6051" s="888" t="s">
        <v>207</v>
      </c>
      <c r="C6051" s="888" t="s">
        <v>1253</v>
      </c>
      <c r="D6051" s="889">
        <v>46035</v>
      </c>
      <c r="E6051" s="890">
        <v>0.3527777777777778</v>
      </c>
      <c r="F6051" s="890">
        <v>0.67583333333333329</v>
      </c>
    </row>
    <row r="6052" spans="1:6">
      <c r="A6052" s="888" t="s">
        <v>4768</v>
      </c>
      <c r="B6052" s="888" t="s">
        <v>4769</v>
      </c>
      <c r="C6052" s="888" t="s">
        <v>4770</v>
      </c>
    </row>
    <row r="6053" spans="1:6">
      <c r="A6053" s="888">
        <v>308</v>
      </c>
      <c r="B6053" s="888" t="s">
        <v>207</v>
      </c>
      <c r="C6053" s="888" t="s">
        <v>1253</v>
      </c>
      <c r="D6053" s="889">
        <v>46036</v>
      </c>
      <c r="E6053" s="888" t="s">
        <v>310</v>
      </c>
      <c r="F6053" s="888" t="s">
        <v>310</v>
      </c>
    </row>
    <row r="6054" spans="1:6">
      <c r="A6054" s="888">
        <v>308</v>
      </c>
      <c r="B6054" s="888" t="s">
        <v>207</v>
      </c>
      <c r="C6054" s="888" t="s">
        <v>1253</v>
      </c>
      <c r="D6054" s="889">
        <v>46037</v>
      </c>
      <c r="E6054" s="890">
        <v>0.35744212962962962</v>
      </c>
      <c r="F6054" s="890">
        <v>0.76251157407407411</v>
      </c>
    </row>
    <row r="6055" spans="1:6">
      <c r="A6055" s="888" t="s">
        <v>4771</v>
      </c>
      <c r="B6055" s="888" t="s">
        <v>4772</v>
      </c>
      <c r="C6055" s="888" t="s">
        <v>1356</v>
      </c>
    </row>
    <row r="6056" spans="1:6">
      <c r="A6056" s="888">
        <v>308</v>
      </c>
      <c r="B6056" s="888" t="s">
        <v>207</v>
      </c>
      <c r="C6056" s="888" t="s">
        <v>1253</v>
      </c>
      <c r="D6056" s="889">
        <v>46038</v>
      </c>
      <c r="E6056" s="890">
        <v>0.40120370370370373</v>
      </c>
      <c r="F6056" s="890">
        <v>0.80432870370370368</v>
      </c>
    </row>
    <row r="6057" spans="1:6">
      <c r="A6057" s="888" t="s">
        <v>4773</v>
      </c>
      <c r="B6057" s="888" t="s">
        <v>4774</v>
      </c>
      <c r="C6057" s="888" t="s">
        <v>1363</v>
      </c>
    </row>
    <row r="6058" spans="1:6">
      <c r="A6058" s="888">
        <v>308</v>
      </c>
      <c r="B6058" s="888" t="s">
        <v>207</v>
      </c>
      <c r="C6058" s="888" t="s">
        <v>1253</v>
      </c>
      <c r="D6058" s="889">
        <v>46039</v>
      </c>
      <c r="E6058" s="888" t="s">
        <v>310</v>
      </c>
      <c r="F6058" s="888" t="s">
        <v>310</v>
      </c>
    </row>
    <row r="6059" spans="1:6">
      <c r="A6059" s="888">
        <v>308</v>
      </c>
      <c r="B6059" s="888" t="s">
        <v>207</v>
      </c>
      <c r="C6059" s="888" t="s">
        <v>1253</v>
      </c>
      <c r="D6059" s="889">
        <v>46040</v>
      </c>
      <c r="E6059" s="888" t="s">
        <v>310</v>
      </c>
      <c r="F6059" s="888" t="s">
        <v>310</v>
      </c>
    </row>
    <row r="6060" spans="1:6">
      <c r="A6060" s="888">
        <v>308</v>
      </c>
      <c r="B6060" s="888" t="s">
        <v>207</v>
      </c>
      <c r="C6060" s="888" t="s">
        <v>1253</v>
      </c>
      <c r="D6060" s="889">
        <v>46041</v>
      </c>
      <c r="E6060" s="888" t="s">
        <v>310</v>
      </c>
      <c r="F6060" s="888" t="s">
        <v>310</v>
      </c>
    </row>
    <row r="6061" spans="1:6">
      <c r="A6061" s="888">
        <v>308</v>
      </c>
      <c r="B6061" s="888" t="s">
        <v>207</v>
      </c>
      <c r="C6061" s="888" t="s">
        <v>1253</v>
      </c>
      <c r="D6061" s="889">
        <v>46042</v>
      </c>
      <c r="E6061" s="890">
        <v>0.35151620370370368</v>
      </c>
      <c r="F6061" s="890">
        <v>0.77090277777777783</v>
      </c>
    </row>
    <row r="6062" spans="1:6">
      <c r="A6062" s="888" t="s">
        <v>4775</v>
      </c>
      <c r="B6062" s="888" t="s">
        <v>4776</v>
      </c>
      <c r="C6062" s="888" t="s">
        <v>1773</v>
      </c>
    </row>
    <row r="6063" spans="1:6">
      <c r="A6063" s="888">
        <v>308</v>
      </c>
      <c r="B6063" s="888" t="s">
        <v>207</v>
      </c>
      <c r="C6063" s="888" t="s">
        <v>1253</v>
      </c>
      <c r="D6063" s="889">
        <v>46043</v>
      </c>
      <c r="E6063" s="890">
        <v>0.34806712962962966</v>
      </c>
      <c r="F6063" s="890">
        <v>0.83523148148148152</v>
      </c>
    </row>
    <row r="6064" spans="1:6">
      <c r="A6064" s="888" t="s">
        <v>4777</v>
      </c>
      <c r="B6064" s="888" t="s">
        <v>4778</v>
      </c>
      <c r="C6064" s="888" t="s">
        <v>4779</v>
      </c>
    </row>
    <row r="6065" spans="1:6">
      <c r="A6065" s="888">
        <v>308</v>
      </c>
      <c r="B6065" s="888" t="s">
        <v>207</v>
      </c>
      <c r="C6065" s="888" t="s">
        <v>1253</v>
      </c>
      <c r="D6065" s="889">
        <v>46044</v>
      </c>
      <c r="E6065" s="888" t="s">
        <v>310</v>
      </c>
      <c r="F6065" s="888" t="s">
        <v>310</v>
      </c>
    </row>
    <row r="6066" spans="1:6">
      <c r="A6066" s="888">
        <v>308</v>
      </c>
      <c r="B6066" s="888" t="s">
        <v>207</v>
      </c>
      <c r="C6066" s="888" t="s">
        <v>1253</v>
      </c>
      <c r="D6066" s="889">
        <v>46045</v>
      </c>
      <c r="E6066" s="890">
        <v>0.77758101851851846</v>
      </c>
      <c r="F6066" s="888" t="s">
        <v>310</v>
      </c>
    </row>
    <row r="6067" spans="1:6">
      <c r="A6067" s="888" t="s">
        <v>4780</v>
      </c>
      <c r="B6067" s="888" t="s">
        <v>1258</v>
      </c>
      <c r="C6067" s="888" t="s">
        <v>1259</v>
      </c>
    </row>
    <row r="6068" spans="1:6">
      <c r="A6068" s="888">
        <v>308</v>
      </c>
      <c r="B6068" s="888" t="s">
        <v>207</v>
      </c>
      <c r="C6068" s="888" t="s">
        <v>1253</v>
      </c>
      <c r="D6068" s="889">
        <v>46046</v>
      </c>
      <c r="E6068" s="888" t="s">
        <v>310</v>
      </c>
      <c r="F6068" s="888" t="s">
        <v>310</v>
      </c>
    </row>
    <row r="6069" spans="1:6">
      <c r="A6069" s="888">
        <v>308</v>
      </c>
      <c r="B6069" s="888" t="s">
        <v>207</v>
      </c>
      <c r="C6069" s="888" t="s">
        <v>1253</v>
      </c>
      <c r="D6069" s="889">
        <v>46047</v>
      </c>
      <c r="E6069" s="888" t="s">
        <v>310</v>
      </c>
      <c r="F6069" s="888" t="s">
        <v>310</v>
      </c>
    </row>
    <row r="6070" spans="1:6">
      <c r="A6070" s="888">
        <v>308</v>
      </c>
      <c r="B6070" s="888" t="s">
        <v>207</v>
      </c>
      <c r="C6070" s="888" t="s">
        <v>1253</v>
      </c>
      <c r="D6070" s="889">
        <v>46048</v>
      </c>
      <c r="E6070" s="888" t="s">
        <v>310</v>
      </c>
      <c r="F6070" s="888" t="s">
        <v>310</v>
      </c>
    </row>
    <row r="6071" spans="1:6">
      <c r="A6071" s="888">
        <v>308</v>
      </c>
      <c r="B6071" s="888" t="s">
        <v>207</v>
      </c>
      <c r="C6071" s="888" t="s">
        <v>1253</v>
      </c>
      <c r="D6071" s="889">
        <v>46049</v>
      </c>
      <c r="E6071" s="890">
        <v>0.34190972222222221</v>
      </c>
      <c r="F6071" s="890">
        <v>0.82195601851851852</v>
      </c>
    </row>
    <row r="6072" spans="1:6">
      <c r="A6072" s="888" t="s">
        <v>4781</v>
      </c>
      <c r="B6072" s="888" t="s">
        <v>4782</v>
      </c>
      <c r="C6072" s="888" t="s">
        <v>4783</v>
      </c>
    </row>
    <row r="6073" spans="1:6">
      <c r="A6073" s="888">
        <v>308</v>
      </c>
      <c r="B6073" s="888" t="s">
        <v>207</v>
      </c>
      <c r="C6073" s="888" t="s">
        <v>1253</v>
      </c>
      <c r="D6073" s="889">
        <v>46050</v>
      </c>
      <c r="E6073" s="888" t="s">
        <v>310</v>
      </c>
      <c r="F6073" s="888" t="s">
        <v>310</v>
      </c>
    </row>
    <row r="6074" spans="1:6">
      <c r="A6074" s="888">
        <v>308</v>
      </c>
      <c r="B6074" s="888" t="s">
        <v>207</v>
      </c>
      <c r="C6074" s="888" t="s">
        <v>1253</v>
      </c>
      <c r="D6074" s="889">
        <v>46051</v>
      </c>
      <c r="E6074" s="890">
        <v>0.36791666666666667</v>
      </c>
      <c r="F6074" s="890">
        <v>0.8253125</v>
      </c>
    </row>
    <row r="6075" spans="1:6">
      <c r="A6075" s="888" t="s">
        <v>4784</v>
      </c>
      <c r="B6075" s="888" t="s">
        <v>4785</v>
      </c>
      <c r="C6075" s="888" t="s">
        <v>4786</v>
      </c>
    </row>
    <row r="6076" spans="1:6">
      <c r="A6076" s="888">
        <v>308</v>
      </c>
      <c r="B6076" s="888" t="s">
        <v>207</v>
      </c>
      <c r="C6076" s="888" t="s">
        <v>1253</v>
      </c>
      <c r="D6076" s="889">
        <v>46052</v>
      </c>
      <c r="E6076" s="890">
        <v>0.35554398148148147</v>
      </c>
      <c r="F6076" s="890">
        <v>0.69344907407407408</v>
      </c>
    </row>
    <row r="6077" spans="1:6">
      <c r="A6077" s="888" t="s">
        <v>4787</v>
      </c>
      <c r="B6077" s="888" t="s">
        <v>4788</v>
      </c>
      <c r="C6077" s="888" t="s">
        <v>4789</v>
      </c>
    </row>
    <row r="6078" spans="1:6">
      <c r="A6078" s="888">
        <v>308</v>
      </c>
      <c r="B6078" s="888" t="s">
        <v>207</v>
      </c>
      <c r="C6078" s="888" t="s">
        <v>1253</v>
      </c>
      <c r="D6078" s="889">
        <v>46053</v>
      </c>
      <c r="E6078" s="888" t="s">
        <v>310</v>
      </c>
      <c r="F6078" s="888" t="s">
        <v>310</v>
      </c>
    </row>
    <row r="6079" spans="1:6">
      <c r="A6079" s="888">
        <v>308</v>
      </c>
      <c r="B6079" s="888" t="s">
        <v>207</v>
      </c>
      <c r="C6079" s="888" t="s">
        <v>1253</v>
      </c>
      <c r="D6079" s="889">
        <v>46054</v>
      </c>
      <c r="E6079" s="888" t="s">
        <v>310</v>
      </c>
      <c r="F6079" s="888" t="s">
        <v>310</v>
      </c>
    </row>
    <row r="6080" spans="1:6">
      <c r="A6080" s="888">
        <v>309</v>
      </c>
      <c r="B6080" s="888" t="s">
        <v>998</v>
      </c>
      <c r="C6080" s="888" t="s">
        <v>1253</v>
      </c>
      <c r="D6080" s="889">
        <v>46023</v>
      </c>
      <c r="E6080" s="888" t="s">
        <v>310</v>
      </c>
      <c r="F6080" s="888" t="s">
        <v>310</v>
      </c>
    </row>
    <row r="6081" spans="1:6">
      <c r="A6081" s="888">
        <v>309</v>
      </c>
      <c r="B6081" s="888" t="s">
        <v>998</v>
      </c>
      <c r="C6081" s="888" t="s">
        <v>1253</v>
      </c>
      <c r="D6081" s="889">
        <v>46024</v>
      </c>
      <c r="E6081" s="890">
        <v>0.35646990740740742</v>
      </c>
      <c r="F6081" s="890">
        <v>0.58679398148148143</v>
      </c>
    </row>
    <row r="6082" spans="1:6">
      <c r="A6082" s="888" t="s">
        <v>4790</v>
      </c>
      <c r="B6082" s="888" t="s">
        <v>4791</v>
      </c>
      <c r="C6082" s="888" t="s">
        <v>1445</v>
      </c>
    </row>
    <row r="6083" spans="1:6">
      <c r="A6083" s="888">
        <v>309</v>
      </c>
      <c r="B6083" s="888" t="s">
        <v>998</v>
      </c>
      <c r="C6083" s="888" t="s">
        <v>1253</v>
      </c>
      <c r="D6083" s="889">
        <v>46025</v>
      </c>
      <c r="E6083" s="888" t="s">
        <v>310</v>
      </c>
      <c r="F6083" s="888" t="s">
        <v>310</v>
      </c>
    </row>
    <row r="6084" spans="1:6">
      <c r="A6084" s="888">
        <v>309</v>
      </c>
      <c r="B6084" s="888" t="s">
        <v>998</v>
      </c>
      <c r="C6084" s="888" t="s">
        <v>1253</v>
      </c>
      <c r="D6084" s="889">
        <v>46026</v>
      </c>
      <c r="E6084" s="888" t="s">
        <v>310</v>
      </c>
      <c r="F6084" s="888" t="s">
        <v>310</v>
      </c>
    </row>
    <row r="6085" spans="1:6">
      <c r="A6085" s="888">
        <v>309</v>
      </c>
      <c r="B6085" s="888" t="s">
        <v>998</v>
      </c>
      <c r="C6085" s="888" t="s">
        <v>1253</v>
      </c>
      <c r="D6085" s="889">
        <v>46027</v>
      </c>
      <c r="E6085" s="890">
        <v>0.38186342592592593</v>
      </c>
      <c r="F6085" s="890">
        <v>0.76042824074074078</v>
      </c>
    </row>
    <row r="6086" spans="1:6">
      <c r="A6086" s="888" t="s">
        <v>4792</v>
      </c>
      <c r="B6086" s="888" t="s">
        <v>4793</v>
      </c>
      <c r="C6086" s="888" t="s">
        <v>1336</v>
      </c>
    </row>
    <row r="6087" spans="1:6">
      <c r="A6087" s="888">
        <v>309</v>
      </c>
      <c r="B6087" s="888" t="s">
        <v>998</v>
      </c>
      <c r="C6087" s="888" t="s">
        <v>1253</v>
      </c>
      <c r="D6087" s="889">
        <v>46028</v>
      </c>
      <c r="E6087" s="890">
        <v>0.3590740740740741</v>
      </c>
      <c r="F6087" s="890">
        <v>0.76074074074074072</v>
      </c>
    </row>
    <row r="6088" spans="1:6">
      <c r="A6088" s="888" t="s">
        <v>4794</v>
      </c>
      <c r="B6088" s="888" t="s">
        <v>4795</v>
      </c>
      <c r="C6088" s="888" t="s">
        <v>1466</v>
      </c>
    </row>
    <row r="6089" spans="1:6">
      <c r="A6089" s="888">
        <v>309</v>
      </c>
      <c r="B6089" s="888" t="s">
        <v>998</v>
      </c>
      <c r="C6089" s="888" t="s">
        <v>1253</v>
      </c>
      <c r="D6089" s="889">
        <v>46029</v>
      </c>
      <c r="E6089" s="890">
        <v>0.38320601851851854</v>
      </c>
      <c r="F6089" s="890">
        <v>0.75826388888888885</v>
      </c>
    </row>
    <row r="6090" spans="1:6">
      <c r="A6090" s="888" t="s">
        <v>4796</v>
      </c>
      <c r="B6090" s="888" t="s">
        <v>4797</v>
      </c>
      <c r="C6090" s="888" t="s">
        <v>1442</v>
      </c>
    </row>
    <row r="6091" spans="1:6">
      <c r="A6091" s="888">
        <v>309</v>
      </c>
      <c r="B6091" s="888" t="s">
        <v>998</v>
      </c>
      <c r="C6091" s="888" t="s">
        <v>1253</v>
      </c>
      <c r="D6091" s="889">
        <v>46030</v>
      </c>
      <c r="E6091" s="890">
        <v>0.5584837962962963</v>
      </c>
      <c r="F6091" s="890">
        <v>0.76120370370370372</v>
      </c>
    </row>
    <row r="6092" spans="1:6">
      <c r="A6092" s="888" t="s">
        <v>4798</v>
      </c>
      <c r="B6092" s="888" t="s">
        <v>4799</v>
      </c>
      <c r="C6092" s="888" t="s">
        <v>4800</v>
      </c>
    </row>
    <row r="6093" spans="1:6">
      <c r="A6093" s="888">
        <v>309</v>
      </c>
      <c r="B6093" s="888" t="s">
        <v>998</v>
      </c>
      <c r="C6093" s="888" t="s">
        <v>1253</v>
      </c>
      <c r="D6093" s="889">
        <v>46031</v>
      </c>
      <c r="E6093" s="890">
        <v>0.3896296296296296</v>
      </c>
      <c r="F6093" s="890">
        <v>0.76935185185185184</v>
      </c>
    </row>
    <row r="6094" spans="1:6">
      <c r="A6094" s="888" t="s">
        <v>4801</v>
      </c>
      <c r="B6094" s="888" t="s">
        <v>4802</v>
      </c>
      <c r="C6094" s="888" t="s">
        <v>1585</v>
      </c>
    </row>
    <row r="6095" spans="1:6">
      <c r="A6095" s="888">
        <v>309</v>
      </c>
      <c r="B6095" s="888" t="s">
        <v>998</v>
      </c>
      <c r="C6095" s="888" t="s">
        <v>1253</v>
      </c>
      <c r="D6095" s="889">
        <v>46032</v>
      </c>
      <c r="E6095" s="888" t="s">
        <v>310</v>
      </c>
      <c r="F6095" s="888" t="s">
        <v>310</v>
      </c>
    </row>
    <row r="6096" spans="1:6">
      <c r="A6096" s="888">
        <v>309</v>
      </c>
      <c r="B6096" s="888" t="s">
        <v>998</v>
      </c>
      <c r="C6096" s="888" t="s">
        <v>1253</v>
      </c>
      <c r="D6096" s="889">
        <v>46033</v>
      </c>
      <c r="E6096" s="888" t="s">
        <v>310</v>
      </c>
      <c r="F6096" s="888" t="s">
        <v>310</v>
      </c>
    </row>
    <row r="6097" spans="1:6">
      <c r="A6097" s="888">
        <v>309</v>
      </c>
      <c r="B6097" s="888" t="s">
        <v>998</v>
      </c>
      <c r="C6097" s="888" t="s">
        <v>1253</v>
      </c>
      <c r="D6097" s="889">
        <v>46034</v>
      </c>
      <c r="E6097" s="890">
        <v>0.37568287037037035</v>
      </c>
      <c r="F6097" s="890">
        <v>0.76225694444444447</v>
      </c>
    </row>
    <row r="6098" spans="1:6">
      <c r="A6098" s="888" t="s">
        <v>4803</v>
      </c>
      <c r="B6098" s="888" t="s">
        <v>4804</v>
      </c>
      <c r="C6098" s="888" t="s">
        <v>1753</v>
      </c>
    </row>
    <row r="6099" spans="1:6">
      <c r="A6099" s="888">
        <v>309</v>
      </c>
      <c r="B6099" s="888" t="s">
        <v>998</v>
      </c>
      <c r="C6099" s="888" t="s">
        <v>1253</v>
      </c>
      <c r="D6099" s="889">
        <v>46035</v>
      </c>
      <c r="E6099" s="890">
        <v>0.57172453703703707</v>
      </c>
      <c r="F6099" s="888" t="s">
        <v>310</v>
      </c>
    </row>
    <row r="6100" spans="1:6">
      <c r="A6100" s="888" t="s">
        <v>4805</v>
      </c>
      <c r="B6100" s="888" t="s">
        <v>1258</v>
      </c>
      <c r="C6100" s="888" t="s">
        <v>1259</v>
      </c>
    </row>
    <row r="6101" spans="1:6">
      <c r="A6101" s="888">
        <v>309</v>
      </c>
      <c r="B6101" s="888" t="s">
        <v>998</v>
      </c>
      <c r="C6101" s="888" t="s">
        <v>1253</v>
      </c>
      <c r="D6101" s="889">
        <v>46036</v>
      </c>
      <c r="E6101" s="890">
        <v>0.38893518518518516</v>
      </c>
      <c r="F6101" s="890">
        <v>0.76670138888888884</v>
      </c>
    </row>
    <row r="6102" spans="1:6">
      <c r="A6102" s="888" t="s">
        <v>4806</v>
      </c>
      <c r="B6102" s="888" t="s">
        <v>4807</v>
      </c>
      <c r="C6102" s="888" t="s">
        <v>1317</v>
      </c>
    </row>
    <row r="6103" spans="1:6">
      <c r="A6103" s="888">
        <v>309</v>
      </c>
      <c r="B6103" s="888" t="s">
        <v>998</v>
      </c>
      <c r="C6103" s="888" t="s">
        <v>1253</v>
      </c>
      <c r="D6103" s="889">
        <v>46037</v>
      </c>
      <c r="E6103" s="890">
        <v>0.37513888888888891</v>
      </c>
      <c r="F6103" s="890">
        <v>0.76230324074074074</v>
      </c>
    </row>
    <row r="6104" spans="1:6">
      <c r="A6104" s="888" t="s">
        <v>4808</v>
      </c>
      <c r="B6104" s="888" t="s">
        <v>4809</v>
      </c>
      <c r="C6104" s="888" t="s">
        <v>1410</v>
      </c>
    </row>
    <row r="6105" spans="1:6">
      <c r="A6105" s="888">
        <v>309</v>
      </c>
      <c r="B6105" s="888" t="s">
        <v>998</v>
      </c>
      <c r="C6105" s="888" t="s">
        <v>1253</v>
      </c>
      <c r="D6105" s="889">
        <v>46038</v>
      </c>
      <c r="E6105" s="890">
        <v>0.37381944444444443</v>
      </c>
      <c r="F6105" s="890">
        <v>0.53145833333333337</v>
      </c>
    </row>
    <row r="6106" spans="1:6">
      <c r="A6106" s="888" t="s">
        <v>4810</v>
      </c>
      <c r="B6106" s="888" t="s">
        <v>4811</v>
      </c>
      <c r="C6106" s="888" t="s">
        <v>1517</v>
      </c>
    </row>
    <row r="6107" spans="1:6">
      <c r="A6107" s="888">
        <v>309</v>
      </c>
      <c r="B6107" s="888" t="s">
        <v>998</v>
      </c>
      <c r="C6107" s="888" t="s">
        <v>1253</v>
      </c>
      <c r="D6107" s="889">
        <v>46039</v>
      </c>
      <c r="E6107" s="888" t="s">
        <v>310</v>
      </c>
      <c r="F6107" s="888" t="s">
        <v>310</v>
      </c>
    </row>
    <row r="6108" spans="1:6">
      <c r="A6108" s="888">
        <v>309</v>
      </c>
      <c r="B6108" s="888" t="s">
        <v>998</v>
      </c>
      <c r="C6108" s="888" t="s">
        <v>1253</v>
      </c>
      <c r="D6108" s="889">
        <v>46040</v>
      </c>
      <c r="E6108" s="888" t="s">
        <v>310</v>
      </c>
      <c r="F6108" s="888" t="s">
        <v>310</v>
      </c>
    </row>
    <row r="6109" spans="1:6">
      <c r="A6109" s="888">
        <v>309</v>
      </c>
      <c r="B6109" s="888" t="s">
        <v>998</v>
      </c>
      <c r="C6109" s="888" t="s">
        <v>1253</v>
      </c>
      <c r="D6109" s="889">
        <v>46041</v>
      </c>
      <c r="E6109" s="890">
        <v>0.38344907407407408</v>
      </c>
      <c r="F6109" s="890">
        <v>0.76438657407407407</v>
      </c>
    </row>
    <row r="6110" spans="1:6">
      <c r="A6110" s="888" t="s">
        <v>4812</v>
      </c>
      <c r="B6110" s="888" t="s">
        <v>4813</v>
      </c>
      <c r="C6110" s="888" t="s">
        <v>1607</v>
      </c>
    </row>
    <row r="6111" spans="1:6">
      <c r="A6111" s="888">
        <v>309</v>
      </c>
      <c r="B6111" s="888" t="s">
        <v>998</v>
      </c>
      <c r="C6111" s="888" t="s">
        <v>1253</v>
      </c>
      <c r="D6111" s="889">
        <v>46042</v>
      </c>
      <c r="E6111" s="890">
        <v>0.37937500000000002</v>
      </c>
      <c r="F6111" s="890">
        <v>0.75708333333333333</v>
      </c>
    </row>
    <row r="6112" spans="1:6">
      <c r="A6112" s="888" t="s">
        <v>4814</v>
      </c>
      <c r="B6112" s="888" t="s">
        <v>4815</v>
      </c>
      <c r="C6112" s="888" t="s">
        <v>1317</v>
      </c>
    </row>
    <row r="6113" spans="1:6">
      <c r="A6113" s="888">
        <v>309</v>
      </c>
      <c r="B6113" s="888" t="s">
        <v>998</v>
      </c>
      <c r="C6113" s="888" t="s">
        <v>1253</v>
      </c>
      <c r="D6113" s="889">
        <v>46043</v>
      </c>
      <c r="E6113" s="890">
        <v>0.37614583333333335</v>
      </c>
      <c r="F6113" s="890">
        <v>0.76156250000000003</v>
      </c>
    </row>
    <row r="6114" spans="1:6">
      <c r="A6114" s="888" t="s">
        <v>4816</v>
      </c>
      <c r="B6114" s="888" t="s">
        <v>4817</v>
      </c>
      <c r="C6114" s="888" t="s">
        <v>1595</v>
      </c>
    </row>
    <row r="6115" spans="1:6">
      <c r="A6115" s="888">
        <v>309</v>
      </c>
      <c r="B6115" s="888" t="s">
        <v>998</v>
      </c>
      <c r="C6115" s="888" t="s">
        <v>1253</v>
      </c>
      <c r="D6115" s="889">
        <v>46044</v>
      </c>
      <c r="E6115" s="890">
        <v>0.37952546296296297</v>
      </c>
      <c r="F6115" s="890">
        <v>0.75945601851851852</v>
      </c>
    </row>
    <row r="6116" spans="1:6">
      <c r="A6116" s="888" t="s">
        <v>4818</v>
      </c>
      <c r="B6116" s="888" t="s">
        <v>4819</v>
      </c>
      <c r="C6116" s="888" t="s">
        <v>1585</v>
      </c>
    </row>
    <row r="6117" spans="1:6">
      <c r="A6117" s="888">
        <v>309</v>
      </c>
      <c r="B6117" s="888" t="s">
        <v>998</v>
      </c>
      <c r="C6117" s="888" t="s">
        <v>1253</v>
      </c>
      <c r="D6117" s="889">
        <v>46045</v>
      </c>
      <c r="E6117" s="888" t="s">
        <v>310</v>
      </c>
      <c r="F6117" s="888" t="s">
        <v>310</v>
      </c>
    </row>
    <row r="6118" spans="1:6">
      <c r="A6118" s="888">
        <v>309</v>
      </c>
      <c r="B6118" s="888" t="s">
        <v>998</v>
      </c>
      <c r="C6118" s="888" t="s">
        <v>1253</v>
      </c>
      <c r="D6118" s="889">
        <v>46046</v>
      </c>
      <c r="E6118" s="888" t="s">
        <v>310</v>
      </c>
      <c r="F6118" s="888" t="s">
        <v>310</v>
      </c>
    </row>
    <row r="6119" spans="1:6">
      <c r="A6119" s="888">
        <v>309</v>
      </c>
      <c r="B6119" s="888" t="s">
        <v>998</v>
      </c>
      <c r="C6119" s="888" t="s">
        <v>1253</v>
      </c>
      <c r="D6119" s="889">
        <v>46047</v>
      </c>
      <c r="E6119" s="888" t="s">
        <v>310</v>
      </c>
      <c r="F6119" s="888" t="s">
        <v>310</v>
      </c>
    </row>
    <row r="6120" spans="1:6">
      <c r="A6120" s="888">
        <v>309</v>
      </c>
      <c r="B6120" s="888" t="s">
        <v>998</v>
      </c>
      <c r="C6120" s="888" t="s">
        <v>1253</v>
      </c>
      <c r="D6120" s="889">
        <v>46048</v>
      </c>
      <c r="E6120" s="890">
        <v>0.38068287037037035</v>
      </c>
      <c r="F6120" s="890">
        <v>0.76364583333333336</v>
      </c>
    </row>
    <row r="6121" spans="1:6">
      <c r="A6121" s="888" t="s">
        <v>4820</v>
      </c>
      <c r="B6121" s="888" t="s">
        <v>4821</v>
      </c>
      <c r="C6121" s="888" t="s">
        <v>1314</v>
      </c>
    </row>
    <row r="6122" spans="1:6">
      <c r="A6122" s="888">
        <v>309</v>
      </c>
      <c r="B6122" s="888" t="s">
        <v>998</v>
      </c>
      <c r="C6122" s="888" t="s">
        <v>1253</v>
      </c>
      <c r="D6122" s="889">
        <v>46049</v>
      </c>
      <c r="E6122" s="890">
        <v>0.3853125</v>
      </c>
      <c r="F6122" s="890">
        <v>0.76093750000000004</v>
      </c>
    </row>
    <row r="6123" spans="1:6">
      <c r="A6123" s="888" t="s">
        <v>4822</v>
      </c>
      <c r="B6123" s="888" t="s">
        <v>4823</v>
      </c>
      <c r="C6123" s="888" t="s">
        <v>1330</v>
      </c>
    </row>
    <row r="6124" spans="1:6">
      <c r="A6124" s="888">
        <v>309</v>
      </c>
      <c r="B6124" s="888" t="s">
        <v>998</v>
      </c>
      <c r="C6124" s="888" t="s">
        <v>1253</v>
      </c>
      <c r="D6124" s="889">
        <v>46050</v>
      </c>
      <c r="E6124" s="890">
        <v>0.38709490740740743</v>
      </c>
      <c r="F6124" s="890">
        <v>0.75765046296296301</v>
      </c>
    </row>
    <row r="6125" spans="1:6">
      <c r="A6125" s="888" t="s">
        <v>4824</v>
      </c>
      <c r="B6125" s="888" t="s">
        <v>4825</v>
      </c>
      <c r="C6125" s="888" t="s">
        <v>1590</v>
      </c>
    </row>
    <row r="6126" spans="1:6">
      <c r="A6126" s="888">
        <v>309</v>
      </c>
      <c r="B6126" s="888" t="s">
        <v>998</v>
      </c>
      <c r="C6126" s="888" t="s">
        <v>1253</v>
      </c>
      <c r="D6126" s="889">
        <v>46051</v>
      </c>
      <c r="E6126" s="890">
        <v>0.39250000000000002</v>
      </c>
      <c r="F6126" s="890">
        <v>0.75966435185185188</v>
      </c>
    </row>
    <row r="6127" spans="1:6">
      <c r="A6127" s="888" t="s">
        <v>4826</v>
      </c>
      <c r="B6127" s="888" t="s">
        <v>4827</v>
      </c>
      <c r="C6127" s="888" t="s">
        <v>2014</v>
      </c>
    </row>
    <row r="6128" spans="1:6">
      <c r="A6128" s="888">
        <v>309</v>
      </c>
      <c r="B6128" s="888" t="s">
        <v>998</v>
      </c>
      <c r="C6128" s="888" t="s">
        <v>1253</v>
      </c>
      <c r="D6128" s="889">
        <v>46052</v>
      </c>
      <c r="E6128" s="890">
        <v>0.3873611111111111</v>
      </c>
      <c r="F6128" s="890">
        <v>0.71119212962962963</v>
      </c>
    </row>
    <row r="6129" spans="1:10">
      <c r="A6129" s="888" t="s">
        <v>4828</v>
      </c>
      <c r="B6129" s="888" t="s">
        <v>4829</v>
      </c>
      <c r="C6129" s="888" t="s">
        <v>4830</v>
      </c>
    </row>
    <row r="6130" spans="1:10">
      <c r="A6130" s="888">
        <v>309</v>
      </c>
      <c r="B6130" s="888" t="s">
        <v>998</v>
      </c>
      <c r="C6130" s="888" t="s">
        <v>1253</v>
      </c>
      <c r="D6130" s="889">
        <v>46053</v>
      </c>
      <c r="E6130" s="888" t="s">
        <v>310</v>
      </c>
      <c r="F6130" s="888" t="s">
        <v>310</v>
      </c>
    </row>
    <row r="6131" spans="1:10">
      <c r="A6131" s="888">
        <v>309</v>
      </c>
      <c r="B6131" s="888" t="s">
        <v>998</v>
      </c>
      <c r="C6131" s="888" t="s">
        <v>1253</v>
      </c>
      <c r="D6131" s="889">
        <v>46054</v>
      </c>
      <c r="E6131" s="888" t="s">
        <v>310</v>
      </c>
      <c r="F6131" s="888" t="s">
        <v>310</v>
      </c>
    </row>
    <row r="6132" spans="1:10">
      <c r="A6132" s="888" t="s">
        <v>4831</v>
      </c>
      <c r="B6132" s="888" t="s">
        <v>1258</v>
      </c>
      <c r="C6132" s="888" t="s">
        <v>1259</v>
      </c>
    </row>
    <row r="6133" spans="1:10">
      <c r="A6133" s="888" t="s">
        <v>4832</v>
      </c>
      <c r="B6133" s="888" t="s">
        <v>1258</v>
      </c>
      <c r="C6133" s="888" t="s">
        <v>1259</v>
      </c>
    </row>
    <row r="6134" spans="1:10">
      <c r="A6134" s="892">
        <v>311</v>
      </c>
      <c r="B6134" s="892" t="s">
        <v>142</v>
      </c>
      <c r="C6134" s="892" t="s">
        <v>1253</v>
      </c>
      <c r="D6134" s="893">
        <v>46023</v>
      </c>
      <c r="E6134" s="892" t="s">
        <v>310</v>
      </c>
      <c r="F6134" s="892" t="s">
        <v>310</v>
      </c>
      <c r="G6134" s="895" t="s">
        <v>1040</v>
      </c>
      <c r="H6134" s="895" t="s">
        <v>4833</v>
      </c>
      <c r="I6134" s="895" t="s">
        <v>1040</v>
      </c>
      <c r="J6134" s="891" t="s">
        <v>4833</v>
      </c>
    </row>
    <row r="6135" spans="1:10">
      <c r="A6135" s="892">
        <v>311</v>
      </c>
      <c r="B6135" s="892" t="s">
        <v>142</v>
      </c>
      <c r="C6135" s="892" t="s">
        <v>1253</v>
      </c>
      <c r="D6135" s="893">
        <v>46024</v>
      </c>
      <c r="E6135" s="894">
        <v>0.77171296296296299</v>
      </c>
      <c r="F6135" s="892" t="s">
        <v>310</v>
      </c>
      <c r="G6135" s="895" t="s">
        <v>1040</v>
      </c>
      <c r="H6135" s="895" t="s">
        <v>4834</v>
      </c>
      <c r="I6135" s="895"/>
    </row>
    <row r="6136" spans="1:10">
      <c r="A6136" s="888" t="s">
        <v>4835</v>
      </c>
      <c r="B6136" s="888" t="s">
        <v>1258</v>
      </c>
      <c r="C6136" s="888" t="s">
        <v>1259</v>
      </c>
    </row>
    <row r="6137" spans="1:10">
      <c r="A6137" s="892">
        <v>311</v>
      </c>
      <c r="B6137" s="892" t="s">
        <v>142</v>
      </c>
      <c r="C6137" s="892" t="s">
        <v>1253</v>
      </c>
      <c r="D6137" s="893">
        <v>46025</v>
      </c>
      <c r="E6137" s="892" t="s">
        <v>310</v>
      </c>
      <c r="F6137" s="892" t="s">
        <v>310</v>
      </c>
      <c r="G6137" s="895" t="s">
        <v>1040</v>
      </c>
      <c r="H6137" s="895" t="s">
        <v>4836</v>
      </c>
      <c r="I6137" s="895" t="s">
        <v>1040</v>
      </c>
      <c r="J6137" s="891" t="s">
        <v>4836</v>
      </c>
    </row>
    <row r="6138" spans="1:10">
      <c r="A6138" s="892">
        <v>311</v>
      </c>
      <c r="B6138" s="892" t="s">
        <v>142</v>
      </c>
      <c r="C6138" s="892" t="s">
        <v>1253</v>
      </c>
      <c r="D6138" s="893">
        <v>46026</v>
      </c>
      <c r="E6138" s="892" t="s">
        <v>310</v>
      </c>
      <c r="F6138" s="892" t="s">
        <v>310</v>
      </c>
      <c r="G6138" s="895" t="s">
        <v>1040</v>
      </c>
      <c r="H6138" s="895" t="s">
        <v>4836</v>
      </c>
      <c r="I6138" s="895" t="s">
        <v>1040</v>
      </c>
      <c r="J6138" s="891" t="s">
        <v>4836</v>
      </c>
    </row>
    <row r="6139" spans="1:10">
      <c r="A6139" s="892">
        <v>311</v>
      </c>
      <c r="B6139" s="892" t="s">
        <v>142</v>
      </c>
      <c r="C6139" s="892" t="s">
        <v>1253</v>
      </c>
      <c r="D6139" s="893">
        <v>46027</v>
      </c>
      <c r="E6139" s="894">
        <v>0.34717592592592594</v>
      </c>
      <c r="F6139" s="894">
        <v>0.76524305555555561</v>
      </c>
      <c r="G6139" s="895"/>
      <c r="H6139" s="895"/>
      <c r="I6139" s="895"/>
    </row>
    <row r="6140" spans="1:10">
      <c r="A6140" s="888" t="s">
        <v>4837</v>
      </c>
      <c r="B6140" s="888" t="s">
        <v>4838</v>
      </c>
      <c r="C6140" s="888" t="s">
        <v>1790</v>
      </c>
    </row>
    <row r="6141" spans="1:10">
      <c r="A6141" s="892">
        <v>311</v>
      </c>
      <c r="B6141" s="892" t="s">
        <v>142</v>
      </c>
      <c r="C6141" s="892" t="s">
        <v>1253</v>
      </c>
      <c r="D6141" s="893">
        <v>46028</v>
      </c>
      <c r="E6141" s="894">
        <v>0.34966435185185185</v>
      </c>
      <c r="F6141" s="894">
        <v>0.7598611111111111</v>
      </c>
      <c r="G6141" s="895"/>
      <c r="H6141" s="895"/>
      <c r="I6141" s="895"/>
    </row>
    <row r="6142" spans="1:10">
      <c r="A6142" s="888" t="s">
        <v>4839</v>
      </c>
      <c r="B6142" s="888" t="s">
        <v>4840</v>
      </c>
      <c r="C6142" s="888" t="s">
        <v>2003</v>
      </c>
    </row>
    <row r="6143" spans="1:10">
      <c r="A6143" s="892">
        <v>311</v>
      </c>
      <c r="B6143" s="892" t="s">
        <v>142</v>
      </c>
      <c r="C6143" s="892" t="s">
        <v>1253</v>
      </c>
      <c r="D6143" s="893">
        <v>46029</v>
      </c>
      <c r="E6143" s="894">
        <v>0.34831018518518519</v>
      </c>
      <c r="F6143" s="894">
        <v>0.76076388888888891</v>
      </c>
      <c r="G6143" s="895"/>
      <c r="H6143" s="895"/>
      <c r="I6143" s="895"/>
    </row>
    <row r="6144" spans="1:10">
      <c r="A6144" s="888" t="s">
        <v>4841</v>
      </c>
      <c r="B6144" s="888" t="s">
        <v>4842</v>
      </c>
      <c r="C6144" s="888" t="s">
        <v>1816</v>
      </c>
    </row>
    <row r="6145" spans="1:10">
      <c r="A6145" s="892">
        <v>311</v>
      </c>
      <c r="B6145" s="892" t="s">
        <v>142</v>
      </c>
      <c r="C6145" s="892" t="s">
        <v>1253</v>
      </c>
      <c r="D6145" s="893">
        <v>46030</v>
      </c>
      <c r="E6145" s="894">
        <v>0.35405092592592591</v>
      </c>
      <c r="F6145" s="894">
        <v>0.76539351851851856</v>
      </c>
      <c r="G6145" s="895"/>
      <c r="H6145" s="895"/>
      <c r="I6145" s="895"/>
    </row>
    <row r="6146" spans="1:10">
      <c r="A6146" s="888" t="s">
        <v>4843</v>
      </c>
      <c r="B6146" s="888" t="s">
        <v>4844</v>
      </c>
      <c r="C6146" s="888" t="s">
        <v>1613</v>
      </c>
    </row>
    <row r="6147" spans="1:10">
      <c r="A6147" s="892">
        <v>311</v>
      </c>
      <c r="B6147" s="892" t="s">
        <v>142</v>
      </c>
      <c r="C6147" s="892" t="s">
        <v>1253</v>
      </c>
      <c r="D6147" s="893">
        <v>46031</v>
      </c>
      <c r="E6147" s="894">
        <v>0.35072916666666665</v>
      </c>
      <c r="F6147" s="894">
        <v>0.76884259259259258</v>
      </c>
      <c r="G6147" s="895"/>
      <c r="H6147" s="895"/>
      <c r="I6147" s="895"/>
    </row>
    <row r="6148" spans="1:10">
      <c r="A6148" s="888" t="s">
        <v>4845</v>
      </c>
      <c r="B6148" s="888" t="s">
        <v>4846</v>
      </c>
      <c r="C6148" s="888" t="s">
        <v>1790</v>
      </c>
    </row>
    <row r="6149" spans="1:10">
      <c r="A6149" s="892">
        <v>311</v>
      </c>
      <c r="B6149" s="892" t="s">
        <v>142</v>
      </c>
      <c r="C6149" s="892" t="s">
        <v>1253</v>
      </c>
      <c r="D6149" s="893">
        <v>46032</v>
      </c>
      <c r="E6149" s="892" t="s">
        <v>310</v>
      </c>
      <c r="F6149" s="892" t="s">
        <v>310</v>
      </c>
      <c r="G6149" s="895" t="s">
        <v>1040</v>
      </c>
      <c r="H6149" s="895" t="s">
        <v>4836</v>
      </c>
      <c r="I6149" s="895" t="s">
        <v>1040</v>
      </c>
      <c r="J6149" s="891" t="s">
        <v>4836</v>
      </c>
    </row>
    <row r="6150" spans="1:10">
      <c r="A6150" s="892">
        <v>311</v>
      </c>
      <c r="B6150" s="892" t="s">
        <v>142</v>
      </c>
      <c r="C6150" s="892" t="s">
        <v>1253</v>
      </c>
      <c r="D6150" s="893">
        <v>46033</v>
      </c>
      <c r="E6150" s="892" t="s">
        <v>310</v>
      </c>
      <c r="F6150" s="892" t="s">
        <v>310</v>
      </c>
      <c r="G6150" s="895" t="s">
        <v>1040</v>
      </c>
      <c r="H6150" s="895" t="s">
        <v>4836</v>
      </c>
      <c r="I6150" s="895" t="s">
        <v>1040</v>
      </c>
      <c r="J6150" s="891" t="s">
        <v>4836</v>
      </c>
    </row>
    <row r="6151" spans="1:10">
      <c r="A6151" s="892">
        <v>311</v>
      </c>
      <c r="B6151" s="892" t="s">
        <v>142</v>
      </c>
      <c r="C6151" s="892" t="s">
        <v>1253</v>
      </c>
      <c r="D6151" s="893">
        <v>46034</v>
      </c>
      <c r="E6151" s="894">
        <v>0.3489814814814815</v>
      </c>
      <c r="F6151" s="894">
        <v>0.76108796296296299</v>
      </c>
      <c r="G6151" s="895"/>
      <c r="H6151" s="895"/>
      <c r="I6151" s="895"/>
    </row>
    <row r="6152" spans="1:10">
      <c r="A6152" s="888" t="s">
        <v>4847</v>
      </c>
      <c r="B6152" s="888" t="s">
        <v>4848</v>
      </c>
      <c r="C6152" s="888" t="s">
        <v>1369</v>
      </c>
    </row>
    <row r="6153" spans="1:10">
      <c r="A6153" s="892">
        <v>311</v>
      </c>
      <c r="B6153" s="892" t="s">
        <v>142</v>
      </c>
      <c r="C6153" s="892" t="s">
        <v>1253</v>
      </c>
      <c r="D6153" s="893">
        <v>46035</v>
      </c>
      <c r="E6153" s="894">
        <v>0.3538310185185185</v>
      </c>
      <c r="F6153" s="892" t="s">
        <v>310</v>
      </c>
      <c r="G6153" s="895"/>
      <c r="H6153" s="895"/>
      <c r="I6153" s="895" t="s">
        <v>1040</v>
      </c>
      <c r="J6153" s="895" t="s">
        <v>4849</v>
      </c>
    </row>
    <row r="6154" spans="1:10">
      <c r="A6154" s="888" t="s">
        <v>4850</v>
      </c>
      <c r="B6154" s="888" t="s">
        <v>1258</v>
      </c>
      <c r="C6154" s="888" t="s">
        <v>1259</v>
      </c>
    </row>
    <row r="6155" spans="1:10">
      <c r="A6155" s="892">
        <v>311</v>
      </c>
      <c r="B6155" s="892" t="s">
        <v>142</v>
      </c>
      <c r="C6155" s="892" t="s">
        <v>1253</v>
      </c>
      <c r="D6155" s="893">
        <v>46036</v>
      </c>
      <c r="E6155" s="894">
        <v>0.36011574074074076</v>
      </c>
      <c r="F6155" s="894">
        <v>0.76447916666666671</v>
      </c>
      <c r="G6155" s="895" t="s">
        <v>1040</v>
      </c>
      <c r="H6155" s="895" t="s">
        <v>1008</v>
      </c>
      <c r="I6155" s="895"/>
    </row>
    <row r="6156" spans="1:10">
      <c r="A6156" s="888" t="s">
        <v>4851</v>
      </c>
      <c r="B6156" s="888" t="s">
        <v>4852</v>
      </c>
      <c r="C6156" s="888" t="s">
        <v>1266</v>
      </c>
    </row>
    <row r="6157" spans="1:10">
      <c r="A6157" s="892">
        <v>311</v>
      </c>
      <c r="B6157" s="892" t="s">
        <v>142</v>
      </c>
      <c r="C6157" s="892" t="s">
        <v>1253</v>
      </c>
      <c r="D6157" s="893">
        <v>46037</v>
      </c>
      <c r="E6157" s="894">
        <v>0.35076388888888888</v>
      </c>
      <c r="F6157" s="894">
        <v>0.76262731481481483</v>
      </c>
      <c r="G6157" s="895"/>
      <c r="H6157" s="895"/>
      <c r="I6157" s="895"/>
    </row>
    <row r="6158" spans="1:10">
      <c r="A6158" s="888" t="s">
        <v>4853</v>
      </c>
      <c r="B6158" s="888" t="s">
        <v>4854</v>
      </c>
      <c r="C6158" s="888" t="s">
        <v>1369</v>
      </c>
    </row>
    <row r="6159" spans="1:10">
      <c r="A6159" s="892">
        <v>311</v>
      </c>
      <c r="B6159" s="892" t="s">
        <v>142</v>
      </c>
      <c r="C6159" s="892" t="s">
        <v>1253</v>
      </c>
      <c r="D6159" s="893">
        <v>46038</v>
      </c>
      <c r="E6159" s="894">
        <v>0.35265046296296299</v>
      </c>
      <c r="F6159" s="894">
        <v>0.7636574074074074</v>
      </c>
      <c r="G6159" s="895"/>
      <c r="H6159" s="895"/>
      <c r="I6159" s="895"/>
    </row>
    <row r="6160" spans="1:10">
      <c r="A6160" s="888" t="s">
        <v>4855</v>
      </c>
      <c r="B6160" s="888" t="s">
        <v>4856</v>
      </c>
      <c r="C6160" s="888" t="s">
        <v>1613</v>
      </c>
    </row>
    <row r="6161" spans="1:10">
      <c r="A6161" s="892">
        <v>311</v>
      </c>
      <c r="B6161" s="892" t="s">
        <v>142</v>
      </c>
      <c r="C6161" s="892" t="s">
        <v>1253</v>
      </c>
      <c r="D6161" s="893">
        <v>46039</v>
      </c>
      <c r="E6161" s="892" t="s">
        <v>310</v>
      </c>
      <c r="F6161" s="892" t="s">
        <v>310</v>
      </c>
      <c r="G6161" s="895" t="s">
        <v>1040</v>
      </c>
      <c r="H6161" s="895" t="s">
        <v>4836</v>
      </c>
      <c r="I6161" s="895" t="s">
        <v>1040</v>
      </c>
      <c r="J6161" s="891" t="s">
        <v>4836</v>
      </c>
    </row>
    <row r="6162" spans="1:10">
      <c r="A6162" s="892">
        <v>311</v>
      </c>
      <c r="B6162" s="892" t="s">
        <v>142</v>
      </c>
      <c r="C6162" s="892" t="s">
        <v>1253</v>
      </c>
      <c r="D6162" s="893">
        <v>46040</v>
      </c>
      <c r="E6162" s="892" t="s">
        <v>310</v>
      </c>
      <c r="F6162" s="892" t="s">
        <v>310</v>
      </c>
      <c r="G6162" s="895" t="s">
        <v>1040</v>
      </c>
      <c r="H6162" s="895" t="s">
        <v>4836</v>
      </c>
      <c r="I6162" s="895" t="s">
        <v>1040</v>
      </c>
      <c r="J6162" s="891" t="s">
        <v>4836</v>
      </c>
    </row>
    <row r="6163" spans="1:10">
      <c r="A6163" s="892">
        <v>311</v>
      </c>
      <c r="B6163" s="892" t="s">
        <v>142</v>
      </c>
      <c r="C6163" s="892" t="s">
        <v>1253</v>
      </c>
      <c r="D6163" s="893">
        <v>46041</v>
      </c>
      <c r="E6163" s="894">
        <v>0.39758101851851851</v>
      </c>
      <c r="F6163" s="894">
        <v>0.7600810185185185</v>
      </c>
      <c r="G6163" s="895" t="s">
        <v>1040</v>
      </c>
      <c r="H6163" s="895" t="s">
        <v>1008</v>
      </c>
      <c r="I6163" s="895"/>
    </row>
    <row r="6164" spans="1:10">
      <c r="A6164" s="888" t="s">
        <v>4857</v>
      </c>
      <c r="B6164" s="888" t="s">
        <v>4858</v>
      </c>
      <c r="C6164" s="888" t="s">
        <v>4859</v>
      </c>
    </row>
    <row r="6165" spans="1:10">
      <c r="A6165" s="892">
        <v>311</v>
      </c>
      <c r="B6165" s="892" t="s">
        <v>142</v>
      </c>
      <c r="C6165" s="892" t="s">
        <v>1253</v>
      </c>
      <c r="D6165" s="893">
        <v>46042</v>
      </c>
      <c r="E6165" s="894">
        <v>0.36052083333333335</v>
      </c>
      <c r="F6165" s="894">
        <v>0.76703703703703707</v>
      </c>
      <c r="G6165" s="895" t="s">
        <v>1040</v>
      </c>
      <c r="H6165" s="895" t="s">
        <v>1008</v>
      </c>
      <c r="I6165" s="895"/>
    </row>
    <row r="6166" spans="1:10">
      <c r="A6166" s="888" t="s">
        <v>4860</v>
      </c>
      <c r="B6166" s="888" t="s">
        <v>4861</v>
      </c>
      <c r="C6166" s="888" t="s">
        <v>1375</v>
      </c>
    </row>
    <row r="6167" spans="1:10">
      <c r="A6167" s="892">
        <v>311</v>
      </c>
      <c r="B6167" s="892" t="s">
        <v>142</v>
      </c>
      <c r="C6167" s="892" t="s">
        <v>1253</v>
      </c>
      <c r="D6167" s="893">
        <v>46043</v>
      </c>
      <c r="E6167" s="894">
        <v>0.35567129629629629</v>
      </c>
      <c r="F6167" s="894">
        <v>0.76331018518518523</v>
      </c>
      <c r="G6167" s="895" t="s">
        <v>1040</v>
      </c>
      <c r="H6167" s="895" t="s">
        <v>1083</v>
      </c>
      <c r="I6167" s="895"/>
    </row>
    <row r="6168" spans="1:10">
      <c r="A6168" s="888" t="s">
        <v>4862</v>
      </c>
      <c r="B6168" s="888" t="s">
        <v>4863</v>
      </c>
      <c r="C6168" s="888" t="s">
        <v>1645</v>
      </c>
    </row>
    <row r="6169" spans="1:10">
      <c r="A6169" s="892">
        <v>311</v>
      </c>
      <c r="B6169" s="892" t="s">
        <v>142</v>
      </c>
      <c r="C6169" s="892" t="s">
        <v>1253</v>
      </c>
      <c r="D6169" s="893">
        <v>46044</v>
      </c>
      <c r="E6169" s="894">
        <v>0.35567129629629629</v>
      </c>
      <c r="F6169" s="894">
        <v>0.76631944444444444</v>
      </c>
      <c r="G6169" s="895" t="s">
        <v>1040</v>
      </c>
      <c r="H6169" s="895" t="s">
        <v>1083</v>
      </c>
      <c r="I6169" s="895"/>
    </row>
    <row r="6170" spans="1:10">
      <c r="A6170" s="888" t="s">
        <v>4864</v>
      </c>
      <c r="B6170" s="888" t="s">
        <v>4865</v>
      </c>
      <c r="C6170" s="888" t="s">
        <v>2003</v>
      </c>
    </row>
    <row r="6171" spans="1:10">
      <c r="A6171" s="892">
        <v>311</v>
      </c>
      <c r="B6171" s="892" t="s">
        <v>142</v>
      </c>
      <c r="C6171" s="892" t="s">
        <v>1253</v>
      </c>
      <c r="D6171" s="893">
        <v>46045</v>
      </c>
      <c r="E6171" s="894">
        <v>0.5081134259259259</v>
      </c>
      <c r="F6171" s="894">
        <v>0.76734953703703701</v>
      </c>
      <c r="G6171" s="895" t="s">
        <v>1040</v>
      </c>
      <c r="H6171" s="895" t="s">
        <v>4866</v>
      </c>
      <c r="I6171" s="895"/>
    </row>
    <row r="6172" spans="1:10">
      <c r="A6172" s="888" t="s">
        <v>4867</v>
      </c>
      <c r="B6172" s="888" t="s">
        <v>4868</v>
      </c>
      <c r="C6172" s="888" t="s">
        <v>4869</v>
      </c>
    </row>
    <row r="6173" spans="1:10">
      <c r="A6173" s="892">
        <v>311</v>
      </c>
      <c r="B6173" s="892" t="s">
        <v>142</v>
      </c>
      <c r="C6173" s="892" t="s">
        <v>1253</v>
      </c>
      <c r="D6173" s="893">
        <v>46046</v>
      </c>
      <c r="E6173" s="892" t="s">
        <v>310</v>
      </c>
      <c r="F6173" s="892" t="s">
        <v>310</v>
      </c>
      <c r="G6173" s="895" t="s">
        <v>1040</v>
      </c>
      <c r="H6173" s="895" t="s">
        <v>4836</v>
      </c>
      <c r="I6173" s="895" t="s">
        <v>1040</v>
      </c>
      <c r="J6173" s="891" t="s">
        <v>4836</v>
      </c>
    </row>
    <row r="6174" spans="1:10">
      <c r="A6174" s="892">
        <v>311</v>
      </c>
      <c r="B6174" s="892" t="s">
        <v>142</v>
      </c>
      <c r="C6174" s="892" t="s">
        <v>1253</v>
      </c>
      <c r="D6174" s="893">
        <v>46047</v>
      </c>
      <c r="E6174" s="892" t="s">
        <v>310</v>
      </c>
      <c r="F6174" s="892" t="s">
        <v>310</v>
      </c>
      <c r="G6174" s="895" t="s">
        <v>1040</v>
      </c>
      <c r="H6174" s="895" t="s">
        <v>4836</v>
      </c>
      <c r="I6174" s="895" t="s">
        <v>1040</v>
      </c>
      <c r="J6174" s="891" t="s">
        <v>4836</v>
      </c>
    </row>
    <row r="6175" spans="1:10">
      <c r="A6175" s="888">
        <v>311</v>
      </c>
      <c r="B6175" s="888" t="s">
        <v>142</v>
      </c>
      <c r="C6175" s="888" t="s">
        <v>1253</v>
      </c>
      <c r="D6175" s="889">
        <v>46048</v>
      </c>
      <c r="E6175" s="890">
        <v>0.35335648148148147</v>
      </c>
      <c r="F6175" s="890">
        <v>0.76067129629629626</v>
      </c>
    </row>
    <row r="6176" spans="1:10">
      <c r="A6176" s="888" t="s">
        <v>4870</v>
      </c>
      <c r="B6176" s="888" t="s">
        <v>4871</v>
      </c>
      <c r="C6176" s="888" t="s">
        <v>1645</v>
      </c>
    </row>
    <row r="6177" spans="1:10">
      <c r="A6177" s="888">
        <v>311</v>
      </c>
      <c r="B6177" s="888" t="s">
        <v>142</v>
      </c>
      <c r="C6177" s="888" t="s">
        <v>1253</v>
      </c>
      <c r="D6177" s="889">
        <v>46049</v>
      </c>
      <c r="E6177" s="890">
        <v>0.34901620370370373</v>
      </c>
      <c r="F6177" s="890">
        <v>0.76969907407407412</v>
      </c>
    </row>
    <row r="6178" spans="1:10">
      <c r="A6178" s="888" t="s">
        <v>4872</v>
      </c>
      <c r="B6178" s="888" t="s">
        <v>4873</v>
      </c>
      <c r="C6178" s="888" t="s">
        <v>1871</v>
      </c>
    </row>
    <row r="6179" spans="1:10">
      <c r="A6179" s="888">
        <v>311</v>
      </c>
      <c r="B6179" s="888" t="s">
        <v>142</v>
      </c>
      <c r="C6179" s="888" t="s">
        <v>1253</v>
      </c>
      <c r="D6179" s="889">
        <v>46050</v>
      </c>
      <c r="E6179" s="890">
        <v>0.35416666666666669</v>
      </c>
      <c r="F6179" s="890">
        <v>0.7603819444444444</v>
      </c>
    </row>
    <row r="6180" spans="1:10">
      <c r="A6180" s="888" t="s">
        <v>4874</v>
      </c>
      <c r="B6180" s="888" t="s">
        <v>4875</v>
      </c>
      <c r="C6180" s="888" t="s">
        <v>1375</v>
      </c>
    </row>
    <row r="6181" spans="1:10">
      <c r="A6181" s="888">
        <v>311</v>
      </c>
      <c r="B6181" s="888" t="s">
        <v>142</v>
      </c>
      <c r="C6181" s="888" t="s">
        <v>1253</v>
      </c>
      <c r="D6181" s="889">
        <v>46051</v>
      </c>
      <c r="E6181" s="890">
        <v>0.35401620370370368</v>
      </c>
      <c r="F6181" s="890">
        <v>0.75937500000000002</v>
      </c>
    </row>
    <row r="6182" spans="1:10">
      <c r="A6182" s="888" t="s">
        <v>4876</v>
      </c>
      <c r="B6182" s="888" t="s">
        <v>4877</v>
      </c>
      <c r="C6182" s="888" t="s">
        <v>2340</v>
      </c>
    </row>
    <row r="6183" spans="1:10">
      <c r="A6183" s="888">
        <v>311</v>
      </c>
      <c r="B6183" s="888" t="s">
        <v>142</v>
      </c>
      <c r="C6183" s="888" t="s">
        <v>1253</v>
      </c>
      <c r="D6183" s="889">
        <v>46052</v>
      </c>
      <c r="E6183" s="888" t="s">
        <v>310</v>
      </c>
      <c r="F6183" s="888" t="s">
        <v>310</v>
      </c>
      <c r="G6183" s="891" t="s">
        <v>1040</v>
      </c>
      <c r="H6183" s="891" t="s">
        <v>1080</v>
      </c>
      <c r="I6183" s="891" t="s">
        <v>1040</v>
      </c>
      <c r="J6183" s="891" t="s">
        <v>1080</v>
      </c>
    </row>
    <row r="6184" spans="1:10">
      <c r="A6184" s="888">
        <v>311</v>
      </c>
      <c r="B6184" s="888" t="s">
        <v>142</v>
      </c>
      <c r="C6184" s="888" t="s">
        <v>1253</v>
      </c>
      <c r="D6184" s="889">
        <v>46053</v>
      </c>
      <c r="E6184" s="888" t="s">
        <v>310</v>
      </c>
      <c r="F6184" s="888" t="s">
        <v>310</v>
      </c>
      <c r="G6184" s="891" t="s">
        <v>1040</v>
      </c>
      <c r="H6184" s="891" t="s">
        <v>4836</v>
      </c>
      <c r="I6184" s="891" t="s">
        <v>1040</v>
      </c>
      <c r="J6184" s="891" t="s">
        <v>4836</v>
      </c>
    </row>
    <row r="6185" spans="1:10">
      <c r="A6185" s="888">
        <v>312</v>
      </c>
      <c r="B6185" s="888" t="s">
        <v>999</v>
      </c>
      <c r="C6185" s="888" t="s">
        <v>1253</v>
      </c>
      <c r="D6185" s="889">
        <v>46023</v>
      </c>
      <c r="E6185" s="888" t="s">
        <v>310</v>
      </c>
      <c r="F6185" s="888" t="s">
        <v>310</v>
      </c>
    </row>
    <row r="6186" spans="1:10">
      <c r="A6186" s="888">
        <v>312</v>
      </c>
      <c r="B6186" s="888" t="s">
        <v>999</v>
      </c>
      <c r="C6186" s="888" t="s">
        <v>1253</v>
      </c>
      <c r="D6186" s="889">
        <v>46024</v>
      </c>
      <c r="E6186" s="888" t="s">
        <v>310</v>
      </c>
      <c r="F6186" s="888" t="s">
        <v>310</v>
      </c>
    </row>
    <row r="6187" spans="1:10">
      <c r="A6187" s="888">
        <v>312</v>
      </c>
      <c r="B6187" s="888" t="s">
        <v>999</v>
      </c>
      <c r="C6187" s="888" t="s">
        <v>1253</v>
      </c>
      <c r="D6187" s="889">
        <v>46025</v>
      </c>
      <c r="E6187" s="888" t="s">
        <v>310</v>
      </c>
      <c r="F6187" s="888" t="s">
        <v>310</v>
      </c>
    </row>
    <row r="6188" spans="1:10">
      <c r="A6188" s="888">
        <v>312</v>
      </c>
      <c r="B6188" s="888" t="s">
        <v>999</v>
      </c>
      <c r="C6188" s="888" t="s">
        <v>1253</v>
      </c>
      <c r="D6188" s="889">
        <v>46026</v>
      </c>
      <c r="E6188" s="888" t="s">
        <v>310</v>
      </c>
      <c r="F6188" s="888" t="s">
        <v>310</v>
      </c>
    </row>
    <row r="6189" spans="1:10">
      <c r="A6189" s="888">
        <v>312</v>
      </c>
      <c r="B6189" s="888" t="s">
        <v>999</v>
      </c>
      <c r="C6189" s="888" t="s">
        <v>1253</v>
      </c>
      <c r="D6189" s="889">
        <v>46027</v>
      </c>
      <c r="E6189" s="888" t="s">
        <v>310</v>
      </c>
      <c r="F6189" s="888" t="s">
        <v>310</v>
      </c>
    </row>
    <row r="6190" spans="1:10">
      <c r="A6190" s="888">
        <v>312</v>
      </c>
      <c r="B6190" s="888" t="s">
        <v>999</v>
      </c>
      <c r="C6190" s="888" t="s">
        <v>1253</v>
      </c>
      <c r="D6190" s="889">
        <v>46028</v>
      </c>
      <c r="E6190" s="888" t="s">
        <v>310</v>
      </c>
      <c r="F6190" s="888" t="s">
        <v>310</v>
      </c>
    </row>
    <row r="6191" spans="1:10">
      <c r="A6191" s="888">
        <v>312</v>
      </c>
      <c r="B6191" s="888" t="s">
        <v>999</v>
      </c>
      <c r="C6191" s="888" t="s">
        <v>1253</v>
      </c>
      <c r="D6191" s="889">
        <v>46029</v>
      </c>
      <c r="E6191" s="888" t="s">
        <v>310</v>
      </c>
      <c r="F6191" s="888" t="s">
        <v>310</v>
      </c>
    </row>
    <row r="6192" spans="1:10">
      <c r="A6192" s="888">
        <v>312</v>
      </c>
      <c r="B6192" s="888" t="s">
        <v>999</v>
      </c>
      <c r="C6192" s="888" t="s">
        <v>1253</v>
      </c>
      <c r="D6192" s="889">
        <v>46030</v>
      </c>
      <c r="E6192" s="888" t="s">
        <v>310</v>
      </c>
      <c r="F6192" s="888" t="s">
        <v>310</v>
      </c>
    </row>
    <row r="6193" spans="1:6">
      <c r="A6193" s="888">
        <v>312</v>
      </c>
      <c r="B6193" s="888" t="s">
        <v>999</v>
      </c>
      <c r="C6193" s="888" t="s">
        <v>1253</v>
      </c>
      <c r="D6193" s="889">
        <v>46031</v>
      </c>
      <c r="E6193" s="888" t="s">
        <v>310</v>
      </c>
      <c r="F6193" s="888" t="s">
        <v>310</v>
      </c>
    </row>
    <row r="6194" spans="1:6">
      <c r="A6194" s="888">
        <v>312</v>
      </c>
      <c r="B6194" s="888" t="s">
        <v>999</v>
      </c>
      <c r="C6194" s="888" t="s">
        <v>1253</v>
      </c>
      <c r="D6194" s="889">
        <v>46032</v>
      </c>
      <c r="E6194" s="888" t="s">
        <v>310</v>
      </c>
      <c r="F6194" s="888" t="s">
        <v>310</v>
      </c>
    </row>
    <row r="6195" spans="1:6">
      <c r="A6195" s="888">
        <v>312</v>
      </c>
      <c r="B6195" s="888" t="s">
        <v>999</v>
      </c>
      <c r="C6195" s="888" t="s">
        <v>1253</v>
      </c>
      <c r="D6195" s="889">
        <v>46033</v>
      </c>
      <c r="E6195" s="888" t="s">
        <v>310</v>
      </c>
      <c r="F6195" s="888" t="s">
        <v>310</v>
      </c>
    </row>
    <row r="6196" spans="1:6">
      <c r="A6196" s="888">
        <v>312</v>
      </c>
      <c r="B6196" s="888" t="s">
        <v>999</v>
      </c>
      <c r="C6196" s="888" t="s">
        <v>1253</v>
      </c>
      <c r="D6196" s="889">
        <v>46034</v>
      </c>
      <c r="E6196" s="888" t="s">
        <v>310</v>
      </c>
      <c r="F6196" s="888" t="s">
        <v>310</v>
      </c>
    </row>
    <row r="6197" spans="1:6">
      <c r="A6197" s="888">
        <v>312</v>
      </c>
      <c r="B6197" s="888" t="s">
        <v>999</v>
      </c>
      <c r="C6197" s="888" t="s">
        <v>1253</v>
      </c>
      <c r="D6197" s="889">
        <v>46035</v>
      </c>
      <c r="E6197" s="888" t="s">
        <v>310</v>
      </c>
      <c r="F6197" s="888" t="s">
        <v>310</v>
      </c>
    </row>
    <row r="6198" spans="1:6">
      <c r="A6198" s="888">
        <v>312</v>
      </c>
      <c r="B6198" s="888" t="s">
        <v>999</v>
      </c>
      <c r="C6198" s="888" t="s">
        <v>1253</v>
      </c>
      <c r="D6198" s="889">
        <v>46036</v>
      </c>
      <c r="E6198" s="888" t="s">
        <v>310</v>
      </c>
      <c r="F6198" s="888" t="s">
        <v>310</v>
      </c>
    </row>
    <row r="6199" spans="1:6">
      <c r="A6199" s="888">
        <v>312</v>
      </c>
      <c r="B6199" s="888" t="s">
        <v>999</v>
      </c>
      <c r="C6199" s="888" t="s">
        <v>1253</v>
      </c>
      <c r="D6199" s="889">
        <v>46037</v>
      </c>
      <c r="E6199" s="888" t="s">
        <v>310</v>
      </c>
      <c r="F6199" s="888" t="s">
        <v>310</v>
      </c>
    </row>
    <row r="6200" spans="1:6">
      <c r="A6200" s="888">
        <v>312</v>
      </c>
      <c r="B6200" s="888" t="s">
        <v>999</v>
      </c>
      <c r="C6200" s="888" t="s">
        <v>1253</v>
      </c>
      <c r="D6200" s="889">
        <v>46038</v>
      </c>
      <c r="E6200" s="888" t="s">
        <v>310</v>
      </c>
      <c r="F6200" s="888" t="s">
        <v>310</v>
      </c>
    </row>
    <row r="6201" spans="1:6">
      <c r="A6201" s="888">
        <v>312</v>
      </c>
      <c r="B6201" s="888" t="s">
        <v>999</v>
      </c>
      <c r="C6201" s="888" t="s">
        <v>1253</v>
      </c>
      <c r="D6201" s="889">
        <v>46039</v>
      </c>
      <c r="E6201" s="888" t="s">
        <v>310</v>
      </c>
      <c r="F6201" s="888" t="s">
        <v>310</v>
      </c>
    </row>
    <row r="6202" spans="1:6">
      <c r="A6202" s="888">
        <v>312</v>
      </c>
      <c r="B6202" s="888" t="s">
        <v>999</v>
      </c>
      <c r="C6202" s="888" t="s">
        <v>1253</v>
      </c>
      <c r="D6202" s="889">
        <v>46040</v>
      </c>
      <c r="E6202" s="888" t="s">
        <v>310</v>
      </c>
      <c r="F6202" s="888" t="s">
        <v>310</v>
      </c>
    </row>
    <row r="6203" spans="1:6">
      <c r="A6203" s="888">
        <v>312</v>
      </c>
      <c r="B6203" s="888" t="s">
        <v>999</v>
      </c>
      <c r="C6203" s="888" t="s">
        <v>1253</v>
      </c>
      <c r="D6203" s="889">
        <v>46041</v>
      </c>
      <c r="E6203" s="888" t="s">
        <v>310</v>
      </c>
      <c r="F6203" s="888" t="s">
        <v>310</v>
      </c>
    </row>
    <row r="6204" spans="1:6">
      <c r="A6204" s="888">
        <v>312</v>
      </c>
      <c r="B6204" s="888" t="s">
        <v>999</v>
      </c>
      <c r="C6204" s="888" t="s">
        <v>1253</v>
      </c>
      <c r="D6204" s="889">
        <v>46042</v>
      </c>
      <c r="E6204" s="888" t="s">
        <v>310</v>
      </c>
      <c r="F6204" s="888" t="s">
        <v>310</v>
      </c>
    </row>
    <row r="6205" spans="1:6">
      <c r="A6205" s="888">
        <v>312</v>
      </c>
      <c r="B6205" s="888" t="s">
        <v>999</v>
      </c>
      <c r="C6205" s="888" t="s">
        <v>1253</v>
      </c>
      <c r="D6205" s="889">
        <v>46043</v>
      </c>
      <c r="E6205" s="888" t="s">
        <v>310</v>
      </c>
      <c r="F6205" s="888" t="s">
        <v>310</v>
      </c>
    </row>
    <row r="6206" spans="1:6">
      <c r="A6206" s="888">
        <v>312</v>
      </c>
      <c r="B6206" s="888" t="s">
        <v>999</v>
      </c>
      <c r="C6206" s="888" t="s">
        <v>1253</v>
      </c>
      <c r="D6206" s="889">
        <v>46044</v>
      </c>
      <c r="E6206" s="888" t="s">
        <v>310</v>
      </c>
      <c r="F6206" s="888" t="s">
        <v>310</v>
      </c>
    </row>
    <row r="6207" spans="1:6">
      <c r="A6207" s="888">
        <v>312</v>
      </c>
      <c r="B6207" s="888" t="s">
        <v>999</v>
      </c>
      <c r="C6207" s="888" t="s">
        <v>1253</v>
      </c>
      <c r="D6207" s="889">
        <v>46045</v>
      </c>
      <c r="E6207" s="888" t="s">
        <v>310</v>
      </c>
      <c r="F6207" s="888" t="s">
        <v>310</v>
      </c>
    </row>
    <row r="6208" spans="1:6">
      <c r="A6208" s="888">
        <v>312</v>
      </c>
      <c r="B6208" s="888" t="s">
        <v>999</v>
      </c>
      <c r="C6208" s="888" t="s">
        <v>1253</v>
      </c>
      <c r="D6208" s="889">
        <v>46046</v>
      </c>
      <c r="E6208" s="888" t="s">
        <v>310</v>
      </c>
      <c r="F6208" s="888" t="s">
        <v>310</v>
      </c>
    </row>
    <row r="6209" spans="1:10">
      <c r="A6209" s="888">
        <v>312</v>
      </c>
      <c r="B6209" s="888" t="s">
        <v>999</v>
      </c>
      <c r="C6209" s="888" t="s">
        <v>1253</v>
      </c>
      <c r="D6209" s="889">
        <v>46047</v>
      </c>
      <c r="E6209" s="888" t="s">
        <v>310</v>
      </c>
      <c r="F6209" s="888" t="s">
        <v>310</v>
      </c>
    </row>
    <row r="6210" spans="1:10">
      <c r="A6210" s="888">
        <v>312</v>
      </c>
      <c r="B6210" s="888" t="s">
        <v>999</v>
      </c>
      <c r="C6210" s="888" t="s">
        <v>1253</v>
      </c>
      <c r="D6210" s="889">
        <v>46048</v>
      </c>
      <c r="E6210" s="888" t="s">
        <v>310</v>
      </c>
      <c r="F6210" s="888" t="s">
        <v>310</v>
      </c>
    </row>
    <row r="6211" spans="1:10">
      <c r="A6211" s="888">
        <v>312</v>
      </c>
      <c r="B6211" s="888" t="s">
        <v>999</v>
      </c>
      <c r="C6211" s="888" t="s">
        <v>1253</v>
      </c>
      <c r="D6211" s="889">
        <v>46049</v>
      </c>
      <c r="E6211" s="888" t="s">
        <v>310</v>
      </c>
      <c r="F6211" s="888" t="s">
        <v>310</v>
      </c>
    </row>
    <row r="6212" spans="1:10">
      <c r="A6212" s="888">
        <v>312</v>
      </c>
      <c r="B6212" s="888" t="s">
        <v>999</v>
      </c>
      <c r="C6212" s="888" t="s">
        <v>1253</v>
      </c>
      <c r="D6212" s="889">
        <v>46050</v>
      </c>
      <c r="E6212" s="888" t="s">
        <v>310</v>
      </c>
      <c r="F6212" s="888" t="s">
        <v>310</v>
      </c>
    </row>
    <row r="6213" spans="1:10">
      <c r="A6213" s="888">
        <v>312</v>
      </c>
      <c r="B6213" s="888" t="s">
        <v>999</v>
      </c>
      <c r="C6213" s="888" t="s">
        <v>1253</v>
      </c>
      <c r="D6213" s="889">
        <v>46051</v>
      </c>
      <c r="E6213" s="888" t="s">
        <v>310</v>
      </c>
      <c r="F6213" s="888" t="s">
        <v>310</v>
      </c>
    </row>
    <row r="6214" spans="1:10">
      <c r="A6214" s="888">
        <v>312</v>
      </c>
      <c r="B6214" s="888" t="s">
        <v>999</v>
      </c>
      <c r="C6214" s="888" t="s">
        <v>1253</v>
      </c>
      <c r="D6214" s="889">
        <v>46052</v>
      </c>
      <c r="E6214" s="888" t="s">
        <v>310</v>
      </c>
      <c r="F6214" s="888" t="s">
        <v>310</v>
      </c>
    </row>
    <row r="6215" spans="1:10">
      <c r="A6215" s="888">
        <v>312</v>
      </c>
      <c r="B6215" s="888" t="s">
        <v>999</v>
      </c>
      <c r="C6215" s="888" t="s">
        <v>1253</v>
      </c>
      <c r="D6215" s="889">
        <v>46053</v>
      </c>
      <c r="E6215" s="888" t="s">
        <v>310</v>
      </c>
      <c r="F6215" s="888" t="s">
        <v>310</v>
      </c>
    </row>
    <row r="6216" spans="1:10">
      <c r="A6216" s="888">
        <v>312</v>
      </c>
      <c r="B6216" s="888" t="s">
        <v>999</v>
      </c>
      <c r="C6216" s="888" t="s">
        <v>1253</v>
      </c>
      <c r="D6216" s="889">
        <v>46054</v>
      </c>
      <c r="E6216" s="888" t="s">
        <v>310</v>
      </c>
      <c r="F6216" s="888" t="s">
        <v>310</v>
      </c>
    </row>
    <row r="6217" spans="1:10">
      <c r="A6217" s="888">
        <v>313</v>
      </c>
      <c r="B6217" s="888" t="s">
        <v>970</v>
      </c>
      <c r="C6217" s="888" t="s">
        <v>1253</v>
      </c>
      <c r="D6217" s="889">
        <v>46023</v>
      </c>
      <c r="E6217" s="888" t="s">
        <v>310</v>
      </c>
      <c r="F6217" s="888" t="s">
        <v>310</v>
      </c>
      <c r="G6217" s="891" t="s">
        <v>1039</v>
      </c>
      <c r="H6217" s="891" t="s">
        <v>1343</v>
      </c>
      <c r="I6217" s="891" t="s">
        <v>1039</v>
      </c>
      <c r="J6217" s="891" t="s">
        <v>1343</v>
      </c>
    </row>
    <row r="6218" spans="1:10">
      <c r="A6218" s="888">
        <v>313</v>
      </c>
      <c r="B6218" s="888" t="s">
        <v>970</v>
      </c>
      <c r="C6218" s="888" t="s">
        <v>1253</v>
      </c>
      <c r="D6218" s="889">
        <v>46024</v>
      </c>
      <c r="E6218" s="888" t="s">
        <v>310</v>
      </c>
      <c r="F6218" s="888" t="s">
        <v>310</v>
      </c>
      <c r="G6218" s="891" t="s">
        <v>1039</v>
      </c>
      <c r="H6218" s="891" t="s">
        <v>4878</v>
      </c>
      <c r="I6218" s="891" t="s">
        <v>1039</v>
      </c>
      <c r="J6218" s="891" t="s">
        <v>996</v>
      </c>
    </row>
    <row r="6219" spans="1:10">
      <c r="A6219" s="888">
        <v>313</v>
      </c>
      <c r="B6219" s="888" t="s">
        <v>970</v>
      </c>
      <c r="C6219" s="888" t="s">
        <v>1253</v>
      </c>
      <c r="D6219" s="889">
        <v>46025</v>
      </c>
      <c r="E6219" s="888" t="s">
        <v>310</v>
      </c>
      <c r="F6219" s="888" t="s">
        <v>310</v>
      </c>
      <c r="G6219" s="891" t="s">
        <v>1039</v>
      </c>
      <c r="H6219" s="891" t="s">
        <v>4879</v>
      </c>
      <c r="I6219" s="891" t="s">
        <v>1039</v>
      </c>
      <c r="J6219" s="891" t="s">
        <v>4879</v>
      </c>
    </row>
    <row r="6220" spans="1:10">
      <c r="A6220" s="888">
        <v>313</v>
      </c>
      <c r="B6220" s="888" t="s">
        <v>970</v>
      </c>
      <c r="C6220" s="888" t="s">
        <v>1253</v>
      </c>
      <c r="D6220" s="889">
        <v>46026</v>
      </c>
      <c r="E6220" s="888" t="s">
        <v>310</v>
      </c>
      <c r="F6220" s="888" t="s">
        <v>310</v>
      </c>
      <c r="G6220" s="891" t="s">
        <v>1039</v>
      </c>
      <c r="H6220" s="891" t="s">
        <v>4879</v>
      </c>
      <c r="I6220" s="891" t="s">
        <v>1039</v>
      </c>
      <c r="J6220" s="891" t="s">
        <v>4879</v>
      </c>
    </row>
    <row r="6221" spans="1:10">
      <c r="A6221" s="892">
        <v>313</v>
      </c>
      <c r="B6221" s="892" t="s">
        <v>970</v>
      </c>
      <c r="C6221" s="892" t="s">
        <v>1253</v>
      </c>
      <c r="D6221" s="893">
        <v>46027</v>
      </c>
      <c r="E6221" s="894">
        <v>0.35730324074074077</v>
      </c>
      <c r="F6221" s="894">
        <v>0.76966435185185189</v>
      </c>
      <c r="G6221" s="895" t="s">
        <v>1039</v>
      </c>
      <c r="H6221" s="895" t="s">
        <v>1005</v>
      </c>
      <c r="I6221" s="895"/>
    </row>
    <row r="6222" spans="1:10">
      <c r="A6222" s="888" t="s">
        <v>4880</v>
      </c>
      <c r="B6222" s="888" t="s">
        <v>4881</v>
      </c>
      <c r="C6222" s="888" t="s">
        <v>1816</v>
      </c>
    </row>
    <row r="6223" spans="1:10">
      <c r="A6223" s="892">
        <v>313</v>
      </c>
      <c r="B6223" s="892" t="s">
        <v>970</v>
      </c>
      <c r="C6223" s="892" t="s">
        <v>1253</v>
      </c>
      <c r="D6223" s="893">
        <v>46028</v>
      </c>
      <c r="E6223" s="894">
        <v>0.36121527777777779</v>
      </c>
      <c r="F6223" s="894">
        <v>0.73107638888888893</v>
      </c>
      <c r="G6223" s="895" t="s">
        <v>1039</v>
      </c>
      <c r="H6223" s="895" t="s">
        <v>1005</v>
      </c>
      <c r="I6223" s="895"/>
    </row>
    <row r="6224" spans="1:10">
      <c r="A6224" s="888" t="s">
        <v>4882</v>
      </c>
      <c r="B6224" s="888" t="s">
        <v>4883</v>
      </c>
      <c r="C6224" s="888" t="s">
        <v>2223</v>
      </c>
    </row>
    <row r="6225" spans="1:10">
      <c r="A6225" s="892">
        <v>313</v>
      </c>
      <c r="B6225" s="892" t="s">
        <v>970</v>
      </c>
      <c r="C6225" s="892" t="s">
        <v>1253</v>
      </c>
      <c r="D6225" s="893">
        <v>46029</v>
      </c>
      <c r="E6225" s="894">
        <v>0.36096064814814816</v>
      </c>
      <c r="F6225" s="894">
        <v>0.78137731481481476</v>
      </c>
      <c r="G6225" s="895" t="s">
        <v>1039</v>
      </c>
      <c r="H6225" s="895" t="s">
        <v>1005</v>
      </c>
      <c r="I6225" s="895"/>
    </row>
    <row r="6226" spans="1:10">
      <c r="A6226" s="888" t="s">
        <v>4884</v>
      </c>
      <c r="B6226" s="888" t="s">
        <v>4885</v>
      </c>
      <c r="C6226" s="888" t="s">
        <v>2639</v>
      </c>
    </row>
    <row r="6227" spans="1:10">
      <c r="A6227" s="892">
        <v>313</v>
      </c>
      <c r="B6227" s="892" t="s">
        <v>970</v>
      </c>
      <c r="C6227" s="892" t="s">
        <v>1253</v>
      </c>
      <c r="D6227" s="893">
        <v>46030</v>
      </c>
      <c r="E6227" s="894">
        <v>0.35385416666666669</v>
      </c>
      <c r="F6227" s="894">
        <v>0.75541666666666663</v>
      </c>
      <c r="G6227" s="895"/>
      <c r="H6227" s="895"/>
      <c r="I6227" s="895"/>
    </row>
    <row r="6228" spans="1:10">
      <c r="A6228" s="888" t="s">
        <v>4886</v>
      </c>
      <c r="B6228" s="888" t="s">
        <v>4887</v>
      </c>
      <c r="C6228" s="888" t="s">
        <v>1466</v>
      </c>
    </row>
    <row r="6229" spans="1:10">
      <c r="A6229" s="892">
        <v>313</v>
      </c>
      <c r="B6229" s="892" t="s">
        <v>970</v>
      </c>
      <c r="C6229" s="892" t="s">
        <v>1253</v>
      </c>
      <c r="D6229" s="893">
        <v>46031</v>
      </c>
      <c r="E6229" s="894">
        <v>0.35326388888888888</v>
      </c>
      <c r="F6229" s="894">
        <v>0.75954861111111116</v>
      </c>
      <c r="G6229" s="895"/>
      <c r="H6229" s="895"/>
      <c r="I6229" s="895"/>
    </row>
    <row r="6230" spans="1:10">
      <c r="A6230" s="888" t="s">
        <v>4888</v>
      </c>
      <c r="B6230" s="888" t="s">
        <v>4889</v>
      </c>
      <c r="C6230" s="888" t="s">
        <v>1375</v>
      </c>
    </row>
    <row r="6231" spans="1:10">
      <c r="A6231" s="892">
        <v>313</v>
      </c>
      <c r="B6231" s="892" t="s">
        <v>970</v>
      </c>
      <c r="C6231" s="892" t="s">
        <v>1253</v>
      </c>
      <c r="D6231" s="893">
        <v>46032</v>
      </c>
      <c r="E6231" s="892" t="s">
        <v>310</v>
      </c>
      <c r="F6231" s="892" t="s">
        <v>310</v>
      </c>
      <c r="G6231" s="895" t="s">
        <v>1039</v>
      </c>
      <c r="H6231" s="895" t="s">
        <v>4879</v>
      </c>
      <c r="I6231" s="895" t="s">
        <v>1039</v>
      </c>
      <c r="J6231" s="891" t="s">
        <v>4879</v>
      </c>
    </row>
    <row r="6232" spans="1:10">
      <c r="A6232" s="892">
        <v>313</v>
      </c>
      <c r="B6232" s="892" t="s">
        <v>970</v>
      </c>
      <c r="C6232" s="892" t="s">
        <v>1253</v>
      </c>
      <c r="D6232" s="893">
        <v>46033</v>
      </c>
      <c r="E6232" s="892" t="s">
        <v>310</v>
      </c>
      <c r="F6232" s="892" t="s">
        <v>310</v>
      </c>
      <c r="G6232" s="895" t="s">
        <v>1039</v>
      </c>
      <c r="H6232" s="895" t="s">
        <v>4879</v>
      </c>
      <c r="I6232" s="895" t="s">
        <v>1039</v>
      </c>
      <c r="J6232" s="891" t="s">
        <v>4879</v>
      </c>
    </row>
    <row r="6233" spans="1:10">
      <c r="A6233" s="892">
        <v>313</v>
      </c>
      <c r="B6233" s="892" t="s">
        <v>970</v>
      </c>
      <c r="C6233" s="892" t="s">
        <v>1253</v>
      </c>
      <c r="D6233" s="893">
        <v>46034</v>
      </c>
      <c r="E6233" s="894">
        <v>0.3558912037037037</v>
      </c>
      <c r="F6233" s="894">
        <v>0.75398148148148147</v>
      </c>
      <c r="G6233" s="895" t="s">
        <v>1039</v>
      </c>
      <c r="H6233" s="895" t="s">
        <v>1005</v>
      </c>
      <c r="I6233" s="895"/>
    </row>
    <row r="6234" spans="1:10">
      <c r="A6234" s="888" t="s">
        <v>4890</v>
      </c>
      <c r="B6234" s="888" t="s">
        <v>4891</v>
      </c>
      <c r="C6234" s="888" t="s">
        <v>1457</v>
      </c>
    </row>
    <row r="6235" spans="1:10">
      <c r="A6235" s="892">
        <v>313</v>
      </c>
      <c r="B6235" s="892" t="s">
        <v>970</v>
      </c>
      <c r="C6235" s="892" t="s">
        <v>1253</v>
      </c>
      <c r="D6235" s="893">
        <v>46035</v>
      </c>
      <c r="E6235" s="894">
        <v>0.34763888888888889</v>
      </c>
      <c r="F6235" s="894">
        <v>0.68835648148148143</v>
      </c>
      <c r="G6235" s="895"/>
      <c r="H6235" s="895"/>
      <c r="I6235" s="895"/>
    </row>
    <row r="6236" spans="1:10">
      <c r="A6236" s="888" t="s">
        <v>4892</v>
      </c>
      <c r="B6236" s="888" t="s">
        <v>4893</v>
      </c>
      <c r="C6236" s="888" t="s">
        <v>1352</v>
      </c>
    </row>
    <row r="6237" spans="1:10">
      <c r="A6237" s="892">
        <v>313</v>
      </c>
      <c r="B6237" s="892" t="s">
        <v>970</v>
      </c>
      <c r="C6237" s="892" t="s">
        <v>1253</v>
      </c>
      <c r="D6237" s="893">
        <v>46036</v>
      </c>
      <c r="E6237" s="894">
        <v>0.35449074074074072</v>
      </c>
      <c r="F6237" s="894">
        <v>0.76442129629629629</v>
      </c>
      <c r="G6237" s="895"/>
      <c r="H6237" s="895"/>
      <c r="I6237" s="895"/>
    </row>
    <row r="6238" spans="1:10">
      <c r="A6238" s="888" t="s">
        <v>4894</v>
      </c>
      <c r="B6238" s="888" t="s">
        <v>4895</v>
      </c>
      <c r="C6238" s="888" t="s">
        <v>1874</v>
      </c>
    </row>
    <row r="6239" spans="1:10">
      <c r="A6239" s="892">
        <v>313</v>
      </c>
      <c r="B6239" s="892" t="s">
        <v>970</v>
      </c>
      <c r="C6239" s="892" t="s">
        <v>1253</v>
      </c>
      <c r="D6239" s="893">
        <v>46037</v>
      </c>
      <c r="E6239" s="894">
        <v>0.38540509259259259</v>
      </c>
      <c r="F6239" s="894">
        <v>0.76247685185185188</v>
      </c>
      <c r="G6239" s="895" t="s">
        <v>1039</v>
      </c>
      <c r="H6239" s="895" t="s">
        <v>1005</v>
      </c>
      <c r="I6239" s="895"/>
    </row>
    <row r="6240" spans="1:10">
      <c r="A6240" s="888" t="s">
        <v>4896</v>
      </c>
      <c r="B6240" s="888" t="s">
        <v>4897</v>
      </c>
      <c r="C6240" s="888" t="s">
        <v>1610</v>
      </c>
    </row>
    <row r="6241" spans="1:10">
      <c r="A6241" s="892">
        <v>313</v>
      </c>
      <c r="B6241" s="892" t="s">
        <v>970</v>
      </c>
      <c r="C6241" s="892" t="s">
        <v>1253</v>
      </c>
      <c r="D6241" s="893">
        <v>46038</v>
      </c>
      <c r="E6241" s="894">
        <v>0.48425925925925928</v>
      </c>
      <c r="F6241" s="894">
        <v>0.76679398148148148</v>
      </c>
      <c r="G6241" s="895" t="s">
        <v>1039</v>
      </c>
      <c r="H6241" s="895" t="s">
        <v>4898</v>
      </c>
      <c r="I6241" s="895"/>
    </row>
    <row r="6242" spans="1:10">
      <c r="A6242" s="888" t="s">
        <v>4899</v>
      </c>
      <c r="B6242" s="888" t="s">
        <v>4900</v>
      </c>
      <c r="C6242" s="888" t="s">
        <v>4198</v>
      </c>
    </row>
    <row r="6243" spans="1:10">
      <c r="A6243" s="892">
        <v>313</v>
      </c>
      <c r="B6243" s="892" t="s">
        <v>970</v>
      </c>
      <c r="C6243" s="892" t="s">
        <v>1253</v>
      </c>
      <c r="D6243" s="893">
        <v>46039</v>
      </c>
      <c r="E6243" s="892" t="s">
        <v>310</v>
      </c>
      <c r="F6243" s="892" t="s">
        <v>310</v>
      </c>
      <c r="G6243" s="895" t="s">
        <v>1039</v>
      </c>
      <c r="H6243" s="895" t="s">
        <v>4879</v>
      </c>
      <c r="I6243" s="895" t="s">
        <v>1039</v>
      </c>
      <c r="J6243" s="891" t="s">
        <v>4879</v>
      </c>
    </row>
    <row r="6244" spans="1:10">
      <c r="A6244" s="892">
        <v>313</v>
      </c>
      <c r="B6244" s="892" t="s">
        <v>970</v>
      </c>
      <c r="C6244" s="892" t="s">
        <v>1253</v>
      </c>
      <c r="D6244" s="893">
        <v>46040</v>
      </c>
      <c r="E6244" s="892" t="s">
        <v>310</v>
      </c>
      <c r="F6244" s="892" t="s">
        <v>310</v>
      </c>
      <c r="G6244" s="895" t="s">
        <v>1039</v>
      </c>
      <c r="H6244" s="895" t="s">
        <v>4879</v>
      </c>
      <c r="I6244" s="895" t="s">
        <v>1039</v>
      </c>
      <c r="J6244" s="891" t="s">
        <v>4879</v>
      </c>
    </row>
    <row r="6245" spans="1:10">
      <c r="A6245" s="892">
        <v>313</v>
      </c>
      <c r="B6245" s="892" t="s">
        <v>970</v>
      </c>
      <c r="C6245" s="892" t="s">
        <v>1253</v>
      </c>
      <c r="D6245" s="893">
        <v>46041</v>
      </c>
      <c r="E6245" s="894">
        <v>0.35498842592592594</v>
      </c>
      <c r="F6245" s="894">
        <v>0.76214120370370375</v>
      </c>
      <c r="G6245" s="895" t="s">
        <v>1039</v>
      </c>
      <c r="H6245" s="895" t="s">
        <v>1083</v>
      </c>
      <c r="I6245" s="895"/>
    </row>
    <row r="6246" spans="1:10">
      <c r="A6246" s="888" t="s">
        <v>4901</v>
      </c>
      <c r="B6246" s="888" t="s">
        <v>4902</v>
      </c>
      <c r="C6246" s="888" t="s">
        <v>1868</v>
      </c>
    </row>
    <row r="6247" spans="1:10">
      <c r="A6247" s="892">
        <v>313</v>
      </c>
      <c r="B6247" s="892" t="s">
        <v>970</v>
      </c>
      <c r="C6247" s="892" t="s">
        <v>1253</v>
      </c>
      <c r="D6247" s="893">
        <v>46042</v>
      </c>
      <c r="E6247" s="894">
        <v>0.50906249999999997</v>
      </c>
      <c r="F6247" s="894">
        <v>0.76473379629629634</v>
      </c>
      <c r="G6247" s="895" t="s">
        <v>1039</v>
      </c>
      <c r="H6247" s="895" t="s">
        <v>1048</v>
      </c>
      <c r="I6247" s="895"/>
    </row>
    <row r="6248" spans="1:10">
      <c r="A6248" s="888" t="s">
        <v>4903</v>
      </c>
      <c r="B6248" s="888" t="s">
        <v>4904</v>
      </c>
      <c r="C6248" s="888" t="s">
        <v>4905</v>
      </c>
    </row>
    <row r="6249" spans="1:10">
      <c r="A6249" s="892">
        <v>313</v>
      </c>
      <c r="B6249" s="892" t="s">
        <v>970</v>
      </c>
      <c r="C6249" s="892" t="s">
        <v>1253</v>
      </c>
      <c r="D6249" s="893">
        <v>46043</v>
      </c>
      <c r="E6249" s="894">
        <v>0.35333333333333333</v>
      </c>
      <c r="F6249" s="894">
        <v>0.75351851851851848</v>
      </c>
      <c r="G6249" s="895" t="s">
        <v>1039</v>
      </c>
      <c r="H6249" s="895"/>
      <c r="I6249" s="895"/>
    </row>
    <row r="6250" spans="1:10">
      <c r="A6250" s="888" t="s">
        <v>4906</v>
      </c>
      <c r="B6250" s="888" t="s">
        <v>4907</v>
      </c>
      <c r="C6250" s="888" t="s">
        <v>1526</v>
      </c>
    </row>
    <row r="6251" spans="1:10">
      <c r="A6251" s="892">
        <v>313</v>
      </c>
      <c r="B6251" s="892" t="s">
        <v>970</v>
      </c>
      <c r="C6251" s="892" t="s">
        <v>1253</v>
      </c>
      <c r="D6251" s="893">
        <v>46044</v>
      </c>
      <c r="E6251" s="894">
        <v>0.35952546296296295</v>
      </c>
      <c r="F6251" s="894">
        <v>0.77018518518518519</v>
      </c>
      <c r="G6251" s="895" t="s">
        <v>1039</v>
      </c>
      <c r="H6251" s="895" t="s">
        <v>1005</v>
      </c>
      <c r="I6251" s="895"/>
    </row>
    <row r="6252" spans="1:10">
      <c r="A6252" s="888" t="s">
        <v>4908</v>
      </c>
      <c r="B6252" s="888" t="s">
        <v>4909</v>
      </c>
      <c r="C6252" s="888" t="s">
        <v>2003</v>
      </c>
    </row>
    <row r="6253" spans="1:10">
      <c r="A6253" s="892">
        <v>313</v>
      </c>
      <c r="B6253" s="892" t="s">
        <v>970</v>
      </c>
      <c r="C6253" s="892" t="s">
        <v>1253</v>
      </c>
      <c r="D6253" s="893">
        <v>46045</v>
      </c>
      <c r="E6253" s="894">
        <v>0.50809027777777782</v>
      </c>
      <c r="F6253" s="894">
        <v>0.77107638888888885</v>
      </c>
      <c r="G6253" s="895" t="s">
        <v>1039</v>
      </c>
      <c r="H6253" s="895" t="s">
        <v>4910</v>
      </c>
      <c r="I6253" s="895"/>
    </row>
    <row r="6254" spans="1:10">
      <c r="A6254" s="888" t="s">
        <v>4911</v>
      </c>
      <c r="B6254" s="888" t="s">
        <v>4912</v>
      </c>
      <c r="C6254" s="888" t="s">
        <v>4156</v>
      </c>
    </row>
    <row r="6255" spans="1:10">
      <c r="A6255" s="892">
        <v>313</v>
      </c>
      <c r="B6255" s="892" t="s">
        <v>970</v>
      </c>
      <c r="C6255" s="892" t="s">
        <v>1253</v>
      </c>
      <c r="D6255" s="893">
        <v>46046</v>
      </c>
      <c r="E6255" s="892" t="s">
        <v>310</v>
      </c>
      <c r="F6255" s="892" t="s">
        <v>310</v>
      </c>
      <c r="G6255" s="895" t="s">
        <v>1039</v>
      </c>
      <c r="H6255" s="895" t="s">
        <v>4879</v>
      </c>
      <c r="I6255" s="895" t="s">
        <v>1039</v>
      </c>
      <c r="J6255" s="891" t="s">
        <v>4879</v>
      </c>
    </row>
    <row r="6256" spans="1:10">
      <c r="A6256" s="892">
        <v>313</v>
      </c>
      <c r="B6256" s="892" t="s">
        <v>970</v>
      </c>
      <c r="C6256" s="892" t="s">
        <v>1253</v>
      </c>
      <c r="D6256" s="893">
        <v>46047</v>
      </c>
      <c r="E6256" s="892" t="s">
        <v>310</v>
      </c>
      <c r="F6256" s="892" t="s">
        <v>310</v>
      </c>
      <c r="G6256" s="895" t="s">
        <v>1039</v>
      </c>
      <c r="H6256" s="895" t="s">
        <v>4879</v>
      </c>
      <c r="I6256" s="895" t="s">
        <v>1039</v>
      </c>
      <c r="J6256" s="891" t="s">
        <v>4879</v>
      </c>
    </row>
    <row r="6257" spans="1:10">
      <c r="A6257" s="892">
        <v>313</v>
      </c>
      <c r="B6257" s="892" t="s">
        <v>970</v>
      </c>
      <c r="C6257" s="892" t="s">
        <v>1253</v>
      </c>
      <c r="D6257" s="893">
        <v>46048</v>
      </c>
      <c r="E6257" s="894">
        <v>0.59256944444444448</v>
      </c>
      <c r="F6257" s="894">
        <v>0.75028935185185186</v>
      </c>
      <c r="G6257" s="895" t="s">
        <v>1039</v>
      </c>
      <c r="H6257" s="895" t="s">
        <v>996</v>
      </c>
      <c r="I6257" s="895"/>
    </row>
    <row r="6258" spans="1:10">
      <c r="A6258" s="888" t="s">
        <v>4913</v>
      </c>
      <c r="B6258" s="888" t="s">
        <v>4914</v>
      </c>
      <c r="C6258" s="888" t="s">
        <v>1517</v>
      </c>
    </row>
    <row r="6259" spans="1:10">
      <c r="A6259" s="888">
        <v>313</v>
      </c>
      <c r="B6259" s="888" t="s">
        <v>970</v>
      </c>
      <c r="C6259" s="888" t="s">
        <v>1253</v>
      </c>
      <c r="D6259" s="889">
        <v>46049</v>
      </c>
      <c r="E6259" s="890">
        <v>0.44374999999999998</v>
      </c>
      <c r="F6259" s="890">
        <v>0.75998842592592597</v>
      </c>
      <c r="G6259" s="891" t="s">
        <v>1039</v>
      </c>
      <c r="H6259" s="891" t="s">
        <v>4910</v>
      </c>
    </row>
    <row r="6260" spans="1:10">
      <c r="A6260" s="888" t="s">
        <v>4915</v>
      </c>
      <c r="B6260" s="888" t="s">
        <v>4916</v>
      </c>
      <c r="C6260" s="888" t="s">
        <v>4917</v>
      </c>
    </row>
    <row r="6261" spans="1:10">
      <c r="A6261" s="888">
        <v>313</v>
      </c>
      <c r="B6261" s="888" t="s">
        <v>970</v>
      </c>
      <c r="C6261" s="888" t="s">
        <v>1253</v>
      </c>
      <c r="D6261" s="889">
        <v>46050</v>
      </c>
      <c r="E6261" s="890">
        <v>0.35121527777777778</v>
      </c>
      <c r="F6261" s="890">
        <v>0.75875000000000004</v>
      </c>
    </row>
    <row r="6262" spans="1:10">
      <c r="A6262" s="888" t="s">
        <v>4918</v>
      </c>
      <c r="B6262" s="888" t="s">
        <v>4919</v>
      </c>
      <c r="C6262" s="888" t="s">
        <v>1645</v>
      </c>
    </row>
    <row r="6263" spans="1:10">
      <c r="A6263" s="888">
        <v>313</v>
      </c>
      <c r="B6263" s="888" t="s">
        <v>970</v>
      </c>
      <c r="C6263" s="888" t="s">
        <v>1253</v>
      </c>
      <c r="D6263" s="889">
        <v>46051</v>
      </c>
      <c r="E6263" s="890">
        <v>0.35903935185185187</v>
      </c>
      <c r="F6263" s="890">
        <v>0.76030092592592591</v>
      </c>
      <c r="G6263" s="891" t="s">
        <v>1039</v>
      </c>
      <c r="H6263" s="891" t="s">
        <v>1005</v>
      </c>
    </row>
    <row r="6264" spans="1:10">
      <c r="A6264" s="888" t="s">
        <v>4920</v>
      </c>
      <c r="B6264" s="888" t="s">
        <v>4921</v>
      </c>
      <c r="C6264" s="888" t="s">
        <v>1466</v>
      </c>
    </row>
    <row r="6265" spans="1:10">
      <c r="A6265" s="888">
        <v>313</v>
      </c>
      <c r="B6265" s="888" t="s">
        <v>970</v>
      </c>
      <c r="C6265" s="888" t="s">
        <v>1253</v>
      </c>
      <c r="D6265" s="889">
        <v>46052</v>
      </c>
      <c r="E6265" s="890">
        <v>0.33611111111111114</v>
      </c>
      <c r="F6265" s="890">
        <v>0.77329861111111109</v>
      </c>
    </row>
    <row r="6266" spans="1:10">
      <c r="A6266" s="888" t="s">
        <v>4922</v>
      </c>
      <c r="B6266" s="888" t="s">
        <v>4923</v>
      </c>
      <c r="C6266" s="888" t="s">
        <v>2634</v>
      </c>
    </row>
    <row r="6267" spans="1:10">
      <c r="A6267" s="888">
        <v>313</v>
      </c>
      <c r="B6267" s="888" t="s">
        <v>970</v>
      </c>
      <c r="C6267" s="888" t="s">
        <v>1253</v>
      </c>
      <c r="D6267" s="889">
        <v>46053</v>
      </c>
      <c r="E6267" s="888" t="s">
        <v>310</v>
      </c>
      <c r="F6267" s="888" t="s">
        <v>310</v>
      </c>
      <c r="G6267" s="891" t="s">
        <v>1039</v>
      </c>
      <c r="H6267" s="891" t="s">
        <v>4879</v>
      </c>
      <c r="I6267" s="891" t="s">
        <v>1039</v>
      </c>
      <c r="J6267" s="891" t="s">
        <v>4879</v>
      </c>
    </row>
    <row r="6268" spans="1:10">
      <c r="A6268" s="888">
        <v>314</v>
      </c>
      <c r="B6268" s="888" t="s">
        <v>985</v>
      </c>
      <c r="C6268" s="888" t="s">
        <v>1253</v>
      </c>
      <c r="D6268" s="889">
        <v>46023</v>
      </c>
      <c r="E6268" s="888" t="s">
        <v>310</v>
      </c>
      <c r="F6268" s="888" t="s">
        <v>310</v>
      </c>
    </row>
    <row r="6269" spans="1:10">
      <c r="A6269" s="888">
        <v>314</v>
      </c>
      <c r="B6269" s="888" t="s">
        <v>985</v>
      </c>
      <c r="C6269" s="888" t="s">
        <v>1253</v>
      </c>
      <c r="D6269" s="889">
        <v>46024</v>
      </c>
      <c r="E6269" s="888" t="s">
        <v>310</v>
      </c>
      <c r="F6269" s="888" t="s">
        <v>310</v>
      </c>
    </row>
    <row r="6270" spans="1:10">
      <c r="A6270" s="888">
        <v>314</v>
      </c>
      <c r="B6270" s="888" t="s">
        <v>985</v>
      </c>
      <c r="C6270" s="888" t="s">
        <v>1253</v>
      </c>
      <c r="D6270" s="889">
        <v>46025</v>
      </c>
      <c r="E6270" s="888" t="s">
        <v>310</v>
      </c>
      <c r="F6270" s="888" t="s">
        <v>310</v>
      </c>
    </row>
    <row r="6271" spans="1:10">
      <c r="A6271" s="888">
        <v>314</v>
      </c>
      <c r="B6271" s="888" t="s">
        <v>985</v>
      </c>
      <c r="C6271" s="888" t="s">
        <v>1253</v>
      </c>
      <c r="D6271" s="889">
        <v>46026</v>
      </c>
      <c r="E6271" s="888" t="s">
        <v>310</v>
      </c>
      <c r="F6271" s="888" t="s">
        <v>310</v>
      </c>
    </row>
    <row r="6272" spans="1:10">
      <c r="A6272" s="888">
        <v>314</v>
      </c>
      <c r="B6272" s="888" t="s">
        <v>985</v>
      </c>
      <c r="C6272" s="888" t="s">
        <v>1253</v>
      </c>
      <c r="D6272" s="889">
        <v>46027</v>
      </c>
      <c r="E6272" s="888" t="s">
        <v>310</v>
      </c>
      <c r="F6272" s="888" t="s">
        <v>310</v>
      </c>
    </row>
    <row r="6273" spans="1:6">
      <c r="A6273" s="888">
        <v>314</v>
      </c>
      <c r="B6273" s="888" t="s">
        <v>985</v>
      </c>
      <c r="C6273" s="888" t="s">
        <v>1253</v>
      </c>
      <c r="D6273" s="889">
        <v>46028</v>
      </c>
      <c r="E6273" s="888" t="s">
        <v>310</v>
      </c>
      <c r="F6273" s="888" t="s">
        <v>310</v>
      </c>
    </row>
    <row r="6274" spans="1:6">
      <c r="A6274" s="888">
        <v>314</v>
      </c>
      <c r="B6274" s="888" t="s">
        <v>985</v>
      </c>
      <c r="C6274" s="888" t="s">
        <v>1253</v>
      </c>
      <c r="D6274" s="889">
        <v>46029</v>
      </c>
      <c r="E6274" s="888" t="s">
        <v>310</v>
      </c>
      <c r="F6274" s="888" t="s">
        <v>310</v>
      </c>
    </row>
    <row r="6275" spans="1:6">
      <c r="A6275" s="888">
        <v>314</v>
      </c>
      <c r="B6275" s="888" t="s">
        <v>985</v>
      </c>
      <c r="C6275" s="888" t="s">
        <v>1253</v>
      </c>
      <c r="D6275" s="889">
        <v>46030</v>
      </c>
      <c r="E6275" s="888" t="s">
        <v>310</v>
      </c>
      <c r="F6275" s="888" t="s">
        <v>310</v>
      </c>
    </row>
    <row r="6276" spans="1:6">
      <c r="A6276" s="888">
        <v>314</v>
      </c>
      <c r="B6276" s="888" t="s">
        <v>985</v>
      </c>
      <c r="C6276" s="888" t="s">
        <v>1253</v>
      </c>
      <c r="D6276" s="889">
        <v>46031</v>
      </c>
      <c r="E6276" s="888" t="s">
        <v>310</v>
      </c>
      <c r="F6276" s="888" t="s">
        <v>310</v>
      </c>
    </row>
    <row r="6277" spans="1:6">
      <c r="A6277" s="888">
        <v>314</v>
      </c>
      <c r="B6277" s="888" t="s">
        <v>985</v>
      </c>
      <c r="C6277" s="888" t="s">
        <v>1253</v>
      </c>
      <c r="D6277" s="889">
        <v>46032</v>
      </c>
      <c r="E6277" s="888" t="s">
        <v>310</v>
      </c>
      <c r="F6277" s="888" t="s">
        <v>310</v>
      </c>
    </row>
    <row r="6278" spans="1:6">
      <c r="A6278" s="888">
        <v>314</v>
      </c>
      <c r="B6278" s="888" t="s">
        <v>985</v>
      </c>
      <c r="C6278" s="888" t="s">
        <v>1253</v>
      </c>
      <c r="D6278" s="889">
        <v>46033</v>
      </c>
      <c r="E6278" s="888" t="s">
        <v>310</v>
      </c>
      <c r="F6278" s="888" t="s">
        <v>310</v>
      </c>
    </row>
    <row r="6279" spans="1:6">
      <c r="A6279" s="888">
        <v>314</v>
      </c>
      <c r="B6279" s="888" t="s">
        <v>985</v>
      </c>
      <c r="C6279" s="888" t="s">
        <v>1253</v>
      </c>
      <c r="D6279" s="889">
        <v>46034</v>
      </c>
      <c r="E6279" s="888" t="s">
        <v>310</v>
      </c>
      <c r="F6279" s="888" t="s">
        <v>310</v>
      </c>
    </row>
    <row r="6280" spans="1:6">
      <c r="A6280" s="888">
        <v>314</v>
      </c>
      <c r="B6280" s="888" t="s">
        <v>985</v>
      </c>
      <c r="C6280" s="888" t="s">
        <v>1253</v>
      </c>
      <c r="D6280" s="889">
        <v>46035</v>
      </c>
      <c r="E6280" s="888" t="s">
        <v>310</v>
      </c>
      <c r="F6280" s="888" t="s">
        <v>310</v>
      </c>
    </row>
    <row r="6281" spans="1:6">
      <c r="A6281" s="888">
        <v>314</v>
      </c>
      <c r="B6281" s="888" t="s">
        <v>985</v>
      </c>
      <c r="C6281" s="888" t="s">
        <v>1253</v>
      </c>
      <c r="D6281" s="889">
        <v>46036</v>
      </c>
      <c r="E6281" s="888" t="s">
        <v>310</v>
      </c>
      <c r="F6281" s="888" t="s">
        <v>310</v>
      </c>
    </row>
    <row r="6282" spans="1:6">
      <c r="A6282" s="888">
        <v>314</v>
      </c>
      <c r="B6282" s="888" t="s">
        <v>985</v>
      </c>
      <c r="C6282" s="888" t="s">
        <v>1253</v>
      </c>
      <c r="D6282" s="889">
        <v>46037</v>
      </c>
      <c r="E6282" s="888" t="s">
        <v>310</v>
      </c>
      <c r="F6282" s="888" t="s">
        <v>310</v>
      </c>
    </row>
    <row r="6283" spans="1:6">
      <c r="A6283" s="888">
        <v>314</v>
      </c>
      <c r="B6283" s="888" t="s">
        <v>985</v>
      </c>
      <c r="C6283" s="888" t="s">
        <v>1253</v>
      </c>
      <c r="D6283" s="889">
        <v>46038</v>
      </c>
      <c r="E6283" s="888" t="s">
        <v>310</v>
      </c>
      <c r="F6283" s="888" t="s">
        <v>310</v>
      </c>
    </row>
    <row r="6284" spans="1:6">
      <c r="A6284" s="888">
        <v>314</v>
      </c>
      <c r="B6284" s="888" t="s">
        <v>985</v>
      </c>
      <c r="C6284" s="888" t="s">
        <v>1253</v>
      </c>
      <c r="D6284" s="889">
        <v>46039</v>
      </c>
      <c r="E6284" s="888" t="s">
        <v>310</v>
      </c>
      <c r="F6284" s="888" t="s">
        <v>310</v>
      </c>
    </row>
    <row r="6285" spans="1:6">
      <c r="A6285" s="888">
        <v>314</v>
      </c>
      <c r="B6285" s="888" t="s">
        <v>985</v>
      </c>
      <c r="C6285" s="888" t="s">
        <v>1253</v>
      </c>
      <c r="D6285" s="889">
        <v>46040</v>
      </c>
      <c r="E6285" s="888" t="s">
        <v>310</v>
      </c>
      <c r="F6285" s="888" t="s">
        <v>310</v>
      </c>
    </row>
    <row r="6286" spans="1:6">
      <c r="A6286" s="888">
        <v>314</v>
      </c>
      <c r="B6286" s="888" t="s">
        <v>985</v>
      </c>
      <c r="C6286" s="888" t="s">
        <v>1253</v>
      </c>
      <c r="D6286" s="889">
        <v>46041</v>
      </c>
      <c r="E6286" s="888" t="s">
        <v>310</v>
      </c>
      <c r="F6286" s="888" t="s">
        <v>310</v>
      </c>
    </row>
    <row r="6287" spans="1:6">
      <c r="A6287" s="888">
        <v>314</v>
      </c>
      <c r="B6287" s="888" t="s">
        <v>985</v>
      </c>
      <c r="C6287" s="888" t="s">
        <v>1253</v>
      </c>
      <c r="D6287" s="889">
        <v>46042</v>
      </c>
      <c r="E6287" s="888" t="s">
        <v>310</v>
      </c>
      <c r="F6287" s="888" t="s">
        <v>310</v>
      </c>
    </row>
    <row r="6288" spans="1:6">
      <c r="A6288" s="888">
        <v>314</v>
      </c>
      <c r="B6288" s="888" t="s">
        <v>985</v>
      </c>
      <c r="C6288" s="888" t="s">
        <v>1253</v>
      </c>
      <c r="D6288" s="889">
        <v>46043</v>
      </c>
      <c r="E6288" s="888" t="s">
        <v>310</v>
      </c>
      <c r="F6288" s="888" t="s">
        <v>310</v>
      </c>
    </row>
    <row r="6289" spans="1:10">
      <c r="A6289" s="888">
        <v>314</v>
      </c>
      <c r="B6289" s="888" t="s">
        <v>985</v>
      </c>
      <c r="C6289" s="888" t="s">
        <v>1253</v>
      </c>
      <c r="D6289" s="889">
        <v>46044</v>
      </c>
      <c r="E6289" s="888" t="s">
        <v>310</v>
      </c>
      <c r="F6289" s="888" t="s">
        <v>310</v>
      </c>
    </row>
    <row r="6290" spans="1:10">
      <c r="A6290" s="888">
        <v>314</v>
      </c>
      <c r="B6290" s="888" t="s">
        <v>985</v>
      </c>
      <c r="C6290" s="888" t="s">
        <v>1253</v>
      </c>
      <c r="D6290" s="889">
        <v>46045</v>
      </c>
      <c r="E6290" s="888" t="s">
        <v>310</v>
      </c>
      <c r="F6290" s="888" t="s">
        <v>310</v>
      </c>
    </row>
    <row r="6291" spans="1:10">
      <c r="A6291" s="888">
        <v>314</v>
      </c>
      <c r="B6291" s="888" t="s">
        <v>985</v>
      </c>
      <c r="C6291" s="888" t="s">
        <v>1253</v>
      </c>
      <c r="D6291" s="889">
        <v>46046</v>
      </c>
      <c r="E6291" s="888" t="s">
        <v>310</v>
      </c>
      <c r="F6291" s="888" t="s">
        <v>310</v>
      </c>
    </row>
    <row r="6292" spans="1:10">
      <c r="A6292" s="888">
        <v>314</v>
      </c>
      <c r="B6292" s="888" t="s">
        <v>985</v>
      </c>
      <c r="C6292" s="888" t="s">
        <v>1253</v>
      </c>
      <c r="D6292" s="889">
        <v>46047</v>
      </c>
      <c r="E6292" s="888" t="s">
        <v>310</v>
      </c>
      <c r="F6292" s="888" t="s">
        <v>310</v>
      </c>
    </row>
    <row r="6293" spans="1:10">
      <c r="A6293" s="888">
        <v>314</v>
      </c>
      <c r="B6293" s="888" t="s">
        <v>985</v>
      </c>
      <c r="C6293" s="888" t="s">
        <v>1253</v>
      </c>
      <c r="D6293" s="889">
        <v>46048</v>
      </c>
      <c r="E6293" s="888" t="s">
        <v>310</v>
      </c>
      <c r="F6293" s="888" t="s">
        <v>310</v>
      </c>
    </row>
    <row r="6294" spans="1:10">
      <c r="A6294" s="888">
        <v>314</v>
      </c>
      <c r="B6294" s="888" t="s">
        <v>985</v>
      </c>
      <c r="C6294" s="888" t="s">
        <v>1253</v>
      </c>
      <c r="D6294" s="889">
        <v>46049</v>
      </c>
      <c r="E6294" s="888" t="s">
        <v>310</v>
      </c>
      <c r="F6294" s="888" t="s">
        <v>310</v>
      </c>
    </row>
    <row r="6295" spans="1:10">
      <c r="A6295" s="888">
        <v>314</v>
      </c>
      <c r="B6295" s="888" t="s">
        <v>985</v>
      </c>
      <c r="C6295" s="888" t="s">
        <v>1253</v>
      </c>
      <c r="D6295" s="889">
        <v>46050</v>
      </c>
      <c r="E6295" s="888" t="s">
        <v>310</v>
      </c>
      <c r="F6295" s="888" t="s">
        <v>310</v>
      </c>
    </row>
    <row r="6296" spans="1:10">
      <c r="A6296" s="888">
        <v>314</v>
      </c>
      <c r="B6296" s="888" t="s">
        <v>985</v>
      </c>
      <c r="C6296" s="888" t="s">
        <v>1253</v>
      </c>
      <c r="D6296" s="889">
        <v>46051</v>
      </c>
      <c r="E6296" s="888" t="s">
        <v>310</v>
      </c>
      <c r="F6296" s="888" t="s">
        <v>310</v>
      </c>
    </row>
    <row r="6297" spans="1:10">
      <c r="A6297" s="888">
        <v>314</v>
      </c>
      <c r="B6297" s="888" t="s">
        <v>985</v>
      </c>
      <c r="C6297" s="888" t="s">
        <v>1253</v>
      </c>
      <c r="D6297" s="889">
        <v>46052</v>
      </c>
      <c r="E6297" s="888" t="s">
        <v>310</v>
      </c>
      <c r="F6297" s="888" t="s">
        <v>310</v>
      </c>
    </row>
    <row r="6298" spans="1:10">
      <c r="A6298" s="888">
        <v>314</v>
      </c>
      <c r="B6298" s="888" t="s">
        <v>985</v>
      </c>
      <c r="C6298" s="888" t="s">
        <v>1253</v>
      </c>
      <c r="D6298" s="889">
        <v>46053</v>
      </c>
      <c r="E6298" s="888" t="s">
        <v>310</v>
      </c>
      <c r="F6298" s="888" t="s">
        <v>310</v>
      </c>
    </row>
    <row r="6299" spans="1:10">
      <c r="A6299" s="888">
        <v>314</v>
      </c>
      <c r="B6299" s="888" t="s">
        <v>985</v>
      </c>
      <c r="C6299" s="888" t="s">
        <v>1253</v>
      </c>
      <c r="D6299" s="889">
        <v>46054</v>
      </c>
      <c r="E6299" s="888" t="s">
        <v>310</v>
      </c>
      <c r="F6299" s="888" t="s">
        <v>310</v>
      </c>
    </row>
    <row r="6300" spans="1:10">
      <c r="A6300" s="888">
        <v>315</v>
      </c>
      <c r="B6300" s="888" t="s">
        <v>157</v>
      </c>
      <c r="C6300" s="888" t="s">
        <v>1253</v>
      </c>
      <c r="D6300" s="889">
        <v>46023</v>
      </c>
      <c r="E6300" s="888" t="s">
        <v>310</v>
      </c>
      <c r="F6300" s="888" t="s">
        <v>310</v>
      </c>
      <c r="G6300" s="891" t="s">
        <v>2479</v>
      </c>
      <c r="H6300" s="891" t="s">
        <v>4924</v>
      </c>
      <c r="I6300" s="891" t="s">
        <v>2479</v>
      </c>
      <c r="J6300" s="891" t="s">
        <v>4924</v>
      </c>
    </row>
    <row r="6301" spans="1:10">
      <c r="A6301" s="888">
        <v>315</v>
      </c>
      <c r="B6301" s="888" t="s">
        <v>157</v>
      </c>
      <c r="C6301" s="888" t="s">
        <v>1253</v>
      </c>
      <c r="D6301" s="889">
        <v>46024</v>
      </c>
      <c r="E6301" s="888" t="s">
        <v>310</v>
      </c>
      <c r="F6301" s="888" t="s">
        <v>310</v>
      </c>
      <c r="G6301" s="891" t="s">
        <v>2479</v>
      </c>
      <c r="H6301" s="891" t="s">
        <v>996</v>
      </c>
      <c r="I6301" s="891" t="s">
        <v>2479</v>
      </c>
      <c r="J6301" s="891" t="s">
        <v>996</v>
      </c>
    </row>
    <row r="6302" spans="1:10">
      <c r="A6302" s="888">
        <v>315</v>
      </c>
      <c r="B6302" s="888" t="s">
        <v>157</v>
      </c>
      <c r="C6302" s="888" t="s">
        <v>1253</v>
      </c>
      <c r="D6302" s="889">
        <v>46025</v>
      </c>
      <c r="E6302" s="888" t="s">
        <v>310</v>
      </c>
      <c r="F6302" s="888" t="s">
        <v>310</v>
      </c>
      <c r="G6302" s="891" t="s">
        <v>2479</v>
      </c>
      <c r="H6302" s="891" t="s">
        <v>2451</v>
      </c>
      <c r="I6302" s="891" t="s">
        <v>2479</v>
      </c>
      <c r="J6302" s="891" t="s">
        <v>2451</v>
      </c>
    </row>
    <row r="6303" spans="1:10">
      <c r="A6303" s="888">
        <v>315</v>
      </c>
      <c r="B6303" s="888" t="s">
        <v>157</v>
      </c>
      <c r="C6303" s="888" t="s">
        <v>1253</v>
      </c>
      <c r="D6303" s="889">
        <v>46026</v>
      </c>
      <c r="E6303" s="888" t="s">
        <v>310</v>
      </c>
      <c r="F6303" s="888" t="s">
        <v>310</v>
      </c>
      <c r="G6303" s="891" t="s">
        <v>2479</v>
      </c>
      <c r="H6303" s="891" t="s">
        <v>2451</v>
      </c>
      <c r="I6303" s="891" t="s">
        <v>2479</v>
      </c>
      <c r="J6303" s="891" t="s">
        <v>2451</v>
      </c>
    </row>
    <row r="6304" spans="1:10">
      <c r="A6304" s="892">
        <v>315</v>
      </c>
      <c r="B6304" s="892" t="s">
        <v>157</v>
      </c>
      <c r="C6304" s="892" t="s">
        <v>1253</v>
      </c>
      <c r="D6304" s="893">
        <v>46027</v>
      </c>
      <c r="E6304" s="894">
        <v>0.36658564814814815</v>
      </c>
      <c r="F6304" s="894">
        <v>0.75665509259259256</v>
      </c>
      <c r="G6304" s="895" t="s">
        <v>2479</v>
      </c>
      <c r="H6304" s="895" t="s">
        <v>1054</v>
      </c>
    </row>
    <row r="6305" spans="1:10">
      <c r="A6305" s="888" t="s">
        <v>4925</v>
      </c>
      <c r="B6305" s="888" t="s">
        <v>4926</v>
      </c>
      <c r="C6305" s="888" t="s">
        <v>1661</v>
      </c>
    </row>
    <row r="6306" spans="1:10">
      <c r="A6306" s="892">
        <v>315</v>
      </c>
      <c r="B6306" s="892" t="s">
        <v>157</v>
      </c>
      <c r="C6306" s="892" t="s">
        <v>1253</v>
      </c>
      <c r="D6306" s="893">
        <v>46028</v>
      </c>
      <c r="E6306" s="894">
        <v>0.36071759259259262</v>
      </c>
      <c r="F6306" s="894">
        <v>0.76258101851851856</v>
      </c>
      <c r="G6306" s="895" t="s">
        <v>2479</v>
      </c>
      <c r="H6306" s="895" t="s">
        <v>1054</v>
      </c>
    </row>
    <row r="6307" spans="1:10">
      <c r="A6307" s="888" t="s">
        <v>4927</v>
      </c>
      <c r="B6307" s="888" t="s">
        <v>4928</v>
      </c>
      <c r="C6307" s="888" t="s">
        <v>1538</v>
      </c>
    </row>
    <row r="6308" spans="1:10">
      <c r="A6308" s="892">
        <v>315</v>
      </c>
      <c r="B6308" s="892" t="s">
        <v>157</v>
      </c>
      <c r="C6308" s="892" t="s">
        <v>1253</v>
      </c>
      <c r="D6308" s="893">
        <v>46029</v>
      </c>
      <c r="E6308" s="892" t="s">
        <v>310</v>
      </c>
      <c r="F6308" s="892" t="s">
        <v>310</v>
      </c>
      <c r="G6308" s="895" t="s">
        <v>2479</v>
      </c>
      <c r="H6308" s="895" t="s">
        <v>1048</v>
      </c>
      <c r="I6308" s="895" t="s">
        <v>2479</v>
      </c>
      <c r="J6308" s="895" t="s">
        <v>1048</v>
      </c>
    </row>
    <row r="6309" spans="1:10">
      <c r="A6309" s="892">
        <v>315</v>
      </c>
      <c r="B6309" s="892" t="s">
        <v>157</v>
      </c>
      <c r="C6309" s="892" t="s">
        <v>1253</v>
      </c>
      <c r="D6309" s="893">
        <v>46030</v>
      </c>
      <c r="E6309" s="894">
        <v>0.36335648148148147</v>
      </c>
      <c r="F6309" s="894">
        <v>0.76165509259259256</v>
      </c>
      <c r="G6309" s="895" t="s">
        <v>2479</v>
      </c>
      <c r="H6309" s="895" t="s">
        <v>1054</v>
      </c>
    </row>
    <row r="6310" spans="1:10">
      <c r="A6310" s="888" t="s">
        <v>4929</v>
      </c>
      <c r="B6310" s="888" t="s">
        <v>4930</v>
      </c>
      <c r="C6310" s="888" t="s">
        <v>1383</v>
      </c>
    </row>
    <row r="6311" spans="1:10">
      <c r="A6311" s="892">
        <v>315</v>
      </c>
      <c r="B6311" s="892" t="s">
        <v>157</v>
      </c>
      <c r="C6311" s="892" t="s">
        <v>1253</v>
      </c>
      <c r="D6311" s="893">
        <v>46031</v>
      </c>
      <c r="E6311" s="894">
        <v>0.35052083333333334</v>
      </c>
      <c r="F6311" s="894">
        <v>0.75289351851851849</v>
      </c>
      <c r="G6311" s="895"/>
      <c r="H6311" s="895"/>
    </row>
    <row r="6312" spans="1:10">
      <c r="A6312" s="888" t="s">
        <v>4931</v>
      </c>
      <c r="B6312" s="888" t="s">
        <v>4932</v>
      </c>
      <c r="C6312" s="888" t="s">
        <v>1538</v>
      </c>
    </row>
    <row r="6313" spans="1:10">
      <c r="A6313" s="892">
        <v>315</v>
      </c>
      <c r="B6313" s="892" t="s">
        <v>157</v>
      </c>
      <c r="C6313" s="892" t="s">
        <v>1253</v>
      </c>
      <c r="D6313" s="893">
        <v>46032</v>
      </c>
      <c r="E6313" s="892" t="s">
        <v>310</v>
      </c>
      <c r="F6313" s="892" t="s">
        <v>310</v>
      </c>
      <c r="G6313" s="895" t="s">
        <v>2479</v>
      </c>
      <c r="H6313" s="895" t="s">
        <v>2451</v>
      </c>
      <c r="I6313" s="891" t="s">
        <v>2479</v>
      </c>
      <c r="J6313" s="891" t="s">
        <v>2451</v>
      </c>
    </row>
    <row r="6314" spans="1:10">
      <c r="A6314" s="892">
        <v>315</v>
      </c>
      <c r="B6314" s="892" t="s">
        <v>157</v>
      </c>
      <c r="C6314" s="892" t="s">
        <v>1253</v>
      </c>
      <c r="D6314" s="893">
        <v>46033</v>
      </c>
      <c r="E6314" s="892" t="s">
        <v>310</v>
      </c>
      <c r="F6314" s="892" t="s">
        <v>310</v>
      </c>
      <c r="G6314" s="895" t="s">
        <v>2479</v>
      </c>
      <c r="H6314" s="895" t="s">
        <v>2451</v>
      </c>
      <c r="I6314" s="891" t="s">
        <v>2479</v>
      </c>
      <c r="J6314" s="891" t="s">
        <v>2451</v>
      </c>
    </row>
    <row r="6315" spans="1:10">
      <c r="A6315" s="892">
        <v>315</v>
      </c>
      <c r="B6315" s="892" t="s">
        <v>157</v>
      </c>
      <c r="C6315" s="892" t="s">
        <v>1253</v>
      </c>
      <c r="D6315" s="893">
        <v>46034</v>
      </c>
      <c r="E6315" s="894">
        <v>0.3520949074074074</v>
      </c>
      <c r="F6315" s="894">
        <v>0.76228009259259255</v>
      </c>
      <c r="G6315" s="895"/>
      <c r="H6315" s="895"/>
    </row>
    <row r="6316" spans="1:10">
      <c r="A6316" s="888" t="s">
        <v>4933</v>
      </c>
      <c r="B6316" s="888" t="s">
        <v>4934</v>
      </c>
      <c r="C6316" s="888" t="s">
        <v>2003</v>
      </c>
    </row>
    <row r="6317" spans="1:10">
      <c r="A6317" s="892">
        <v>315</v>
      </c>
      <c r="B6317" s="892" t="s">
        <v>157</v>
      </c>
      <c r="C6317" s="892" t="s">
        <v>1253</v>
      </c>
      <c r="D6317" s="893">
        <v>46035</v>
      </c>
      <c r="E6317" s="894">
        <v>0.35152777777777777</v>
      </c>
      <c r="F6317" s="892" t="s">
        <v>310</v>
      </c>
      <c r="G6317" s="895"/>
      <c r="H6317" s="895"/>
      <c r="I6317" s="891" t="s">
        <v>2479</v>
      </c>
      <c r="J6317" s="891" t="s">
        <v>4935</v>
      </c>
    </row>
    <row r="6318" spans="1:10">
      <c r="A6318" s="888" t="s">
        <v>4936</v>
      </c>
      <c r="B6318" s="888" t="s">
        <v>1258</v>
      </c>
      <c r="C6318" s="888" t="s">
        <v>1259</v>
      </c>
    </row>
    <row r="6319" spans="1:10">
      <c r="A6319" s="892">
        <v>315</v>
      </c>
      <c r="B6319" s="892" t="s">
        <v>157</v>
      </c>
      <c r="C6319" s="892" t="s">
        <v>1253</v>
      </c>
      <c r="D6319" s="893">
        <v>46036</v>
      </c>
      <c r="E6319" s="894">
        <v>0.3611111111111111</v>
      </c>
      <c r="F6319" s="892" t="s">
        <v>310</v>
      </c>
      <c r="G6319" s="895" t="s">
        <v>2479</v>
      </c>
      <c r="H6319" s="895" t="s">
        <v>1008</v>
      </c>
      <c r="I6319" s="891" t="s">
        <v>2479</v>
      </c>
      <c r="J6319" s="891" t="s">
        <v>4935</v>
      </c>
    </row>
    <row r="6320" spans="1:10">
      <c r="A6320" s="888" t="s">
        <v>4937</v>
      </c>
      <c r="B6320" s="888" t="s">
        <v>4938</v>
      </c>
      <c r="C6320" s="888" t="s">
        <v>3072</v>
      </c>
    </row>
    <row r="6321" spans="1:10">
      <c r="A6321" s="892">
        <v>315</v>
      </c>
      <c r="B6321" s="892" t="s">
        <v>157</v>
      </c>
      <c r="C6321" s="892" t="s">
        <v>1253</v>
      </c>
      <c r="D6321" s="893">
        <v>46037</v>
      </c>
      <c r="E6321" s="895"/>
      <c r="F6321" s="895"/>
      <c r="G6321" s="895" t="s">
        <v>2479</v>
      </c>
      <c r="H6321" s="895" t="s">
        <v>1048</v>
      </c>
      <c r="I6321" s="891" t="s">
        <v>2479</v>
      </c>
      <c r="J6321" s="891" t="s">
        <v>1048</v>
      </c>
    </row>
    <row r="6322" spans="1:10">
      <c r="A6322" s="888" t="s">
        <v>4939</v>
      </c>
      <c r="B6322" s="888" t="s">
        <v>1258</v>
      </c>
      <c r="C6322" s="888" t="s">
        <v>1259</v>
      </c>
    </row>
    <row r="6323" spans="1:10">
      <c r="A6323" s="892">
        <v>315</v>
      </c>
      <c r="B6323" s="892" t="s">
        <v>157</v>
      </c>
      <c r="C6323" s="892" t="s">
        <v>1253</v>
      </c>
      <c r="D6323" s="893">
        <v>46038</v>
      </c>
      <c r="E6323" s="892" t="s">
        <v>310</v>
      </c>
      <c r="F6323" s="892" t="s">
        <v>310</v>
      </c>
      <c r="G6323" s="895" t="s">
        <v>2479</v>
      </c>
      <c r="H6323" s="895" t="s">
        <v>1048</v>
      </c>
      <c r="I6323" s="891" t="s">
        <v>2479</v>
      </c>
      <c r="J6323" s="891" t="s">
        <v>1048</v>
      </c>
    </row>
    <row r="6324" spans="1:10">
      <c r="A6324" s="892">
        <v>315</v>
      </c>
      <c r="B6324" s="892" t="s">
        <v>157</v>
      </c>
      <c r="C6324" s="892" t="s">
        <v>1253</v>
      </c>
      <c r="D6324" s="893">
        <v>46039</v>
      </c>
      <c r="E6324" s="892" t="s">
        <v>310</v>
      </c>
      <c r="F6324" s="892" t="s">
        <v>310</v>
      </c>
      <c r="G6324" s="895" t="s">
        <v>2479</v>
      </c>
      <c r="H6324" s="895" t="s">
        <v>2451</v>
      </c>
      <c r="I6324" s="891" t="s">
        <v>2479</v>
      </c>
      <c r="J6324" s="891" t="s">
        <v>2451</v>
      </c>
    </row>
    <row r="6325" spans="1:10">
      <c r="A6325" s="892">
        <v>315</v>
      </c>
      <c r="B6325" s="892" t="s">
        <v>157</v>
      </c>
      <c r="C6325" s="892" t="s">
        <v>1253</v>
      </c>
      <c r="D6325" s="893">
        <v>46040</v>
      </c>
      <c r="E6325" s="892" t="s">
        <v>310</v>
      </c>
      <c r="F6325" s="892" t="s">
        <v>310</v>
      </c>
      <c r="G6325" s="895" t="s">
        <v>2479</v>
      </c>
      <c r="H6325" s="895" t="s">
        <v>2451</v>
      </c>
      <c r="I6325" s="891" t="s">
        <v>2479</v>
      </c>
      <c r="J6325" s="891" t="s">
        <v>2451</v>
      </c>
    </row>
    <row r="6326" spans="1:10">
      <c r="A6326" s="892">
        <v>315</v>
      </c>
      <c r="B6326" s="892" t="s">
        <v>157</v>
      </c>
      <c r="C6326" s="892" t="s">
        <v>1253</v>
      </c>
      <c r="D6326" s="893">
        <v>46041</v>
      </c>
      <c r="E6326" s="892" t="s">
        <v>310</v>
      </c>
      <c r="F6326" s="892" t="s">
        <v>310</v>
      </c>
      <c r="G6326" s="895" t="s">
        <v>2479</v>
      </c>
      <c r="H6326" s="895" t="s">
        <v>1048</v>
      </c>
      <c r="I6326" s="891" t="s">
        <v>2479</v>
      </c>
      <c r="J6326" s="891" t="s">
        <v>1048</v>
      </c>
    </row>
    <row r="6327" spans="1:10">
      <c r="A6327" s="892">
        <v>315</v>
      </c>
      <c r="B6327" s="892" t="s">
        <v>157</v>
      </c>
      <c r="C6327" s="892" t="s">
        <v>1253</v>
      </c>
      <c r="D6327" s="893">
        <v>46042</v>
      </c>
      <c r="E6327" s="892" t="s">
        <v>310</v>
      </c>
      <c r="F6327" s="892" t="s">
        <v>310</v>
      </c>
      <c r="G6327" s="895" t="s">
        <v>2479</v>
      </c>
      <c r="H6327" s="895" t="s">
        <v>1048</v>
      </c>
      <c r="I6327" s="891" t="s">
        <v>2479</v>
      </c>
      <c r="J6327" s="891" t="s">
        <v>1048</v>
      </c>
    </row>
    <row r="6328" spans="1:10">
      <c r="A6328" s="892">
        <v>315</v>
      </c>
      <c r="B6328" s="892" t="s">
        <v>157</v>
      </c>
      <c r="C6328" s="892" t="s">
        <v>1253</v>
      </c>
      <c r="D6328" s="893">
        <v>46043</v>
      </c>
      <c r="E6328" s="894">
        <v>0.35583333333333333</v>
      </c>
      <c r="F6328" s="892" t="s">
        <v>310</v>
      </c>
      <c r="G6328" s="895" t="s">
        <v>2479</v>
      </c>
      <c r="H6328" s="895" t="s">
        <v>1083</v>
      </c>
    </row>
    <row r="6329" spans="1:10">
      <c r="A6329" s="888" t="s">
        <v>4940</v>
      </c>
      <c r="B6329" s="888" t="s">
        <v>1258</v>
      </c>
      <c r="C6329" s="888" t="s">
        <v>1259</v>
      </c>
    </row>
    <row r="6330" spans="1:10">
      <c r="A6330" s="892">
        <v>315</v>
      </c>
      <c r="B6330" s="892" t="s">
        <v>157</v>
      </c>
      <c r="C6330" s="892" t="s">
        <v>1253</v>
      </c>
      <c r="D6330" s="893">
        <v>46044</v>
      </c>
      <c r="E6330" s="894">
        <v>0.35935185185185187</v>
      </c>
      <c r="F6330" s="894">
        <v>0.76012731481481477</v>
      </c>
      <c r="G6330" s="895" t="s">
        <v>2479</v>
      </c>
      <c r="H6330" s="895" t="s">
        <v>1054</v>
      </c>
    </row>
    <row r="6331" spans="1:10">
      <c r="A6331" s="888" t="s">
        <v>4941</v>
      </c>
      <c r="B6331" s="888" t="s">
        <v>4942</v>
      </c>
      <c r="C6331" s="888" t="s">
        <v>1378</v>
      </c>
    </row>
    <row r="6332" spans="1:10">
      <c r="A6332" s="888">
        <v>315</v>
      </c>
      <c r="B6332" s="888" t="s">
        <v>157</v>
      </c>
      <c r="C6332" s="888" t="s">
        <v>1253</v>
      </c>
      <c r="D6332" s="889">
        <v>46045</v>
      </c>
      <c r="E6332" s="890">
        <v>0.34996527777777775</v>
      </c>
      <c r="F6332" s="890">
        <v>0.76042824074074078</v>
      </c>
    </row>
    <row r="6333" spans="1:10">
      <c r="A6333" s="888" t="s">
        <v>4943</v>
      </c>
      <c r="B6333" s="888" t="s">
        <v>4944</v>
      </c>
      <c r="C6333" s="888" t="s">
        <v>2003</v>
      </c>
    </row>
    <row r="6334" spans="1:10">
      <c r="A6334" s="888">
        <v>315</v>
      </c>
      <c r="B6334" s="888" t="s">
        <v>157</v>
      </c>
      <c r="C6334" s="888" t="s">
        <v>1253</v>
      </c>
      <c r="D6334" s="889">
        <v>46046</v>
      </c>
      <c r="E6334" s="888" t="s">
        <v>310</v>
      </c>
      <c r="F6334" s="888" t="s">
        <v>310</v>
      </c>
      <c r="G6334" s="891" t="s">
        <v>2479</v>
      </c>
      <c r="H6334" s="891" t="s">
        <v>2451</v>
      </c>
      <c r="I6334" s="891" t="s">
        <v>2479</v>
      </c>
      <c r="J6334" s="891" t="s">
        <v>2451</v>
      </c>
    </row>
    <row r="6335" spans="1:10">
      <c r="A6335" s="888">
        <v>315</v>
      </c>
      <c r="B6335" s="888" t="s">
        <v>157</v>
      </c>
      <c r="C6335" s="888" t="s">
        <v>1253</v>
      </c>
      <c r="D6335" s="889">
        <v>46047</v>
      </c>
      <c r="E6335" s="888" t="s">
        <v>310</v>
      </c>
      <c r="F6335" s="888" t="s">
        <v>310</v>
      </c>
      <c r="G6335" s="891" t="s">
        <v>2479</v>
      </c>
      <c r="H6335" s="891" t="s">
        <v>2451</v>
      </c>
      <c r="I6335" s="891" t="s">
        <v>2479</v>
      </c>
      <c r="J6335" s="891" t="s">
        <v>2451</v>
      </c>
    </row>
    <row r="6336" spans="1:10">
      <c r="A6336" s="892">
        <v>315</v>
      </c>
      <c r="B6336" s="892" t="s">
        <v>157</v>
      </c>
      <c r="C6336" s="892" t="s">
        <v>1253</v>
      </c>
      <c r="D6336" s="893">
        <v>46048</v>
      </c>
      <c r="E6336" s="894">
        <v>0.57679398148148153</v>
      </c>
      <c r="F6336" s="894">
        <v>0.76372685185185185</v>
      </c>
      <c r="G6336" s="895" t="s">
        <v>2479</v>
      </c>
      <c r="H6336" s="895" t="s">
        <v>1081</v>
      </c>
    </row>
    <row r="6337" spans="1:10">
      <c r="A6337" s="888" t="s">
        <v>4945</v>
      </c>
      <c r="B6337" s="888" t="s">
        <v>4946</v>
      </c>
      <c r="C6337" s="888" t="s">
        <v>2689</v>
      </c>
    </row>
    <row r="6338" spans="1:10">
      <c r="A6338" s="888">
        <v>315</v>
      </c>
      <c r="B6338" s="888" t="s">
        <v>157</v>
      </c>
      <c r="C6338" s="888" t="s">
        <v>1253</v>
      </c>
      <c r="D6338" s="889">
        <v>46049</v>
      </c>
      <c r="E6338" s="888" t="s">
        <v>310</v>
      </c>
      <c r="F6338" s="888" t="s">
        <v>310</v>
      </c>
      <c r="G6338" s="891" t="s">
        <v>2479</v>
      </c>
      <c r="H6338" s="891" t="s">
        <v>996</v>
      </c>
      <c r="I6338" s="891" t="s">
        <v>2479</v>
      </c>
      <c r="J6338" s="891" t="s">
        <v>996</v>
      </c>
    </row>
    <row r="6339" spans="1:10">
      <c r="A6339" s="888">
        <v>315</v>
      </c>
      <c r="B6339" s="888" t="s">
        <v>157</v>
      </c>
      <c r="C6339" s="888" t="s">
        <v>1253</v>
      </c>
      <c r="D6339" s="889">
        <v>46050</v>
      </c>
      <c r="E6339" s="890">
        <v>0.35012731481481479</v>
      </c>
      <c r="F6339" s="890">
        <v>0.75707175925925929</v>
      </c>
    </row>
    <row r="6340" spans="1:10">
      <c r="A6340" s="888" t="s">
        <v>4947</v>
      </c>
      <c r="B6340" s="888" t="s">
        <v>4948</v>
      </c>
      <c r="C6340" s="888" t="s">
        <v>1868</v>
      </c>
    </row>
    <row r="6341" spans="1:10">
      <c r="A6341" s="888">
        <v>315</v>
      </c>
      <c r="B6341" s="888" t="s">
        <v>157</v>
      </c>
      <c r="C6341" s="888" t="s">
        <v>1253</v>
      </c>
      <c r="D6341" s="889">
        <v>46051</v>
      </c>
      <c r="E6341" s="890">
        <v>0.35461805555555553</v>
      </c>
      <c r="F6341" s="890">
        <v>0.72363425925925928</v>
      </c>
      <c r="I6341" s="891" t="s">
        <v>2479</v>
      </c>
      <c r="J6341" s="891" t="s">
        <v>4949</v>
      </c>
    </row>
    <row r="6342" spans="1:10">
      <c r="A6342" s="888" t="s">
        <v>4950</v>
      </c>
      <c r="B6342" s="888" t="s">
        <v>4951</v>
      </c>
      <c r="C6342" s="888" t="s">
        <v>3459</v>
      </c>
    </row>
    <row r="6343" spans="1:10">
      <c r="A6343" s="888">
        <v>315</v>
      </c>
      <c r="B6343" s="888" t="s">
        <v>157</v>
      </c>
      <c r="C6343" s="888" t="s">
        <v>1253</v>
      </c>
      <c r="D6343" s="889">
        <v>46052</v>
      </c>
      <c r="E6343" s="888" t="s">
        <v>310</v>
      </c>
      <c r="F6343" s="888" t="s">
        <v>310</v>
      </c>
      <c r="G6343" s="891" t="s">
        <v>2479</v>
      </c>
      <c r="H6343" s="891" t="s">
        <v>996</v>
      </c>
      <c r="I6343" s="891" t="s">
        <v>2479</v>
      </c>
      <c r="J6343" s="891" t="s">
        <v>996</v>
      </c>
    </row>
    <row r="6344" spans="1:10">
      <c r="A6344" s="888">
        <v>315</v>
      </c>
      <c r="B6344" s="888" t="s">
        <v>157</v>
      </c>
      <c r="C6344" s="888" t="s">
        <v>1253</v>
      </c>
      <c r="D6344" s="889">
        <v>46053</v>
      </c>
      <c r="E6344" s="888" t="s">
        <v>310</v>
      </c>
      <c r="F6344" s="888" t="s">
        <v>310</v>
      </c>
      <c r="G6344" s="891" t="s">
        <v>2479</v>
      </c>
      <c r="H6344" s="891" t="s">
        <v>2451</v>
      </c>
      <c r="I6344" s="891" t="s">
        <v>2479</v>
      </c>
      <c r="J6344" s="891" t="s">
        <v>2451</v>
      </c>
    </row>
    <row r="6345" spans="1:10">
      <c r="A6345" s="888">
        <v>316</v>
      </c>
      <c r="B6345" s="888" t="s">
        <v>1000</v>
      </c>
      <c r="C6345" s="888" t="s">
        <v>1253</v>
      </c>
      <c r="D6345" s="889">
        <v>46023</v>
      </c>
      <c r="E6345" s="888" t="s">
        <v>310</v>
      </c>
      <c r="F6345" s="888" t="s">
        <v>310</v>
      </c>
    </row>
    <row r="6346" spans="1:10">
      <c r="A6346" s="888">
        <v>316</v>
      </c>
      <c r="B6346" s="888" t="s">
        <v>1000</v>
      </c>
      <c r="C6346" s="888" t="s">
        <v>1253</v>
      </c>
      <c r="D6346" s="889">
        <v>46024</v>
      </c>
      <c r="E6346" s="888" t="s">
        <v>310</v>
      </c>
      <c r="F6346" s="888" t="s">
        <v>310</v>
      </c>
    </row>
    <row r="6347" spans="1:10">
      <c r="A6347" s="888">
        <v>316</v>
      </c>
      <c r="B6347" s="888" t="s">
        <v>1000</v>
      </c>
      <c r="C6347" s="888" t="s">
        <v>1253</v>
      </c>
      <c r="D6347" s="889">
        <v>46025</v>
      </c>
      <c r="E6347" s="888" t="s">
        <v>310</v>
      </c>
      <c r="F6347" s="888" t="s">
        <v>310</v>
      </c>
    </row>
    <row r="6348" spans="1:10">
      <c r="A6348" s="888">
        <v>316</v>
      </c>
      <c r="B6348" s="888" t="s">
        <v>1000</v>
      </c>
      <c r="C6348" s="888" t="s">
        <v>1253</v>
      </c>
      <c r="D6348" s="889">
        <v>46026</v>
      </c>
      <c r="E6348" s="888" t="s">
        <v>310</v>
      </c>
      <c r="F6348" s="888" t="s">
        <v>310</v>
      </c>
    </row>
    <row r="6349" spans="1:10">
      <c r="A6349" s="888">
        <v>316</v>
      </c>
      <c r="B6349" s="888" t="s">
        <v>1000</v>
      </c>
      <c r="C6349" s="888" t="s">
        <v>1253</v>
      </c>
      <c r="D6349" s="889">
        <v>46027</v>
      </c>
      <c r="E6349" s="888" t="s">
        <v>310</v>
      </c>
      <c r="F6349" s="888" t="s">
        <v>310</v>
      </c>
    </row>
    <row r="6350" spans="1:10">
      <c r="A6350" s="888">
        <v>316</v>
      </c>
      <c r="B6350" s="888" t="s">
        <v>1000</v>
      </c>
      <c r="C6350" s="888" t="s">
        <v>1253</v>
      </c>
      <c r="D6350" s="889">
        <v>46028</v>
      </c>
      <c r="E6350" s="888" t="s">
        <v>310</v>
      </c>
      <c r="F6350" s="888" t="s">
        <v>310</v>
      </c>
    </row>
    <row r="6351" spans="1:10">
      <c r="A6351" s="888">
        <v>316</v>
      </c>
      <c r="B6351" s="888" t="s">
        <v>1000</v>
      </c>
      <c r="C6351" s="888" t="s">
        <v>1253</v>
      </c>
      <c r="D6351" s="889">
        <v>46029</v>
      </c>
      <c r="E6351" s="888" t="s">
        <v>310</v>
      </c>
      <c r="F6351" s="888" t="s">
        <v>310</v>
      </c>
    </row>
    <row r="6352" spans="1:10">
      <c r="A6352" s="888">
        <v>316</v>
      </c>
      <c r="B6352" s="888" t="s">
        <v>1000</v>
      </c>
      <c r="C6352" s="888" t="s">
        <v>1253</v>
      </c>
      <c r="D6352" s="889">
        <v>46030</v>
      </c>
      <c r="E6352" s="888" t="s">
        <v>310</v>
      </c>
      <c r="F6352" s="888" t="s">
        <v>310</v>
      </c>
    </row>
    <row r="6353" spans="1:6">
      <c r="A6353" s="888">
        <v>316</v>
      </c>
      <c r="B6353" s="888" t="s">
        <v>1000</v>
      </c>
      <c r="C6353" s="888" t="s">
        <v>1253</v>
      </c>
      <c r="D6353" s="889">
        <v>46031</v>
      </c>
      <c r="E6353" s="888" t="s">
        <v>310</v>
      </c>
      <c r="F6353" s="888" t="s">
        <v>310</v>
      </c>
    </row>
    <row r="6354" spans="1:6">
      <c r="A6354" s="888">
        <v>316</v>
      </c>
      <c r="B6354" s="888" t="s">
        <v>1000</v>
      </c>
      <c r="C6354" s="888" t="s">
        <v>1253</v>
      </c>
      <c r="D6354" s="889">
        <v>46032</v>
      </c>
      <c r="E6354" s="888" t="s">
        <v>310</v>
      </c>
      <c r="F6354" s="888" t="s">
        <v>310</v>
      </c>
    </row>
    <row r="6355" spans="1:6">
      <c r="A6355" s="888">
        <v>316</v>
      </c>
      <c r="B6355" s="888" t="s">
        <v>1000</v>
      </c>
      <c r="C6355" s="888" t="s">
        <v>1253</v>
      </c>
      <c r="D6355" s="889">
        <v>46033</v>
      </c>
      <c r="E6355" s="888" t="s">
        <v>310</v>
      </c>
      <c r="F6355" s="888" t="s">
        <v>310</v>
      </c>
    </row>
    <row r="6356" spans="1:6">
      <c r="A6356" s="888">
        <v>316</v>
      </c>
      <c r="B6356" s="888" t="s">
        <v>1000</v>
      </c>
      <c r="C6356" s="888" t="s">
        <v>1253</v>
      </c>
      <c r="D6356" s="889">
        <v>46034</v>
      </c>
      <c r="E6356" s="888" t="s">
        <v>310</v>
      </c>
      <c r="F6356" s="888" t="s">
        <v>310</v>
      </c>
    </row>
    <row r="6357" spans="1:6">
      <c r="A6357" s="888">
        <v>316</v>
      </c>
      <c r="B6357" s="888" t="s">
        <v>1000</v>
      </c>
      <c r="C6357" s="888" t="s">
        <v>1253</v>
      </c>
      <c r="D6357" s="889">
        <v>46035</v>
      </c>
      <c r="E6357" s="888" t="s">
        <v>310</v>
      </c>
      <c r="F6357" s="888" t="s">
        <v>310</v>
      </c>
    </row>
    <row r="6358" spans="1:6">
      <c r="A6358" s="888">
        <v>316</v>
      </c>
      <c r="B6358" s="888" t="s">
        <v>1000</v>
      </c>
      <c r="C6358" s="888" t="s">
        <v>1253</v>
      </c>
      <c r="D6358" s="889">
        <v>46036</v>
      </c>
      <c r="E6358" s="888" t="s">
        <v>310</v>
      </c>
      <c r="F6358" s="888" t="s">
        <v>310</v>
      </c>
    </row>
    <row r="6359" spans="1:6">
      <c r="A6359" s="888">
        <v>316</v>
      </c>
      <c r="B6359" s="888" t="s">
        <v>1000</v>
      </c>
      <c r="C6359" s="888" t="s">
        <v>1253</v>
      </c>
      <c r="D6359" s="889">
        <v>46037</v>
      </c>
      <c r="E6359" s="888" t="s">
        <v>310</v>
      </c>
      <c r="F6359" s="888" t="s">
        <v>310</v>
      </c>
    </row>
    <row r="6360" spans="1:6">
      <c r="A6360" s="888">
        <v>316</v>
      </c>
      <c r="B6360" s="888" t="s">
        <v>1000</v>
      </c>
      <c r="C6360" s="888" t="s">
        <v>1253</v>
      </c>
      <c r="D6360" s="889">
        <v>46038</v>
      </c>
      <c r="E6360" s="888" t="s">
        <v>310</v>
      </c>
      <c r="F6360" s="888" t="s">
        <v>310</v>
      </c>
    </row>
    <row r="6361" spans="1:6">
      <c r="A6361" s="888">
        <v>316</v>
      </c>
      <c r="B6361" s="888" t="s">
        <v>1000</v>
      </c>
      <c r="C6361" s="888" t="s">
        <v>1253</v>
      </c>
      <c r="D6361" s="889">
        <v>46039</v>
      </c>
      <c r="E6361" s="888" t="s">
        <v>310</v>
      </c>
      <c r="F6361" s="888" t="s">
        <v>310</v>
      </c>
    </row>
    <row r="6362" spans="1:6">
      <c r="A6362" s="888">
        <v>316</v>
      </c>
      <c r="B6362" s="888" t="s">
        <v>1000</v>
      </c>
      <c r="C6362" s="888" t="s">
        <v>1253</v>
      </c>
      <c r="D6362" s="889">
        <v>46040</v>
      </c>
      <c r="E6362" s="888" t="s">
        <v>310</v>
      </c>
      <c r="F6362" s="888" t="s">
        <v>310</v>
      </c>
    </row>
    <row r="6363" spans="1:6">
      <c r="A6363" s="888">
        <v>316</v>
      </c>
      <c r="B6363" s="888" t="s">
        <v>1000</v>
      </c>
      <c r="C6363" s="888" t="s">
        <v>1253</v>
      </c>
      <c r="D6363" s="889">
        <v>46041</v>
      </c>
      <c r="E6363" s="888" t="s">
        <v>310</v>
      </c>
      <c r="F6363" s="888" t="s">
        <v>310</v>
      </c>
    </row>
    <row r="6364" spans="1:6">
      <c r="A6364" s="888">
        <v>316</v>
      </c>
      <c r="B6364" s="888" t="s">
        <v>1000</v>
      </c>
      <c r="C6364" s="888" t="s">
        <v>1253</v>
      </c>
      <c r="D6364" s="889">
        <v>46042</v>
      </c>
      <c r="E6364" s="888" t="s">
        <v>310</v>
      </c>
      <c r="F6364" s="888" t="s">
        <v>310</v>
      </c>
    </row>
    <row r="6365" spans="1:6">
      <c r="A6365" s="888">
        <v>316</v>
      </c>
      <c r="B6365" s="888" t="s">
        <v>1000</v>
      </c>
      <c r="C6365" s="888" t="s">
        <v>1253</v>
      </c>
      <c r="D6365" s="889">
        <v>46043</v>
      </c>
      <c r="E6365" s="888" t="s">
        <v>310</v>
      </c>
      <c r="F6365" s="888" t="s">
        <v>310</v>
      </c>
    </row>
    <row r="6366" spans="1:6">
      <c r="A6366" s="888">
        <v>316</v>
      </c>
      <c r="B6366" s="888" t="s">
        <v>1000</v>
      </c>
      <c r="C6366" s="888" t="s">
        <v>1253</v>
      </c>
      <c r="D6366" s="889">
        <v>46044</v>
      </c>
      <c r="E6366" s="888" t="s">
        <v>310</v>
      </c>
      <c r="F6366" s="888" t="s">
        <v>310</v>
      </c>
    </row>
    <row r="6367" spans="1:6">
      <c r="A6367" s="888">
        <v>316</v>
      </c>
      <c r="B6367" s="888" t="s">
        <v>1000</v>
      </c>
      <c r="C6367" s="888" t="s">
        <v>1253</v>
      </c>
      <c r="D6367" s="889">
        <v>46045</v>
      </c>
      <c r="E6367" s="888" t="s">
        <v>310</v>
      </c>
      <c r="F6367" s="888" t="s">
        <v>310</v>
      </c>
    </row>
    <row r="6368" spans="1:6">
      <c r="A6368" s="888">
        <v>316</v>
      </c>
      <c r="B6368" s="888" t="s">
        <v>1000</v>
      </c>
      <c r="C6368" s="888" t="s">
        <v>1253</v>
      </c>
      <c r="D6368" s="889">
        <v>46046</v>
      </c>
      <c r="E6368" s="888" t="s">
        <v>310</v>
      </c>
      <c r="F6368" s="888" t="s">
        <v>310</v>
      </c>
    </row>
    <row r="6369" spans="1:6">
      <c r="A6369" s="888">
        <v>316</v>
      </c>
      <c r="B6369" s="888" t="s">
        <v>1000</v>
      </c>
      <c r="C6369" s="888" t="s">
        <v>1253</v>
      </c>
      <c r="D6369" s="889">
        <v>46047</v>
      </c>
      <c r="E6369" s="888" t="s">
        <v>310</v>
      </c>
      <c r="F6369" s="888" t="s">
        <v>310</v>
      </c>
    </row>
    <row r="6370" spans="1:6">
      <c r="A6370" s="888">
        <v>316</v>
      </c>
      <c r="B6370" s="888" t="s">
        <v>1000</v>
      </c>
      <c r="C6370" s="888" t="s">
        <v>1253</v>
      </c>
      <c r="D6370" s="889">
        <v>46048</v>
      </c>
      <c r="E6370" s="888" t="s">
        <v>310</v>
      </c>
      <c r="F6370" s="888" t="s">
        <v>310</v>
      </c>
    </row>
    <row r="6371" spans="1:6">
      <c r="A6371" s="888">
        <v>316</v>
      </c>
      <c r="B6371" s="888" t="s">
        <v>1000</v>
      </c>
      <c r="C6371" s="888" t="s">
        <v>1253</v>
      </c>
      <c r="D6371" s="889">
        <v>46049</v>
      </c>
      <c r="E6371" s="888" t="s">
        <v>310</v>
      </c>
      <c r="F6371" s="888" t="s">
        <v>310</v>
      </c>
    </row>
    <row r="6372" spans="1:6">
      <c r="A6372" s="888">
        <v>316</v>
      </c>
      <c r="B6372" s="888" t="s">
        <v>1000</v>
      </c>
      <c r="C6372" s="888" t="s">
        <v>1253</v>
      </c>
      <c r="D6372" s="889">
        <v>46050</v>
      </c>
      <c r="E6372" s="888" t="s">
        <v>310</v>
      </c>
      <c r="F6372" s="888" t="s">
        <v>310</v>
      </c>
    </row>
    <row r="6373" spans="1:6">
      <c r="A6373" s="888">
        <v>316</v>
      </c>
      <c r="B6373" s="888" t="s">
        <v>1000</v>
      </c>
      <c r="C6373" s="888" t="s">
        <v>1253</v>
      </c>
      <c r="D6373" s="889">
        <v>46051</v>
      </c>
      <c r="E6373" s="888" t="s">
        <v>310</v>
      </c>
      <c r="F6373" s="888" t="s">
        <v>310</v>
      </c>
    </row>
    <row r="6374" spans="1:6">
      <c r="A6374" s="888">
        <v>316</v>
      </c>
      <c r="B6374" s="888" t="s">
        <v>1000</v>
      </c>
      <c r="C6374" s="888" t="s">
        <v>1253</v>
      </c>
      <c r="D6374" s="889">
        <v>46052</v>
      </c>
      <c r="E6374" s="888" t="s">
        <v>310</v>
      </c>
      <c r="F6374" s="888" t="s">
        <v>310</v>
      </c>
    </row>
    <row r="6375" spans="1:6">
      <c r="A6375" s="888">
        <v>316</v>
      </c>
      <c r="B6375" s="888" t="s">
        <v>1000</v>
      </c>
      <c r="C6375" s="888" t="s">
        <v>1253</v>
      </c>
      <c r="D6375" s="889">
        <v>46053</v>
      </c>
      <c r="E6375" s="888" t="s">
        <v>310</v>
      </c>
      <c r="F6375" s="888" t="s">
        <v>310</v>
      </c>
    </row>
    <row r="6376" spans="1:6">
      <c r="A6376" s="888">
        <v>316</v>
      </c>
      <c r="B6376" s="888" t="s">
        <v>1000</v>
      </c>
      <c r="C6376" s="888" t="s">
        <v>1253</v>
      </c>
      <c r="D6376" s="889">
        <v>46054</v>
      </c>
      <c r="E6376" s="888" t="s">
        <v>310</v>
      </c>
      <c r="F6376" s="888" t="s">
        <v>310</v>
      </c>
    </row>
    <row r="6377" spans="1:6">
      <c r="A6377" s="888">
        <v>317</v>
      </c>
      <c r="B6377" s="888" t="s">
        <v>1007</v>
      </c>
      <c r="C6377" s="888" t="s">
        <v>1253</v>
      </c>
      <c r="D6377" s="889">
        <v>46023</v>
      </c>
      <c r="E6377" s="888" t="s">
        <v>310</v>
      </c>
      <c r="F6377" s="888" t="s">
        <v>310</v>
      </c>
    </row>
    <row r="6378" spans="1:6">
      <c r="A6378" s="888">
        <v>317</v>
      </c>
      <c r="B6378" s="888" t="s">
        <v>1007</v>
      </c>
      <c r="C6378" s="888" t="s">
        <v>1253</v>
      </c>
      <c r="D6378" s="889">
        <v>46024</v>
      </c>
      <c r="E6378" s="888" t="s">
        <v>310</v>
      </c>
      <c r="F6378" s="888" t="s">
        <v>310</v>
      </c>
    </row>
    <row r="6379" spans="1:6">
      <c r="A6379" s="888">
        <v>317</v>
      </c>
      <c r="B6379" s="888" t="s">
        <v>1007</v>
      </c>
      <c r="C6379" s="888" t="s">
        <v>1253</v>
      </c>
      <c r="D6379" s="889">
        <v>46025</v>
      </c>
      <c r="E6379" s="888" t="s">
        <v>310</v>
      </c>
      <c r="F6379" s="888" t="s">
        <v>310</v>
      </c>
    </row>
    <row r="6380" spans="1:6">
      <c r="A6380" s="888">
        <v>317</v>
      </c>
      <c r="B6380" s="888" t="s">
        <v>1007</v>
      </c>
      <c r="C6380" s="888" t="s">
        <v>1253</v>
      </c>
      <c r="D6380" s="889">
        <v>46026</v>
      </c>
      <c r="E6380" s="888" t="s">
        <v>310</v>
      </c>
      <c r="F6380" s="888" t="s">
        <v>310</v>
      </c>
    </row>
    <row r="6381" spans="1:6">
      <c r="A6381" s="888">
        <v>317</v>
      </c>
      <c r="B6381" s="888" t="s">
        <v>1007</v>
      </c>
      <c r="C6381" s="888" t="s">
        <v>1253</v>
      </c>
      <c r="D6381" s="889">
        <v>46027</v>
      </c>
      <c r="E6381" s="888" t="s">
        <v>310</v>
      </c>
      <c r="F6381" s="888" t="s">
        <v>310</v>
      </c>
    </row>
    <row r="6382" spans="1:6">
      <c r="A6382" s="888">
        <v>317</v>
      </c>
      <c r="B6382" s="888" t="s">
        <v>1007</v>
      </c>
      <c r="C6382" s="888" t="s">
        <v>1253</v>
      </c>
      <c r="D6382" s="889">
        <v>46028</v>
      </c>
      <c r="E6382" s="888" t="s">
        <v>310</v>
      </c>
      <c r="F6382" s="888" t="s">
        <v>310</v>
      </c>
    </row>
    <row r="6383" spans="1:6">
      <c r="A6383" s="888">
        <v>317</v>
      </c>
      <c r="B6383" s="888" t="s">
        <v>1007</v>
      </c>
      <c r="C6383" s="888" t="s">
        <v>1253</v>
      </c>
      <c r="D6383" s="889">
        <v>46029</v>
      </c>
      <c r="E6383" s="888" t="s">
        <v>310</v>
      </c>
      <c r="F6383" s="888" t="s">
        <v>310</v>
      </c>
    </row>
    <row r="6384" spans="1:6">
      <c r="A6384" s="888">
        <v>317</v>
      </c>
      <c r="B6384" s="888" t="s">
        <v>1007</v>
      </c>
      <c r="C6384" s="888" t="s">
        <v>1253</v>
      </c>
      <c r="D6384" s="889">
        <v>46030</v>
      </c>
      <c r="E6384" s="888" t="s">
        <v>310</v>
      </c>
      <c r="F6384" s="888" t="s">
        <v>310</v>
      </c>
    </row>
    <row r="6385" spans="1:6">
      <c r="A6385" s="888">
        <v>317</v>
      </c>
      <c r="B6385" s="888" t="s">
        <v>1007</v>
      </c>
      <c r="C6385" s="888" t="s">
        <v>1253</v>
      </c>
      <c r="D6385" s="889">
        <v>46031</v>
      </c>
      <c r="E6385" s="888" t="s">
        <v>310</v>
      </c>
      <c r="F6385" s="888" t="s">
        <v>310</v>
      </c>
    </row>
    <row r="6386" spans="1:6">
      <c r="A6386" s="888">
        <v>317</v>
      </c>
      <c r="B6386" s="888" t="s">
        <v>1007</v>
      </c>
      <c r="C6386" s="888" t="s">
        <v>1253</v>
      </c>
      <c r="D6386" s="889">
        <v>46032</v>
      </c>
      <c r="E6386" s="888" t="s">
        <v>310</v>
      </c>
      <c r="F6386" s="888" t="s">
        <v>310</v>
      </c>
    </row>
    <row r="6387" spans="1:6">
      <c r="A6387" s="888">
        <v>317</v>
      </c>
      <c r="B6387" s="888" t="s">
        <v>1007</v>
      </c>
      <c r="C6387" s="888" t="s">
        <v>1253</v>
      </c>
      <c r="D6387" s="889">
        <v>46033</v>
      </c>
      <c r="E6387" s="888" t="s">
        <v>310</v>
      </c>
      <c r="F6387" s="888" t="s">
        <v>310</v>
      </c>
    </row>
    <row r="6388" spans="1:6">
      <c r="A6388" s="888">
        <v>317</v>
      </c>
      <c r="B6388" s="888" t="s">
        <v>1007</v>
      </c>
      <c r="C6388" s="888" t="s">
        <v>1253</v>
      </c>
      <c r="D6388" s="889">
        <v>46034</v>
      </c>
      <c r="E6388" s="888" t="s">
        <v>310</v>
      </c>
      <c r="F6388" s="888" t="s">
        <v>310</v>
      </c>
    </row>
    <row r="6389" spans="1:6">
      <c r="A6389" s="888">
        <v>317</v>
      </c>
      <c r="B6389" s="888" t="s">
        <v>1007</v>
      </c>
      <c r="C6389" s="888" t="s">
        <v>1253</v>
      </c>
      <c r="D6389" s="889">
        <v>46035</v>
      </c>
      <c r="E6389" s="888" t="s">
        <v>310</v>
      </c>
      <c r="F6389" s="888" t="s">
        <v>310</v>
      </c>
    </row>
    <row r="6390" spans="1:6">
      <c r="A6390" s="888">
        <v>317</v>
      </c>
      <c r="B6390" s="888" t="s">
        <v>1007</v>
      </c>
      <c r="C6390" s="888" t="s">
        <v>1253</v>
      </c>
      <c r="D6390" s="889">
        <v>46036</v>
      </c>
      <c r="E6390" s="888" t="s">
        <v>310</v>
      </c>
      <c r="F6390" s="888" t="s">
        <v>310</v>
      </c>
    </row>
    <row r="6391" spans="1:6">
      <c r="A6391" s="888">
        <v>317</v>
      </c>
      <c r="B6391" s="888" t="s">
        <v>1007</v>
      </c>
      <c r="C6391" s="888" t="s">
        <v>1253</v>
      </c>
      <c r="D6391" s="889">
        <v>46037</v>
      </c>
      <c r="E6391" s="888" t="s">
        <v>310</v>
      </c>
      <c r="F6391" s="888" t="s">
        <v>310</v>
      </c>
    </row>
    <row r="6392" spans="1:6">
      <c r="A6392" s="888">
        <v>317</v>
      </c>
      <c r="B6392" s="888" t="s">
        <v>1007</v>
      </c>
      <c r="C6392" s="888" t="s">
        <v>1253</v>
      </c>
      <c r="D6392" s="889">
        <v>46038</v>
      </c>
      <c r="E6392" s="888" t="s">
        <v>310</v>
      </c>
      <c r="F6392" s="888" t="s">
        <v>310</v>
      </c>
    </row>
    <row r="6393" spans="1:6">
      <c r="A6393" s="888">
        <v>317</v>
      </c>
      <c r="B6393" s="888" t="s">
        <v>1007</v>
      </c>
      <c r="C6393" s="888" t="s">
        <v>1253</v>
      </c>
      <c r="D6393" s="889">
        <v>46039</v>
      </c>
      <c r="E6393" s="888" t="s">
        <v>310</v>
      </c>
      <c r="F6393" s="888" t="s">
        <v>310</v>
      </c>
    </row>
    <row r="6394" spans="1:6">
      <c r="A6394" s="888">
        <v>317</v>
      </c>
      <c r="B6394" s="888" t="s">
        <v>1007</v>
      </c>
      <c r="C6394" s="888" t="s">
        <v>1253</v>
      </c>
      <c r="D6394" s="889">
        <v>46040</v>
      </c>
      <c r="E6394" s="888" t="s">
        <v>310</v>
      </c>
      <c r="F6394" s="888" t="s">
        <v>310</v>
      </c>
    </row>
    <row r="6395" spans="1:6">
      <c r="A6395" s="888">
        <v>317</v>
      </c>
      <c r="B6395" s="888" t="s">
        <v>1007</v>
      </c>
      <c r="C6395" s="888" t="s">
        <v>1253</v>
      </c>
      <c r="D6395" s="889">
        <v>46041</v>
      </c>
      <c r="E6395" s="888" t="s">
        <v>310</v>
      </c>
      <c r="F6395" s="888" t="s">
        <v>310</v>
      </c>
    </row>
    <row r="6396" spans="1:6">
      <c r="A6396" s="888">
        <v>317</v>
      </c>
      <c r="B6396" s="888" t="s">
        <v>1007</v>
      </c>
      <c r="C6396" s="888" t="s">
        <v>1253</v>
      </c>
      <c r="D6396" s="889">
        <v>46042</v>
      </c>
      <c r="E6396" s="888" t="s">
        <v>310</v>
      </c>
      <c r="F6396" s="888" t="s">
        <v>310</v>
      </c>
    </row>
    <row r="6397" spans="1:6">
      <c r="A6397" s="888">
        <v>317</v>
      </c>
      <c r="B6397" s="888" t="s">
        <v>1007</v>
      </c>
      <c r="C6397" s="888" t="s">
        <v>1253</v>
      </c>
      <c r="D6397" s="889">
        <v>46043</v>
      </c>
      <c r="E6397" s="888" t="s">
        <v>310</v>
      </c>
      <c r="F6397" s="888" t="s">
        <v>310</v>
      </c>
    </row>
    <row r="6398" spans="1:6">
      <c r="A6398" s="888">
        <v>317</v>
      </c>
      <c r="B6398" s="888" t="s">
        <v>1007</v>
      </c>
      <c r="C6398" s="888" t="s">
        <v>1253</v>
      </c>
      <c r="D6398" s="889">
        <v>46044</v>
      </c>
      <c r="E6398" s="888" t="s">
        <v>310</v>
      </c>
      <c r="F6398" s="888" t="s">
        <v>310</v>
      </c>
    </row>
    <row r="6399" spans="1:6">
      <c r="A6399" s="888">
        <v>317</v>
      </c>
      <c r="B6399" s="888" t="s">
        <v>1007</v>
      </c>
      <c r="C6399" s="888" t="s">
        <v>1253</v>
      </c>
      <c r="D6399" s="889">
        <v>46045</v>
      </c>
      <c r="E6399" s="888" t="s">
        <v>310</v>
      </c>
      <c r="F6399" s="888" t="s">
        <v>310</v>
      </c>
    </row>
    <row r="6400" spans="1:6">
      <c r="A6400" s="888">
        <v>317</v>
      </c>
      <c r="B6400" s="888" t="s">
        <v>1007</v>
      </c>
      <c r="C6400" s="888" t="s">
        <v>1253</v>
      </c>
      <c r="D6400" s="889">
        <v>46046</v>
      </c>
      <c r="E6400" s="888" t="s">
        <v>310</v>
      </c>
      <c r="F6400" s="888" t="s">
        <v>310</v>
      </c>
    </row>
    <row r="6401" spans="1:6">
      <c r="A6401" s="888">
        <v>317</v>
      </c>
      <c r="B6401" s="888" t="s">
        <v>1007</v>
      </c>
      <c r="C6401" s="888" t="s">
        <v>1253</v>
      </c>
      <c r="D6401" s="889">
        <v>46047</v>
      </c>
      <c r="E6401" s="888" t="s">
        <v>310</v>
      </c>
      <c r="F6401" s="888" t="s">
        <v>310</v>
      </c>
    </row>
    <row r="6402" spans="1:6">
      <c r="A6402" s="888">
        <v>317</v>
      </c>
      <c r="B6402" s="888" t="s">
        <v>1007</v>
      </c>
      <c r="C6402" s="888" t="s">
        <v>1253</v>
      </c>
      <c r="D6402" s="889">
        <v>46048</v>
      </c>
      <c r="E6402" s="888" t="s">
        <v>310</v>
      </c>
      <c r="F6402" s="888" t="s">
        <v>310</v>
      </c>
    </row>
    <row r="6403" spans="1:6">
      <c r="A6403" s="888">
        <v>317</v>
      </c>
      <c r="B6403" s="888" t="s">
        <v>1007</v>
      </c>
      <c r="C6403" s="888" t="s">
        <v>1253</v>
      </c>
      <c r="D6403" s="889">
        <v>46049</v>
      </c>
      <c r="E6403" s="888" t="s">
        <v>310</v>
      </c>
      <c r="F6403" s="888" t="s">
        <v>310</v>
      </c>
    </row>
    <row r="6404" spans="1:6">
      <c r="A6404" s="888">
        <v>317</v>
      </c>
      <c r="B6404" s="888" t="s">
        <v>1007</v>
      </c>
      <c r="C6404" s="888" t="s">
        <v>1253</v>
      </c>
      <c r="D6404" s="889">
        <v>46050</v>
      </c>
      <c r="E6404" s="888" t="s">
        <v>310</v>
      </c>
      <c r="F6404" s="888" t="s">
        <v>310</v>
      </c>
    </row>
    <row r="6405" spans="1:6">
      <c r="A6405" s="888">
        <v>317</v>
      </c>
      <c r="B6405" s="888" t="s">
        <v>1007</v>
      </c>
      <c r="C6405" s="888" t="s">
        <v>1253</v>
      </c>
      <c r="D6405" s="889">
        <v>46051</v>
      </c>
      <c r="E6405" s="888" t="s">
        <v>310</v>
      </c>
      <c r="F6405" s="888" t="s">
        <v>310</v>
      </c>
    </row>
    <row r="6406" spans="1:6">
      <c r="A6406" s="888">
        <v>317</v>
      </c>
      <c r="B6406" s="888" t="s">
        <v>1007</v>
      </c>
      <c r="C6406" s="888" t="s">
        <v>1253</v>
      </c>
      <c r="D6406" s="889">
        <v>46052</v>
      </c>
      <c r="E6406" s="888" t="s">
        <v>310</v>
      </c>
      <c r="F6406" s="888" t="s">
        <v>310</v>
      </c>
    </row>
    <row r="6407" spans="1:6">
      <c r="A6407" s="888">
        <v>317</v>
      </c>
      <c r="B6407" s="888" t="s">
        <v>1007</v>
      </c>
      <c r="C6407" s="888" t="s">
        <v>1253</v>
      </c>
      <c r="D6407" s="889">
        <v>46053</v>
      </c>
      <c r="E6407" s="888" t="s">
        <v>310</v>
      </c>
      <c r="F6407" s="888" t="s">
        <v>310</v>
      </c>
    </row>
    <row r="6408" spans="1:6">
      <c r="A6408" s="888">
        <v>317</v>
      </c>
      <c r="B6408" s="888" t="s">
        <v>1007</v>
      </c>
      <c r="C6408" s="888" t="s">
        <v>1253</v>
      </c>
      <c r="D6408" s="889">
        <v>46054</v>
      </c>
      <c r="E6408" s="888" t="s">
        <v>310</v>
      </c>
      <c r="F6408" s="888" t="s">
        <v>310</v>
      </c>
    </row>
    <row r="6409" spans="1:6">
      <c r="A6409" s="888">
        <v>318</v>
      </c>
      <c r="B6409" s="888" t="s">
        <v>994</v>
      </c>
      <c r="C6409" s="888" t="s">
        <v>1253</v>
      </c>
      <c r="D6409" s="889">
        <v>46023</v>
      </c>
      <c r="E6409" s="888" t="s">
        <v>310</v>
      </c>
      <c r="F6409" s="888" t="s">
        <v>310</v>
      </c>
    </row>
    <row r="6410" spans="1:6">
      <c r="A6410" s="888">
        <v>318</v>
      </c>
      <c r="B6410" s="888" t="s">
        <v>994</v>
      </c>
      <c r="C6410" s="888" t="s">
        <v>1253</v>
      </c>
      <c r="D6410" s="889">
        <v>46024</v>
      </c>
      <c r="E6410" s="890">
        <v>0.38028935185185186</v>
      </c>
      <c r="F6410" s="890">
        <v>0.77135416666666667</v>
      </c>
    </row>
    <row r="6411" spans="1:6">
      <c r="A6411" s="888" t="s">
        <v>4952</v>
      </c>
      <c r="B6411" s="888" t="s">
        <v>4953</v>
      </c>
      <c r="C6411" s="888" t="s">
        <v>1437</v>
      </c>
    </row>
    <row r="6412" spans="1:6">
      <c r="A6412" s="888">
        <v>318</v>
      </c>
      <c r="B6412" s="888" t="s">
        <v>994</v>
      </c>
      <c r="C6412" s="888" t="s">
        <v>1253</v>
      </c>
      <c r="D6412" s="889">
        <v>46025</v>
      </c>
      <c r="E6412" s="888" t="s">
        <v>310</v>
      </c>
      <c r="F6412" s="888" t="s">
        <v>310</v>
      </c>
    </row>
    <row r="6413" spans="1:6">
      <c r="A6413" s="888">
        <v>318</v>
      </c>
      <c r="B6413" s="888" t="s">
        <v>994</v>
      </c>
      <c r="C6413" s="888" t="s">
        <v>1253</v>
      </c>
      <c r="D6413" s="889">
        <v>46026</v>
      </c>
      <c r="E6413" s="888" t="s">
        <v>310</v>
      </c>
      <c r="F6413" s="888" t="s">
        <v>310</v>
      </c>
    </row>
    <row r="6414" spans="1:6">
      <c r="A6414" s="888">
        <v>318</v>
      </c>
      <c r="B6414" s="888" t="s">
        <v>994</v>
      </c>
      <c r="C6414" s="888" t="s">
        <v>1253</v>
      </c>
      <c r="D6414" s="889">
        <v>46027</v>
      </c>
      <c r="E6414" s="890">
        <v>0.36105324074074074</v>
      </c>
      <c r="F6414" s="890">
        <v>0.7603819444444444</v>
      </c>
    </row>
    <row r="6415" spans="1:6">
      <c r="A6415" s="888" t="s">
        <v>4954</v>
      </c>
      <c r="B6415" s="888" t="s">
        <v>4955</v>
      </c>
      <c r="C6415" s="888" t="s">
        <v>1288</v>
      </c>
    </row>
    <row r="6416" spans="1:6">
      <c r="A6416" s="888">
        <v>318</v>
      </c>
      <c r="B6416" s="888" t="s">
        <v>994</v>
      </c>
      <c r="C6416" s="888" t="s">
        <v>1253</v>
      </c>
      <c r="D6416" s="889">
        <v>46028</v>
      </c>
      <c r="E6416" s="890">
        <v>0.37645833333333334</v>
      </c>
      <c r="F6416" s="890">
        <v>0.7608449074074074</v>
      </c>
    </row>
    <row r="6417" spans="1:6">
      <c r="A6417" s="888" t="s">
        <v>4956</v>
      </c>
      <c r="B6417" s="888" t="s">
        <v>4957</v>
      </c>
      <c r="C6417" s="888" t="s">
        <v>3170</v>
      </c>
    </row>
    <row r="6418" spans="1:6">
      <c r="A6418" s="888">
        <v>318</v>
      </c>
      <c r="B6418" s="888" t="s">
        <v>994</v>
      </c>
      <c r="C6418" s="888" t="s">
        <v>1253</v>
      </c>
      <c r="D6418" s="889">
        <v>46029</v>
      </c>
      <c r="E6418" s="890">
        <v>0.36832175925925925</v>
      </c>
      <c r="F6418" s="890">
        <v>0.75832175925925926</v>
      </c>
    </row>
    <row r="6419" spans="1:6">
      <c r="A6419" s="888" t="s">
        <v>4958</v>
      </c>
      <c r="B6419" s="888" t="s">
        <v>4959</v>
      </c>
      <c r="C6419" s="888" t="s">
        <v>1661</v>
      </c>
    </row>
    <row r="6420" spans="1:6">
      <c r="A6420" s="888">
        <v>318</v>
      </c>
      <c r="B6420" s="888" t="s">
        <v>994</v>
      </c>
      <c r="C6420" s="888" t="s">
        <v>1253</v>
      </c>
      <c r="D6420" s="889">
        <v>46030</v>
      </c>
      <c r="E6420" s="890">
        <v>0.36071759259259262</v>
      </c>
      <c r="F6420" s="890">
        <v>0.76203703703703707</v>
      </c>
    </row>
    <row r="6421" spans="1:6">
      <c r="A6421" s="888" t="s">
        <v>4960</v>
      </c>
      <c r="B6421" s="888" t="s">
        <v>4961</v>
      </c>
      <c r="C6421" s="888" t="s">
        <v>1466</v>
      </c>
    </row>
    <row r="6422" spans="1:6">
      <c r="A6422" s="888">
        <v>318</v>
      </c>
      <c r="B6422" s="888" t="s">
        <v>994</v>
      </c>
      <c r="C6422" s="888" t="s">
        <v>1253</v>
      </c>
      <c r="D6422" s="889">
        <v>46031</v>
      </c>
      <c r="E6422" s="890">
        <v>0.3530787037037037</v>
      </c>
      <c r="F6422" s="890">
        <v>0.76887731481481481</v>
      </c>
    </row>
    <row r="6423" spans="1:6">
      <c r="A6423" s="888" t="s">
        <v>4962</v>
      </c>
      <c r="B6423" s="888" t="s">
        <v>4963</v>
      </c>
      <c r="C6423" s="888" t="s">
        <v>1422</v>
      </c>
    </row>
    <row r="6424" spans="1:6">
      <c r="A6424" s="888">
        <v>318</v>
      </c>
      <c r="B6424" s="888" t="s">
        <v>994</v>
      </c>
      <c r="C6424" s="888" t="s">
        <v>1253</v>
      </c>
      <c r="D6424" s="889">
        <v>46032</v>
      </c>
      <c r="E6424" s="888" t="s">
        <v>310</v>
      </c>
      <c r="F6424" s="888" t="s">
        <v>310</v>
      </c>
    </row>
    <row r="6425" spans="1:6">
      <c r="A6425" s="888">
        <v>318</v>
      </c>
      <c r="B6425" s="888" t="s">
        <v>994</v>
      </c>
      <c r="C6425" s="888" t="s">
        <v>1253</v>
      </c>
      <c r="D6425" s="889">
        <v>46033</v>
      </c>
      <c r="E6425" s="888" t="s">
        <v>310</v>
      </c>
      <c r="F6425" s="888" t="s">
        <v>310</v>
      </c>
    </row>
    <row r="6426" spans="1:6">
      <c r="A6426" s="888">
        <v>318</v>
      </c>
      <c r="B6426" s="888" t="s">
        <v>994</v>
      </c>
      <c r="C6426" s="888" t="s">
        <v>1253</v>
      </c>
      <c r="D6426" s="889">
        <v>46034</v>
      </c>
      <c r="E6426" s="890">
        <v>0.36456018518518518</v>
      </c>
      <c r="F6426" s="890">
        <v>0.76233796296296297</v>
      </c>
    </row>
    <row r="6427" spans="1:6">
      <c r="A6427" s="888" t="s">
        <v>4964</v>
      </c>
      <c r="B6427" s="888" t="s">
        <v>4965</v>
      </c>
      <c r="C6427" s="888" t="s">
        <v>1457</v>
      </c>
    </row>
    <row r="6428" spans="1:6">
      <c r="A6428" s="888">
        <v>318</v>
      </c>
      <c r="B6428" s="888" t="s">
        <v>994</v>
      </c>
      <c r="C6428" s="888" t="s">
        <v>1253</v>
      </c>
      <c r="D6428" s="889">
        <v>46035</v>
      </c>
      <c r="E6428" s="888" t="s">
        <v>310</v>
      </c>
      <c r="F6428" s="888" t="s">
        <v>310</v>
      </c>
    </row>
    <row r="6429" spans="1:6">
      <c r="A6429" s="888">
        <v>318</v>
      </c>
      <c r="B6429" s="888" t="s">
        <v>994</v>
      </c>
      <c r="C6429" s="888" t="s">
        <v>1253</v>
      </c>
      <c r="D6429" s="889">
        <v>46036</v>
      </c>
      <c r="E6429" s="890">
        <v>0.38293981481481482</v>
      </c>
      <c r="F6429" s="890">
        <v>0.76597222222222228</v>
      </c>
    </row>
    <row r="6430" spans="1:6">
      <c r="A6430" s="888" t="s">
        <v>4966</v>
      </c>
      <c r="B6430" s="888" t="s">
        <v>4967</v>
      </c>
      <c r="C6430" s="888" t="s">
        <v>1576</v>
      </c>
    </row>
    <row r="6431" spans="1:6">
      <c r="A6431" s="888">
        <v>318</v>
      </c>
      <c r="B6431" s="888" t="s">
        <v>994</v>
      </c>
      <c r="C6431" s="888" t="s">
        <v>1253</v>
      </c>
      <c r="D6431" s="889">
        <v>46037</v>
      </c>
      <c r="E6431" s="890">
        <v>0.38483796296296297</v>
      </c>
      <c r="F6431" s="890">
        <v>0.76318287037037036</v>
      </c>
    </row>
    <row r="6432" spans="1:6">
      <c r="A6432" s="888" t="s">
        <v>4968</v>
      </c>
      <c r="B6432" s="888" t="s">
        <v>4969</v>
      </c>
      <c r="C6432" s="888" t="s">
        <v>1336</v>
      </c>
    </row>
    <row r="6433" spans="1:6">
      <c r="A6433" s="888">
        <v>318</v>
      </c>
      <c r="B6433" s="888" t="s">
        <v>994</v>
      </c>
      <c r="C6433" s="888" t="s">
        <v>1253</v>
      </c>
      <c r="D6433" s="889">
        <v>46038</v>
      </c>
      <c r="E6433" s="890">
        <v>0.35078703703703706</v>
      </c>
      <c r="F6433" s="890">
        <v>0.76745370370370369</v>
      </c>
    </row>
    <row r="6434" spans="1:6">
      <c r="A6434" s="888" t="s">
        <v>4970</v>
      </c>
      <c r="B6434" s="888" t="s">
        <v>4971</v>
      </c>
      <c r="C6434" s="888" t="s">
        <v>1303</v>
      </c>
    </row>
    <row r="6435" spans="1:6">
      <c r="A6435" s="888">
        <v>318</v>
      </c>
      <c r="B6435" s="888" t="s">
        <v>994</v>
      </c>
      <c r="C6435" s="888" t="s">
        <v>1253</v>
      </c>
      <c r="D6435" s="889">
        <v>46039</v>
      </c>
      <c r="E6435" s="888" t="s">
        <v>310</v>
      </c>
      <c r="F6435" s="888" t="s">
        <v>310</v>
      </c>
    </row>
    <row r="6436" spans="1:6">
      <c r="A6436" s="888">
        <v>318</v>
      </c>
      <c r="B6436" s="888" t="s">
        <v>994</v>
      </c>
      <c r="C6436" s="888" t="s">
        <v>1253</v>
      </c>
      <c r="D6436" s="889">
        <v>46040</v>
      </c>
      <c r="E6436" s="888" t="s">
        <v>310</v>
      </c>
      <c r="F6436" s="888" t="s">
        <v>310</v>
      </c>
    </row>
    <row r="6437" spans="1:6">
      <c r="A6437" s="888">
        <v>318</v>
      </c>
      <c r="B6437" s="888" t="s">
        <v>994</v>
      </c>
      <c r="C6437" s="888" t="s">
        <v>1253</v>
      </c>
      <c r="D6437" s="889">
        <v>46041</v>
      </c>
      <c r="E6437" s="890">
        <v>0.37883101851851853</v>
      </c>
      <c r="F6437" s="890">
        <v>0.76535879629629633</v>
      </c>
    </row>
    <row r="6438" spans="1:6">
      <c r="A6438" s="888" t="s">
        <v>4972</v>
      </c>
      <c r="B6438" s="888" t="s">
        <v>4973</v>
      </c>
      <c r="C6438" s="888" t="s">
        <v>1753</v>
      </c>
    </row>
    <row r="6439" spans="1:6">
      <c r="A6439" s="888">
        <v>318</v>
      </c>
      <c r="B6439" s="888" t="s">
        <v>994</v>
      </c>
      <c r="C6439" s="888" t="s">
        <v>1253</v>
      </c>
      <c r="D6439" s="889">
        <v>46042</v>
      </c>
      <c r="E6439" s="890">
        <v>0.5687268518518519</v>
      </c>
      <c r="F6439" s="890">
        <v>0.7570486111111111</v>
      </c>
    </row>
    <row r="6440" spans="1:6">
      <c r="A6440" s="888" t="s">
        <v>4974</v>
      </c>
      <c r="B6440" s="888" t="s">
        <v>4975</v>
      </c>
      <c r="C6440" s="888" t="s">
        <v>2153</v>
      </c>
    </row>
    <row r="6441" spans="1:6">
      <c r="A6441" s="888">
        <v>318</v>
      </c>
      <c r="B6441" s="888" t="s">
        <v>994</v>
      </c>
      <c r="C6441" s="888" t="s">
        <v>1253</v>
      </c>
      <c r="D6441" s="889">
        <v>46043</v>
      </c>
      <c r="E6441" s="890">
        <v>0.40179398148148149</v>
      </c>
      <c r="F6441" s="890">
        <v>0.77546296296296291</v>
      </c>
    </row>
    <row r="6442" spans="1:6">
      <c r="A6442" s="888" t="s">
        <v>4976</v>
      </c>
      <c r="B6442" s="888" t="s">
        <v>4977</v>
      </c>
      <c r="C6442" s="888" t="s">
        <v>1326</v>
      </c>
    </row>
    <row r="6443" spans="1:6">
      <c r="A6443" s="888">
        <v>318</v>
      </c>
      <c r="B6443" s="888" t="s">
        <v>994</v>
      </c>
      <c r="C6443" s="888" t="s">
        <v>1253</v>
      </c>
      <c r="D6443" s="889">
        <v>46044</v>
      </c>
      <c r="E6443" s="890">
        <v>0.36129629629629628</v>
      </c>
      <c r="F6443" s="890">
        <v>0.760162037037037</v>
      </c>
    </row>
    <row r="6444" spans="1:6">
      <c r="A6444" s="888" t="s">
        <v>4978</v>
      </c>
      <c r="B6444" s="888" t="s">
        <v>4979</v>
      </c>
      <c r="C6444" s="888" t="s">
        <v>1383</v>
      </c>
    </row>
    <row r="6445" spans="1:6">
      <c r="A6445" s="888">
        <v>318</v>
      </c>
      <c r="B6445" s="888" t="s">
        <v>994</v>
      </c>
      <c r="C6445" s="888" t="s">
        <v>1253</v>
      </c>
      <c r="D6445" s="889">
        <v>46045</v>
      </c>
      <c r="E6445" s="890">
        <v>0.39297453703703705</v>
      </c>
      <c r="F6445" s="890">
        <v>0.75943287037037033</v>
      </c>
    </row>
    <row r="6446" spans="1:6">
      <c r="A6446" s="888" t="s">
        <v>4980</v>
      </c>
      <c r="B6446" s="888" t="s">
        <v>4981</v>
      </c>
      <c r="C6446" s="888" t="s">
        <v>2508</v>
      </c>
    </row>
    <row r="6447" spans="1:6">
      <c r="A6447" s="888">
        <v>318</v>
      </c>
      <c r="B6447" s="888" t="s">
        <v>994</v>
      </c>
      <c r="C6447" s="888" t="s">
        <v>1253</v>
      </c>
      <c r="D6447" s="889">
        <v>46046</v>
      </c>
      <c r="E6447" s="888" t="s">
        <v>310</v>
      </c>
      <c r="F6447" s="888" t="s">
        <v>310</v>
      </c>
    </row>
    <row r="6448" spans="1:6">
      <c r="A6448" s="888">
        <v>318</v>
      </c>
      <c r="B6448" s="888" t="s">
        <v>994</v>
      </c>
      <c r="C6448" s="888" t="s">
        <v>1253</v>
      </c>
      <c r="D6448" s="889">
        <v>46047</v>
      </c>
      <c r="E6448" s="888" t="s">
        <v>310</v>
      </c>
      <c r="F6448" s="888" t="s">
        <v>310</v>
      </c>
    </row>
    <row r="6449" spans="1:10">
      <c r="A6449" s="888">
        <v>318</v>
      </c>
      <c r="B6449" s="888" t="s">
        <v>994</v>
      </c>
      <c r="C6449" s="888" t="s">
        <v>1253</v>
      </c>
      <c r="D6449" s="889">
        <v>46048</v>
      </c>
      <c r="E6449" s="890">
        <v>0.76370370370370366</v>
      </c>
      <c r="F6449" s="888" t="s">
        <v>310</v>
      </c>
    </row>
    <row r="6450" spans="1:10">
      <c r="A6450" s="888" t="s">
        <v>4982</v>
      </c>
      <c r="B6450" s="888" t="s">
        <v>1258</v>
      </c>
      <c r="C6450" s="888" t="s">
        <v>1259</v>
      </c>
    </row>
    <row r="6451" spans="1:10">
      <c r="A6451" s="888">
        <v>318</v>
      </c>
      <c r="B6451" s="888" t="s">
        <v>994</v>
      </c>
      <c r="C6451" s="888" t="s">
        <v>1253</v>
      </c>
      <c r="D6451" s="889">
        <v>46049</v>
      </c>
      <c r="E6451" s="890">
        <v>0.3934375</v>
      </c>
      <c r="F6451" s="890">
        <v>0.7610069444444445</v>
      </c>
    </row>
    <row r="6452" spans="1:10">
      <c r="A6452" s="888" t="s">
        <v>4983</v>
      </c>
      <c r="B6452" s="888" t="s">
        <v>4984</v>
      </c>
      <c r="C6452" s="888" t="s">
        <v>2014</v>
      </c>
    </row>
    <row r="6453" spans="1:10">
      <c r="A6453" s="888">
        <v>318</v>
      </c>
      <c r="B6453" s="888" t="s">
        <v>994</v>
      </c>
      <c r="C6453" s="888" t="s">
        <v>1253</v>
      </c>
      <c r="D6453" s="889">
        <v>46050</v>
      </c>
      <c r="E6453" s="890">
        <v>0.39229166666666665</v>
      </c>
      <c r="F6453" s="890">
        <v>0.75771990740740736</v>
      </c>
    </row>
    <row r="6454" spans="1:10">
      <c r="A6454" s="888" t="s">
        <v>4985</v>
      </c>
      <c r="B6454" s="888" t="s">
        <v>4986</v>
      </c>
      <c r="C6454" s="888" t="s">
        <v>1705</v>
      </c>
    </row>
    <row r="6455" spans="1:10">
      <c r="A6455" s="888">
        <v>318</v>
      </c>
      <c r="B6455" s="888" t="s">
        <v>994</v>
      </c>
      <c r="C6455" s="888" t="s">
        <v>1253</v>
      </c>
      <c r="D6455" s="889">
        <v>46051</v>
      </c>
      <c r="E6455" s="890">
        <v>0.39400462962962962</v>
      </c>
      <c r="F6455" s="890">
        <v>0.7596180555555555</v>
      </c>
    </row>
    <row r="6456" spans="1:10">
      <c r="A6456" s="888" t="s">
        <v>4987</v>
      </c>
      <c r="B6456" s="888" t="s">
        <v>4988</v>
      </c>
      <c r="C6456" s="888" t="s">
        <v>1705</v>
      </c>
    </row>
    <row r="6457" spans="1:10">
      <c r="A6457" s="888">
        <v>318</v>
      </c>
      <c r="B6457" s="888" t="s">
        <v>994</v>
      </c>
      <c r="C6457" s="888" t="s">
        <v>1253</v>
      </c>
      <c r="D6457" s="889">
        <v>46052</v>
      </c>
      <c r="E6457" s="890">
        <v>0.35579861111111111</v>
      </c>
      <c r="F6457" s="890">
        <v>0.76710648148148153</v>
      </c>
    </row>
    <row r="6458" spans="1:10">
      <c r="A6458" s="888" t="s">
        <v>4989</v>
      </c>
      <c r="B6458" s="888" t="s">
        <v>4990</v>
      </c>
      <c r="C6458" s="888" t="s">
        <v>1613</v>
      </c>
    </row>
    <row r="6459" spans="1:10">
      <c r="A6459" s="888">
        <v>318</v>
      </c>
      <c r="B6459" s="888" t="s">
        <v>994</v>
      </c>
      <c r="C6459" s="888" t="s">
        <v>1253</v>
      </c>
      <c r="D6459" s="889">
        <v>46053</v>
      </c>
      <c r="E6459" s="888" t="s">
        <v>310</v>
      </c>
      <c r="F6459" s="888" t="s">
        <v>310</v>
      </c>
    </row>
    <row r="6460" spans="1:10">
      <c r="A6460" s="888">
        <v>318</v>
      </c>
      <c r="B6460" s="888" t="s">
        <v>994</v>
      </c>
      <c r="C6460" s="888" t="s">
        <v>1253</v>
      </c>
      <c r="D6460" s="889">
        <v>46054</v>
      </c>
      <c r="E6460" s="888" t="s">
        <v>310</v>
      </c>
      <c r="F6460" s="888" t="s">
        <v>310</v>
      </c>
    </row>
    <row r="6461" spans="1:10">
      <c r="A6461" s="888">
        <v>319</v>
      </c>
      <c r="B6461" s="888" t="s">
        <v>1004</v>
      </c>
      <c r="C6461" s="888" t="s">
        <v>1253</v>
      </c>
      <c r="D6461" s="889">
        <v>46023</v>
      </c>
      <c r="E6461" s="888" t="s">
        <v>310</v>
      </c>
      <c r="F6461" s="888" t="s">
        <v>310</v>
      </c>
      <c r="G6461" s="891" t="s">
        <v>1039</v>
      </c>
      <c r="H6461" s="891" t="s">
        <v>4991</v>
      </c>
      <c r="I6461" s="891" t="s">
        <v>1039</v>
      </c>
      <c r="J6461" s="891" t="s">
        <v>4991</v>
      </c>
    </row>
    <row r="6462" spans="1:10">
      <c r="A6462" s="888">
        <v>319</v>
      </c>
      <c r="B6462" s="888" t="s">
        <v>1004</v>
      </c>
      <c r="C6462" s="888" t="s">
        <v>1253</v>
      </c>
      <c r="D6462" s="889">
        <v>46024</v>
      </c>
      <c r="E6462" s="890">
        <v>0.30318287037037039</v>
      </c>
      <c r="F6462" s="890">
        <v>0.48652777777777778</v>
      </c>
      <c r="I6462" s="891" t="s">
        <v>1039</v>
      </c>
      <c r="J6462" s="891" t="s">
        <v>1082</v>
      </c>
    </row>
    <row r="6463" spans="1:10">
      <c r="A6463" s="888" t="s">
        <v>4992</v>
      </c>
      <c r="B6463" s="888" t="s">
        <v>4993</v>
      </c>
      <c r="C6463" s="888" t="s">
        <v>3645</v>
      </c>
    </row>
    <row r="6464" spans="1:10">
      <c r="A6464" s="888">
        <v>319</v>
      </c>
      <c r="B6464" s="888" t="s">
        <v>1004</v>
      </c>
      <c r="C6464" s="888" t="s">
        <v>1253</v>
      </c>
      <c r="D6464" s="889">
        <v>46025</v>
      </c>
      <c r="E6464" s="888" t="s">
        <v>310</v>
      </c>
      <c r="F6464" s="888" t="s">
        <v>310</v>
      </c>
      <c r="G6464" s="891" t="s">
        <v>1039</v>
      </c>
      <c r="H6464" s="891" t="s">
        <v>1344</v>
      </c>
      <c r="I6464" s="891" t="s">
        <v>1039</v>
      </c>
      <c r="J6464" s="891" t="s">
        <v>1344</v>
      </c>
    </row>
    <row r="6465" spans="1:10">
      <c r="A6465" s="888">
        <v>319</v>
      </c>
      <c r="B6465" s="888" t="s">
        <v>1004</v>
      </c>
      <c r="C6465" s="888" t="s">
        <v>1253</v>
      </c>
      <c r="D6465" s="889">
        <v>46026</v>
      </c>
      <c r="E6465" s="888" t="s">
        <v>310</v>
      </c>
      <c r="F6465" s="888" t="s">
        <v>310</v>
      </c>
      <c r="G6465" s="891" t="s">
        <v>1039</v>
      </c>
      <c r="H6465" s="891" t="s">
        <v>1344</v>
      </c>
      <c r="I6465" s="891" t="s">
        <v>1039</v>
      </c>
      <c r="J6465" s="891" t="s">
        <v>1344</v>
      </c>
    </row>
    <row r="6466" spans="1:10">
      <c r="A6466" s="888">
        <v>319</v>
      </c>
      <c r="B6466" s="888" t="s">
        <v>1004</v>
      </c>
      <c r="C6466" s="888" t="s">
        <v>1253</v>
      </c>
      <c r="D6466" s="889">
        <v>46027</v>
      </c>
      <c r="E6466" s="890">
        <v>0.33547453703703706</v>
      </c>
      <c r="F6466" s="890">
        <v>0.75114583333333329</v>
      </c>
    </row>
    <row r="6467" spans="1:10">
      <c r="A6467" s="888" t="s">
        <v>4994</v>
      </c>
      <c r="B6467" s="888" t="s">
        <v>4995</v>
      </c>
      <c r="C6467" s="888" t="s">
        <v>1422</v>
      </c>
    </row>
    <row r="6468" spans="1:10">
      <c r="A6468" s="888">
        <v>319</v>
      </c>
      <c r="B6468" s="888" t="s">
        <v>1004</v>
      </c>
      <c r="C6468" s="888" t="s">
        <v>1253</v>
      </c>
      <c r="D6468" s="889">
        <v>46028</v>
      </c>
      <c r="E6468" s="890">
        <v>0.34143518518518517</v>
      </c>
      <c r="F6468" s="890">
        <v>0.75268518518518523</v>
      </c>
    </row>
    <row r="6469" spans="1:10">
      <c r="A6469" s="888" t="s">
        <v>4996</v>
      </c>
      <c r="B6469" s="888" t="s">
        <v>4997</v>
      </c>
      <c r="C6469" s="888" t="s">
        <v>1613</v>
      </c>
    </row>
    <row r="6470" spans="1:10">
      <c r="A6470" s="888">
        <v>319</v>
      </c>
      <c r="B6470" s="888" t="s">
        <v>1004</v>
      </c>
      <c r="C6470" s="888" t="s">
        <v>1253</v>
      </c>
      <c r="D6470" s="889">
        <v>46029</v>
      </c>
      <c r="E6470" s="890">
        <v>0.3296412037037037</v>
      </c>
      <c r="F6470" s="890">
        <v>0.75245370370370368</v>
      </c>
    </row>
    <row r="6471" spans="1:10">
      <c r="A6471" s="888" t="s">
        <v>4998</v>
      </c>
      <c r="B6471" s="888" t="s">
        <v>4999</v>
      </c>
      <c r="C6471" s="888" t="s">
        <v>1729</v>
      </c>
    </row>
    <row r="6472" spans="1:10">
      <c r="A6472" s="888">
        <v>319</v>
      </c>
      <c r="B6472" s="888" t="s">
        <v>1004</v>
      </c>
      <c r="C6472" s="888" t="s">
        <v>1253</v>
      </c>
      <c r="D6472" s="889">
        <v>46030</v>
      </c>
      <c r="E6472" s="890">
        <v>0.34722222222222221</v>
      </c>
      <c r="F6472" s="890">
        <v>0.75392361111111106</v>
      </c>
    </row>
    <row r="6473" spans="1:10">
      <c r="A6473" s="888" t="s">
        <v>5000</v>
      </c>
      <c r="B6473" s="888" t="s">
        <v>5001</v>
      </c>
      <c r="C6473" s="888" t="s">
        <v>1868</v>
      </c>
    </row>
    <row r="6474" spans="1:10">
      <c r="A6474" s="888">
        <v>319</v>
      </c>
      <c r="B6474" s="888" t="s">
        <v>1004</v>
      </c>
      <c r="C6474" s="888" t="s">
        <v>1253</v>
      </c>
      <c r="D6474" s="889">
        <v>46031</v>
      </c>
      <c r="E6474" s="890">
        <v>0.31434027777777779</v>
      </c>
      <c r="F6474" s="890">
        <v>0.52557870370370374</v>
      </c>
      <c r="I6474" s="891" t="s">
        <v>1039</v>
      </c>
      <c r="J6474" s="891" t="s">
        <v>1080</v>
      </c>
    </row>
    <row r="6475" spans="1:10">
      <c r="A6475" s="888" t="s">
        <v>5002</v>
      </c>
      <c r="B6475" s="888" t="s">
        <v>5003</v>
      </c>
      <c r="C6475" s="888" t="s">
        <v>5004</v>
      </c>
    </row>
    <row r="6476" spans="1:10">
      <c r="A6476" s="888">
        <v>319</v>
      </c>
      <c r="B6476" s="888" t="s">
        <v>1004</v>
      </c>
      <c r="C6476" s="888" t="s">
        <v>1253</v>
      </c>
      <c r="D6476" s="889">
        <v>46032</v>
      </c>
      <c r="E6476" s="888" t="s">
        <v>310</v>
      </c>
      <c r="F6476" s="888" t="s">
        <v>310</v>
      </c>
      <c r="G6476" s="891" t="s">
        <v>1039</v>
      </c>
      <c r="H6476" s="891" t="s">
        <v>1344</v>
      </c>
      <c r="I6476" s="891" t="s">
        <v>1039</v>
      </c>
      <c r="J6476" s="891" t="s">
        <v>1344</v>
      </c>
    </row>
    <row r="6477" spans="1:10">
      <c r="A6477" s="888">
        <v>319</v>
      </c>
      <c r="B6477" s="888" t="s">
        <v>1004</v>
      </c>
      <c r="C6477" s="888" t="s">
        <v>1253</v>
      </c>
      <c r="D6477" s="889">
        <v>46033</v>
      </c>
      <c r="E6477" s="888" t="s">
        <v>310</v>
      </c>
      <c r="F6477" s="888" t="s">
        <v>310</v>
      </c>
      <c r="G6477" s="891" t="s">
        <v>1039</v>
      </c>
      <c r="H6477" s="891" t="s">
        <v>1344</v>
      </c>
      <c r="I6477" s="891" t="s">
        <v>1039</v>
      </c>
      <c r="J6477" s="891" t="s">
        <v>1344</v>
      </c>
    </row>
    <row r="6478" spans="1:10">
      <c r="A6478" s="888">
        <v>319</v>
      </c>
      <c r="B6478" s="888" t="s">
        <v>1004</v>
      </c>
      <c r="C6478" s="888" t="s">
        <v>1253</v>
      </c>
      <c r="D6478" s="889">
        <v>46034</v>
      </c>
      <c r="E6478" s="890">
        <v>0.33293981481481483</v>
      </c>
      <c r="F6478" s="890">
        <v>0.75707175925925929</v>
      </c>
    </row>
    <row r="6479" spans="1:10">
      <c r="A6479" s="888" t="s">
        <v>5005</v>
      </c>
      <c r="B6479" s="888" t="s">
        <v>5006</v>
      </c>
      <c r="C6479" s="888" t="s">
        <v>1393</v>
      </c>
    </row>
    <row r="6480" spans="1:10">
      <c r="A6480" s="888">
        <v>319</v>
      </c>
      <c r="B6480" s="888" t="s">
        <v>1004</v>
      </c>
      <c r="C6480" s="888" t="s">
        <v>1253</v>
      </c>
      <c r="D6480" s="889">
        <v>46035</v>
      </c>
      <c r="E6480" s="890">
        <v>0.33233796296296297</v>
      </c>
      <c r="F6480" s="890">
        <v>0.75365740740740739</v>
      </c>
    </row>
    <row r="6481" spans="1:10">
      <c r="A6481" s="888" t="s">
        <v>5007</v>
      </c>
      <c r="B6481" s="888" t="s">
        <v>5008</v>
      </c>
      <c r="C6481" s="888" t="s">
        <v>1390</v>
      </c>
    </row>
    <row r="6482" spans="1:10">
      <c r="A6482" s="888">
        <v>319</v>
      </c>
      <c r="B6482" s="888" t="s">
        <v>1004</v>
      </c>
      <c r="C6482" s="888" t="s">
        <v>1253</v>
      </c>
      <c r="D6482" s="889">
        <v>46036</v>
      </c>
      <c r="E6482" s="890">
        <v>0.34872685185185187</v>
      </c>
      <c r="F6482" s="890">
        <v>0.75148148148148153</v>
      </c>
    </row>
    <row r="6483" spans="1:10">
      <c r="A6483" s="888" t="s">
        <v>5009</v>
      </c>
      <c r="B6483" s="888" t="s">
        <v>5010</v>
      </c>
      <c r="C6483" s="888" t="s">
        <v>1624</v>
      </c>
    </row>
    <row r="6484" spans="1:10">
      <c r="A6484" s="888">
        <v>319</v>
      </c>
      <c r="B6484" s="888" t="s">
        <v>1004</v>
      </c>
      <c r="C6484" s="888" t="s">
        <v>1253</v>
      </c>
      <c r="D6484" s="889">
        <v>46037</v>
      </c>
      <c r="E6484" s="890">
        <v>0.33037037037037037</v>
      </c>
      <c r="F6484" s="890">
        <v>0.75159722222222225</v>
      </c>
    </row>
    <row r="6485" spans="1:10">
      <c r="A6485" s="888" t="s">
        <v>5011</v>
      </c>
      <c r="B6485" s="888" t="s">
        <v>5012</v>
      </c>
      <c r="C6485" s="888" t="s">
        <v>1390</v>
      </c>
    </row>
    <row r="6486" spans="1:10">
      <c r="A6486" s="888">
        <v>319</v>
      </c>
      <c r="B6486" s="888" t="s">
        <v>1004</v>
      </c>
      <c r="C6486" s="888" t="s">
        <v>1253</v>
      </c>
      <c r="D6486" s="889">
        <v>46038</v>
      </c>
      <c r="E6486" s="890">
        <v>0.30738425925925927</v>
      </c>
      <c r="F6486" s="890">
        <v>0.4868865740740741</v>
      </c>
      <c r="I6486" s="891" t="s">
        <v>1039</v>
      </c>
      <c r="J6486" s="891" t="s">
        <v>1080</v>
      </c>
    </row>
    <row r="6487" spans="1:10">
      <c r="A6487" s="888" t="s">
        <v>5013</v>
      </c>
      <c r="B6487" s="888" t="s">
        <v>5014</v>
      </c>
      <c r="C6487" s="888" t="s">
        <v>5015</v>
      </c>
    </row>
    <row r="6488" spans="1:10">
      <c r="A6488" s="888">
        <v>319</v>
      </c>
      <c r="B6488" s="888" t="s">
        <v>1004</v>
      </c>
      <c r="C6488" s="888" t="s">
        <v>1253</v>
      </c>
      <c r="D6488" s="889">
        <v>46039</v>
      </c>
      <c r="E6488" s="888" t="s">
        <v>310</v>
      </c>
      <c r="F6488" s="888" t="s">
        <v>310</v>
      </c>
      <c r="G6488" s="891" t="s">
        <v>1039</v>
      </c>
      <c r="H6488" s="891" t="s">
        <v>1344</v>
      </c>
      <c r="I6488" s="891" t="s">
        <v>1039</v>
      </c>
      <c r="J6488" s="891" t="s">
        <v>1344</v>
      </c>
    </row>
    <row r="6489" spans="1:10">
      <c r="A6489" s="888">
        <v>319</v>
      </c>
      <c r="B6489" s="888" t="s">
        <v>1004</v>
      </c>
      <c r="C6489" s="888" t="s">
        <v>1253</v>
      </c>
      <c r="D6489" s="889">
        <v>46040</v>
      </c>
      <c r="E6489" s="888" t="s">
        <v>310</v>
      </c>
      <c r="F6489" s="888" t="s">
        <v>310</v>
      </c>
      <c r="G6489" s="891" t="s">
        <v>1039</v>
      </c>
      <c r="H6489" s="891" t="s">
        <v>1344</v>
      </c>
      <c r="I6489" s="891" t="s">
        <v>1039</v>
      </c>
      <c r="J6489" s="891" t="s">
        <v>1344</v>
      </c>
    </row>
    <row r="6490" spans="1:10">
      <c r="A6490" s="888">
        <v>319</v>
      </c>
      <c r="B6490" s="888" t="s">
        <v>1004</v>
      </c>
      <c r="C6490" s="888" t="s">
        <v>1253</v>
      </c>
      <c r="D6490" s="889">
        <v>46041</v>
      </c>
      <c r="E6490" s="890">
        <v>0.35788194444444443</v>
      </c>
      <c r="F6490" s="890">
        <v>0.75858796296296294</v>
      </c>
      <c r="G6490" s="891" t="s">
        <v>1039</v>
      </c>
      <c r="H6490" s="891" t="s">
        <v>1005</v>
      </c>
    </row>
    <row r="6491" spans="1:10">
      <c r="A6491" s="888" t="s">
        <v>5016</v>
      </c>
      <c r="B6491" s="888" t="s">
        <v>5017</v>
      </c>
      <c r="C6491" s="888" t="s">
        <v>1378</v>
      </c>
    </row>
    <row r="6492" spans="1:10">
      <c r="A6492" s="888">
        <v>319</v>
      </c>
      <c r="B6492" s="888" t="s">
        <v>1004</v>
      </c>
      <c r="C6492" s="888" t="s">
        <v>1253</v>
      </c>
      <c r="D6492" s="889">
        <v>46042</v>
      </c>
      <c r="E6492" s="890">
        <v>0.34924768518518517</v>
      </c>
      <c r="F6492" s="890">
        <v>0.75365740740740739</v>
      </c>
    </row>
    <row r="6493" spans="1:10">
      <c r="A6493" s="888" t="s">
        <v>5018</v>
      </c>
      <c r="B6493" s="888" t="s">
        <v>5019</v>
      </c>
      <c r="C6493" s="888" t="s">
        <v>1266</v>
      </c>
    </row>
    <row r="6494" spans="1:10">
      <c r="A6494" s="888">
        <v>319</v>
      </c>
      <c r="B6494" s="888" t="s">
        <v>1004</v>
      </c>
      <c r="C6494" s="888" t="s">
        <v>1253</v>
      </c>
      <c r="D6494" s="889">
        <v>46043</v>
      </c>
      <c r="E6494" s="890">
        <v>0.33960648148148148</v>
      </c>
      <c r="F6494" s="890">
        <v>0.75680555555555551</v>
      </c>
    </row>
    <row r="6495" spans="1:10">
      <c r="A6495" s="888" t="s">
        <v>5020</v>
      </c>
      <c r="B6495" s="888" t="s">
        <v>5021</v>
      </c>
      <c r="C6495" s="888" t="s">
        <v>2035</v>
      </c>
    </row>
    <row r="6496" spans="1:10">
      <c r="A6496" s="888">
        <v>319</v>
      </c>
      <c r="B6496" s="888" t="s">
        <v>1004</v>
      </c>
      <c r="C6496" s="888" t="s">
        <v>1253</v>
      </c>
      <c r="D6496" s="889">
        <v>46044</v>
      </c>
      <c r="E6496" s="890">
        <v>0.34369212962962964</v>
      </c>
      <c r="F6496" s="890">
        <v>0.76738425925925924</v>
      </c>
    </row>
    <row r="6497" spans="1:10">
      <c r="A6497" s="888" t="s">
        <v>5022</v>
      </c>
      <c r="B6497" s="888" t="s">
        <v>5023</v>
      </c>
      <c r="C6497" s="888" t="s">
        <v>1419</v>
      </c>
    </row>
    <row r="6498" spans="1:10">
      <c r="A6498" s="888">
        <v>319</v>
      </c>
      <c r="B6498" s="888" t="s">
        <v>1004</v>
      </c>
      <c r="C6498" s="888" t="s">
        <v>1253</v>
      </c>
      <c r="D6498" s="889">
        <v>46045</v>
      </c>
      <c r="E6498" s="890">
        <v>0.29200231481481481</v>
      </c>
      <c r="F6498" s="890">
        <v>0.4846759259259259</v>
      </c>
      <c r="I6498" s="891" t="s">
        <v>1039</v>
      </c>
      <c r="J6498" s="891" t="s">
        <v>1082</v>
      </c>
    </row>
    <row r="6499" spans="1:10">
      <c r="A6499" s="888" t="s">
        <v>5024</v>
      </c>
      <c r="B6499" s="888" t="s">
        <v>5025</v>
      </c>
      <c r="C6499" s="888" t="s">
        <v>1969</v>
      </c>
    </row>
    <row r="6500" spans="1:10">
      <c r="A6500" s="888">
        <v>319</v>
      </c>
      <c r="B6500" s="888" t="s">
        <v>1004</v>
      </c>
      <c r="C6500" s="888" t="s">
        <v>1253</v>
      </c>
      <c r="D6500" s="889">
        <v>46046</v>
      </c>
      <c r="E6500" s="888" t="s">
        <v>310</v>
      </c>
      <c r="F6500" s="888" t="s">
        <v>310</v>
      </c>
      <c r="G6500" s="891" t="s">
        <v>1039</v>
      </c>
      <c r="H6500" s="891" t="s">
        <v>1344</v>
      </c>
      <c r="I6500" s="891" t="s">
        <v>1039</v>
      </c>
      <c r="J6500" s="891" t="s">
        <v>1344</v>
      </c>
    </row>
    <row r="6501" spans="1:10">
      <c r="A6501" s="888">
        <v>319</v>
      </c>
      <c r="B6501" s="888" t="s">
        <v>1004</v>
      </c>
      <c r="C6501" s="888" t="s">
        <v>1253</v>
      </c>
      <c r="D6501" s="889">
        <v>46047</v>
      </c>
      <c r="E6501" s="888" t="s">
        <v>310</v>
      </c>
      <c r="F6501" s="888" t="s">
        <v>310</v>
      </c>
      <c r="G6501" s="891" t="s">
        <v>1039</v>
      </c>
      <c r="H6501" s="891" t="s">
        <v>1344</v>
      </c>
      <c r="I6501" s="891" t="s">
        <v>1039</v>
      </c>
      <c r="J6501" s="891" t="s">
        <v>1344</v>
      </c>
    </row>
    <row r="6502" spans="1:10">
      <c r="A6502" s="888">
        <v>319</v>
      </c>
      <c r="B6502" s="888" t="s">
        <v>1004</v>
      </c>
      <c r="C6502" s="888" t="s">
        <v>1253</v>
      </c>
      <c r="D6502" s="889">
        <v>46048</v>
      </c>
      <c r="E6502" s="890">
        <v>0.33849537037037036</v>
      </c>
      <c r="F6502" s="890">
        <v>0.76505787037037032</v>
      </c>
    </row>
    <row r="6503" spans="1:10">
      <c r="A6503" s="888" t="s">
        <v>5026</v>
      </c>
      <c r="B6503" s="888" t="s">
        <v>5027</v>
      </c>
      <c r="C6503" s="888" t="s">
        <v>2288</v>
      </c>
    </row>
    <row r="6504" spans="1:10">
      <c r="A6504" s="888">
        <v>319</v>
      </c>
      <c r="B6504" s="888" t="s">
        <v>1004</v>
      </c>
      <c r="C6504" s="888" t="s">
        <v>1253</v>
      </c>
      <c r="D6504" s="889">
        <v>46049</v>
      </c>
      <c r="E6504" s="890">
        <v>0.35054398148148147</v>
      </c>
      <c r="F6504" s="890">
        <v>0.7759490740740741</v>
      </c>
    </row>
    <row r="6505" spans="1:10">
      <c r="A6505" s="888" t="s">
        <v>5028</v>
      </c>
      <c r="B6505" s="888" t="s">
        <v>5029</v>
      </c>
      <c r="C6505" s="888" t="s">
        <v>2758</v>
      </c>
    </row>
    <row r="6506" spans="1:10">
      <c r="A6506" s="888">
        <v>319</v>
      </c>
      <c r="B6506" s="888" t="s">
        <v>1004</v>
      </c>
      <c r="C6506" s="888" t="s">
        <v>1253</v>
      </c>
      <c r="D6506" s="889">
        <v>46050</v>
      </c>
      <c r="E6506" s="890">
        <v>0.52004629629629628</v>
      </c>
      <c r="F6506" s="890">
        <v>0.76601851851851854</v>
      </c>
      <c r="G6506" s="891" t="s">
        <v>1039</v>
      </c>
      <c r="H6506" s="891" t="s">
        <v>1082</v>
      </c>
    </row>
    <row r="6507" spans="1:10">
      <c r="A6507" s="888" t="s">
        <v>5030</v>
      </c>
      <c r="B6507" s="888" t="s">
        <v>5031</v>
      </c>
      <c r="C6507" s="888" t="s">
        <v>4257</v>
      </c>
    </row>
    <row r="6508" spans="1:10">
      <c r="A6508" s="888">
        <v>319</v>
      </c>
      <c r="B6508" s="888" t="s">
        <v>1004</v>
      </c>
      <c r="C6508" s="888" t="s">
        <v>1253</v>
      </c>
      <c r="D6508" s="889">
        <v>46051</v>
      </c>
      <c r="E6508" s="890">
        <v>0.33960648148148148</v>
      </c>
      <c r="F6508" s="890">
        <v>0.75353009259259263</v>
      </c>
    </row>
    <row r="6509" spans="1:10">
      <c r="A6509" s="888" t="s">
        <v>5032</v>
      </c>
      <c r="B6509" s="888" t="s">
        <v>5033</v>
      </c>
      <c r="C6509" s="888" t="s">
        <v>1407</v>
      </c>
    </row>
    <row r="6510" spans="1:10">
      <c r="A6510" s="888">
        <v>319</v>
      </c>
      <c r="B6510" s="888" t="s">
        <v>1004</v>
      </c>
      <c r="C6510" s="888" t="s">
        <v>1253</v>
      </c>
      <c r="D6510" s="889">
        <v>46052</v>
      </c>
      <c r="E6510" s="890">
        <v>0.31452546296296297</v>
      </c>
      <c r="F6510" s="890">
        <v>0.50459490740740742</v>
      </c>
      <c r="I6510" s="891" t="s">
        <v>1039</v>
      </c>
      <c r="J6510" s="891" t="s">
        <v>1082</v>
      </c>
    </row>
    <row r="6511" spans="1:10">
      <c r="A6511" s="888" t="s">
        <v>5034</v>
      </c>
      <c r="B6511" s="888" t="s">
        <v>5035</v>
      </c>
      <c r="C6511" s="888" t="s">
        <v>5036</v>
      </c>
    </row>
    <row r="6512" spans="1:10">
      <c r="A6512" s="888">
        <v>319</v>
      </c>
      <c r="B6512" s="888" t="s">
        <v>1004</v>
      </c>
      <c r="C6512" s="888" t="s">
        <v>1253</v>
      </c>
      <c r="D6512" s="889">
        <v>46053</v>
      </c>
      <c r="E6512" s="888" t="s">
        <v>310</v>
      </c>
      <c r="F6512" s="888" t="s">
        <v>310</v>
      </c>
      <c r="G6512" s="891" t="s">
        <v>1039</v>
      </c>
      <c r="H6512" s="891" t="s">
        <v>1344</v>
      </c>
      <c r="I6512" s="891" t="s">
        <v>1039</v>
      </c>
      <c r="J6512" s="891" t="s">
        <v>1344</v>
      </c>
    </row>
    <row r="6513" spans="1:10">
      <c r="A6513" s="888">
        <v>320</v>
      </c>
      <c r="B6513" s="888" t="s">
        <v>1006</v>
      </c>
      <c r="C6513" s="888" t="s">
        <v>1253</v>
      </c>
      <c r="D6513" s="889">
        <v>46023</v>
      </c>
      <c r="E6513" s="888" t="s">
        <v>310</v>
      </c>
      <c r="F6513" s="888" t="s">
        <v>310</v>
      </c>
      <c r="G6513" s="891" t="s">
        <v>1039</v>
      </c>
      <c r="H6513" s="891" t="s">
        <v>4833</v>
      </c>
      <c r="I6513" s="891" t="s">
        <v>1039</v>
      </c>
      <c r="J6513" s="891" t="s">
        <v>4833</v>
      </c>
    </row>
    <row r="6514" spans="1:10">
      <c r="A6514" s="888">
        <v>320</v>
      </c>
      <c r="B6514" s="888" t="s">
        <v>1006</v>
      </c>
      <c r="C6514" s="888" t="s">
        <v>1253</v>
      </c>
      <c r="D6514" s="889">
        <v>46024</v>
      </c>
      <c r="E6514" s="888" t="s">
        <v>310</v>
      </c>
      <c r="F6514" s="888" t="s">
        <v>310</v>
      </c>
      <c r="G6514" s="891" t="s">
        <v>1039</v>
      </c>
      <c r="H6514" s="891" t="s">
        <v>5037</v>
      </c>
      <c r="I6514" s="891" t="s">
        <v>1039</v>
      </c>
      <c r="J6514" s="891" t="s">
        <v>5037</v>
      </c>
    </row>
    <row r="6515" spans="1:10">
      <c r="A6515" s="888">
        <v>320</v>
      </c>
      <c r="B6515" s="888" t="s">
        <v>1006</v>
      </c>
      <c r="C6515" s="888" t="s">
        <v>1253</v>
      </c>
      <c r="D6515" s="889">
        <v>46025</v>
      </c>
      <c r="E6515" s="888" t="s">
        <v>310</v>
      </c>
      <c r="F6515" s="888" t="s">
        <v>310</v>
      </c>
      <c r="G6515" s="891" t="s">
        <v>1039</v>
      </c>
      <c r="H6515" s="891" t="s">
        <v>1344</v>
      </c>
      <c r="I6515" s="891" t="s">
        <v>1039</v>
      </c>
      <c r="J6515" s="891" t="s">
        <v>1344</v>
      </c>
    </row>
    <row r="6516" spans="1:10">
      <c r="A6516" s="888">
        <v>320</v>
      </c>
      <c r="B6516" s="888" t="s">
        <v>1006</v>
      </c>
      <c r="C6516" s="888" t="s">
        <v>1253</v>
      </c>
      <c r="D6516" s="889">
        <v>46026</v>
      </c>
      <c r="E6516" s="888" t="s">
        <v>310</v>
      </c>
      <c r="F6516" s="888" t="s">
        <v>310</v>
      </c>
      <c r="G6516" s="891" t="s">
        <v>1039</v>
      </c>
      <c r="H6516" s="891" t="s">
        <v>1344</v>
      </c>
      <c r="I6516" s="891" t="s">
        <v>1039</v>
      </c>
      <c r="J6516" s="891" t="s">
        <v>1344</v>
      </c>
    </row>
    <row r="6517" spans="1:10">
      <c r="A6517" s="888">
        <v>320</v>
      </c>
      <c r="B6517" s="888" t="s">
        <v>1006</v>
      </c>
      <c r="C6517" s="888" t="s">
        <v>1253</v>
      </c>
      <c r="D6517" s="889">
        <v>46027</v>
      </c>
      <c r="E6517" s="890">
        <v>0.3540740740740741</v>
      </c>
      <c r="F6517" s="890">
        <v>0.7595601851851852</v>
      </c>
    </row>
    <row r="6518" spans="1:10">
      <c r="A6518" s="888" t="s">
        <v>5038</v>
      </c>
      <c r="B6518" s="888" t="s">
        <v>5039</v>
      </c>
      <c r="C6518" s="888" t="s">
        <v>2340</v>
      </c>
    </row>
    <row r="6519" spans="1:10">
      <c r="A6519" s="888">
        <v>320</v>
      </c>
      <c r="B6519" s="888" t="s">
        <v>1006</v>
      </c>
      <c r="C6519" s="888" t="s">
        <v>1253</v>
      </c>
      <c r="D6519" s="889">
        <v>46028</v>
      </c>
      <c r="E6519" s="890">
        <v>0.35508101851851853</v>
      </c>
      <c r="F6519" s="890">
        <v>0.76003472222222224</v>
      </c>
      <c r="G6519" s="891" t="s">
        <v>1039</v>
      </c>
      <c r="H6519" s="891" t="s">
        <v>5040</v>
      </c>
    </row>
    <row r="6520" spans="1:10">
      <c r="A6520" s="888" t="s">
        <v>5041</v>
      </c>
      <c r="B6520" s="888" t="s">
        <v>5042</v>
      </c>
      <c r="C6520" s="888" t="s">
        <v>1356</v>
      </c>
    </row>
    <row r="6521" spans="1:10">
      <c r="A6521" s="888">
        <v>320</v>
      </c>
      <c r="B6521" s="888" t="s">
        <v>1006</v>
      </c>
      <c r="C6521" s="888" t="s">
        <v>1253</v>
      </c>
      <c r="D6521" s="889">
        <v>46029</v>
      </c>
      <c r="E6521" s="888" t="s">
        <v>310</v>
      </c>
      <c r="F6521" s="888" t="s">
        <v>310</v>
      </c>
      <c r="G6521" s="891" t="s">
        <v>1039</v>
      </c>
      <c r="H6521" s="891" t="s">
        <v>5037</v>
      </c>
      <c r="I6521" s="891" t="s">
        <v>1039</v>
      </c>
      <c r="J6521" s="891" t="s">
        <v>5037</v>
      </c>
    </row>
    <row r="6522" spans="1:10">
      <c r="A6522" s="888">
        <v>320</v>
      </c>
      <c r="B6522" s="888" t="s">
        <v>1006</v>
      </c>
      <c r="C6522" s="888" t="s">
        <v>1253</v>
      </c>
      <c r="D6522" s="889">
        <v>46030</v>
      </c>
      <c r="E6522" s="890">
        <v>0.56214120370370368</v>
      </c>
      <c r="F6522" s="890">
        <v>0.75578703703703709</v>
      </c>
      <c r="G6522" s="891" t="s">
        <v>1039</v>
      </c>
      <c r="H6522" s="891" t="s">
        <v>996</v>
      </c>
    </row>
    <row r="6523" spans="1:10">
      <c r="A6523" s="888" t="s">
        <v>5043</v>
      </c>
      <c r="B6523" s="888" t="s">
        <v>5044</v>
      </c>
      <c r="C6523" s="888" t="s">
        <v>3979</v>
      </c>
    </row>
    <row r="6524" spans="1:10">
      <c r="A6524" s="888">
        <v>320</v>
      </c>
      <c r="B6524" s="888" t="s">
        <v>1006</v>
      </c>
      <c r="C6524" s="888" t="s">
        <v>1253</v>
      </c>
      <c r="D6524" s="889">
        <v>46031</v>
      </c>
      <c r="E6524" s="890">
        <v>0.3492824074074074</v>
      </c>
      <c r="F6524" s="890">
        <v>0.50206018518518514</v>
      </c>
      <c r="I6524" s="891" t="s">
        <v>1039</v>
      </c>
      <c r="J6524" s="891" t="s">
        <v>1048</v>
      </c>
    </row>
    <row r="6525" spans="1:10">
      <c r="A6525" s="888" t="s">
        <v>5045</v>
      </c>
      <c r="B6525" s="888" t="s">
        <v>5046</v>
      </c>
      <c r="C6525" s="888" t="s">
        <v>5047</v>
      </c>
    </row>
    <row r="6526" spans="1:10">
      <c r="A6526" s="888">
        <v>320</v>
      </c>
      <c r="B6526" s="888" t="s">
        <v>1006</v>
      </c>
      <c r="C6526" s="888" t="s">
        <v>1253</v>
      </c>
      <c r="D6526" s="889">
        <v>46032</v>
      </c>
      <c r="E6526" s="888" t="s">
        <v>310</v>
      </c>
      <c r="F6526" s="888" t="s">
        <v>310</v>
      </c>
      <c r="G6526" s="891" t="s">
        <v>1039</v>
      </c>
      <c r="H6526" s="891" t="s">
        <v>1344</v>
      </c>
      <c r="I6526" s="891" t="s">
        <v>1039</v>
      </c>
      <c r="J6526" s="891" t="s">
        <v>1344</v>
      </c>
    </row>
    <row r="6527" spans="1:10">
      <c r="A6527" s="888">
        <v>320</v>
      </c>
      <c r="B6527" s="888" t="s">
        <v>1006</v>
      </c>
      <c r="C6527" s="888" t="s">
        <v>1253</v>
      </c>
      <c r="D6527" s="889">
        <v>46033</v>
      </c>
      <c r="E6527" s="888" t="s">
        <v>310</v>
      </c>
      <c r="F6527" s="888" t="s">
        <v>310</v>
      </c>
      <c r="G6527" s="891" t="s">
        <v>1039</v>
      </c>
      <c r="H6527" s="891" t="s">
        <v>1344</v>
      </c>
      <c r="I6527" s="891" t="s">
        <v>1039</v>
      </c>
      <c r="J6527" s="891" t="s">
        <v>1344</v>
      </c>
    </row>
    <row r="6528" spans="1:10">
      <c r="A6528" s="888">
        <v>320</v>
      </c>
      <c r="B6528" s="888" t="s">
        <v>1006</v>
      </c>
      <c r="C6528" s="888" t="s">
        <v>1253</v>
      </c>
      <c r="D6528" s="889">
        <v>46034</v>
      </c>
      <c r="E6528" s="890">
        <v>0.35356481481481483</v>
      </c>
      <c r="F6528" s="890">
        <v>0.75877314814814811</v>
      </c>
    </row>
    <row r="6529" spans="1:10">
      <c r="A6529" s="888" t="s">
        <v>5048</v>
      </c>
      <c r="B6529" s="888" t="s">
        <v>5049</v>
      </c>
      <c r="C6529" s="888" t="s">
        <v>2340</v>
      </c>
    </row>
    <row r="6530" spans="1:10">
      <c r="A6530" s="888">
        <v>320</v>
      </c>
      <c r="B6530" s="888" t="s">
        <v>1006</v>
      </c>
      <c r="C6530" s="888" t="s">
        <v>1253</v>
      </c>
      <c r="D6530" s="889">
        <v>46035</v>
      </c>
      <c r="E6530" s="888" t="s">
        <v>310</v>
      </c>
      <c r="F6530" s="888" t="s">
        <v>310</v>
      </c>
      <c r="G6530" s="891" t="s">
        <v>1039</v>
      </c>
      <c r="H6530" s="891" t="s">
        <v>996</v>
      </c>
      <c r="I6530" s="891" t="s">
        <v>1039</v>
      </c>
      <c r="J6530" s="891" t="s">
        <v>996</v>
      </c>
    </row>
    <row r="6531" spans="1:10">
      <c r="A6531" s="888">
        <v>320</v>
      </c>
      <c r="B6531" s="888" t="s">
        <v>1006</v>
      </c>
      <c r="C6531" s="888" t="s">
        <v>1253</v>
      </c>
      <c r="D6531" s="889">
        <v>46036</v>
      </c>
      <c r="E6531" s="890">
        <v>0.35042824074074075</v>
      </c>
      <c r="F6531" s="890">
        <v>0.75380787037037034</v>
      </c>
    </row>
    <row r="6532" spans="1:10">
      <c r="A6532" s="888" t="s">
        <v>5050</v>
      </c>
      <c r="B6532" s="888" t="s">
        <v>5051</v>
      </c>
      <c r="C6532" s="888" t="s">
        <v>1363</v>
      </c>
    </row>
    <row r="6533" spans="1:10">
      <c r="A6533" s="888">
        <v>320</v>
      </c>
      <c r="B6533" s="888" t="s">
        <v>1006</v>
      </c>
      <c r="C6533" s="888" t="s">
        <v>1253</v>
      </c>
      <c r="D6533" s="889">
        <v>46037</v>
      </c>
      <c r="E6533" s="890">
        <v>0.35189814814814813</v>
      </c>
      <c r="F6533" s="890">
        <v>0.75328703703703703</v>
      </c>
    </row>
    <row r="6534" spans="1:10">
      <c r="A6534" s="888" t="s">
        <v>5052</v>
      </c>
      <c r="B6534" s="888" t="s">
        <v>5053</v>
      </c>
      <c r="C6534" s="888" t="s">
        <v>1466</v>
      </c>
    </row>
    <row r="6535" spans="1:10">
      <c r="A6535" s="888">
        <v>320</v>
      </c>
      <c r="B6535" s="888" t="s">
        <v>1006</v>
      </c>
      <c r="C6535" s="888" t="s">
        <v>1253</v>
      </c>
      <c r="D6535" s="889">
        <v>46038</v>
      </c>
      <c r="E6535" s="890">
        <v>0.34824074074074074</v>
      </c>
      <c r="F6535" s="890">
        <v>0.77408564814814818</v>
      </c>
    </row>
    <row r="6536" spans="1:10">
      <c r="A6536" s="888" t="s">
        <v>5054</v>
      </c>
      <c r="B6536" s="888" t="s">
        <v>5055</v>
      </c>
      <c r="C6536" s="888" t="s">
        <v>2758</v>
      </c>
    </row>
    <row r="6537" spans="1:10">
      <c r="A6537" s="888">
        <v>320</v>
      </c>
      <c r="B6537" s="888" t="s">
        <v>1006</v>
      </c>
      <c r="C6537" s="888" t="s">
        <v>1253</v>
      </c>
      <c r="D6537" s="889">
        <v>46039</v>
      </c>
      <c r="E6537" s="888" t="s">
        <v>310</v>
      </c>
      <c r="F6537" s="888" t="s">
        <v>310</v>
      </c>
      <c r="G6537" s="891" t="s">
        <v>1039</v>
      </c>
      <c r="H6537" s="891" t="s">
        <v>1344</v>
      </c>
      <c r="I6537" s="891" t="s">
        <v>1039</v>
      </c>
      <c r="J6537" s="891" t="s">
        <v>1344</v>
      </c>
    </row>
    <row r="6538" spans="1:10">
      <c r="A6538" s="888">
        <v>320</v>
      </c>
      <c r="B6538" s="888" t="s">
        <v>1006</v>
      </c>
      <c r="C6538" s="888" t="s">
        <v>1253</v>
      </c>
      <c r="D6538" s="889">
        <v>46040</v>
      </c>
      <c r="E6538" s="888" t="s">
        <v>310</v>
      </c>
      <c r="F6538" s="888" t="s">
        <v>310</v>
      </c>
      <c r="G6538" s="891" t="s">
        <v>1039</v>
      </c>
      <c r="H6538" s="891" t="s">
        <v>1344</v>
      </c>
      <c r="I6538" s="891" t="s">
        <v>1039</v>
      </c>
      <c r="J6538" s="891" t="s">
        <v>1344</v>
      </c>
    </row>
    <row r="6539" spans="1:10">
      <c r="A6539" s="888">
        <v>320</v>
      </c>
      <c r="B6539" s="888" t="s">
        <v>1006</v>
      </c>
      <c r="C6539" s="888" t="s">
        <v>1253</v>
      </c>
      <c r="D6539" s="889">
        <v>46041</v>
      </c>
      <c r="E6539" s="890">
        <v>0.36237268518518517</v>
      </c>
      <c r="F6539" s="890">
        <v>0.75997685185185182</v>
      </c>
      <c r="G6539" s="891" t="s">
        <v>1039</v>
      </c>
      <c r="H6539" s="891" t="s">
        <v>1195</v>
      </c>
    </row>
    <row r="6540" spans="1:10">
      <c r="A6540" s="888" t="s">
        <v>5056</v>
      </c>
      <c r="B6540" s="888" t="s">
        <v>5057</v>
      </c>
      <c r="C6540" s="888" t="s">
        <v>1457</v>
      </c>
    </row>
    <row r="6541" spans="1:10">
      <c r="A6541" s="888">
        <v>320</v>
      </c>
      <c r="B6541" s="888" t="s">
        <v>1006</v>
      </c>
      <c r="C6541" s="888" t="s">
        <v>1253</v>
      </c>
      <c r="D6541" s="889">
        <v>46042</v>
      </c>
      <c r="E6541" s="890">
        <v>0.35128472222222223</v>
      </c>
      <c r="F6541" s="890">
        <v>0.75548611111111108</v>
      </c>
    </row>
    <row r="6542" spans="1:10">
      <c r="A6542" s="888" t="s">
        <v>5058</v>
      </c>
      <c r="B6542" s="888" t="s">
        <v>5059</v>
      </c>
      <c r="C6542" s="888" t="s">
        <v>1266</v>
      </c>
    </row>
    <row r="6543" spans="1:10">
      <c r="A6543" s="888">
        <v>320</v>
      </c>
      <c r="B6543" s="888" t="s">
        <v>1006</v>
      </c>
      <c r="C6543" s="888" t="s">
        <v>1253</v>
      </c>
      <c r="D6543" s="889">
        <v>46043</v>
      </c>
      <c r="E6543" s="890">
        <v>0.35184027777777777</v>
      </c>
      <c r="F6543" s="890">
        <v>0.75535879629629632</v>
      </c>
    </row>
    <row r="6544" spans="1:10">
      <c r="A6544" s="888" t="s">
        <v>5060</v>
      </c>
      <c r="B6544" s="888" t="s">
        <v>5061</v>
      </c>
      <c r="C6544" s="888" t="s">
        <v>1363</v>
      </c>
    </row>
    <row r="6545" spans="1:8">
      <c r="A6545" s="888">
        <v>320</v>
      </c>
      <c r="B6545" s="888" t="s">
        <v>1006</v>
      </c>
      <c r="C6545" s="888" t="s">
        <v>1253</v>
      </c>
      <c r="D6545" s="889">
        <v>46044</v>
      </c>
      <c r="E6545" s="890">
        <v>0.37953703703703706</v>
      </c>
      <c r="F6545" s="890">
        <v>0.75922453703703707</v>
      </c>
      <c r="G6545" s="891" t="s">
        <v>1039</v>
      </c>
      <c r="H6545" s="891" t="s">
        <v>1195</v>
      </c>
    </row>
    <row r="6546" spans="1:8">
      <c r="A6546" s="888" t="s">
        <v>5062</v>
      </c>
      <c r="B6546" s="888" t="s">
        <v>5063</v>
      </c>
      <c r="C6546" s="888" t="s">
        <v>1585</v>
      </c>
    </row>
    <row r="6547" spans="1:8">
      <c r="A6547" s="888">
        <v>320</v>
      </c>
      <c r="B6547" s="888" t="s">
        <v>1006</v>
      </c>
      <c r="C6547" s="888" t="s">
        <v>1253</v>
      </c>
      <c r="D6547" s="889">
        <v>46045</v>
      </c>
      <c r="E6547" s="890">
        <v>0.50812500000000005</v>
      </c>
      <c r="F6547" s="890">
        <v>0.75957175925925924</v>
      </c>
    </row>
    <row r="6548" spans="1:8">
      <c r="A6548" s="888" t="s">
        <v>5064</v>
      </c>
      <c r="B6548" s="888" t="s">
        <v>5065</v>
      </c>
      <c r="C6548" s="888" t="s">
        <v>3679</v>
      </c>
    </row>
    <row r="6549" spans="1:8">
      <c r="A6549" s="888">
        <v>320</v>
      </c>
      <c r="B6549" s="888" t="s">
        <v>1006</v>
      </c>
      <c r="C6549" s="888" t="s">
        <v>1253</v>
      </c>
      <c r="D6549" s="889">
        <v>46046</v>
      </c>
      <c r="E6549" s="888" t="s">
        <v>310</v>
      </c>
      <c r="F6549" s="888" t="s">
        <v>310</v>
      </c>
      <c r="G6549" s="891" t="s">
        <v>1039</v>
      </c>
      <c r="H6549" s="891" t="s">
        <v>1344</v>
      </c>
    </row>
    <row r="6550" spans="1:8">
      <c r="A6550" s="888">
        <v>320</v>
      </c>
      <c r="B6550" s="888" t="s">
        <v>1006</v>
      </c>
      <c r="C6550" s="888" t="s">
        <v>1253</v>
      </c>
      <c r="D6550" s="889">
        <v>46047</v>
      </c>
      <c r="E6550" s="888" t="s">
        <v>310</v>
      </c>
      <c r="F6550" s="888" t="s">
        <v>310</v>
      </c>
      <c r="G6550" s="891" t="s">
        <v>1039</v>
      </c>
      <c r="H6550" s="891" t="s">
        <v>1344</v>
      </c>
    </row>
    <row r="6551" spans="1:8">
      <c r="A6551" s="888">
        <v>320</v>
      </c>
      <c r="B6551" s="888" t="s">
        <v>1006</v>
      </c>
      <c r="C6551" s="888" t="s">
        <v>1253</v>
      </c>
      <c r="D6551" s="889">
        <v>46048</v>
      </c>
      <c r="E6551" s="890">
        <v>0.35393518518518519</v>
      </c>
      <c r="F6551" s="890">
        <v>0.758275462962963</v>
      </c>
    </row>
    <row r="6552" spans="1:8">
      <c r="A6552" s="888" t="s">
        <v>5066</v>
      </c>
      <c r="B6552" s="888" t="s">
        <v>5067</v>
      </c>
      <c r="C6552" s="888" t="s">
        <v>1266</v>
      </c>
    </row>
    <row r="6553" spans="1:8">
      <c r="A6553" s="888">
        <v>320</v>
      </c>
      <c r="B6553" s="888" t="s">
        <v>1006</v>
      </c>
      <c r="C6553" s="888" t="s">
        <v>1253</v>
      </c>
      <c r="D6553" s="889">
        <v>46049</v>
      </c>
      <c r="E6553" s="890">
        <v>0.35332175925925924</v>
      </c>
      <c r="F6553" s="890">
        <v>0.76030092592592591</v>
      </c>
    </row>
    <row r="6554" spans="1:8">
      <c r="A6554" s="888" t="s">
        <v>5068</v>
      </c>
      <c r="B6554" s="888" t="s">
        <v>5069</v>
      </c>
      <c r="C6554" s="888" t="s">
        <v>1868</v>
      </c>
    </row>
    <row r="6555" spans="1:8">
      <c r="A6555" s="888">
        <v>320</v>
      </c>
      <c r="B6555" s="888" t="s">
        <v>1006</v>
      </c>
      <c r="C6555" s="888" t="s">
        <v>1253</v>
      </c>
      <c r="D6555" s="889">
        <v>46050</v>
      </c>
      <c r="E6555" s="890">
        <v>0.35157407407407409</v>
      </c>
      <c r="F6555" s="890">
        <v>0.75701388888888888</v>
      </c>
    </row>
    <row r="6556" spans="1:8">
      <c r="A6556" s="888" t="s">
        <v>5070</v>
      </c>
      <c r="B6556" s="888" t="s">
        <v>5071</v>
      </c>
      <c r="C6556" s="888" t="s">
        <v>2340</v>
      </c>
    </row>
    <row r="6557" spans="1:8">
      <c r="A6557" s="888">
        <v>320</v>
      </c>
      <c r="B6557" s="888" t="s">
        <v>1006</v>
      </c>
      <c r="C6557" s="888" t="s">
        <v>1253</v>
      </c>
      <c r="D6557" s="889">
        <v>46051</v>
      </c>
      <c r="E6557" s="890">
        <v>0.37141203703703701</v>
      </c>
      <c r="F6557" s="890">
        <v>0.75288194444444445</v>
      </c>
      <c r="G6557" s="891" t="s">
        <v>1039</v>
      </c>
      <c r="H6557" s="891" t="s">
        <v>1039</v>
      </c>
    </row>
    <row r="6558" spans="1:8">
      <c r="A6558" s="888" t="s">
        <v>5072</v>
      </c>
      <c r="B6558" s="888" t="s">
        <v>5073</v>
      </c>
      <c r="C6558" s="888" t="s">
        <v>1607</v>
      </c>
    </row>
    <row r="6559" spans="1:8">
      <c r="A6559" s="888">
        <v>320</v>
      </c>
      <c r="B6559" s="888" t="s">
        <v>1006</v>
      </c>
      <c r="C6559" s="888" t="s">
        <v>1253</v>
      </c>
      <c r="D6559" s="889">
        <v>46052</v>
      </c>
      <c r="E6559" s="890">
        <v>0.35479166666666667</v>
      </c>
      <c r="F6559" s="890">
        <v>0.7546180555555555</v>
      </c>
    </row>
    <row r="6560" spans="1:8">
      <c r="A6560" s="888" t="s">
        <v>5074</v>
      </c>
      <c r="B6560" s="888" t="s">
        <v>5075</v>
      </c>
      <c r="C6560" s="888" t="s">
        <v>1526</v>
      </c>
    </row>
    <row r="6561" spans="1:10">
      <c r="A6561" s="888">
        <v>320</v>
      </c>
      <c r="B6561" s="888" t="s">
        <v>1006</v>
      </c>
      <c r="C6561" s="888" t="s">
        <v>1253</v>
      </c>
      <c r="D6561" s="889">
        <v>46053</v>
      </c>
      <c r="E6561" s="888" t="s">
        <v>310</v>
      </c>
      <c r="F6561" s="888" t="s">
        <v>310</v>
      </c>
      <c r="G6561" s="891" t="s">
        <v>1039</v>
      </c>
      <c r="H6561" s="891" t="s">
        <v>1344</v>
      </c>
      <c r="I6561" s="891" t="s">
        <v>1039</v>
      </c>
      <c r="J6561" s="891" t="s">
        <v>1344</v>
      </c>
    </row>
    <row r="6562" spans="1:10">
      <c r="A6562" s="888">
        <v>321</v>
      </c>
      <c r="B6562" s="888" t="s">
        <v>1041</v>
      </c>
      <c r="C6562" s="888" t="s">
        <v>1253</v>
      </c>
      <c r="D6562" s="889">
        <v>46023</v>
      </c>
      <c r="E6562" s="888" t="s">
        <v>310</v>
      </c>
      <c r="F6562" s="888" t="s">
        <v>310</v>
      </c>
      <c r="G6562" s="891" t="s">
        <v>1039</v>
      </c>
      <c r="H6562" s="891" t="s">
        <v>4833</v>
      </c>
      <c r="I6562" s="891" t="s">
        <v>1039</v>
      </c>
      <c r="J6562" s="891" t="s">
        <v>4833</v>
      </c>
    </row>
    <row r="6563" spans="1:10">
      <c r="A6563" s="897">
        <v>321</v>
      </c>
      <c r="B6563" s="897" t="s">
        <v>1041</v>
      </c>
      <c r="C6563" s="897" t="s">
        <v>1253</v>
      </c>
      <c r="D6563" s="898">
        <v>46024</v>
      </c>
      <c r="E6563" s="900">
        <v>0.56388888888888888</v>
      </c>
      <c r="F6563" s="900">
        <v>0.77167824074074076</v>
      </c>
      <c r="G6563" s="899" t="s">
        <v>1039</v>
      </c>
      <c r="H6563" s="899" t="s">
        <v>5076</v>
      </c>
    </row>
    <row r="6564" spans="1:10">
      <c r="A6564" s="888" t="s">
        <v>5077</v>
      </c>
      <c r="B6564" s="888" t="s">
        <v>5078</v>
      </c>
      <c r="C6564" s="888" t="s">
        <v>5079</v>
      </c>
    </row>
    <row r="6565" spans="1:10">
      <c r="A6565" s="888">
        <v>321</v>
      </c>
      <c r="B6565" s="888" t="s">
        <v>1041</v>
      </c>
      <c r="C6565" s="888" t="s">
        <v>1253</v>
      </c>
      <c r="D6565" s="889">
        <v>46025</v>
      </c>
      <c r="E6565" s="888" t="s">
        <v>310</v>
      </c>
      <c r="F6565" s="888" t="s">
        <v>310</v>
      </c>
      <c r="G6565" s="891" t="s">
        <v>1039</v>
      </c>
      <c r="H6565" s="891" t="s">
        <v>1344</v>
      </c>
      <c r="I6565" s="891" t="s">
        <v>1039</v>
      </c>
      <c r="J6565" s="891" t="s">
        <v>1344</v>
      </c>
    </row>
    <row r="6566" spans="1:10">
      <c r="A6566" s="888">
        <v>321</v>
      </c>
      <c r="B6566" s="888" t="s">
        <v>1041</v>
      </c>
      <c r="C6566" s="888" t="s">
        <v>1253</v>
      </c>
      <c r="D6566" s="889">
        <v>46026</v>
      </c>
      <c r="E6566" s="888" t="s">
        <v>310</v>
      </c>
      <c r="F6566" s="888" t="s">
        <v>310</v>
      </c>
      <c r="G6566" s="891" t="s">
        <v>1039</v>
      </c>
      <c r="H6566" s="891" t="s">
        <v>1344</v>
      </c>
      <c r="I6566" s="891" t="s">
        <v>1039</v>
      </c>
      <c r="J6566" s="891" t="s">
        <v>1344</v>
      </c>
    </row>
    <row r="6567" spans="1:10">
      <c r="A6567" s="888">
        <v>321</v>
      </c>
      <c r="B6567" s="888" t="s">
        <v>1041</v>
      </c>
      <c r="C6567" s="888" t="s">
        <v>1253</v>
      </c>
      <c r="D6567" s="889">
        <v>46027</v>
      </c>
      <c r="E6567" s="890">
        <v>0.36548611111111112</v>
      </c>
      <c r="F6567" s="888" t="s">
        <v>310</v>
      </c>
      <c r="G6567" s="891" t="s">
        <v>1039</v>
      </c>
      <c r="H6567" s="891" t="s">
        <v>1005</v>
      </c>
    </row>
    <row r="6568" spans="1:10">
      <c r="A6568" s="888" t="s">
        <v>5080</v>
      </c>
      <c r="B6568" s="888" t="s">
        <v>1258</v>
      </c>
      <c r="C6568" s="888" t="s">
        <v>1259</v>
      </c>
    </row>
    <row r="6569" spans="1:10">
      <c r="A6569" s="888">
        <v>321</v>
      </c>
      <c r="B6569" s="888" t="s">
        <v>1041</v>
      </c>
      <c r="C6569" s="888" t="s">
        <v>1253</v>
      </c>
      <c r="D6569" s="889">
        <v>46028</v>
      </c>
      <c r="E6569" s="890">
        <v>0.35502314814814817</v>
      </c>
      <c r="F6569" s="890">
        <v>0.7600231481481482</v>
      </c>
      <c r="G6569" s="891" t="s">
        <v>1039</v>
      </c>
      <c r="H6569" s="891" t="s">
        <v>5081</v>
      </c>
    </row>
    <row r="6570" spans="1:10">
      <c r="A6570" s="888" t="s">
        <v>5082</v>
      </c>
      <c r="B6570" s="888" t="s">
        <v>5083</v>
      </c>
      <c r="C6570" s="888" t="s">
        <v>1356</v>
      </c>
    </row>
    <row r="6571" spans="1:10">
      <c r="A6571" s="897">
        <v>321</v>
      </c>
      <c r="B6571" s="897" t="s">
        <v>1041</v>
      </c>
      <c r="C6571" s="897" t="s">
        <v>1253</v>
      </c>
      <c r="D6571" s="898">
        <v>46029</v>
      </c>
      <c r="E6571" s="900">
        <v>0.5649305555555556</v>
      </c>
      <c r="F6571" s="900">
        <v>0.78894675925925928</v>
      </c>
      <c r="G6571" s="899" t="s">
        <v>1039</v>
      </c>
      <c r="H6571" s="899" t="s">
        <v>5084</v>
      </c>
    </row>
    <row r="6572" spans="1:10">
      <c r="A6572" s="888" t="s">
        <v>5085</v>
      </c>
      <c r="B6572" s="888" t="s">
        <v>5086</v>
      </c>
      <c r="C6572" s="888" t="s">
        <v>3581</v>
      </c>
    </row>
    <row r="6573" spans="1:10">
      <c r="A6573" s="888">
        <v>321</v>
      </c>
      <c r="B6573" s="888" t="s">
        <v>1041</v>
      </c>
      <c r="C6573" s="888" t="s">
        <v>1253</v>
      </c>
      <c r="D6573" s="889">
        <v>46030</v>
      </c>
      <c r="E6573" s="890">
        <v>0.354375</v>
      </c>
      <c r="F6573" s="890">
        <v>0.7799652777777778</v>
      </c>
    </row>
    <row r="6574" spans="1:10">
      <c r="A6574" s="888" t="s">
        <v>5087</v>
      </c>
      <c r="B6574" s="888" t="s">
        <v>5088</v>
      </c>
      <c r="C6574" s="888" t="s">
        <v>2758</v>
      </c>
    </row>
    <row r="6575" spans="1:10">
      <c r="A6575" s="888">
        <v>321</v>
      </c>
      <c r="B6575" s="888" t="s">
        <v>1041</v>
      </c>
      <c r="C6575" s="888" t="s">
        <v>1253</v>
      </c>
      <c r="D6575" s="889">
        <v>46031</v>
      </c>
      <c r="E6575" s="890">
        <v>0.35443287037037036</v>
      </c>
      <c r="F6575" s="890">
        <v>0.76873842592592589</v>
      </c>
    </row>
    <row r="6576" spans="1:10">
      <c r="A6576" s="888" t="s">
        <v>5089</v>
      </c>
      <c r="B6576" s="888" t="s">
        <v>5090</v>
      </c>
      <c r="C6576" s="888" t="s">
        <v>2009</v>
      </c>
    </row>
    <row r="6577" spans="1:10">
      <c r="A6577" s="888">
        <v>321</v>
      </c>
      <c r="B6577" s="888" t="s">
        <v>1041</v>
      </c>
      <c r="C6577" s="888" t="s">
        <v>1253</v>
      </c>
      <c r="D6577" s="889">
        <v>46032</v>
      </c>
      <c r="E6577" s="888" t="s">
        <v>310</v>
      </c>
      <c r="F6577" s="888" t="s">
        <v>310</v>
      </c>
      <c r="G6577" s="891" t="s">
        <v>1039</v>
      </c>
      <c r="H6577" s="891" t="s">
        <v>1344</v>
      </c>
      <c r="I6577" s="891" t="s">
        <v>1039</v>
      </c>
      <c r="J6577" s="891" t="s">
        <v>1344</v>
      </c>
    </row>
    <row r="6578" spans="1:10">
      <c r="A6578" s="888">
        <v>321</v>
      </c>
      <c r="B6578" s="888" t="s">
        <v>1041</v>
      </c>
      <c r="C6578" s="888" t="s">
        <v>1253</v>
      </c>
      <c r="D6578" s="889">
        <v>46033</v>
      </c>
      <c r="E6578" s="888" t="s">
        <v>310</v>
      </c>
      <c r="F6578" s="888" t="s">
        <v>310</v>
      </c>
      <c r="G6578" s="891" t="s">
        <v>1039</v>
      </c>
      <c r="H6578" s="891" t="s">
        <v>1344</v>
      </c>
      <c r="I6578" s="891" t="s">
        <v>1039</v>
      </c>
      <c r="J6578" s="891" t="s">
        <v>1344</v>
      </c>
    </row>
    <row r="6579" spans="1:10">
      <c r="A6579" s="888">
        <v>321</v>
      </c>
      <c r="B6579" s="888" t="s">
        <v>1041</v>
      </c>
      <c r="C6579" s="888" t="s">
        <v>1253</v>
      </c>
      <c r="D6579" s="889">
        <v>46034</v>
      </c>
      <c r="E6579" s="890">
        <v>0.35443287037037036</v>
      </c>
      <c r="F6579" s="890">
        <v>0.75924768518518515</v>
      </c>
    </row>
    <row r="6580" spans="1:10">
      <c r="A6580" s="888" t="s">
        <v>5091</v>
      </c>
      <c r="B6580" s="888" t="s">
        <v>5092</v>
      </c>
      <c r="C6580" s="888" t="s">
        <v>1356</v>
      </c>
    </row>
    <row r="6581" spans="1:10">
      <c r="A6581" s="897">
        <v>321</v>
      </c>
      <c r="B6581" s="897" t="s">
        <v>1041</v>
      </c>
      <c r="C6581" s="897" t="s">
        <v>1253</v>
      </c>
      <c r="D6581" s="898">
        <v>46035</v>
      </c>
      <c r="E6581" s="900">
        <v>0.37928240740740743</v>
      </c>
      <c r="F6581" s="900">
        <v>0.68840277777777781</v>
      </c>
      <c r="G6581" s="899" t="s">
        <v>1039</v>
      </c>
      <c r="H6581" s="899" t="s">
        <v>1054</v>
      </c>
    </row>
    <row r="6582" spans="1:10">
      <c r="A6582" s="888" t="s">
        <v>5093</v>
      </c>
      <c r="B6582" s="888" t="s">
        <v>5094</v>
      </c>
      <c r="C6582" s="888" t="s">
        <v>5095</v>
      </c>
    </row>
    <row r="6583" spans="1:10">
      <c r="A6583" s="888">
        <v>321</v>
      </c>
      <c r="B6583" s="888" t="s">
        <v>1041</v>
      </c>
      <c r="C6583" s="888" t="s">
        <v>1253</v>
      </c>
      <c r="D6583" s="889">
        <v>46036</v>
      </c>
      <c r="E6583" s="890">
        <v>0.35703703703703704</v>
      </c>
      <c r="F6583" s="890">
        <v>0.76547453703703705</v>
      </c>
      <c r="G6583" s="891" t="s">
        <v>1039</v>
      </c>
      <c r="H6583" s="891" t="s">
        <v>1005</v>
      </c>
    </row>
    <row r="6584" spans="1:10">
      <c r="A6584" s="888" t="s">
        <v>5096</v>
      </c>
      <c r="B6584" s="888" t="s">
        <v>5097</v>
      </c>
      <c r="C6584" s="888" t="s">
        <v>2077</v>
      </c>
    </row>
    <row r="6585" spans="1:10">
      <c r="A6585" s="888">
        <v>321</v>
      </c>
      <c r="B6585" s="888" t="s">
        <v>1041</v>
      </c>
      <c r="C6585" s="888" t="s">
        <v>1253</v>
      </c>
      <c r="D6585" s="889">
        <v>46037</v>
      </c>
      <c r="E6585" s="890">
        <v>0.35396990740740741</v>
      </c>
      <c r="F6585" s="890">
        <v>0.84229166666666666</v>
      </c>
    </row>
    <row r="6586" spans="1:10">
      <c r="A6586" s="888" t="s">
        <v>5098</v>
      </c>
      <c r="B6586" s="888" t="s">
        <v>5099</v>
      </c>
      <c r="C6586" s="888" t="s">
        <v>5100</v>
      </c>
    </row>
    <row r="6587" spans="1:10">
      <c r="A6587" s="888">
        <v>321</v>
      </c>
      <c r="B6587" s="888" t="s">
        <v>1041</v>
      </c>
      <c r="C6587" s="888" t="s">
        <v>1253</v>
      </c>
      <c r="D6587" s="889">
        <v>46038</v>
      </c>
      <c r="E6587" s="890">
        <v>0.5022106481481482</v>
      </c>
      <c r="F6587" s="890">
        <v>0.92299768518518521</v>
      </c>
      <c r="G6587" s="891" t="s">
        <v>1039</v>
      </c>
      <c r="H6587" s="891" t="s">
        <v>1048</v>
      </c>
    </row>
    <row r="6588" spans="1:10">
      <c r="A6588" s="888" t="s">
        <v>5101</v>
      </c>
      <c r="B6588" s="888" t="s">
        <v>5102</v>
      </c>
      <c r="C6588" s="888" t="s">
        <v>1871</v>
      </c>
    </row>
    <row r="6589" spans="1:10">
      <c r="A6589" s="888">
        <v>321</v>
      </c>
      <c r="B6589" s="888" t="s">
        <v>1041</v>
      </c>
      <c r="C6589" s="888" t="s">
        <v>1253</v>
      </c>
      <c r="D6589" s="889">
        <v>46039</v>
      </c>
      <c r="E6589" s="888" t="s">
        <v>310</v>
      </c>
      <c r="F6589" s="888" t="s">
        <v>310</v>
      </c>
      <c r="G6589" s="891" t="s">
        <v>1039</v>
      </c>
      <c r="H6589" s="891" t="s">
        <v>1344</v>
      </c>
      <c r="I6589" s="891" t="s">
        <v>1039</v>
      </c>
      <c r="J6589" s="891" t="s">
        <v>1344</v>
      </c>
    </row>
    <row r="6590" spans="1:10">
      <c r="A6590" s="888">
        <v>321</v>
      </c>
      <c r="B6590" s="888" t="s">
        <v>1041</v>
      </c>
      <c r="C6590" s="888" t="s">
        <v>1253</v>
      </c>
      <c r="D6590" s="889">
        <v>46040</v>
      </c>
      <c r="E6590" s="888" t="s">
        <v>310</v>
      </c>
      <c r="F6590" s="888" t="s">
        <v>310</v>
      </c>
      <c r="G6590" s="891" t="s">
        <v>1039</v>
      </c>
      <c r="H6590" s="891" t="s">
        <v>1344</v>
      </c>
      <c r="I6590" s="891" t="s">
        <v>1039</v>
      </c>
      <c r="J6590" s="891" t="s">
        <v>1344</v>
      </c>
    </row>
    <row r="6591" spans="1:10">
      <c r="A6591" s="888">
        <v>321</v>
      </c>
      <c r="B6591" s="888" t="s">
        <v>1041</v>
      </c>
      <c r="C6591" s="888" t="s">
        <v>1253</v>
      </c>
      <c r="D6591" s="889">
        <v>46041</v>
      </c>
      <c r="E6591" s="890">
        <v>0.35466435185185186</v>
      </c>
      <c r="F6591" s="890">
        <v>0.76218750000000002</v>
      </c>
    </row>
    <row r="6592" spans="1:10">
      <c r="A6592" s="888" t="s">
        <v>5103</v>
      </c>
      <c r="B6592" s="888" t="s">
        <v>5104</v>
      </c>
      <c r="C6592" s="888" t="s">
        <v>1645</v>
      </c>
    </row>
    <row r="6593" spans="1:10">
      <c r="A6593" s="888">
        <v>321</v>
      </c>
      <c r="B6593" s="888" t="s">
        <v>1041</v>
      </c>
      <c r="C6593" s="888" t="s">
        <v>1253</v>
      </c>
      <c r="D6593" s="889">
        <v>46042</v>
      </c>
      <c r="E6593" s="890">
        <v>0.35479166666666667</v>
      </c>
      <c r="F6593" s="890">
        <v>0.7810300925925926</v>
      </c>
    </row>
    <row r="6594" spans="1:10">
      <c r="A6594" s="888" t="s">
        <v>5105</v>
      </c>
      <c r="B6594" s="888" t="s">
        <v>5106</v>
      </c>
      <c r="C6594" s="888" t="s">
        <v>2288</v>
      </c>
    </row>
    <row r="6595" spans="1:10">
      <c r="A6595" s="897">
        <v>321</v>
      </c>
      <c r="B6595" s="897" t="s">
        <v>1041</v>
      </c>
      <c r="C6595" s="897" t="s">
        <v>1253</v>
      </c>
      <c r="D6595" s="898">
        <v>46043</v>
      </c>
      <c r="E6595" s="900">
        <v>0.36103009259259261</v>
      </c>
      <c r="F6595" s="900">
        <v>0.81252314814814819</v>
      </c>
      <c r="G6595" s="899" t="s">
        <v>1039</v>
      </c>
      <c r="H6595" s="899" t="s">
        <v>1054</v>
      </c>
    </row>
    <row r="6596" spans="1:10">
      <c r="A6596" s="888" t="s">
        <v>5107</v>
      </c>
      <c r="B6596" s="888" t="s">
        <v>5108</v>
      </c>
      <c r="C6596" s="888" t="s">
        <v>4083</v>
      </c>
    </row>
    <row r="6597" spans="1:10">
      <c r="A6597" s="888">
        <v>321</v>
      </c>
      <c r="B6597" s="888" t="s">
        <v>1041</v>
      </c>
      <c r="C6597" s="888" t="s">
        <v>1253</v>
      </c>
      <c r="D6597" s="889">
        <v>46044</v>
      </c>
      <c r="E6597" s="890">
        <v>0.35424768518518518</v>
      </c>
      <c r="F6597" s="890">
        <v>0.7701041666666667</v>
      </c>
    </row>
    <row r="6598" spans="1:10">
      <c r="A6598" s="888" t="s">
        <v>5109</v>
      </c>
      <c r="B6598" s="888" t="s">
        <v>5110</v>
      </c>
      <c r="C6598" s="888" t="s">
        <v>1422</v>
      </c>
    </row>
    <row r="6599" spans="1:10">
      <c r="A6599" s="888">
        <v>321</v>
      </c>
      <c r="B6599" s="888" t="s">
        <v>1041</v>
      </c>
      <c r="C6599" s="888" t="s">
        <v>1253</v>
      </c>
      <c r="D6599" s="889">
        <v>46045</v>
      </c>
      <c r="E6599" s="890">
        <v>0.35484953703703703</v>
      </c>
      <c r="F6599" s="890">
        <v>0.77853009259259254</v>
      </c>
    </row>
    <row r="6600" spans="1:10">
      <c r="A6600" s="888" t="s">
        <v>5111</v>
      </c>
      <c r="B6600" s="888" t="s">
        <v>5112</v>
      </c>
      <c r="C6600" s="888" t="s">
        <v>1419</v>
      </c>
    </row>
    <row r="6601" spans="1:10">
      <c r="A6601" s="888">
        <v>321</v>
      </c>
      <c r="B6601" s="888" t="s">
        <v>1041</v>
      </c>
      <c r="C6601" s="888" t="s">
        <v>1253</v>
      </c>
      <c r="D6601" s="889">
        <v>46046</v>
      </c>
      <c r="E6601" s="888" t="s">
        <v>310</v>
      </c>
      <c r="F6601" s="888" t="s">
        <v>310</v>
      </c>
      <c r="G6601" s="891" t="s">
        <v>1039</v>
      </c>
      <c r="H6601" s="891" t="s">
        <v>1344</v>
      </c>
      <c r="I6601" s="891" t="s">
        <v>1039</v>
      </c>
      <c r="J6601" s="891" t="s">
        <v>1344</v>
      </c>
    </row>
    <row r="6602" spans="1:10">
      <c r="A6602" s="888">
        <v>321</v>
      </c>
      <c r="B6602" s="888" t="s">
        <v>1041</v>
      </c>
      <c r="C6602" s="888" t="s">
        <v>1253</v>
      </c>
      <c r="D6602" s="889">
        <v>46047</v>
      </c>
      <c r="E6602" s="888" t="s">
        <v>310</v>
      </c>
      <c r="F6602" s="888" t="s">
        <v>310</v>
      </c>
      <c r="G6602" s="891" t="s">
        <v>1039</v>
      </c>
      <c r="H6602" s="891" t="s">
        <v>1344</v>
      </c>
      <c r="I6602" s="891" t="s">
        <v>1039</v>
      </c>
      <c r="J6602" s="891" t="s">
        <v>1344</v>
      </c>
    </row>
    <row r="6603" spans="1:10">
      <c r="A6603" s="888">
        <v>321</v>
      </c>
      <c r="B6603" s="888" t="s">
        <v>1041</v>
      </c>
      <c r="C6603" s="888" t="s">
        <v>1253</v>
      </c>
      <c r="D6603" s="889">
        <v>46048</v>
      </c>
      <c r="E6603" s="890">
        <v>0.35340277777777779</v>
      </c>
      <c r="F6603" s="890">
        <v>0.76087962962962963</v>
      </c>
    </row>
    <row r="6604" spans="1:10">
      <c r="A6604" s="888" t="s">
        <v>5113</v>
      </c>
      <c r="B6604" s="888" t="s">
        <v>5114</v>
      </c>
      <c r="C6604" s="888" t="s">
        <v>1645</v>
      </c>
    </row>
    <row r="6605" spans="1:10">
      <c r="A6605" s="888">
        <v>321</v>
      </c>
      <c r="B6605" s="888" t="s">
        <v>1041</v>
      </c>
      <c r="C6605" s="888" t="s">
        <v>1253</v>
      </c>
      <c r="D6605" s="889">
        <v>46049</v>
      </c>
      <c r="E6605" s="890">
        <v>0.56518518518518523</v>
      </c>
      <c r="F6605" s="890">
        <v>0.77937500000000004</v>
      </c>
      <c r="G6605" s="891" t="s">
        <v>1039</v>
      </c>
      <c r="H6605" s="891" t="s">
        <v>5115</v>
      </c>
    </row>
    <row r="6606" spans="1:10">
      <c r="A6606" s="888" t="s">
        <v>5116</v>
      </c>
      <c r="B6606" s="888" t="s">
        <v>5117</v>
      </c>
      <c r="C6606" s="888" t="s">
        <v>5118</v>
      </c>
    </row>
    <row r="6607" spans="1:10">
      <c r="A6607" s="888">
        <v>321</v>
      </c>
      <c r="B6607" s="888" t="s">
        <v>1041</v>
      </c>
      <c r="C6607" s="888" t="s">
        <v>1253</v>
      </c>
      <c r="D6607" s="889">
        <v>46050</v>
      </c>
      <c r="E6607" s="890">
        <v>0.35421296296296295</v>
      </c>
      <c r="F6607" s="890">
        <v>0.75638888888888889</v>
      </c>
    </row>
    <row r="6608" spans="1:10">
      <c r="A6608" s="888" t="s">
        <v>5119</v>
      </c>
      <c r="B6608" s="888" t="s">
        <v>5120</v>
      </c>
      <c r="C6608" s="888" t="s">
        <v>1538</v>
      </c>
    </row>
    <row r="6609" spans="1:10">
      <c r="A6609" s="888">
        <v>321</v>
      </c>
      <c r="B6609" s="888" t="s">
        <v>1041</v>
      </c>
      <c r="C6609" s="888" t="s">
        <v>1253</v>
      </c>
      <c r="D6609" s="889">
        <v>46051</v>
      </c>
      <c r="E6609" s="890">
        <v>0.35540509259259262</v>
      </c>
      <c r="F6609" s="890">
        <v>0.76578703703703699</v>
      </c>
      <c r="G6609" s="891" t="s">
        <v>1039</v>
      </c>
      <c r="H6609" s="891" t="s">
        <v>5081</v>
      </c>
    </row>
    <row r="6610" spans="1:10">
      <c r="A6610" s="888" t="s">
        <v>5121</v>
      </c>
      <c r="B6610" s="888" t="s">
        <v>5122</v>
      </c>
      <c r="C6610" s="888" t="s">
        <v>2003</v>
      </c>
    </row>
    <row r="6611" spans="1:10">
      <c r="A6611" s="888">
        <v>321</v>
      </c>
      <c r="B6611" s="888" t="s">
        <v>1041</v>
      </c>
      <c r="C6611" s="888" t="s">
        <v>1253</v>
      </c>
      <c r="D6611" s="889">
        <v>46052</v>
      </c>
      <c r="E6611" s="890">
        <v>0.3548263888888889</v>
      </c>
      <c r="F6611" s="890">
        <v>0.7732175925925926</v>
      </c>
    </row>
    <row r="6612" spans="1:10">
      <c r="A6612" s="888" t="s">
        <v>5123</v>
      </c>
      <c r="B6612" s="888" t="s">
        <v>5124</v>
      </c>
      <c r="C6612" s="888" t="s">
        <v>1790</v>
      </c>
    </row>
    <row r="6613" spans="1:10">
      <c r="A6613" s="888">
        <v>321</v>
      </c>
      <c r="B6613" s="888" t="s">
        <v>1041</v>
      </c>
      <c r="C6613" s="888" t="s">
        <v>1253</v>
      </c>
      <c r="D6613" s="889">
        <v>46053</v>
      </c>
      <c r="E6613" s="888" t="s">
        <v>310</v>
      </c>
      <c r="F6613" s="888" t="s">
        <v>310</v>
      </c>
      <c r="G6613" s="891" t="s">
        <v>1039</v>
      </c>
      <c r="H6613" s="891" t="s">
        <v>1344</v>
      </c>
      <c r="I6613" s="891" t="s">
        <v>1039</v>
      </c>
      <c r="J6613" s="891" t="s">
        <v>1344</v>
      </c>
    </row>
    <row r="6614" spans="1:10">
      <c r="A6614" s="888">
        <v>322</v>
      </c>
      <c r="B6614" s="888" t="s">
        <v>1043</v>
      </c>
      <c r="C6614" s="888" t="s">
        <v>1253</v>
      </c>
      <c r="D6614" s="889">
        <v>46023</v>
      </c>
      <c r="E6614" s="888" t="s">
        <v>310</v>
      </c>
      <c r="F6614" s="888" t="s">
        <v>310</v>
      </c>
    </row>
    <row r="6615" spans="1:10">
      <c r="A6615" s="888">
        <v>322</v>
      </c>
      <c r="B6615" s="888" t="s">
        <v>1043</v>
      </c>
      <c r="C6615" s="888" t="s">
        <v>1253</v>
      </c>
      <c r="D6615" s="889">
        <v>46024</v>
      </c>
      <c r="E6615" s="888" t="s">
        <v>310</v>
      </c>
      <c r="F6615" s="888" t="s">
        <v>310</v>
      </c>
    </row>
    <row r="6616" spans="1:10">
      <c r="A6616" s="888">
        <v>322</v>
      </c>
      <c r="B6616" s="888" t="s">
        <v>1043</v>
      </c>
      <c r="C6616" s="888" t="s">
        <v>1253</v>
      </c>
      <c r="D6616" s="889">
        <v>46025</v>
      </c>
      <c r="E6616" s="888" t="s">
        <v>310</v>
      </c>
      <c r="F6616" s="888" t="s">
        <v>310</v>
      </c>
    </row>
    <row r="6617" spans="1:10">
      <c r="A6617" s="888">
        <v>322</v>
      </c>
      <c r="B6617" s="888" t="s">
        <v>1043</v>
      </c>
      <c r="C6617" s="888" t="s">
        <v>1253</v>
      </c>
      <c r="D6617" s="889">
        <v>46026</v>
      </c>
      <c r="E6617" s="888" t="s">
        <v>310</v>
      </c>
      <c r="F6617" s="888" t="s">
        <v>310</v>
      </c>
    </row>
    <row r="6618" spans="1:10">
      <c r="A6618" s="888">
        <v>322</v>
      </c>
      <c r="B6618" s="888" t="s">
        <v>1043</v>
      </c>
      <c r="C6618" s="888" t="s">
        <v>1253</v>
      </c>
      <c r="D6618" s="889">
        <v>46027</v>
      </c>
      <c r="E6618" s="888" t="s">
        <v>310</v>
      </c>
      <c r="F6618" s="888" t="s">
        <v>310</v>
      </c>
    </row>
    <row r="6619" spans="1:10">
      <c r="A6619" s="888">
        <v>322</v>
      </c>
      <c r="B6619" s="888" t="s">
        <v>1043</v>
      </c>
      <c r="C6619" s="888" t="s">
        <v>1253</v>
      </c>
      <c r="D6619" s="889">
        <v>46028</v>
      </c>
      <c r="E6619" s="890">
        <v>0.35237268518518516</v>
      </c>
      <c r="F6619" s="890">
        <v>0.76321759259259259</v>
      </c>
    </row>
    <row r="6620" spans="1:10">
      <c r="A6620" s="888" t="s">
        <v>5125</v>
      </c>
      <c r="B6620" s="888" t="s">
        <v>5126</v>
      </c>
      <c r="C6620" s="888" t="s">
        <v>1613</v>
      </c>
    </row>
    <row r="6621" spans="1:10">
      <c r="A6621" s="888">
        <v>322</v>
      </c>
      <c r="B6621" s="888" t="s">
        <v>1043</v>
      </c>
      <c r="C6621" s="888" t="s">
        <v>1253</v>
      </c>
      <c r="D6621" s="889">
        <v>46029</v>
      </c>
      <c r="E6621" s="890">
        <v>0.34893518518518518</v>
      </c>
      <c r="F6621" s="890">
        <v>0.76276620370370374</v>
      </c>
    </row>
    <row r="6622" spans="1:10">
      <c r="A6622" s="888" t="s">
        <v>5127</v>
      </c>
      <c r="B6622" s="888" t="s">
        <v>5128</v>
      </c>
      <c r="C6622" s="888" t="s">
        <v>1407</v>
      </c>
    </row>
    <row r="6623" spans="1:10">
      <c r="A6623" s="888">
        <v>322</v>
      </c>
      <c r="B6623" s="888" t="s">
        <v>1043</v>
      </c>
      <c r="C6623" s="888" t="s">
        <v>1253</v>
      </c>
      <c r="D6623" s="889">
        <v>46030</v>
      </c>
      <c r="E6623" s="890">
        <v>0.34827546296296297</v>
      </c>
      <c r="F6623" s="890">
        <v>0.75962962962962965</v>
      </c>
    </row>
    <row r="6624" spans="1:10">
      <c r="A6624" s="888" t="s">
        <v>5129</v>
      </c>
      <c r="B6624" s="888" t="s">
        <v>5130</v>
      </c>
      <c r="C6624" s="888" t="s">
        <v>1613</v>
      </c>
    </row>
    <row r="6625" spans="1:6">
      <c r="A6625" s="888">
        <v>322</v>
      </c>
      <c r="B6625" s="888" t="s">
        <v>1043</v>
      </c>
      <c r="C6625" s="888" t="s">
        <v>1253</v>
      </c>
      <c r="D6625" s="889">
        <v>46031</v>
      </c>
      <c r="E6625" s="890">
        <v>0.35321759259259261</v>
      </c>
      <c r="F6625" s="890">
        <v>0.76473379629629634</v>
      </c>
    </row>
    <row r="6626" spans="1:6">
      <c r="A6626" s="888" t="s">
        <v>5131</v>
      </c>
      <c r="B6626" s="888" t="s">
        <v>5132</v>
      </c>
      <c r="C6626" s="888" t="s">
        <v>1369</v>
      </c>
    </row>
    <row r="6627" spans="1:6">
      <c r="A6627" s="888">
        <v>322</v>
      </c>
      <c r="B6627" s="888" t="s">
        <v>1043</v>
      </c>
      <c r="C6627" s="888" t="s">
        <v>1253</v>
      </c>
      <c r="D6627" s="889">
        <v>46032</v>
      </c>
      <c r="E6627" s="888" t="s">
        <v>310</v>
      </c>
      <c r="F6627" s="888" t="s">
        <v>310</v>
      </c>
    </row>
    <row r="6628" spans="1:6">
      <c r="A6628" s="888">
        <v>322</v>
      </c>
      <c r="B6628" s="888" t="s">
        <v>1043</v>
      </c>
      <c r="C6628" s="888" t="s">
        <v>1253</v>
      </c>
      <c r="D6628" s="889">
        <v>46033</v>
      </c>
      <c r="E6628" s="888" t="s">
        <v>310</v>
      </c>
      <c r="F6628" s="888" t="s">
        <v>310</v>
      </c>
    </row>
    <row r="6629" spans="1:6">
      <c r="A6629" s="888">
        <v>322</v>
      </c>
      <c r="B6629" s="888" t="s">
        <v>1043</v>
      </c>
      <c r="C6629" s="888" t="s">
        <v>1253</v>
      </c>
      <c r="D6629" s="889">
        <v>46034</v>
      </c>
      <c r="E6629" s="890">
        <v>0.34785879629629629</v>
      </c>
      <c r="F6629" s="890">
        <v>0.76361111111111113</v>
      </c>
    </row>
    <row r="6630" spans="1:6">
      <c r="A6630" s="888" t="s">
        <v>5133</v>
      </c>
      <c r="B6630" s="888" t="s">
        <v>5134</v>
      </c>
      <c r="C6630" s="888" t="s">
        <v>1422</v>
      </c>
    </row>
    <row r="6631" spans="1:6">
      <c r="A6631" s="888">
        <v>322</v>
      </c>
      <c r="B6631" s="888" t="s">
        <v>1043</v>
      </c>
      <c r="C6631" s="888" t="s">
        <v>1253</v>
      </c>
      <c r="D6631" s="889">
        <v>46035</v>
      </c>
      <c r="E6631" s="890">
        <v>0.3503472222222222</v>
      </c>
      <c r="F6631" s="890">
        <v>0.35045138888888888</v>
      </c>
    </row>
    <row r="6632" spans="1:6">
      <c r="A6632" s="888" t="s">
        <v>5135</v>
      </c>
      <c r="B6632" s="888" t="s">
        <v>5136</v>
      </c>
      <c r="C6632" s="888" t="s">
        <v>1259</v>
      </c>
    </row>
    <row r="6633" spans="1:6">
      <c r="A6633" s="888">
        <v>322</v>
      </c>
      <c r="B6633" s="888" t="s">
        <v>1043</v>
      </c>
      <c r="C6633" s="888" t="s">
        <v>1253</v>
      </c>
      <c r="D6633" s="889">
        <v>46036</v>
      </c>
      <c r="E6633" s="890">
        <v>0.3489814814814815</v>
      </c>
      <c r="F6633" s="890">
        <v>0.76906249999999998</v>
      </c>
    </row>
    <row r="6634" spans="1:6">
      <c r="A6634" s="888" t="s">
        <v>5137</v>
      </c>
      <c r="B6634" s="888" t="s">
        <v>5138</v>
      </c>
      <c r="C6634" s="888" t="s">
        <v>2639</v>
      </c>
    </row>
    <row r="6635" spans="1:6">
      <c r="A6635" s="888">
        <v>322</v>
      </c>
      <c r="B6635" s="888" t="s">
        <v>1043</v>
      </c>
      <c r="C6635" s="888" t="s">
        <v>1253</v>
      </c>
      <c r="D6635" s="889">
        <v>46037</v>
      </c>
      <c r="E6635" s="890">
        <v>0.34923611111111114</v>
      </c>
      <c r="F6635" s="890">
        <v>0.76093750000000004</v>
      </c>
    </row>
    <row r="6636" spans="1:6">
      <c r="A6636" s="888" t="s">
        <v>5139</v>
      </c>
      <c r="B6636" s="888" t="s">
        <v>5140</v>
      </c>
      <c r="C6636" s="888" t="s">
        <v>1369</v>
      </c>
    </row>
    <row r="6637" spans="1:6">
      <c r="A6637" s="888">
        <v>322</v>
      </c>
      <c r="B6637" s="888" t="s">
        <v>1043</v>
      </c>
      <c r="C6637" s="888" t="s">
        <v>1253</v>
      </c>
      <c r="D6637" s="889">
        <v>46038</v>
      </c>
      <c r="E6637" s="890">
        <v>0.3508101851851852</v>
      </c>
      <c r="F6637" s="890">
        <v>0.76265046296296302</v>
      </c>
    </row>
    <row r="6638" spans="1:6">
      <c r="A6638" s="888" t="s">
        <v>5141</v>
      </c>
      <c r="B6638" s="888" t="s">
        <v>5142</v>
      </c>
      <c r="C6638" s="888" t="s">
        <v>1369</v>
      </c>
    </row>
    <row r="6639" spans="1:6">
      <c r="A6639" s="888">
        <v>322</v>
      </c>
      <c r="B6639" s="888" t="s">
        <v>1043</v>
      </c>
      <c r="C6639" s="888" t="s">
        <v>1253</v>
      </c>
      <c r="D6639" s="889">
        <v>46039</v>
      </c>
      <c r="E6639" s="888" t="s">
        <v>310</v>
      </c>
      <c r="F6639" s="888" t="s">
        <v>310</v>
      </c>
    </row>
    <row r="6640" spans="1:6">
      <c r="A6640" s="888">
        <v>322</v>
      </c>
      <c r="B6640" s="888" t="s">
        <v>1043</v>
      </c>
      <c r="C6640" s="888" t="s">
        <v>1253</v>
      </c>
      <c r="D6640" s="889">
        <v>46040</v>
      </c>
      <c r="E6640" s="888" t="s">
        <v>310</v>
      </c>
      <c r="F6640" s="888" t="s">
        <v>310</v>
      </c>
    </row>
    <row r="6641" spans="1:6">
      <c r="A6641" s="888">
        <v>322</v>
      </c>
      <c r="B6641" s="888" t="s">
        <v>1043</v>
      </c>
      <c r="C6641" s="888" t="s">
        <v>1253</v>
      </c>
      <c r="D6641" s="889">
        <v>46041</v>
      </c>
      <c r="E6641" s="890">
        <v>0.3454861111111111</v>
      </c>
      <c r="F6641" s="890">
        <v>0.76949074074074075</v>
      </c>
    </row>
    <row r="6642" spans="1:6">
      <c r="A6642" s="888" t="s">
        <v>5143</v>
      </c>
      <c r="B6642" s="888" t="s">
        <v>5144</v>
      </c>
      <c r="C6642" s="888" t="s">
        <v>1393</v>
      </c>
    </row>
    <row r="6643" spans="1:6">
      <c r="A6643" s="888">
        <v>322</v>
      </c>
      <c r="B6643" s="888" t="s">
        <v>1043</v>
      </c>
      <c r="C6643" s="888" t="s">
        <v>1253</v>
      </c>
      <c r="D6643" s="889">
        <v>46042</v>
      </c>
      <c r="E6643" s="890">
        <v>0.354375</v>
      </c>
      <c r="F6643" s="890">
        <v>0.76086805555555559</v>
      </c>
    </row>
    <row r="6644" spans="1:6">
      <c r="A6644" s="888" t="s">
        <v>5145</v>
      </c>
      <c r="B6644" s="888" t="s">
        <v>5146</v>
      </c>
      <c r="C6644" s="888" t="s">
        <v>1375</v>
      </c>
    </row>
    <row r="6645" spans="1:6">
      <c r="A6645" s="888">
        <v>322</v>
      </c>
      <c r="B6645" s="888" t="s">
        <v>1043</v>
      </c>
      <c r="C6645" s="888" t="s">
        <v>1253</v>
      </c>
      <c r="D6645" s="889">
        <v>46043</v>
      </c>
      <c r="E6645" s="890">
        <v>0.35570601851851852</v>
      </c>
      <c r="F6645" s="890">
        <v>0.76157407407407407</v>
      </c>
    </row>
    <row r="6646" spans="1:6">
      <c r="A6646" s="888" t="s">
        <v>5147</v>
      </c>
      <c r="B6646" s="888" t="s">
        <v>5148</v>
      </c>
      <c r="C6646" s="888" t="s">
        <v>2340</v>
      </c>
    </row>
    <row r="6647" spans="1:6">
      <c r="A6647" s="888">
        <v>322</v>
      </c>
      <c r="B6647" s="888" t="s">
        <v>1043</v>
      </c>
      <c r="C6647" s="888" t="s">
        <v>1253</v>
      </c>
      <c r="D6647" s="889">
        <v>46044</v>
      </c>
      <c r="E6647" s="890">
        <v>0.35299768518518521</v>
      </c>
      <c r="F6647" s="890">
        <v>0.76626157407407403</v>
      </c>
    </row>
    <row r="6648" spans="1:6">
      <c r="A6648" s="888" t="s">
        <v>5149</v>
      </c>
      <c r="B6648" s="888" t="s">
        <v>5150</v>
      </c>
      <c r="C6648" s="888" t="s">
        <v>1360</v>
      </c>
    </row>
    <row r="6649" spans="1:6">
      <c r="A6649" s="888">
        <v>322</v>
      </c>
      <c r="B6649" s="888" t="s">
        <v>1043</v>
      </c>
      <c r="C6649" s="888" t="s">
        <v>1253</v>
      </c>
      <c r="D6649" s="889">
        <v>46045</v>
      </c>
      <c r="E6649" s="890">
        <v>0.3513425925925926</v>
      </c>
      <c r="F6649" s="890">
        <v>0.76909722222222221</v>
      </c>
    </row>
    <row r="6650" spans="1:6">
      <c r="A6650" s="888" t="s">
        <v>5151</v>
      </c>
      <c r="B6650" s="888" t="s">
        <v>5152</v>
      </c>
      <c r="C6650" s="888" t="s">
        <v>1790</v>
      </c>
    </row>
    <row r="6651" spans="1:6">
      <c r="A6651" s="888">
        <v>322</v>
      </c>
      <c r="B6651" s="888" t="s">
        <v>1043</v>
      </c>
      <c r="C6651" s="888" t="s">
        <v>1253</v>
      </c>
      <c r="D6651" s="889">
        <v>46046</v>
      </c>
      <c r="E6651" s="888" t="s">
        <v>310</v>
      </c>
      <c r="F6651" s="888" t="s">
        <v>310</v>
      </c>
    </row>
    <row r="6652" spans="1:6">
      <c r="A6652" s="888">
        <v>322</v>
      </c>
      <c r="B6652" s="888" t="s">
        <v>1043</v>
      </c>
      <c r="C6652" s="888" t="s">
        <v>1253</v>
      </c>
      <c r="D6652" s="889">
        <v>46047</v>
      </c>
      <c r="E6652" s="888" t="s">
        <v>310</v>
      </c>
      <c r="F6652" s="888" t="s">
        <v>310</v>
      </c>
    </row>
    <row r="6653" spans="1:6">
      <c r="A6653" s="888">
        <v>322</v>
      </c>
      <c r="B6653" s="888" t="s">
        <v>1043</v>
      </c>
      <c r="C6653" s="888" t="s">
        <v>1253</v>
      </c>
      <c r="D6653" s="889">
        <v>46048</v>
      </c>
      <c r="E6653" s="890">
        <v>0.35398148148148151</v>
      </c>
      <c r="F6653" s="890">
        <v>0.76741898148148147</v>
      </c>
    </row>
    <row r="6654" spans="1:6">
      <c r="A6654" s="888" t="s">
        <v>5153</v>
      </c>
      <c r="B6654" s="888" t="s">
        <v>5154</v>
      </c>
      <c r="C6654" s="888" t="s">
        <v>1360</v>
      </c>
    </row>
    <row r="6655" spans="1:6">
      <c r="A6655" s="888">
        <v>322</v>
      </c>
      <c r="B6655" s="888" t="s">
        <v>1043</v>
      </c>
      <c r="C6655" s="888" t="s">
        <v>1253</v>
      </c>
      <c r="D6655" s="889">
        <v>46049</v>
      </c>
      <c r="E6655" s="890">
        <v>0.3525462962962963</v>
      </c>
      <c r="F6655" s="890">
        <v>0.77972222222222221</v>
      </c>
    </row>
    <row r="6656" spans="1:6">
      <c r="A6656" s="888" t="s">
        <v>5155</v>
      </c>
      <c r="B6656" s="888" t="s">
        <v>5156</v>
      </c>
      <c r="C6656" s="888" t="s">
        <v>1425</v>
      </c>
    </row>
    <row r="6657" spans="1:6">
      <c r="A6657" s="888">
        <v>322</v>
      </c>
      <c r="B6657" s="888" t="s">
        <v>1043</v>
      </c>
      <c r="C6657" s="888" t="s">
        <v>1253</v>
      </c>
      <c r="D6657" s="889">
        <v>46050</v>
      </c>
      <c r="E6657" s="890">
        <v>0.34925925925925927</v>
      </c>
      <c r="F6657" s="890">
        <v>0.76461805555555551</v>
      </c>
    </row>
    <row r="6658" spans="1:6">
      <c r="A6658" s="888" t="s">
        <v>5157</v>
      </c>
      <c r="B6658" s="888" t="s">
        <v>5158</v>
      </c>
      <c r="C6658" s="888" t="s">
        <v>1879</v>
      </c>
    </row>
    <row r="6659" spans="1:6">
      <c r="A6659" s="888">
        <v>322</v>
      </c>
      <c r="B6659" s="888" t="s">
        <v>1043</v>
      </c>
      <c r="C6659" s="888" t="s">
        <v>1253</v>
      </c>
      <c r="D6659" s="889">
        <v>46051</v>
      </c>
      <c r="E6659" s="890">
        <v>0.35112268518518519</v>
      </c>
      <c r="F6659" s="890">
        <v>0.78153935185185186</v>
      </c>
    </row>
    <row r="6660" spans="1:6">
      <c r="A6660" s="888" t="s">
        <v>5159</v>
      </c>
      <c r="B6660" s="888" t="s">
        <v>5160</v>
      </c>
      <c r="C6660" s="888" t="s">
        <v>3007</v>
      </c>
    </row>
    <row r="6661" spans="1:6">
      <c r="A6661" s="888">
        <v>322</v>
      </c>
      <c r="B6661" s="888" t="s">
        <v>1043</v>
      </c>
      <c r="C6661" s="888" t="s">
        <v>1253</v>
      </c>
      <c r="D6661" s="889">
        <v>46052</v>
      </c>
      <c r="E6661" s="890">
        <v>0.35234953703703703</v>
      </c>
      <c r="F6661" s="890">
        <v>0.76074074074074072</v>
      </c>
    </row>
    <row r="6662" spans="1:6">
      <c r="A6662" s="888" t="s">
        <v>5161</v>
      </c>
      <c r="B6662" s="888" t="s">
        <v>5162</v>
      </c>
      <c r="C6662" s="888" t="s">
        <v>2077</v>
      </c>
    </row>
    <row r="6663" spans="1:6">
      <c r="A6663" s="888">
        <v>322</v>
      </c>
      <c r="B6663" s="888" t="s">
        <v>1043</v>
      </c>
      <c r="C6663" s="888" t="s">
        <v>1253</v>
      </c>
      <c r="D6663" s="889">
        <v>46053</v>
      </c>
      <c r="E6663" s="888" t="s">
        <v>310</v>
      </c>
      <c r="F6663" s="888" t="s">
        <v>310</v>
      </c>
    </row>
    <row r="6664" spans="1:6">
      <c r="A6664" s="888">
        <v>322</v>
      </c>
      <c r="B6664" s="888" t="s">
        <v>1043</v>
      </c>
      <c r="C6664" s="888" t="s">
        <v>1253</v>
      </c>
      <c r="D6664" s="889">
        <v>46054</v>
      </c>
      <c r="E6664" s="888" t="s">
        <v>310</v>
      </c>
      <c r="F6664" s="888" t="s">
        <v>310</v>
      </c>
    </row>
    <row r="6665" spans="1:6">
      <c r="A6665" s="888">
        <v>323</v>
      </c>
      <c r="B6665" s="888" t="s">
        <v>5163</v>
      </c>
      <c r="C6665" s="888" t="s">
        <v>1253</v>
      </c>
      <c r="D6665" s="889">
        <v>46023</v>
      </c>
      <c r="E6665" s="888" t="s">
        <v>310</v>
      </c>
      <c r="F6665" s="888" t="s">
        <v>310</v>
      </c>
    </row>
    <row r="6666" spans="1:6">
      <c r="A6666" s="888">
        <v>323</v>
      </c>
      <c r="B6666" s="888" t="s">
        <v>5163</v>
      </c>
      <c r="C6666" s="888" t="s">
        <v>1253</v>
      </c>
      <c r="D6666" s="889">
        <v>46024</v>
      </c>
      <c r="E6666" s="888" t="s">
        <v>310</v>
      </c>
      <c r="F6666" s="888" t="s">
        <v>310</v>
      </c>
    </row>
    <row r="6667" spans="1:6">
      <c r="A6667" s="888">
        <v>323</v>
      </c>
      <c r="B6667" s="888" t="s">
        <v>5163</v>
      </c>
      <c r="C6667" s="888" t="s">
        <v>1253</v>
      </c>
      <c r="D6667" s="889">
        <v>46025</v>
      </c>
      <c r="E6667" s="888" t="s">
        <v>310</v>
      </c>
      <c r="F6667" s="888" t="s">
        <v>310</v>
      </c>
    </row>
    <row r="6668" spans="1:6">
      <c r="A6668" s="888">
        <v>323</v>
      </c>
      <c r="B6668" s="888" t="s">
        <v>5163</v>
      </c>
      <c r="C6668" s="888" t="s">
        <v>1253</v>
      </c>
      <c r="D6668" s="889">
        <v>46026</v>
      </c>
      <c r="E6668" s="888" t="s">
        <v>310</v>
      </c>
      <c r="F6668" s="888" t="s">
        <v>310</v>
      </c>
    </row>
    <row r="6669" spans="1:6">
      <c r="A6669" s="888">
        <v>323</v>
      </c>
      <c r="B6669" s="888" t="s">
        <v>5163</v>
      </c>
      <c r="C6669" s="888" t="s">
        <v>1253</v>
      </c>
      <c r="D6669" s="889">
        <v>46027</v>
      </c>
      <c r="E6669" s="888" t="s">
        <v>310</v>
      </c>
      <c r="F6669" s="888" t="s">
        <v>310</v>
      </c>
    </row>
    <row r="6670" spans="1:6">
      <c r="A6670" s="888">
        <v>323</v>
      </c>
      <c r="B6670" s="888" t="s">
        <v>5163</v>
      </c>
      <c r="C6670" s="888" t="s">
        <v>1253</v>
      </c>
      <c r="D6670" s="889">
        <v>46028</v>
      </c>
      <c r="E6670" s="888" t="s">
        <v>310</v>
      </c>
      <c r="F6670" s="888" t="s">
        <v>310</v>
      </c>
    </row>
    <row r="6671" spans="1:6">
      <c r="A6671" s="888">
        <v>323</v>
      </c>
      <c r="B6671" s="888" t="s">
        <v>5163</v>
      </c>
      <c r="C6671" s="888" t="s">
        <v>1253</v>
      </c>
      <c r="D6671" s="889">
        <v>46029</v>
      </c>
      <c r="E6671" s="888" t="s">
        <v>310</v>
      </c>
      <c r="F6671" s="888" t="s">
        <v>310</v>
      </c>
    </row>
    <row r="6672" spans="1:6">
      <c r="A6672" s="888">
        <v>323</v>
      </c>
      <c r="B6672" s="888" t="s">
        <v>5163</v>
      </c>
      <c r="C6672" s="888" t="s">
        <v>1253</v>
      </c>
      <c r="D6672" s="889">
        <v>46030</v>
      </c>
      <c r="E6672" s="888" t="s">
        <v>310</v>
      </c>
      <c r="F6672" s="888" t="s">
        <v>310</v>
      </c>
    </row>
    <row r="6673" spans="1:6">
      <c r="A6673" s="888">
        <v>323</v>
      </c>
      <c r="B6673" s="888" t="s">
        <v>5163</v>
      </c>
      <c r="C6673" s="888" t="s">
        <v>1253</v>
      </c>
      <c r="D6673" s="889">
        <v>46031</v>
      </c>
      <c r="E6673" s="888" t="s">
        <v>310</v>
      </c>
      <c r="F6673" s="888" t="s">
        <v>310</v>
      </c>
    </row>
    <row r="6674" spans="1:6">
      <c r="A6674" s="888">
        <v>323</v>
      </c>
      <c r="B6674" s="888" t="s">
        <v>5163</v>
      </c>
      <c r="C6674" s="888" t="s">
        <v>1253</v>
      </c>
      <c r="D6674" s="889">
        <v>46032</v>
      </c>
      <c r="E6674" s="888" t="s">
        <v>310</v>
      </c>
      <c r="F6674" s="888" t="s">
        <v>310</v>
      </c>
    </row>
    <row r="6675" spans="1:6">
      <c r="A6675" s="888">
        <v>323</v>
      </c>
      <c r="B6675" s="888" t="s">
        <v>5163</v>
      </c>
      <c r="C6675" s="888" t="s">
        <v>1253</v>
      </c>
      <c r="D6675" s="889">
        <v>46033</v>
      </c>
      <c r="E6675" s="888" t="s">
        <v>310</v>
      </c>
      <c r="F6675" s="888" t="s">
        <v>310</v>
      </c>
    </row>
    <row r="6676" spans="1:6">
      <c r="A6676" s="888">
        <v>323</v>
      </c>
      <c r="B6676" s="888" t="s">
        <v>5163</v>
      </c>
      <c r="C6676" s="888" t="s">
        <v>1253</v>
      </c>
      <c r="D6676" s="889">
        <v>46034</v>
      </c>
      <c r="E6676" s="888" t="s">
        <v>310</v>
      </c>
      <c r="F6676" s="888" t="s">
        <v>310</v>
      </c>
    </row>
    <row r="6677" spans="1:6">
      <c r="A6677" s="888">
        <v>323</v>
      </c>
      <c r="B6677" s="888" t="s">
        <v>5163</v>
      </c>
      <c r="C6677" s="888" t="s">
        <v>1253</v>
      </c>
      <c r="D6677" s="889">
        <v>46035</v>
      </c>
      <c r="E6677" s="888" t="s">
        <v>310</v>
      </c>
      <c r="F6677" s="888" t="s">
        <v>310</v>
      </c>
    </row>
    <row r="6678" spans="1:6">
      <c r="A6678" s="888">
        <v>323</v>
      </c>
      <c r="B6678" s="888" t="s">
        <v>5163</v>
      </c>
      <c r="C6678" s="888" t="s">
        <v>1253</v>
      </c>
      <c r="D6678" s="889">
        <v>46036</v>
      </c>
      <c r="E6678" s="888" t="s">
        <v>310</v>
      </c>
      <c r="F6678" s="888" t="s">
        <v>310</v>
      </c>
    </row>
    <row r="6679" spans="1:6">
      <c r="A6679" s="888">
        <v>323</v>
      </c>
      <c r="B6679" s="888" t="s">
        <v>5163</v>
      </c>
      <c r="C6679" s="888" t="s">
        <v>1253</v>
      </c>
      <c r="D6679" s="889">
        <v>46037</v>
      </c>
      <c r="E6679" s="888" t="s">
        <v>310</v>
      </c>
      <c r="F6679" s="888" t="s">
        <v>310</v>
      </c>
    </row>
    <row r="6680" spans="1:6">
      <c r="A6680" s="888">
        <v>323</v>
      </c>
      <c r="B6680" s="888" t="s">
        <v>5163</v>
      </c>
      <c r="C6680" s="888" t="s">
        <v>1253</v>
      </c>
      <c r="D6680" s="889">
        <v>46038</v>
      </c>
      <c r="E6680" s="888" t="s">
        <v>310</v>
      </c>
      <c r="F6680" s="888" t="s">
        <v>310</v>
      </c>
    </row>
    <row r="6681" spans="1:6">
      <c r="A6681" s="888">
        <v>323</v>
      </c>
      <c r="B6681" s="888" t="s">
        <v>5163</v>
      </c>
      <c r="C6681" s="888" t="s">
        <v>1253</v>
      </c>
      <c r="D6681" s="889">
        <v>46039</v>
      </c>
      <c r="E6681" s="888" t="s">
        <v>310</v>
      </c>
      <c r="F6681" s="888" t="s">
        <v>310</v>
      </c>
    </row>
    <row r="6682" spans="1:6">
      <c r="A6682" s="888">
        <v>323</v>
      </c>
      <c r="B6682" s="888" t="s">
        <v>5163</v>
      </c>
      <c r="C6682" s="888" t="s">
        <v>1253</v>
      </c>
      <c r="D6682" s="889">
        <v>46040</v>
      </c>
      <c r="E6682" s="888" t="s">
        <v>310</v>
      </c>
      <c r="F6682" s="888" t="s">
        <v>310</v>
      </c>
    </row>
    <row r="6683" spans="1:6">
      <c r="A6683" s="888">
        <v>323</v>
      </c>
      <c r="B6683" s="888" t="s">
        <v>5163</v>
      </c>
      <c r="C6683" s="888" t="s">
        <v>1253</v>
      </c>
      <c r="D6683" s="889">
        <v>46041</v>
      </c>
      <c r="E6683" s="888" t="s">
        <v>310</v>
      </c>
      <c r="F6683" s="888" t="s">
        <v>310</v>
      </c>
    </row>
    <row r="6684" spans="1:6">
      <c r="A6684" s="888">
        <v>323</v>
      </c>
      <c r="B6684" s="888" t="s">
        <v>5163</v>
      </c>
      <c r="C6684" s="888" t="s">
        <v>1253</v>
      </c>
      <c r="D6684" s="889">
        <v>46042</v>
      </c>
      <c r="E6684" s="888" t="s">
        <v>310</v>
      </c>
      <c r="F6684" s="888" t="s">
        <v>310</v>
      </c>
    </row>
    <row r="6685" spans="1:6">
      <c r="A6685" s="888">
        <v>323</v>
      </c>
      <c r="B6685" s="888" t="s">
        <v>5163</v>
      </c>
      <c r="C6685" s="888" t="s">
        <v>1253</v>
      </c>
      <c r="D6685" s="889">
        <v>46043</v>
      </c>
      <c r="E6685" s="888" t="s">
        <v>310</v>
      </c>
      <c r="F6685" s="888" t="s">
        <v>310</v>
      </c>
    </row>
    <row r="6686" spans="1:6">
      <c r="A6686" s="888">
        <v>323</v>
      </c>
      <c r="B6686" s="888" t="s">
        <v>5163</v>
      </c>
      <c r="C6686" s="888" t="s">
        <v>1253</v>
      </c>
      <c r="D6686" s="889">
        <v>46044</v>
      </c>
      <c r="E6686" s="888" t="s">
        <v>310</v>
      </c>
      <c r="F6686" s="888" t="s">
        <v>310</v>
      </c>
    </row>
    <row r="6687" spans="1:6">
      <c r="A6687" s="888">
        <v>323</v>
      </c>
      <c r="B6687" s="888" t="s">
        <v>5163</v>
      </c>
      <c r="C6687" s="888" t="s">
        <v>1253</v>
      </c>
      <c r="D6687" s="889">
        <v>46045</v>
      </c>
      <c r="E6687" s="888" t="s">
        <v>310</v>
      </c>
      <c r="F6687" s="888" t="s">
        <v>310</v>
      </c>
    </row>
    <row r="6688" spans="1:6">
      <c r="A6688" s="888">
        <v>323</v>
      </c>
      <c r="B6688" s="888" t="s">
        <v>5163</v>
      </c>
      <c r="C6688" s="888" t="s">
        <v>1253</v>
      </c>
      <c r="D6688" s="889">
        <v>46046</v>
      </c>
      <c r="E6688" s="888" t="s">
        <v>310</v>
      </c>
      <c r="F6688" s="888" t="s">
        <v>310</v>
      </c>
    </row>
    <row r="6689" spans="1:11">
      <c r="A6689" s="888">
        <v>323</v>
      </c>
      <c r="B6689" s="888" t="s">
        <v>5163</v>
      </c>
      <c r="C6689" s="888" t="s">
        <v>1253</v>
      </c>
      <c r="D6689" s="889">
        <v>46047</v>
      </c>
      <c r="E6689" s="888" t="s">
        <v>310</v>
      </c>
      <c r="F6689" s="888" t="s">
        <v>310</v>
      </c>
    </row>
    <row r="6690" spans="1:11">
      <c r="A6690" s="888">
        <v>323</v>
      </c>
      <c r="B6690" s="888" t="s">
        <v>5163</v>
      </c>
      <c r="C6690" s="888" t="s">
        <v>1253</v>
      </c>
      <c r="D6690" s="889">
        <v>46048</v>
      </c>
      <c r="E6690" s="888" t="s">
        <v>310</v>
      </c>
      <c r="F6690" s="888" t="s">
        <v>310</v>
      </c>
    </row>
    <row r="6691" spans="1:11">
      <c r="A6691" s="888">
        <v>323</v>
      </c>
      <c r="B6691" s="888" t="s">
        <v>5163</v>
      </c>
      <c r="C6691" s="888" t="s">
        <v>1253</v>
      </c>
      <c r="D6691" s="889">
        <v>46049</v>
      </c>
      <c r="E6691" s="888" t="s">
        <v>310</v>
      </c>
      <c r="F6691" s="888" t="s">
        <v>310</v>
      </c>
    </row>
    <row r="6692" spans="1:11">
      <c r="A6692" s="888">
        <v>323</v>
      </c>
      <c r="B6692" s="888" t="s">
        <v>5163</v>
      </c>
      <c r="C6692" s="888" t="s">
        <v>1253</v>
      </c>
      <c r="D6692" s="889">
        <v>46050</v>
      </c>
      <c r="E6692" s="888" t="s">
        <v>310</v>
      </c>
      <c r="F6692" s="888" t="s">
        <v>310</v>
      </c>
    </row>
    <row r="6693" spans="1:11">
      <c r="A6693" s="888">
        <v>323</v>
      </c>
      <c r="B6693" s="888" t="s">
        <v>5163</v>
      </c>
      <c r="C6693" s="888" t="s">
        <v>1253</v>
      </c>
      <c r="D6693" s="889">
        <v>46051</v>
      </c>
      <c r="E6693" s="888" t="s">
        <v>310</v>
      </c>
      <c r="F6693" s="888" t="s">
        <v>310</v>
      </c>
    </row>
    <row r="6694" spans="1:11">
      <c r="A6694" s="888">
        <v>323</v>
      </c>
      <c r="B6694" s="888" t="s">
        <v>5163</v>
      </c>
      <c r="C6694" s="888" t="s">
        <v>1253</v>
      </c>
      <c r="D6694" s="889">
        <v>46052</v>
      </c>
      <c r="E6694" s="888" t="s">
        <v>310</v>
      </c>
      <c r="F6694" s="888" t="s">
        <v>310</v>
      </c>
    </row>
    <row r="6695" spans="1:11">
      <c r="A6695" s="888">
        <v>323</v>
      </c>
      <c r="B6695" s="888" t="s">
        <v>5163</v>
      </c>
      <c r="C6695" s="888" t="s">
        <v>1253</v>
      </c>
      <c r="D6695" s="889">
        <v>46053</v>
      </c>
      <c r="E6695" s="888" t="s">
        <v>310</v>
      </c>
      <c r="F6695" s="888" t="s">
        <v>310</v>
      </c>
    </row>
    <row r="6696" spans="1:11">
      <c r="A6696" s="888">
        <v>323</v>
      </c>
      <c r="B6696" s="888" t="s">
        <v>5163</v>
      </c>
      <c r="C6696" s="888" t="s">
        <v>1253</v>
      </c>
      <c r="D6696" s="889">
        <v>46054</v>
      </c>
      <c r="E6696" s="888" t="s">
        <v>310</v>
      </c>
      <c r="F6696" s="888" t="s">
        <v>310</v>
      </c>
    </row>
    <row r="6697" spans="1:11">
      <c r="A6697" s="888">
        <v>324</v>
      </c>
      <c r="B6697" s="888" t="s">
        <v>262</v>
      </c>
      <c r="C6697" s="888" t="s">
        <v>1253</v>
      </c>
      <c r="D6697" s="889">
        <v>46023</v>
      </c>
      <c r="E6697" s="888" t="s">
        <v>310</v>
      </c>
      <c r="F6697" s="888" t="s">
        <v>310</v>
      </c>
      <c r="G6697" s="192" t="s">
        <v>1039</v>
      </c>
      <c r="H6697" s="891" t="s">
        <v>4924</v>
      </c>
      <c r="I6697" s="192" t="s">
        <v>1039</v>
      </c>
      <c r="J6697" s="891" t="s">
        <v>4924</v>
      </c>
    </row>
    <row r="6698" spans="1:11">
      <c r="A6698" s="888">
        <v>324</v>
      </c>
      <c r="B6698" s="888" t="s">
        <v>262</v>
      </c>
      <c r="C6698" s="888" t="s">
        <v>1253</v>
      </c>
      <c r="D6698" s="889">
        <v>46024</v>
      </c>
      <c r="E6698" s="890">
        <v>0.49834490740740739</v>
      </c>
      <c r="F6698" s="890">
        <v>0.75451388888888893</v>
      </c>
      <c r="G6698" s="192" t="s">
        <v>1039</v>
      </c>
      <c r="H6698" s="891" t="s">
        <v>996</v>
      </c>
    </row>
    <row r="6699" spans="1:11">
      <c r="A6699" s="888" t="s">
        <v>5164</v>
      </c>
      <c r="B6699" s="888" t="s">
        <v>5165</v>
      </c>
      <c r="C6699" s="888" t="s">
        <v>5166</v>
      </c>
    </row>
    <row r="6700" spans="1:11">
      <c r="A6700" s="892">
        <v>324</v>
      </c>
      <c r="B6700" s="892" t="s">
        <v>262</v>
      </c>
      <c r="C6700" s="892" t="s">
        <v>1253</v>
      </c>
      <c r="D6700" s="893">
        <v>46025</v>
      </c>
      <c r="E6700" s="892" t="s">
        <v>310</v>
      </c>
      <c r="F6700" s="892" t="s">
        <v>310</v>
      </c>
      <c r="G6700" s="901" t="s">
        <v>1039</v>
      </c>
      <c r="H6700" s="895" t="s">
        <v>4879</v>
      </c>
      <c r="I6700" s="901" t="s">
        <v>1039</v>
      </c>
      <c r="J6700" s="895" t="s">
        <v>4879</v>
      </c>
      <c r="K6700" s="895"/>
    </row>
    <row r="6701" spans="1:11">
      <c r="A6701" s="892">
        <v>324</v>
      </c>
      <c r="B6701" s="892" t="s">
        <v>262</v>
      </c>
      <c r="C6701" s="892" t="s">
        <v>1253</v>
      </c>
      <c r="D6701" s="893">
        <v>46026</v>
      </c>
      <c r="E6701" s="892" t="s">
        <v>310</v>
      </c>
      <c r="F6701" s="892" t="s">
        <v>310</v>
      </c>
      <c r="G6701" s="901" t="s">
        <v>1039</v>
      </c>
      <c r="H6701" s="895" t="s">
        <v>4879</v>
      </c>
      <c r="I6701" s="901" t="s">
        <v>1039</v>
      </c>
      <c r="J6701" s="895" t="s">
        <v>4879</v>
      </c>
      <c r="K6701" s="895"/>
    </row>
    <row r="6702" spans="1:11">
      <c r="A6702" s="892">
        <v>324</v>
      </c>
      <c r="B6702" s="892" t="s">
        <v>262</v>
      </c>
      <c r="C6702" s="892" t="s">
        <v>1253</v>
      </c>
      <c r="D6702" s="893">
        <v>46027</v>
      </c>
      <c r="E6702" s="894">
        <v>0.38180555555555556</v>
      </c>
      <c r="F6702" s="892" t="s">
        <v>310</v>
      </c>
      <c r="G6702" s="901" t="s">
        <v>1039</v>
      </c>
      <c r="H6702" s="895" t="s">
        <v>1008</v>
      </c>
      <c r="I6702" s="901" t="s">
        <v>1039</v>
      </c>
      <c r="J6702" s="895" t="s">
        <v>5167</v>
      </c>
      <c r="K6702" s="895"/>
    </row>
    <row r="6703" spans="1:11">
      <c r="A6703" s="888" t="s">
        <v>5168</v>
      </c>
      <c r="B6703" s="888" t="s">
        <v>1258</v>
      </c>
      <c r="C6703" s="888" t="s">
        <v>1259</v>
      </c>
    </row>
    <row r="6704" spans="1:11">
      <c r="A6704" s="892">
        <v>324</v>
      </c>
      <c r="B6704" s="892" t="s">
        <v>262</v>
      </c>
      <c r="C6704" s="892" t="s">
        <v>1253</v>
      </c>
      <c r="D6704" s="893">
        <v>46028</v>
      </c>
      <c r="E6704" s="894">
        <v>0.5632638888888889</v>
      </c>
      <c r="F6704" s="894">
        <v>0.76332175925925927</v>
      </c>
      <c r="G6704" s="901" t="s">
        <v>1039</v>
      </c>
      <c r="H6704" s="895" t="s">
        <v>996</v>
      </c>
      <c r="I6704" s="895"/>
      <c r="J6704" s="895"/>
      <c r="K6704" s="895"/>
    </row>
    <row r="6705" spans="1:11">
      <c r="A6705" s="888" t="s">
        <v>5169</v>
      </c>
      <c r="B6705" s="888" t="s">
        <v>5170</v>
      </c>
      <c r="C6705" s="888" t="s">
        <v>3870</v>
      </c>
    </row>
    <row r="6706" spans="1:11">
      <c r="A6706" s="892">
        <v>324</v>
      </c>
      <c r="B6706" s="892" t="s">
        <v>262</v>
      </c>
      <c r="C6706" s="892" t="s">
        <v>1253</v>
      </c>
      <c r="D6706" s="893">
        <v>46029</v>
      </c>
      <c r="E6706" s="894">
        <v>0.7901273148148148</v>
      </c>
      <c r="F6706" s="892" t="s">
        <v>310</v>
      </c>
      <c r="G6706" s="901" t="s">
        <v>1039</v>
      </c>
      <c r="H6706" s="895" t="s">
        <v>5171</v>
      </c>
      <c r="I6706" s="895"/>
      <c r="J6706" s="895"/>
      <c r="K6706" s="895"/>
    </row>
    <row r="6707" spans="1:11">
      <c r="A6707" s="888" t="s">
        <v>5172</v>
      </c>
      <c r="B6707" s="888" t="s">
        <v>1258</v>
      </c>
      <c r="C6707" s="888" t="s">
        <v>1259</v>
      </c>
    </row>
    <row r="6708" spans="1:11">
      <c r="A6708" s="892">
        <v>324</v>
      </c>
      <c r="B6708" s="892" t="s">
        <v>262</v>
      </c>
      <c r="C6708" s="892" t="s">
        <v>1253</v>
      </c>
      <c r="D6708" s="893">
        <v>46030</v>
      </c>
      <c r="E6708" s="894">
        <v>0.35148148148148151</v>
      </c>
      <c r="F6708" s="894">
        <v>0.7672106481481481</v>
      </c>
      <c r="G6708" s="895"/>
      <c r="H6708" s="895"/>
      <c r="I6708" s="895"/>
      <c r="J6708" s="895"/>
      <c r="K6708" s="895"/>
    </row>
    <row r="6709" spans="1:11">
      <c r="A6709" s="888" t="s">
        <v>5173</v>
      </c>
      <c r="B6709" s="888" t="s">
        <v>5174</v>
      </c>
      <c r="C6709" s="888" t="s">
        <v>1422</v>
      </c>
    </row>
    <row r="6710" spans="1:11">
      <c r="A6710" s="892">
        <v>324</v>
      </c>
      <c r="B6710" s="892" t="s">
        <v>262</v>
      </c>
      <c r="C6710" s="892" t="s">
        <v>1253</v>
      </c>
      <c r="D6710" s="893">
        <v>46031</v>
      </c>
      <c r="E6710" s="894">
        <v>0.35943287037037036</v>
      </c>
      <c r="F6710" s="894">
        <v>0.76877314814814812</v>
      </c>
      <c r="G6710" s="901" t="s">
        <v>1039</v>
      </c>
      <c r="H6710" s="895" t="s">
        <v>1005</v>
      </c>
      <c r="I6710" s="895"/>
      <c r="J6710" s="895"/>
      <c r="K6710" s="895"/>
    </row>
    <row r="6711" spans="1:11">
      <c r="A6711" s="888" t="s">
        <v>5175</v>
      </c>
      <c r="B6711" s="888" t="s">
        <v>5176</v>
      </c>
      <c r="C6711" s="888" t="s">
        <v>1372</v>
      </c>
    </row>
    <row r="6712" spans="1:11">
      <c r="A6712" s="892">
        <v>324</v>
      </c>
      <c r="B6712" s="892" t="s">
        <v>262</v>
      </c>
      <c r="C6712" s="892" t="s">
        <v>1253</v>
      </c>
      <c r="D6712" s="893">
        <v>46032</v>
      </c>
      <c r="E6712" s="892" t="s">
        <v>310</v>
      </c>
      <c r="F6712" s="892" t="s">
        <v>310</v>
      </c>
      <c r="G6712" s="901" t="s">
        <v>1039</v>
      </c>
      <c r="H6712" s="895" t="s">
        <v>4879</v>
      </c>
      <c r="I6712" s="901" t="s">
        <v>1039</v>
      </c>
      <c r="J6712" s="895" t="s">
        <v>4879</v>
      </c>
      <c r="K6712" s="895"/>
    </row>
    <row r="6713" spans="1:11">
      <c r="A6713" s="892">
        <v>324</v>
      </c>
      <c r="B6713" s="892" t="s">
        <v>262</v>
      </c>
      <c r="C6713" s="892" t="s">
        <v>1253</v>
      </c>
      <c r="D6713" s="893">
        <v>46033</v>
      </c>
      <c r="E6713" s="892" t="s">
        <v>310</v>
      </c>
      <c r="F6713" s="892" t="s">
        <v>310</v>
      </c>
      <c r="G6713" s="901" t="s">
        <v>1039</v>
      </c>
      <c r="H6713" s="895" t="s">
        <v>4879</v>
      </c>
      <c r="I6713" s="901" t="s">
        <v>1039</v>
      </c>
      <c r="J6713" s="895" t="s">
        <v>4879</v>
      </c>
      <c r="K6713" s="895"/>
    </row>
    <row r="6714" spans="1:11">
      <c r="A6714" s="892">
        <v>324</v>
      </c>
      <c r="B6714" s="892" t="s">
        <v>262</v>
      </c>
      <c r="C6714" s="892" t="s">
        <v>1253</v>
      </c>
      <c r="D6714" s="893">
        <v>46034</v>
      </c>
      <c r="E6714" s="894">
        <v>0.34031250000000002</v>
      </c>
      <c r="F6714" s="894">
        <v>0.36749999999999999</v>
      </c>
      <c r="G6714" s="895"/>
      <c r="H6714" s="895"/>
      <c r="I6714" s="895"/>
      <c r="J6714" s="895"/>
      <c r="K6714" s="895"/>
    </row>
    <row r="6715" spans="1:11">
      <c r="A6715" s="888" t="s">
        <v>5177</v>
      </c>
      <c r="B6715" s="888" t="s">
        <v>5178</v>
      </c>
      <c r="C6715" s="888" t="s">
        <v>5179</v>
      </c>
    </row>
    <row r="6716" spans="1:11">
      <c r="A6716" s="892">
        <v>324</v>
      </c>
      <c r="B6716" s="892" t="s">
        <v>262</v>
      </c>
      <c r="C6716" s="892" t="s">
        <v>1253</v>
      </c>
      <c r="D6716" s="893">
        <v>46035</v>
      </c>
      <c r="E6716" s="892" t="s">
        <v>310</v>
      </c>
      <c r="F6716" s="892" t="s">
        <v>310</v>
      </c>
      <c r="G6716" s="901" t="s">
        <v>1039</v>
      </c>
      <c r="H6716" s="895"/>
      <c r="I6716" s="901" t="s">
        <v>1039</v>
      </c>
      <c r="J6716" s="895"/>
      <c r="K6716" s="895"/>
    </row>
    <row r="6717" spans="1:11">
      <c r="A6717" s="888">
        <v>324</v>
      </c>
      <c r="B6717" s="888" t="s">
        <v>262</v>
      </c>
      <c r="C6717" s="888" t="s">
        <v>1253</v>
      </c>
      <c r="D6717" s="889">
        <v>46036</v>
      </c>
      <c r="E6717" s="890">
        <v>0.76946759259259256</v>
      </c>
      <c r="F6717" s="888" t="s">
        <v>310</v>
      </c>
    </row>
    <row r="6718" spans="1:11">
      <c r="A6718" s="888" t="s">
        <v>5180</v>
      </c>
      <c r="B6718" s="888" t="s">
        <v>1258</v>
      </c>
      <c r="C6718" s="888" t="s">
        <v>1259</v>
      </c>
    </row>
    <row r="6719" spans="1:11">
      <c r="A6719" s="888">
        <v>324</v>
      </c>
      <c r="B6719" s="888" t="s">
        <v>262</v>
      </c>
      <c r="C6719" s="888" t="s">
        <v>1253</v>
      </c>
      <c r="D6719" s="889">
        <v>46037</v>
      </c>
      <c r="E6719" s="890">
        <v>0.35094907407407405</v>
      </c>
      <c r="F6719" s="890">
        <v>0.7570486111111111</v>
      </c>
    </row>
    <row r="6720" spans="1:11">
      <c r="A6720" s="888" t="s">
        <v>5181</v>
      </c>
      <c r="B6720" s="888" t="s">
        <v>5182</v>
      </c>
      <c r="C6720" s="888" t="s">
        <v>1375</v>
      </c>
    </row>
    <row r="6721" spans="1:10">
      <c r="A6721" s="888">
        <v>324</v>
      </c>
      <c r="B6721" s="888" t="s">
        <v>262</v>
      </c>
      <c r="C6721" s="888" t="s">
        <v>1253</v>
      </c>
      <c r="D6721" s="889">
        <v>46038</v>
      </c>
      <c r="E6721" s="890">
        <v>0.35788194444444443</v>
      </c>
      <c r="F6721" s="890">
        <v>0.35791666666666666</v>
      </c>
      <c r="G6721" s="192" t="s">
        <v>1039</v>
      </c>
      <c r="H6721" s="891" t="s">
        <v>1005</v>
      </c>
    </row>
    <row r="6722" spans="1:10">
      <c r="A6722" s="888" t="s">
        <v>5183</v>
      </c>
      <c r="B6722" s="888" t="s">
        <v>5184</v>
      </c>
      <c r="C6722" s="888" t="s">
        <v>1259</v>
      </c>
    </row>
    <row r="6723" spans="1:10">
      <c r="A6723" s="888">
        <v>324</v>
      </c>
      <c r="B6723" s="888" t="s">
        <v>262</v>
      </c>
      <c r="C6723" s="888" t="s">
        <v>1253</v>
      </c>
      <c r="D6723" s="889">
        <v>46039</v>
      </c>
      <c r="E6723" s="888" t="s">
        <v>310</v>
      </c>
      <c r="F6723" s="888" t="s">
        <v>310</v>
      </c>
      <c r="G6723" s="192" t="s">
        <v>1039</v>
      </c>
      <c r="H6723" s="891" t="s">
        <v>4879</v>
      </c>
      <c r="I6723" s="192" t="s">
        <v>1039</v>
      </c>
      <c r="J6723" s="891" t="s">
        <v>4879</v>
      </c>
    </row>
    <row r="6724" spans="1:10">
      <c r="A6724" s="888">
        <v>324</v>
      </c>
      <c r="B6724" s="888" t="s">
        <v>262</v>
      </c>
      <c r="C6724" s="888" t="s">
        <v>1253</v>
      </c>
      <c r="D6724" s="889">
        <v>46040</v>
      </c>
      <c r="E6724" s="888" t="s">
        <v>310</v>
      </c>
      <c r="F6724" s="888" t="s">
        <v>310</v>
      </c>
      <c r="G6724" s="192" t="s">
        <v>1039</v>
      </c>
      <c r="H6724" s="891" t="s">
        <v>4879</v>
      </c>
      <c r="I6724" s="192" t="s">
        <v>1039</v>
      </c>
      <c r="J6724" s="891" t="s">
        <v>4879</v>
      </c>
    </row>
    <row r="6725" spans="1:10">
      <c r="A6725" s="888">
        <v>324</v>
      </c>
      <c r="B6725" s="888" t="s">
        <v>262</v>
      </c>
      <c r="C6725" s="888" t="s">
        <v>1253</v>
      </c>
      <c r="D6725" s="889">
        <v>46041</v>
      </c>
      <c r="E6725" s="890">
        <v>0.36663194444444447</v>
      </c>
      <c r="F6725" s="890">
        <v>0.76224537037037032</v>
      </c>
      <c r="G6725" s="192" t="s">
        <v>1039</v>
      </c>
      <c r="H6725" s="891" t="s">
        <v>1005</v>
      </c>
    </row>
    <row r="6726" spans="1:10">
      <c r="A6726" s="888" t="s">
        <v>5185</v>
      </c>
      <c r="B6726" s="888" t="s">
        <v>5186</v>
      </c>
      <c r="C6726" s="888" t="s">
        <v>1404</v>
      </c>
    </row>
    <row r="6727" spans="1:10">
      <c r="A6727" s="888">
        <v>324</v>
      </c>
      <c r="B6727" s="888" t="s">
        <v>262</v>
      </c>
      <c r="C6727" s="888" t="s">
        <v>1253</v>
      </c>
      <c r="D6727" s="889">
        <v>46042</v>
      </c>
      <c r="E6727" s="890">
        <v>0.34865740740740742</v>
      </c>
      <c r="F6727" s="890">
        <v>0.78356481481481477</v>
      </c>
    </row>
    <row r="6728" spans="1:10">
      <c r="A6728" s="888" t="s">
        <v>5187</v>
      </c>
      <c r="B6728" s="888" t="s">
        <v>5188</v>
      </c>
      <c r="C6728" s="888" t="s">
        <v>1895</v>
      </c>
    </row>
    <row r="6729" spans="1:10">
      <c r="A6729" s="888">
        <v>324</v>
      </c>
      <c r="B6729" s="888" t="s">
        <v>262</v>
      </c>
      <c r="C6729" s="888" t="s">
        <v>1253</v>
      </c>
      <c r="D6729" s="889">
        <v>46043</v>
      </c>
      <c r="E6729" s="890">
        <v>0.35048611111111111</v>
      </c>
      <c r="F6729" s="890">
        <v>0.75346064814814817</v>
      </c>
    </row>
    <row r="6730" spans="1:10">
      <c r="A6730" s="888" t="s">
        <v>5189</v>
      </c>
      <c r="B6730" s="888" t="s">
        <v>5190</v>
      </c>
      <c r="C6730" s="888" t="s">
        <v>1624</v>
      </c>
    </row>
    <row r="6731" spans="1:10">
      <c r="A6731" s="888">
        <v>324</v>
      </c>
      <c r="B6731" s="888" t="s">
        <v>262</v>
      </c>
      <c r="C6731" s="888" t="s">
        <v>1253</v>
      </c>
      <c r="D6731" s="889">
        <v>46044</v>
      </c>
      <c r="E6731" s="890">
        <v>0.35108796296296296</v>
      </c>
      <c r="F6731" s="890">
        <v>0.77026620370370369</v>
      </c>
    </row>
    <row r="6732" spans="1:10">
      <c r="A6732" s="888" t="s">
        <v>5191</v>
      </c>
      <c r="B6732" s="888" t="s">
        <v>5192</v>
      </c>
      <c r="C6732" s="888" t="s">
        <v>1773</v>
      </c>
    </row>
    <row r="6733" spans="1:10">
      <c r="A6733" s="888">
        <v>324</v>
      </c>
      <c r="B6733" s="888" t="s">
        <v>262</v>
      </c>
      <c r="C6733" s="888" t="s">
        <v>1253</v>
      </c>
      <c r="D6733" s="889">
        <v>46045</v>
      </c>
      <c r="E6733" s="888" t="s">
        <v>310</v>
      </c>
      <c r="F6733" s="888" t="s">
        <v>310</v>
      </c>
      <c r="G6733" s="192" t="s">
        <v>1039</v>
      </c>
      <c r="H6733" s="891" t="s">
        <v>1048</v>
      </c>
      <c r="I6733" s="192" t="s">
        <v>1039</v>
      </c>
      <c r="J6733" s="891" t="s">
        <v>1048</v>
      </c>
    </row>
    <row r="6734" spans="1:10">
      <c r="A6734" s="888">
        <v>324</v>
      </c>
      <c r="B6734" s="888" t="s">
        <v>262</v>
      </c>
      <c r="C6734" s="888" t="s">
        <v>1253</v>
      </c>
      <c r="D6734" s="889">
        <v>46046</v>
      </c>
      <c r="E6734" s="888" t="s">
        <v>310</v>
      </c>
      <c r="F6734" s="888" t="s">
        <v>310</v>
      </c>
      <c r="G6734" s="192" t="s">
        <v>1039</v>
      </c>
      <c r="H6734" s="891" t="s">
        <v>4879</v>
      </c>
      <c r="I6734" s="192" t="s">
        <v>1039</v>
      </c>
      <c r="J6734" s="891" t="s">
        <v>4879</v>
      </c>
    </row>
    <row r="6735" spans="1:10">
      <c r="A6735" s="888">
        <v>324</v>
      </c>
      <c r="B6735" s="888" t="s">
        <v>262</v>
      </c>
      <c r="C6735" s="888" t="s">
        <v>1253</v>
      </c>
      <c r="D6735" s="889">
        <v>46047</v>
      </c>
      <c r="E6735" s="888" t="s">
        <v>310</v>
      </c>
      <c r="F6735" s="888" t="s">
        <v>310</v>
      </c>
      <c r="G6735" s="192" t="s">
        <v>1039</v>
      </c>
      <c r="H6735" s="891" t="s">
        <v>4879</v>
      </c>
      <c r="I6735" s="192" t="s">
        <v>1039</v>
      </c>
      <c r="J6735" s="891" t="s">
        <v>4879</v>
      </c>
    </row>
    <row r="6736" spans="1:10">
      <c r="A6736" s="888">
        <v>324</v>
      </c>
      <c r="B6736" s="888" t="s">
        <v>262</v>
      </c>
      <c r="C6736" s="888" t="s">
        <v>1253</v>
      </c>
      <c r="D6736" s="889">
        <v>46048</v>
      </c>
      <c r="E6736" s="890">
        <v>0.36638888888888888</v>
      </c>
      <c r="F6736" s="890">
        <v>0.76085648148148144</v>
      </c>
      <c r="G6736" s="192" t="s">
        <v>1039</v>
      </c>
      <c r="H6736" s="891" t="s">
        <v>1005</v>
      </c>
    </row>
    <row r="6737" spans="1:10">
      <c r="A6737" s="888" t="s">
        <v>5193</v>
      </c>
      <c r="B6737" s="888" t="s">
        <v>5194</v>
      </c>
      <c r="C6737" s="888" t="s">
        <v>1285</v>
      </c>
    </row>
    <row r="6738" spans="1:10">
      <c r="A6738" s="888">
        <v>324</v>
      </c>
      <c r="B6738" s="888" t="s">
        <v>262</v>
      </c>
      <c r="C6738" s="888" t="s">
        <v>1253</v>
      </c>
      <c r="D6738" s="889">
        <v>46049</v>
      </c>
      <c r="E6738" s="890">
        <v>0.34997685185185184</v>
      </c>
      <c r="F6738" s="890">
        <v>0.75547453703703704</v>
      </c>
    </row>
    <row r="6739" spans="1:10">
      <c r="A6739" s="888" t="s">
        <v>5195</v>
      </c>
      <c r="B6739" s="888" t="s">
        <v>5196</v>
      </c>
      <c r="C6739" s="888" t="s">
        <v>2340</v>
      </c>
    </row>
    <row r="6740" spans="1:10">
      <c r="A6740" s="888">
        <v>324</v>
      </c>
      <c r="B6740" s="888" t="s">
        <v>262</v>
      </c>
      <c r="C6740" s="888" t="s">
        <v>1253</v>
      </c>
      <c r="D6740" s="889">
        <v>46050</v>
      </c>
      <c r="E6740" s="890">
        <v>0.34312500000000001</v>
      </c>
      <c r="F6740" s="890">
        <v>0.77520833333333339</v>
      </c>
    </row>
    <row r="6741" spans="1:10">
      <c r="A6741" s="888" t="s">
        <v>5197</v>
      </c>
      <c r="B6741" s="888" t="s">
        <v>5198</v>
      </c>
      <c r="C6741" s="888" t="s">
        <v>2563</v>
      </c>
    </row>
    <row r="6742" spans="1:10">
      <c r="A6742" s="888">
        <v>324</v>
      </c>
      <c r="B6742" s="888" t="s">
        <v>262</v>
      </c>
      <c r="C6742" s="888" t="s">
        <v>1253</v>
      </c>
      <c r="D6742" s="889">
        <v>46051</v>
      </c>
      <c r="E6742" s="890">
        <v>0.35018518518518521</v>
      </c>
      <c r="F6742" s="890">
        <v>0.76575231481481476</v>
      </c>
    </row>
    <row r="6743" spans="1:10">
      <c r="A6743" s="888" t="s">
        <v>5199</v>
      </c>
      <c r="B6743" s="888" t="s">
        <v>5200</v>
      </c>
      <c r="C6743" s="888" t="s">
        <v>1879</v>
      </c>
    </row>
    <row r="6744" spans="1:10">
      <c r="A6744" s="888">
        <v>324</v>
      </c>
      <c r="B6744" s="888" t="s">
        <v>262</v>
      </c>
      <c r="C6744" s="888" t="s">
        <v>1253</v>
      </c>
      <c r="D6744" s="889">
        <v>46052</v>
      </c>
      <c r="E6744" s="890">
        <v>0.35182870370370373</v>
      </c>
      <c r="F6744" s="890">
        <v>0.76385416666666661</v>
      </c>
    </row>
    <row r="6745" spans="1:10">
      <c r="A6745" s="888" t="s">
        <v>5201</v>
      </c>
      <c r="B6745" s="888" t="s">
        <v>5202</v>
      </c>
      <c r="C6745" s="888" t="s">
        <v>1369</v>
      </c>
    </row>
    <row r="6746" spans="1:10">
      <c r="A6746" s="888">
        <v>324</v>
      </c>
      <c r="B6746" s="888" t="s">
        <v>262</v>
      </c>
      <c r="C6746" s="888" t="s">
        <v>1253</v>
      </c>
      <c r="D6746" s="889">
        <v>46053</v>
      </c>
      <c r="E6746" s="888" t="s">
        <v>310</v>
      </c>
      <c r="F6746" s="888" t="s">
        <v>310</v>
      </c>
      <c r="G6746" s="192" t="s">
        <v>1039</v>
      </c>
      <c r="H6746" s="891" t="s">
        <v>4879</v>
      </c>
      <c r="I6746" s="192" t="s">
        <v>1039</v>
      </c>
      <c r="J6746" s="891" t="s">
        <v>4879</v>
      </c>
    </row>
    <row r="6747" spans="1:10">
      <c r="A6747" s="888">
        <v>325</v>
      </c>
      <c r="B6747" s="888" t="s">
        <v>164</v>
      </c>
      <c r="C6747" s="888" t="s">
        <v>1107</v>
      </c>
      <c r="D6747" s="889">
        <v>46023</v>
      </c>
      <c r="E6747" s="888" t="s">
        <v>310</v>
      </c>
      <c r="F6747" s="888" t="s">
        <v>310</v>
      </c>
      <c r="G6747" s="891" t="s">
        <v>1040</v>
      </c>
      <c r="H6747" s="891" t="s">
        <v>4833</v>
      </c>
      <c r="I6747" s="891" t="s">
        <v>1040</v>
      </c>
      <c r="J6747" s="891" t="s">
        <v>4833</v>
      </c>
    </row>
    <row r="6748" spans="1:10">
      <c r="A6748" s="892">
        <v>325</v>
      </c>
      <c r="B6748" s="892" t="s">
        <v>164</v>
      </c>
      <c r="C6748" s="892" t="s">
        <v>1107</v>
      </c>
      <c r="D6748" s="893">
        <v>46024</v>
      </c>
      <c r="E6748" s="894">
        <v>0.56469907407407405</v>
      </c>
      <c r="F6748" s="894">
        <v>0.75862268518518516</v>
      </c>
      <c r="G6748" s="895" t="s">
        <v>1040</v>
      </c>
      <c r="H6748" s="895" t="s">
        <v>1048</v>
      </c>
      <c r="I6748" s="895"/>
      <c r="J6748" s="895"/>
    </row>
    <row r="6749" spans="1:10">
      <c r="A6749" s="888" t="s">
        <v>5203</v>
      </c>
      <c r="B6749" s="888" t="s">
        <v>5204</v>
      </c>
      <c r="C6749" s="888" t="s">
        <v>3979</v>
      </c>
    </row>
    <row r="6750" spans="1:10">
      <c r="A6750" s="888">
        <v>325</v>
      </c>
      <c r="B6750" s="888" t="s">
        <v>164</v>
      </c>
      <c r="C6750" s="888" t="s">
        <v>1107</v>
      </c>
      <c r="D6750" s="889">
        <v>46025</v>
      </c>
      <c r="E6750" s="888" t="s">
        <v>310</v>
      </c>
      <c r="F6750" s="888" t="s">
        <v>310</v>
      </c>
      <c r="G6750" s="891" t="s">
        <v>1040</v>
      </c>
      <c r="H6750" s="891" t="s">
        <v>1344</v>
      </c>
      <c r="I6750" s="891" t="s">
        <v>1040</v>
      </c>
      <c r="J6750" s="891" t="s">
        <v>1344</v>
      </c>
    </row>
    <row r="6751" spans="1:10">
      <c r="A6751" s="888">
        <v>325</v>
      </c>
      <c r="B6751" s="888" t="s">
        <v>164</v>
      </c>
      <c r="C6751" s="888" t="s">
        <v>1107</v>
      </c>
      <c r="D6751" s="889">
        <v>46026</v>
      </c>
      <c r="E6751" s="888" t="s">
        <v>310</v>
      </c>
      <c r="F6751" s="888" t="s">
        <v>310</v>
      </c>
      <c r="G6751" s="891" t="s">
        <v>1040</v>
      </c>
      <c r="H6751" s="891" t="s">
        <v>1344</v>
      </c>
      <c r="I6751" s="891" t="s">
        <v>1040</v>
      </c>
      <c r="J6751" s="891" t="s">
        <v>1344</v>
      </c>
    </row>
    <row r="6752" spans="1:10">
      <c r="A6752" s="888">
        <v>325</v>
      </c>
      <c r="B6752" s="888" t="s">
        <v>164</v>
      </c>
      <c r="C6752" s="888" t="s">
        <v>1107</v>
      </c>
      <c r="D6752" s="889">
        <v>46027</v>
      </c>
      <c r="E6752" s="890">
        <v>0.35358796296296297</v>
      </c>
      <c r="F6752" s="890">
        <v>0.7575925925925926</v>
      </c>
    </row>
    <row r="6753" spans="1:11">
      <c r="A6753" s="888" t="s">
        <v>5205</v>
      </c>
      <c r="B6753" s="888" t="s">
        <v>5206</v>
      </c>
      <c r="C6753" s="888" t="s">
        <v>1266</v>
      </c>
    </row>
    <row r="6754" spans="1:11">
      <c r="A6754" s="888">
        <v>325</v>
      </c>
      <c r="B6754" s="888" t="s">
        <v>164</v>
      </c>
      <c r="C6754" s="888" t="s">
        <v>1107</v>
      </c>
      <c r="D6754" s="889">
        <v>46028</v>
      </c>
      <c r="E6754" s="890">
        <v>0.56857638888888884</v>
      </c>
      <c r="F6754" s="890">
        <v>0.76412037037037039</v>
      </c>
      <c r="G6754" s="891" t="s">
        <v>1040</v>
      </c>
      <c r="H6754" s="891" t="s">
        <v>996</v>
      </c>
    </row>
    <row r="6755" spans="1:11">
      <c r="A6755" s="888" t="s">
        <v>5207</v>
      </c>
      <c r="B6755" s="888" t="s">
        <v>5208</v>
      </c>
      <c r="C6755" s="888" t="s">
        <v>2080</v>
      </c>
    </row>
    <row r="6756" spans="1:11">
      <c r="A6756" s="888">
        <v>325</v>
      </c>
      <c r="B6756" s="888" t="s">
        <v>164</v>
      </c>
      <c r="C6756" s="888" t="s">
        <v>1107</v>
      </c>
      <c r="D6756" s="889">
        <v>46029</v>
      </c>
      <c r="E6756" s="890">
        <v>0.39927083333333335</v>
      </c>
      <c r="F6756" s="890">
        <v>0.75829861111111108</v>
      </c>
      <c r="G6756" s="891" t="s">
        <v>1040</v>
      </c>
      <c r="H6756" s="891" t="s">
        <v>1008</v>
      </c>
    </row>
    <row r="6757" spans="1:11">
      <c r="A6757" s="888" t="s">
        <v>5209</v>
      </c>
      <c r="B6757" s="888" t="s">
        <v>5210</v>
      </c>
      <c r="C6757" s="888" t="s">
        <v>5211</v>
      </c>
    </row>
    <row r="6758" spans="1:11">
      <c r="A6758" s="888">
        <v>325</v>
      </c>
      <c r="B6758" s="888" t="s">
        <v>164</v>
      </c>
      <c r="C6758" s="888" t="s">
        <v>1107</v>
      </c>
      <c r="D6758" s="889">
        <v>46030</v>
      </c>
      <c r="E6758" s="888" t="s">
        <v>310</v>
      </c>
      <c r="F6758" s="888" t="s">
        <v>310</v>
      </c>
      <c r="G6758" s="891" t="s">
        <v>1040</v>
      </c>
      <c r="H6758" s="891" t="s">
        <v>1048</v>
      </c>
      <c r="I6758" s="891" t="s">
        <v>1040</v>
      </c>
      <c r="J6758" s="891" t="s">
        <v>1048</v>
      </c>
    </row>
    <row r="6759" spans="1:11">
      <c r="A6759" s="888">
        <v>325</v>
      </c>
      <c r="B6759" s="888" t="s">
        <v>164</v>
      </c>
      <c r="C6759" s="888" t="s">
        <v>1107</v>
      </c>
      <c r="D6759" s="889">
        <v>46031</v>
      </c>
      <c r="E6759" s="888" t="s">
        <v>310</v>
      </c>
      <c r="F6759" s="888" t="s">
        <v>310</v>
      </c>
      <c r="G6759" s="891" t="s">
        <v>1040</v>
      </c>
      <c r="H6759" s="891" t="s">
        <v>1048</v>
      </c>
      <c r="I6759" s="891" t="s">
        <v>1040</v>
      </c>
      <c r="J6759" s="891" t="s">
        <v>1048</v>
      </c>
    </row>
    <row r="6760" spans="1:11">
      <c r="A6760" s="888">
        <v>325</v>
      </c>
      <c r="B6760" s="888" t="s">
        <v>164</v>
      </c>
      <c r="C6760" s="888" t="s">
        <v>1107</v>
      </c>
      <c r="D6760" s="889">
        <v>46032</v>
      </c>
      <c r="E6760" s="888" t="s">
        <v>310</v>
      </c>
      <c r="F6760" s="888" t="s">
        <v>310</v>
      </c>
      <c r="G6760" s="891" t="s">
        <v>1040</v>
      </c>
      <c r="H6760" s="891" t="s">
        <v>1344</v>
      </c>
      <c r="I6760" s="891" t="s">
        <v>1040</v>
      </c>
      <c r="J6760" s="891" t="s">
        <v>1344</v>
      </c>
    </row>
    <row r="6761" spans="1:11">
      <c r="A6761" s="888">
        <v>325</v>
      </c>
      <c r="B6761" s="888" t="s">
        <v>164</v>
      </c>
      <c r="C6761" s="888" t="s">
        <v>1107</v>
      </c>
      <c r="D6761" s="889">
        <v>46033</v>
      </c>
      <c r="E6761" s="888" t="s">
        <v>310</v>
      </c>
      <c r="F6761" s="888" t="s">
        <v>310</v>
      </c>
      <c r="G6761" s="891" t="s">
        <v>1040</v>
      </c>
      <c r="H6761" s="891" t="s">
        <v>1344</v>
      </c>
      <c r="I6761" s="891" t="s">
        <v>1040</v>
      </c>
      <c r="J6761" s="891" t="s">
        <v>1344</v>
      </c>
    </row>
    <row r="6762" spans="1:11">
      <c r="A6762" s="888">
        <v>325</v>
      </c>
      <c r="B6762" s="888" t="s">
        <v>164</v>
      </c>
      <c r="C6762" s="888" t="s">
        <v>1107</v>
      </c>
      <c r="D6762" s="889">
        <v>46034</v>
      </c>
      <c r="E6762" s="890">
        <v>0.51807870370370368</v>
      </c>
      <c r="F6762" s="890">
        <v>0.76223379629629628</v>
      </c>
      <c r="G6762" s="891" t="s">
        <v>1040</v>
      </c>
      <c r="H6762" s="891" t="s">
        <v>5212</v>
      </c>
    </row>
    <row r="6763" spans="1:11">
      <c r="A6763" s="888" t="s">
        <v>5213</v>
      </c>
      <c r="B6763" s="888" t="s">
        <v>5214</v>
      </c>
      <c r="C6763" s="888" t="s">
        <v>5215</v>
      </c>
    </row>
    <row r="6764" spans="1:11">
      <c r="A6764" s="892">
        <v>325</v>
      </c>
      <c r="B6764" s="892" t="s">
        <v>164</v>
      </c>
      <c r="C6764" s="892" t="s">
        <v>1107</v>
      </c>
      <c r="D6764" s="893">
        <v>46035</v>
      </c>
      <c r="E6764" s="894">
        <v>0.35211805555555553</v>
      </c>
      <c r="F6764" s="892" t="s">
        <v>310</v>
      </c>
      <c r="G6764" s="895"/>
      <c r="H6764" s="895"/>
      <c r="I6764" s="895" t="s">
        <v>1040</v>
      </c>
      <c r="J6764" s="895" t="s">
        <v>5216</v>
      </c>
      <c r="K6764" s="895"/>
    </row>
    <row r="6765" spans="1:11">
      <c r="A6765" s="888" t="s">
        <v>5217</v>
      </c>
      <c r="B6765" s="888" t="s">
        <v>1258</v>
      </c>
      <c r="C6765" s="888" t="s">
        <v>1259</v>
      </c>
    </row>
    <row r="6766" spans="1:11">
      <c r="A6766" s="888">
        <v>325</v>
      </c>
      <c r="B6766" s="888" t="s">
        <v>164</v>
      </c>
      <c r="C6766" s="888" t="s">
        <v>1107</v>
      </c>
      <c r="D6766" s="889">
        <v>46036</v>
      </c>
      <c r="E6766" s="890">
        <v>0.34827546296296297</v>
      </c>
      <c r="F6766" s="890">
        <v>0.76672453703703702</v>
      </c>
    </row>
    <row r="6767" spans="1:11">
      <c r="A6767" s="888" t="s">
        <v>5218</v>
      </c>
      <c r="B6767" s="888" t="s">
        <v>5219</v>
      </c>
      <c r="C6767" s="888" t="s">
        <v>2030</v>
      </c>
    </row>
    <row r="6768" spans="1:11">
      <c r="A6768" s="888">
        <v>325</v>
      </c>
      <c r="B6768" s="888" t="s">
        <v>164</v>
      </c>
      <c r="C6768" s="888" t="s">
        <v>1107</v>
      </c>
      <c r="D6768" s="889">
        <v>46037</v>
      </c>
      <c r="E6768" s="890">
        <v>0.41755787037037034</v>
      </c>
      <c r="F6768" s="890">
        <v>0.76001157407407405</v>
      </c>
      <c r="G6768" s="891" t="s">
        <v>1040</v>
      </c>
      <c r="H6768" s="891" t="s">
        <v>1008</v>
      </c>
    </row>
    <row r="6769" spans="1:10">
      <c r="A6769" s="888" t="s">
        <v>5220</v>
      </c>
      <c r="B6769" s="888" t="s">
        <v>5221</v>
      </c>
      <c r="C6769" s="888" t="s">
        <v>2736</v>
      </c>
    </row>
    <row r="6770" spans="1:10">
      <c r="A6770" s="888">
        <v>325</v>
      </c>
      <c r="B6770" s="888" t="s">
        <v>164</v>
      </c>
      <c r="C6770" s="888" t="s">
        <v>1107</v>
      </c>
      <c r="D6770" s="889">
        <v>46038</v>
      </c>
      <c r="E6770" s="890">
        <v>0.35562500000000002</v>
      </c>
      <c r="F6770" s="890">
        <v>0.75482638888888887</v>
      </c>
      <c r="G6770" s="891" t="s">
        <v>1040</v>
      </c>
      <c r="H6770" s="891" t="s">
        <v>1380</v>
      </c>
    </row>
    <row r="6771" spans="1:10">
      <c r="A6771" s="888" t="s">
        <v>5222</v>
      </c>
      <c r="B6771" s="888" t="s">
        <v>5223</v>
      </c>
      <c r="C6771" s="888" t="s">
        <v>1288</v>
      </c>
    </row>
    <row r="6772" spans="1:10">
      <c r="A6772" s="888">
        <v>325</v>
      </c>
      <c r="B6772" s="888" t="s">
        <v>164</v>
      </c>
      <c r="C6772" s="888" t="s">
        <v>1107</v>
      </c>
      <c r="D6772" s="889">
        <v>46039</v>
      </c>
      <c r="E6772" s="888" t="s">
        <v>310</v>
      </c>
      <c r="F6772" s="888" t="s">
        <v>310</v>
      </c>
      <c r="G6772" s="891" t="s">
        <v>1040</v>
      </c>
      <c r="H6772" s="891" t="s">
        <v>1344</v>
      </c>
      <c r="I6772" s="891" t="s">
        <v>1040</v>
      </c>
      <c r="J6772" s="891" t="s">
        <v>1344</v>
      </c>
    </row>
    <row r="6773" spans="1:10">
      <c r="A6773" s="888">
        <v>325</v>
      </c>
      <c r="B6773" s="888" t="s">
        <v>164</v>
      </c>
      <c r="C6773" s="888" t="s">
        <v>1107</v>
      </c>
      <c r="D6773" s="889">
        <v>46040</v>
      </c>
      <c r="E6773" s="888" t="s">
        <v>310</v>
      </c>
      <c r="F6773" s="888" t="s">
        <v>310</v>
      </c>
      <c r="G6773" s="891" t="s">
        <v>1040</v>
      </c>
      <c r="H6773" s="891" t="s">
        <v>1344</v>
      </c>
      <c r="I6773" s="891" t="s">
        <v>1040</v>
      </c>
      <c r="J6773" s="891" t="s">
        <v>1344</v>
      </c>
    </row>
    <row r="6774" spans="1:10">
      <c r="A6774" s="888">
        <v>325</v>
      </c>
      <c r="B6774" s="888" t="s">
        <v>164</v>
      </c>
      <c r="C6774" s="888" t="s">
        <v>1107</v>
      </c>
      <c r="D6774" s="889">
        <v>46041</v>
      </c>
      <c r="E6774" s="890">
        <v>0.56361111111111106</v>
      </c>
      <c r="F6774" s="890">
        <v>0.76436342592592588</v>
      </c>
      <c r="G6774" s="891" t="s">
        <v>1040</v>
      </c>
      <c r="H6774" s="891" t="s">
        <v>1008</v>
      </c>
    </row>
    <row r="6775" spans="1:10">
      <c r="A6775" s="888" t="s">
        <v>5224</v>
      </c>
      <c r="B6775" s="888" t="s">
        <v>5225</v>
      </c>
      <c r="C6775" s="888" t="s">
        <v>5226</v>
      </c>
    </row>
    <row r="6776" spans="1:10">
      <c r="A6776" s="892">
        <v>325</v>
      </c>
      <c r="B6776" s="892" t="s">
        <v>164</v>
      </c>
      <c r="C6776" s="892" t="s">
        <v>1107</v>
      </c>
      <c r="D6776" s="893">
        <v>46042</v>
      </c>
      <c r="E6776" s="894">
        <v>0.3626388888888889</v>
      </c>
      <c r="F6776" s="894">
        <v>0.75042824074074077</v>
      </c>
      <c r="G6776" s="895" t="s">
        <v>1040</v>
      </c>
      <c r="H6776" s="895" t="s">
        <v>1054</v>
      </c>
    </row>
    <row r="6777" spans="1:10">
      <c r="A6777" s="888" t="s">
        <v>5227</v>
      </c>
      <c r="B6777" s="888" t="s">
        <v>5228</v>
      </c>
      <c r="C6777" s="888" t="s">
        <v>1410</v>
      </c>
    </row>
    <row r="6778" spans="1:10">
      <c r="A6778" s="892">
        <v>325</v>
      </c>
      <c r="B6778" s="892" t="s">
        <v>164</v>
      </c>
      <c r="C6778" s="892" t="s">
        <v>1107</v>
      </c>
      <c r="D6778" s="893">
        <v>46043</v>
      </c>
      <c r="E6778" s="894">
        <v>0.35348379629629628</v>
      </c>
      <c r="F6778" s="894">
        <v>0.75589120370370366</v>
      </c>
      <c r="G6778" s="895"/>
      <c r="H6778" s="895"/>
    </row>
    <row r="6779" spans="1:10">
      <c r="A6779" s="888" t="s">
        <v>5229</v>
      </c>
      <c r="B6779" s="888" t="s">
        <v>5230</v>
      </c>
      <c r="C6779" s="888" t="s">
        <v>1538</v>
      </c>
    </row>
    <row r="6780" spans="1:10">
      <c r="A6780" s="892">
        <v>325</v>
      </c>
      <c r="B6780" s="892" t="s">
        <v>164</v>
      </c>
      <c r="C6780" s="892" t="s">
        <v>1107</v>
      </c>
      <c r="D6780" s="893">
        <v>46044</v>
      </c>
      <c r="E6780" s="894">
        <v>0.5612152777777778</v>
      </c>
      <c r="F6780" s="894">
        <v>0.7593981481481481</v>
      </c>
      <c r="G6780" s="895" t="s">
        <v>1040</v>
      </c>
      <c r="H6780" s="895" t="s">
        <v>1048</v>
      </c>
    </row>
    <row r="6781" spans="1:10">
      <c r="A6781" s="888" t="s">
        <v>5231</v>
      </c>
      <c r="B6781" s="888" t="s">
        <v>5232</v>
      </c>
      <c r="C6781" s="888" t="s">
        <v>4636</v>
      </c>
    </row>
    <row r="6782" spans="1:10">
      <c r="A6782" s="892">
        <v>325</v>
      </c>
      <c r="B6782" s="892" t="s">
        <v>164</v>
      </c>
      <c r="C6782" s="892" t="s">
        <v>1107</v>
      </c>
      <c r="D6782" s="893">
        <v>46045</v>
      </c>
      <c r="E6782" s="894">
        <v>0.41266203703703702</v>
      </c>
      <c r="F6782" s="894">
        <v>0.75965277777777773</v>
      </c>
      <c r="G6782" s="895" t="s">
        <v>1040</v>
      </c>
      <c r="H6782" s="895" t="s">
        <v>1195</v>
      </c>
    </row>
    <row r="6783" spans="1:10">
      <c r="A6783" s="888" t="s">
        <v>5233</v>
      </c>
      <c r="B6783" s="888" t="s">
        <v>5234</v>
      </c>
      <c r="C6783" s="888" t="s">
        <v>1988</v>
      </c>
    </row>
    <row r="6784" spans="1:10">
      <c r="A6784" s="892">
        <v>325</v>
      </c>
      <c r="B6784" s="892" t="s">
        <v>164</v>
      </c>
      <c r="C6784" s="892" t="s">
        <v>1107</v>
      </c>
      <c r="D6784" s="893">
        <v>46046</v>
      </c>
      <c r="E6784" s="892" t="s">
        <v>310</v>
      </c>
      <c r="F6784" s="892" t="s">
        <v>310</v>
      </c>
      <c r="G6784" s="895" t="s">
        <v>1040</v>
      </c>
      <c r="H6784" s="895" t="s">
        <v>1344</v>
      </c>
      <c r="I6784" s="891" t="s">
        <v>1040</v>
      </c>
      <c r="J6784" s="891" t="s">
        <v>1344</v>
      </c>
    </row>
    <row r="6785" spans="1:10">
      <c r="A6785" s="892">
        <v>325</v>
      </c>
      <c r="B6785" s="892" t="s">
        <v>164</v>
      </c>
      <c r="C6785" s="892" t="s">
        <v>1107</v>
      </c>
      <c r="D6785" s="893">
        <v>46047</v>
      </c>
      <c r="E6785" s="892" t="s">
        <v>310</v>
      </c>
      <c r="F6785" s="892" t="s">
        <v>310</v>
      </c>
      <c r="G6785" s="895" t="s">
        <v>1040</v>
      </c>
      <c r="H6785" s="895" t="s">
        <v>1344</v>
      </c>
      <c r="I6785" s="891" t="s">
        <v>1040</v>
      </c>
      <c r="J6785" s="891" t="s">
        <v>1344</v>
      </c>
    </row>
    <row r="6786" spans="1:10">
      <c r="A6786" s="892">
        <v>325</v>
      </c>
      <c r="B6786" s="892" t="s">
        <v>164</v>
      </c>
      <c r="C6786" s="892" t="s">
        <v>1107</v>
      </c>
      <c r="D6786" s="893">
        <v>46048</v>
      </c>
      <c r="E6786" s="894">
        <v>0.39276620370370369</v>
      </c>
      <c r="F6786" s="894">
        <v>0.76368055555555558</v>
      </c>
      <c r="G6786" s="895" t="s">
        <v>1040</v>
      </c>
      <c r="H6786" s="895" t="s">
        <v>1054</v>
      </c>
    </row>
    <row r="6787" spans="1:10">
      <c r="A6787" s="888" t="s">
        <v>5235</v>
      </c>
      <c r="B6787" s="888" t="s">
        <v>5236</v>
      </c>
      <c r="C6787" s="888" t="s">
        <v>1590</v>
      </c>
    </row>
    <row r="6788" spans="1:10">
      <c r="A6788" s="892">
        <v>325</v>
      </c>
      <c r="B6788" s="892" t="s">
        <v>164</v>
      </c>
      <c r="C6788" s="892" t="s">
        <v>1107</v>
      </c>
      <c r="D6788" s="893">
        <v>46049</v>
      </c>
      <c r="E6788" s="894">
        <v>0.56359953703703702</v>
      </c>
      <c r="F6788" s="894">
        <v>0.75796296296296295</v>
      </c>
      <c r="G6788" s="895" t="s">
        <v>1040</v>
      </c>
      <c r="H6788" s="895" t="s">
        <v>1048</v>
      </c>
    </row>
    <row r="6789" spans="1:10">
      <c r="A6789" s="888" t="s">
        <v>5237</v>
      </c>
      <c r="B6789" s="888" t="s">
        <v>5238</v>
      </c>
      <c r="C6789" s="888" t="s">
        <v>4451</v>
      </c>
    </row>
    <row r="6790" spans="1:10">
      <c r="A6790" s="892">
        <v>325</v>
      </c>
      <c r="B6790" s="892" t="s">
        <v>164</v>
      </c>
      <c r="C6790" s="892" t="s">
        <v>1107</v>
      </c>
      <c r="D6790" s="893">
        <v>46050</v>
      </c>
      <c r="E6790" s="894">
        <v>0.7570486111111111</v>
      </c>
      <c r="F6790" s="892" t="s">
        <v>310</v>
      </c>
      <c r="G6790" s="895" t="s">
        <v>1040</v>
      </c>
      <c r="H6790" s="895" t="s">
        <v>1197</v>
      </c>
    </row>
    <row r="6791" spans="1:10">
      <c r="A6791" s="888" t="s">
        <v>5239</v>
      </c>
      <c r="B6791" s="888" t="s">
        <v>1258</v>
      </c>
      <c r="C6791" s="888" t="s">
        <v>1259</v>
      </c>
    </row>
    <row r="6792" spans="1:10">
      <c r="A6792" s="892">
        <v>325</v>
      </c>
      <c r="B6792" s="892" t="s">
        <v>164</v>
      </c>
      <c r="C6792" s="892" t="s">
        <v>1107</v>
      </c>
      <c r="D6792" s="893">
        <v>46051</v>
      </c>
      <c r="E6792" s="894">
        <v>0.45047453703703705</v>
      </c>
      <c r="F6792" s="894">
        <v>0.76027777777777783</v>
      </c>
      <c r="G6792" s="895" t="s">
        <v>1040</v>
      </c>
      <c r="H6792" s="895" t="s">
        <v>1054</v>
      </c>
    </row>
    <row r="6793" spans="1:10">
      <c r="A6793" s="888" t="s">
        <v>5240</v>
      </c>
      <c r="B6793" s="888" t="s">
        <v>5241</v>
      </c>
      <c r="C6793" s="888" t="s">
        <v>5242</v>
      </c>
    </row>
    <row r="6794" spans="1:10">
      <c r="A6794" s="892">
        <v>325</v>
      </c>
      <c r="B6794" s="892" t="s">
        <v>164</v>
      </c>
      <c r="C6794" s="892" t="s">
        <v>1107</v>
      </c>
      <c r="D6794" s="893">
        <v>46052</v>
      </c>
      <c r="E6794" s="894">
        <v>0.56703703703703701</v>
      </c>
      <c r="F6794" s="894">
        <v>0.76708333333333334</v>
      </c>
      <c r="G6794" s="895" t="s">
        <v>1040</v>
      </c>
      <c r="H6794" s="895" t="s">
        <v>996</v>
      </c>
    </row>
    <row r="6795" spans="1:10">
      <c r="A6795" s="888" t="s">
        <v>5243</v>
      </c>
      <c r="B6795" s="888" t="s">
        <v>5244</v>
      </c>
      <c r="C6795" s="888" t="s">
        <v>3870</v>
      </c>
    </row>
    <row r="6796" spans="1:10">
      <c r="A6796" s="892">
        <v>325</v>
      </c>
      <c r="B6796" s="892" t="s">
        <v>164</v>
      </c>
      <c r="C6796" s="892" t="s">
        <v>1107</v>
      </c>
      <c r="D6796" s="893">
        <v>46053</v>
      </c>
      <c r="E6796" s="892" t="s">
        <v>310</v>
      </c>
      <c r="F6796" s="892" t="s">
        <v>310</v>
      </c>
      <c r="G6796" s="895" t="s">
        <v>1040</v>
      </c>
      <c r="H6796" s="895" t="s">
        <v>1344</v>
      </c>
      <c r="I6796" s="891" t="s">
        <v>1040</v>
      </c>
      <c r="J6796" s="891" t="s">
        <v>1344</v>
      </c>
    </row>
    <row r="6797" spans="1:10">
      <c r="A6797" s="888">
        <v>326</v>
      </c>
      <c r="B6797" s="888" t="s">
        <v>1026</v>
      </c>
      <c r="C6797" s="888" t="s">
        <v>1253</v>
      </c>
      <c r="D6797" s="889">
        <v>46023</v>
      </c>
      <c r="E6797" s="888" t="s">
        <v>310</v>
      </c>
      <c r="F6797" s="888" t="s">
        <v>310</v>
      </c>
      <c r="G6797" s="891" t="s">
        <v>1040</v>
      </c>
      <c r="H6797" s="891" t="s">
        <v>4833</v>
      </c>
      <c r="I6797" s="891" t="s">
        <v>1040</v>
      </c>
      <c r="J6797" s="891" t="s">
        <v>4833</v>
      </c>
    </row>
    <row r="6798" spans="1:10">
      <c r="A6798" s="888">
        <v>326</v>
      </c>
      <c r="B6798" s="888" t="s">
        <v>1026</v>
      </c>
      <c r="C6798" s="888" t="s">
        <v>1253</v>
      </c>
      <c r="D6798" s="889">
        <v>46024</v>
      </c>
      <c r="E6798" s="888" t="s">
        <v>310</v>
      </c>
      <c r="F6798" s="888" t="s">
        <v>310</v>
      </c>
      <c r="G6798" s="891" t="s">
        <v>1040</v>
      </c>
      <c r="H6798" s="891" t="s">
        <v>996</v>
      </c>
      <c r="I6798" s="891" t="s">
        <v>1040</v>
      </c>
      <c r="J6798" s="891" t="s">
        <v>996</v>
      </c>
    </row>
    <row r="6799" spans="1:10">
      <c r="A6799" s="888">
        <v>326</v>
      </c>
      <c r="B6799" s="888" t="s">
        <v>1026</v>
      </c>
      <c r="C6799" s="888" t="s">
        <v>1253</v>
      </c>
      <c r="D6799" s="889">
        <v>46025</v>
      </c>
      <c r="E6799" s="888" t="s">
        <v>310</v>
      </c>
      <c r="F6799" s="888" t="s">
        <v>310</v>
      </c>
      <c r="G6799" s="891" t="s">
        <v>1040</v>
      </c>
      <c r="H6799" s="891" t="s">
        <v>4836</v>
      </c>
      <c r="I6799" s="891" t="s">
        <v>1040</v>
      </c>
      <c r="J6799" s="891" t="s">
        <v>4836</v>
      </c>
    </row>
    <row r="6800" spans="1:10">
      <c r="A6800" s="888">
        <v>326</v>
      </c>
      <c r="B6800" s="888" t="s">
        <v>1026</v>
      </c>
      <c r="C6800" s="888" t="s">
        <v>1253</v>
      </c>
      <c r="D6800" s="889">
        <v>46026</v>
      </c>
      <c r="E6800" s="888" t="s">
        <v>310</v>
      </c>
      <c r="F6800" s="888" t="s">
        <v>310</v>
      </c>
      <c r="G6800" s="891" t="s">
        <v>1040</v>
      </c>
      <c r="H6800" s="891" t="s">
        <v>4836</v>
      </c>
      <c r="I6800" s="891" t="s">
        <v>1040</v>
      </c>
      <c r="J6800" s="891" t="s">
        <v>4836</v>
      </c>
    </row>
    <row r="6801" spans="1:10">
      <c r="A6801" s="888">
        <v>326</v>
      </c>
      <c r="B6801" s="888" t="s">
        <v>1026</v>
      </c>
      <c r="C6801" s="888" t="s">
        <v>1253</v>
      </c>
      <c r="D6801" s="889">
        <v>46027</v>
      </c>
      <c r="E6801" s="890">
        <v>0.51709490740740738</v>
      </c>
      <c r="F6801" s="890">
        <v>0.75888888888888884</v>
      </c>
      <c r="G6801" s="891" t="s">
        <v>1040</v>
      </c>
      <c r="H6801" s="891" t="s">
        <v>1048</v>
      </c>
    </row>
    <row r="6802" spans="1:10">
      <c r="A6802" s="888" t="s">
        <v>5245</v>
      </c>
      <c r="B6802" s="888" t="s">
        <v>5246</v>
      </c>
      <c r="C6802" s="888" t="s">
        <v>5247</v>
      </c>
    </row>
    <row r="6803" spans="1:10">
      <c r="A6803" s="888">
        <v>326</v>
      </c>
      <c r="B6803" s="888" t="s">
        <v>1026</v>
      </c>
      <c r="C6803" s="888" t="s">
        <v>1253</v>
      </c>
      <c r="D6803" s="889">
        <v>46028</v>
      </c>
      <c r="E6803" s="890">
        <v>0.35093750000000001</v>
      </c>
      <c r="F6803" s="890">
        <v>0.76087962962962963</v>
      </c>
    </row>
    <row r="6804" spans="1:10">
      <c r="A6804" s="888" t="s">
        <v>5248</v>
      </c>
      <c r="B6804" s="888" t="s">
        <v>5249</v>
      </c>
      <c r="C6804" s="888" t="s">
        <v>1874</v>
      </c>
    </row>
    <row r="6805" spans="1:10">
      <c r="A6805" s="888">
        <v>326</v>
      </c>
      <c r="B6805" s="888" t="s">
        <v>1026</v>
      </c>
      <c r="C6805" s="888" t="s">
        <v>1253</v>
      </c>
      <c r="D6805" s="889">
        <v>46029</v>
      </c>
      <c r="E6805" s="890">
        <v>0.3477777777777778</v>
      </c>
      <c r="F6805" s="890">
        <v>0.76280092592592597</v>
      </c>
    </row>
    <row r="6806" spans="1:10">
      <c r="A6806" s="888" t="s">
        <v>5250</v>
      </c>
      <c r="B6806" s="888" t="s">
        <v>5251</v>
      </c>
      <c r="C6806" s="888" t="s">
        <v>1879</v>
      </c>
    </row>
    <row r="6807" spans="1:10">
      <c r="A6807" s="888">
        <v>326</v>
      </c>
      <c r="B6807" s="888" t="s">
        <v>1026</v>
      </c>
      <c r="C6807" s="888" t="s">
        <v>1253</v>
      </c>
      <c r="D6807" s="889">
        <v>46030</v>
      </c>
      <c r="E6807" s="890">
        <v>0.34766203703703702</v>
      </c>
      <c r="F6807" s="890">
        <v>0.75965277777777773</v>
      </c>
    </row>
    <row r="6808" spans="1:10">
      <c r="A6808" s="888" t="s">
        <v>5252</v>
      </c>
      <c r="B6808" s="888" t="s">
        <v>5253</v>
      </c>
      <c r="C6808" s="888" t="s">
        <v>1369</v>
      </c>
    </row>
    <row r="6809" spans="1:10">
      <c r="A6809" s="888">
        <v>326</v>
      </c>
      <c r="B6809" s="888" t="s">
        <v>1026</v>
      </c>
      <c r="C6809" s="888" t="s">
        <v>1253</v>
      </c>
      <c r="D6809" s="889">
        <v>46031</v>
      </c>
      <c r="E6809" s="890">
        <v>0.34931712962962963</v>
      </c>
      <c r="F6809" s="890">
        <v>0.76475694444444442</v>
      </c>
    </row>
    <row r="6810" spans="1:10">
      <c r="A6810" s="888" t="s">
        <v>5254</v>
      </c>
      <c r="B6810" s="888" t="s">
        <v>5255</v>
      </c>
      <c r="C6810" s="888" t="s">
        <v>1879</v>
      </c>
    </row>
    <row r="6811" spans="1:10">
      <c r="A6811" s="888">
        <v>326</v>
      </c>
      <c r="B6811" s="888" t="s">
        <v>1026</v>
      </c>
      <c r="C6811" s="888" t="s">
        <v>1253</v>
      </c>
      <c r="D6811" s="889">
        <v>46032</v>
      </c>
      <c r="E6811" s="888" t="s">
        <v>310</v>
      </c>
      <c r="F6811" s="888" t="s">
        <v>310</v>
      </c>
      <c r="G6811" s="891" t="s">
        <v>1040</v>
      </c>
      <c r="H6811" s="891" t="s">
        <v>4836</v>
      </c>
      <c r="I6811" s="891" t="s">
        <v>1040</v>
      </c>
      <c r="J6811" s="891" t="s">
        <v>4836</v>
      </c>
    </row>
    <row r="6812" spans="1:10">
      <c r="A6812" s="892">
        <v>326</v>
      </c>
      <c r="B6812" s="892" t="s">
        <v>1026</v>
      </c>
      <c r="C6812" s="892" t="s">
        <v>1253</v>
      </c>
      <c r="D6812" s="893">
        <v>46033</v>
      </c>
      <c r="E6812" s="892" t="s">
        <v>310</v>
      </c>
      <c r="F6812" s="892" t="s">
        <v>310</v>
      </c>
      <c r="G6812" s="895" t="s">
        <v>1040</v>
      </c>
      <c r="H6812" s="895" t="s">
        <v>4836</v>
      </c>
      <c r="I6812" s="895" t="s">
        <v>1040</v>
      </c>
      <c r="J6812" s="895" t="s">
        <v>4836</v>
      </c>
    </row>
    <row r="6813" spans="1:10">
      <c r="A6813" s="892">
        <v>326</v>
      </c>
      <c r="B6813" s="892" t="s">
        <v>1026</v>
      </c>
      <c r="C6813" s="892" t="s">
        <v>1253</v>
      </c>
      <c r="D6813" s="893">
        <v>46034</v>
      </c>
      <c r="E6813" s="894">
        <v>0.35039351851851852</v>
      </c>
      <c r="F6813" s="894">
        <v>0.76370370370370366</v>
      </c>
      <c r="G6813" s="895"/>
      <c r="H6813" s="895"/>
      <c r="I6813" s="895"/>
      <c r="J6813" s="895"/>
    </row>
    <row r="6814" spans="1:10">
      <c r="A6814" s="888" t="s">
        <v>5256</v>
      </c>
      <c r="B6814" s="888" t="s">
        <v>5257</v>
      </c>
      <c r="C6814" s="888" t="s">
        <v>1360</v>
      </c>
    </row>
    <row r="6815" spans="1:10">
      <c r="A6815" s="892">
        <v>326</v>
      </c>
      <c r="B6815" s="892" t="s">
        <v>1026</v>
      </c>
      <c r="C6815" s="892" t="s">
        <v>1253</v>
      </c>
      <c r="D6815" s="893">
        <v>46035</v>
      </c>
      <c r="E6815" s="894">
        <v>0.35135416666666669</v>
      </c>
      <c r="F6815" s="892" t="s">
        <v>310</v>
      </c>
      <c r="G6815" s="895"/>
      <c r="H6815" s="895"/>
      <c r="I6815" s="895" t="s">
        <v>1040</v>
      </c>
      <c r="J6815" s="895" t="s">
        <v>1196</v>
      </c>
    </row>
    <row r="6816" spans="1:10">
      <c r="A6816" s="888" t="s">
        <v>5258</v>
      </c>
      <c r="B6816" s="888" t="s">
        <v>1258</v>
      </c>
      <c r="C6816" s="888" t="s">
        <v>1259</v>
      </c>
    </row>
    <row r="6817" spans="1:10">
      <c r="A6817" s="892">
        <v>326</v>
      </c>
      <c r="B6817" s="892" t="s">
        <v>1026</v>
      </c>
      <c r="C6817" s="892" t="s">
        <v>1253</v>
      </c>
      <c r="D6817" s="893">
        <v>46036</v>
      </c>
      <c r="E6817" s="894">
        <v>0.34766203703703702</v>
      </c>
      <c r="F6817" s="894">
        <v>0.76812499999999995</v>
      </c>
      <c r="G6817" s="895"/>
      <c r="H6817" s="895"/>
      <c r="I6817" s="895"/>
      <c r="J6817" s="895"/>
    </row>
    <row r="6818" spans="1:10">
      <c r="A6818" s="888" t="s">
        <v>5259</v>
      </c>
      <c r="B6818" s="888" t="s">
        <v>5260</v>
      </c>
      <c r="C6818" s="888" t="s">
        <v>2639</v>
      </c>
    </row>
    <row r="6819" spans="1:10">
      <c r="A6819" s="892">
        <v>326</v>
      </c>
      <c r="B6819" s="892" t="s">
        <v>1026</v>
      </c>
      <c r="C6819" s="892" t="s">
        <v>1253</v>
      </c>
      <c r="D6819" s="893">
        <v>46037</v>
      </c>
      <c r="E6819" s="894">
        <v>0.34782407407407406</v>
      </c>
      <c r="F6819" s="894">
        <v>0.75564814814814818</v>
      </c>
      <c r="G6819" s="895"/>
      <c r="H6819" s="895"/>
      <c r="I6819" s="895"/>
      <c r="J6819" s="895"/>
    </row>
    <row r="6820" spans="1:10">
      <c r="A6820" s="888" t="s">
        <v>5261</v>
      </c>
      <c r="B6820" s="888" t="s">
        <v>5262</v>
      </c>
      <c r="C6820" s="888" t="s">
        <v>1645</v>
      </c>
    </row>
    <row r="6821" spans="1:10">
      <c r="A6821" s="892">
        <v>326</v>
      </c>
      <c r="B6821" s="892" t="s">
        <v>1026</v>
      </c>
      <c r="C6821" s="892" t="s">
        <v>1253</v>
      </c>
      <c r="D6821" s="893">
        <v>46038</v>
      </c>
      <c r="E6821" s="894">
        <v>0.35135416666666669</v>
      </c>
      <c r="F6821" s="894">
        <v>0.7634143518518518</v>
      </c>
      <c r="G6821" s="895"/>
      <c r="H6821" s="895"/>
      <c r="I6821" s="895"/>
      <c r="J6821" s="895"/>
    </row>
    <row r="6822" spans="1:10">
      <c r="A6822" s="888" t="s">
        <v>5263</v>
      </c>
      <c r="B6822" s="888" t="s">
        <v>5264</v>
      </c>
      <c r="C6822" s="888" t="s">
        <v>1369</v>
      </c>
    </row>
    <row r="6823" spans="1:10">
      <c r="A6823" s="892">
        <v>326</v>
      </c>
      <c r="B6823" s="892" t="s">
        <v>1026</v>
      </c>
      <c r="C6823" s="892" t="s">
        <v>1253</v>
      </c>
      <c r="D6823" s="893">
        <v>46039</v>
      </c>
      <c r="E6823" s="892" t="s">
        <v>310</v>
      </c>
      <c r="F6823" s="892" t="s">
        <v>310</v>
      </c>
      <c r="G6823" s="895" t="s">
        <v>1040</v>
      </c>
      <c r="H6823" s="895" t="s">
        <v>4836</v>
      </c>
      <c r="I6823" s="895" t="s">
        <v>1040</v>
      </c>
      <c r="J6823" s="895" t="s">
        <v>4836</v>
      </c>
    </row>
    <row r="6824" spans="1:10">
      <c r="A6824" s="892">
        <v>326</v>
      </c>
      <c r="B6824" s="892" t="s">
        <v>1026</v>
      </c>
      <c r="C6824" s="892" t="s">
        <v>1253</v>
      </c>
      <c r="D6824" s="893">
        <v>46040</v>
      </c>
      <c r="E6824" s="892" t="s">
        <v>310</v>
      </c>
      <c r="F6824" s="892" t="s">
        <v>310</v>
      </c>
      <c r="G6824" s="895" t="s">
        <v>1040</v>
      </c>
      <c r="H6824" s="895" t="s">
        <v>4836</v>
      </c>
      <c r="I6824" s="895" t="s">
        <v>1040</v>
      </c>
      <c r="J6824" s="895" t="s">
        <v>4836</v>
      </c>
    </row>
    <row r="6825" spans="1:10">
      <c r="A6825" s="892">
        <v>326</v>
      </c>
      <c r="B6825" s="892" t="s">
        <v>1026</v>
      </c>
      <c r="C6825" s="892" t="s">
        <v>1253</v>
      </c>
      <c r="D6825" s="893">
        <v>46041</v>
      </c>
      <c r="E6825" s="894">
        <v>0.35016203703703702</v>
      </c>
      <c r="F6825" s="894">
        <v>0.76442129629629629</v>
      </c>
      <c r="G6825" s="895"/>
      <c r="H6825" s="895"/>
      <c r="I6825" s="895"/>
      <c r="J6825" s="895"/>
    </row>
    <row r="6826" spans="1:10">
      <c r="A6826" s="888" t="s">
        <v>5265</v>
      </c>
      <c r="B6826" s="888" t="s">
        <v>5266</v>
      </c>
      <c r="C6826" s="888" t="s">
        <v>2009</v>
      </c>
    </row>
    <row r="6827" spans="1:10">
      <c r="A6827" s="892">
        <v>326</v>
      </c>
      <c r="B6827" s="892" t="s">
        <v>1026</v>
      </c>
      <c r="C6827" s="892" t="s">
        <v>1253</v>
      </c>
      <c r="D6827" s="893">
        <v>46042</v>
      </c>
      <c r="E6827" s="894">
        <v>0.34994212962962962</v>
      </c>
      <c r="F6827" s="892" t="s">
        <v>310</v>
      </c>
      <c r="G6827" s="895"/>
      <c r="H6827" s="895"/>
      <c r="I6827" s="895" t="s">
        <v>1040</v>
      </c>
      <c r="J6827" s="895" t="s">
        <v>1196</v>
      </c>
    </row>
    <row r="6828" spans="1:10">
      <c r="A6828" s="888" t="s">
        <v>5267</v>
      </c>
      <c r="B6828" s="888" t="s">
        <v>1258</v>
      </c>
      <c r="C6828" s="888" t="s">
        <v>1259</v>
      </c>
    </row>
    <row r="6829" spans="1:10">
      <c r="A6829" s="892">
        <v>326</v>
      </c>
      <c r="B6829" s="892" t="s">
        <v>1026</v>
      </c>
      <c r="C6829" s="892" t="s">
        <v>1253</v>
      </c>
      <c r="D6829" s="893">
        <v>46043</v>
      </c>
      <c r="E6829" s="894">
        <v>0.34888888888888892</v>
      </c>
      <c r="F6829" s="894">
        <v>0.76303240740740741</v>
      </c>
      <c r="G6829" s="895"/>
      <c r="H6829" s="895"/>
      <c r="I6829" s="895"/>
      <c r="J6829" s="895"/>
    </row>
    <row r="6830" spans="1:10">
      <c r="A6830" s="888" t="s">
        <v>5268</v>
      </c>
      <c r="B6830" s="888" t="s">
        <v>5269</v>
      </c>
      <c r="C6830" s="888" t="s">
        <v>1407</v>
      </c>
    </row>
    <row r="6831" spans="1:10">
      <c r="A6831" s="897">
        <v>326</v>
      </c>
      <c r="B6831" s="897" t="s">
        <v>1026</v>
      </c>
      <c r="C6831" s="897" t="s">
        <v>1253</v>
      </c>
      <c r="D6831" s="898">
        <v>46044</v>
      </c>
      <c r="E6831" s="900">
        <v>0.37761574074074072</v>
      </c>
      <c r="F6831" s="900">
        <v>0.76261574074074079</v>
      </c>
      <c r="G6831" s="899" t="s">
        <v>1040</v>
      </c>
      <c r="H6831" s="899" t="s">
        <v>1054</v>
      </c>
    </row>
    <row r="6832" spans="1:10">
      <c r="A6832" s="888" t="s">
        <v>5270</v>
      </c>
      <c r="B6832" s="888" t="s">
        <v>5271</v>
      </c>
      <c r="C6832" s="888" t="s">
        <v>3170</v>
      </c>
    </row>
    <row r="6833" spans="1:10">
      <c r="A6833" s="888">
        <v>326</v>
      </c>
      <c r="B6833" s="888" t="s">
        <v>1026</v>
      </c>
      <c r="C6833" s="888" t="s">
        <v>1253</v>
      </c>
      <c r="D6833" s="889">
        <v>46045</v>
      </c>
      <c r="E6833" s="890">
        <v>0.34839120370370369</v>
      </c>
      <c r="F6833" s="890">
        <v>0.75967592592592592</v>
      </c>
    </row>
    <row r="6834" spans="1:10">
      <c r="A6834" s="888" t="s">
        <v>5272</v>
      </c>
      <c r="B6834" s="888" t="s">
        <v>5273</v>
      </c>
      <c r="C6834" s="888" t="s">
        <v>1613</v>
      </c>
    </row>
    <row r="6835" spans="1:10">
      <c r="A6835" s="888">
        <v>326</v>
      </c>
      <c r="B6835" s="888" t="s">
        <v>1026</v>
      </c>
      <c r="C6835" s="888" t="s">
        <v>1253</v>
      </c>
      <c r="D6835" s="889">
        <v>46046</v>
      </c>
      <c r="E6835" s="888" t="s">
        <v>310</v>
      </c>
      <c r="F6835" s="888" t="s">
        <v>310</v>
      </c>
      <c r="G6835" s="891" t="s">
        <v>1040</v>
      </c>
      <c r="H6835" s="891" t="s">
        <v>4836</v>
      </c>
      <c r="I6835" s="891" t="s">
        <v>1040</v>
      </c>
      <c r="J6835" s="891" t="s">
        <v>4836</v>
      </c>
    </row>
    <row r="6836" spans="1:10">
      <c r="A6836" s="888">
        <v>326</v>
      </c>
      <c r="B6836" s="888" t="s">
        <v>1026</v>
      </c>
      <c r="C6836" s="888" t="s">
        <v>1253</v>
      </c>
      <c r="D6836" s="889">
        <v>46047</v>
      </c>
      <c r="E6836" s="888" t="s">
        <v>310</v>
      </c>
      <c r="F6836" s="888" t="s">
        <v>310</v>
      </c>
      <c r="G6836" s="891" t="s">
        <v>1040</v>
      </c>
      <c r="H6836" s="891" t="s">
        <v>4836</v>
      </c>
      <c r="I6836" s="891" t="s">
        <v>1040</v>
      </c>
      <c r="J6836" s="891" t="s">
        <v>4836</v>
      </c>
    </row>
    <row r="6837" spans="1:10">
      <c r="A6837" s="888">
        <v>326</v>
      </c>
      <c r="B6837" s="888" t="s">
        <v>1026</v>
      </c>
      <c r="C6837" s="888" t="s">
        <v>1253</v>
      </c>
      <c r="D6837" s="889">
        <v>46048</v>
      </c>
      <c r="E6837" s="890">
        <v>0.35071759259259261</v>
      </c>
      <c r="F6837" s="890">
        <v>0.75457175925925923</v>
      </c>
    </row>
    <row r="6838" spans="1:10">
      <c r="A6838" s="888" t="s">
        <v>5274</v>
      </c>
      <c r="B6838" s="888" t="s">
        <v>5275</v>
      </c>
      <c r="C6838" s="888" t="s">
        <v>1266</v>
      </c>
    </row>
    <row r="6839" spans="1:10">
      <c r="A6839" s="888">
        <v>326</v>
      </c>
      <c r="B6839" s="888" t="s">
        <v>1026</v>
      </c>
      <c r="C6839" s="888" t="s">
        <v>1253</v>
      </c>
      <c r="D6839" s="889">
        <v>46049</v>
      </c>
      <c r="E6839" s="890">
        <v>0.35251157407407407</v>
      </c>
      <c r="F6839" s="890">
        <v>0.76245370370370369</v>
      </c>
    </row>
    <row r="6840" spans="1:10">
      <c r="A6840" s="888" t="s">
        <v>5276</v>
      </c>
      <c r="B6840" s="888" t="s">
        <v>5277</v>
      </c>
      <c r="C6840" s="888" t="s">
        <v>1874</v>
      </c>
    </row>
    <row r="6841" spans="1:10">
      <c r="A6841" s="897">
        <v>326</v>
      </c>
      <c r="B6841" s="897" t="s">
        <v>1026</v>
      </c>
      <c r="C6841" s="897" t="s">
        <v>1253</v>
      </c>
      <c r="D6841" s="898">
        <v>46050</v>
      </c>
      <c r="E6841" s="900">
        <v>0.40524305555555556</v>
      </c>
      <c r="F6841" s="900">
        <v>0.75495370370370374</v>
      </c>
      <c r="G6841" s="899" t="s">
        <v>1040</v>
      </c>
      <c r="H6841" s="899" t="s">
        <v>1054</v>
      </c>
    </row>
    <row r="6842" spans="1:10">
      <c r="A6842" s="888" t="s">
        <v>5278</v>
      </c>
      <c r="B6842" s="888" t="s">
        <v>5279</v>
      </c>
      <c r="C6842" s="888" t="s">
        <v>1995</v>
      </c>
    </row>
    <row r="6843" spans="1:10">
      <c r="A6843" s="888">
        <v>326</v>
      </c>
      <c r="B6843" s="888" t="s">
        <v>1026</v>
      </c>
      <c r="C6843" s="888" t="s">
        <v>1253</v>
      </c>
      <c r="D6843" s="889">
        <v>46051</v>
      </c>
      <c r="E6843" s="890">
        <v>0.35115740740740742</v>
      </c>
      <c r="F6843" s="890">
        <v>0.76399305555555552</v>
      </c>
    </row>
    <row r="6844" spans="1:10">
      <c r="A6844" s="888" t="s">
        <v>5280</v>
      </c>
      <c r="B6844" s="888" t="s">
        <v>5281</v>
      </c>
      <c r="C6844" s="888" t="s">
        <v>1816</v>
      </c>
    </row>
    <row r="6845" spans="1:10">
      <c r="A6845" s="888">
        <v>326</v>
      </c>
      <c r="B6845" s="888" t="s">
        <v>1026</v>
      </c>
      <c r="C6845" s="888" t="s">
        <v>1253</v>
      </c>
      <c r="D6845" s="889">
        <v>46052</v>
      </c>
      <c r="E6845" s="890">
        <v>0.35021990740740738</v>
      </c>
      <c r="F6845" s="890">
        <v>0.50725694444444447</v>
      </c>
      <c r="I6845" s="891" t="s">
        <v>1040</v>
      </c>
      <c r="J6845" s="891" t="s">
        <v>1048</v>
      </c>
    </row>
    <row r="6846" spans="1:10">
      <c r="A6846" s="888" t="s">
        <v>5282</v>
      </c>
      <c r="B6846" s="888" t="s">
        <v>5283</v>
      </c>
      <c r="C6846" s="888" t="s">
        <v>5284</v>
      </c>
    </row>
    <row r="6847" spans="1:10">
      <c r="A6847" s="888">
        <v>326</v>
      </c>
      <c r="B6847" s="888" t="s">
        <v>1026</v>
      </c>
      <c r="C6847" s="888" t="s">
        <v>1253</v>
      </c>
      <c r="D6847" s="889">
        <v>46053</v>
      </c>
      <c r="E6847" s="888" t="s">
        <v>310</v>
      </c>
      <c r="F6847" s="888" t="s">
        <v>310</v>
      </c>
      <c r="G6847" s="891" t="s">
        <v>1040</v>
      </c>
      <c r="H6847" s="891" t="s">
        <v>4836</v>
      </c>
      <c r="I6847" s="891" t="s">
        <v>1040</v>
      </c>
      <c r="J6847" s="891" t="s">
        <v>4836</v>
      </c>
    </row>
    <row r="6848" spans="1:10">
      <c r="A6848" s="888">
        <v>327</v>
      </c>
      <c r="B6848" s="888" t="s">
        <v>1042</v>
      </c>
      <c r="C6848" s="888" t="s">
        <v>1253</v>
      </c>
      <c r="D6848" s="889">
        <v>46023</v>
      </c>
      <c r="E6848" s="888" t="s">
        <v>310</v>
      </c>
      <c r="F6848" s="888" t="s">
        <v>310</v>
      </c>
    </row>
    <row r="6849" spans="1:6">
      <c r="A6849" s="888">
        <v>327</v>
      </c>
      <c r="B6849" s="888" t="s">
        <v>1042</v>
      </c>
      <c r="C6849" s="888" t="s">
        <v>1253</v>
      </c>
      <c r="D6849" s="889">
        <v>46024</v>
      </c>
      <c r="E6849" s="888" t="s">
        <v>310</v>
      </c>
      <c r="F6849" s="888" t="s">
        <v>310</v>
      </c>
    </row>
    <row r="6850" spans="1:6">
      <c r="A6850" s="888">
        <v>327</v>
      </c>
      <c r="B6850" s="888" t="s">
        <v>1042</v>
      </c>
      <c r="C6850" s="888" t="s">
        <v>1253</v>
      </c>
      <c r="D6850" s="889">
        <v>46025</v>
      </c>
      <c r="E6850" s="888" t="s">
        <v>310</v>
      </c>
      <c r="F6850" s="888" t="s">
        <v>310</v>
      </c>
    </row>
    <row r="6851" spans="1:6">
      <c r="A6851" s="888">
        <v>327</v>
      </c>
      <c r="B6851" s="888" t="s">
        <v>1042</v>
      </c>
      <c r="C6851" s="888" t="s">
        <v>1253</v>
      </c>
      <c r="D6851" s="889">
        <v>46026</v>
      </c>
      <c r="E6851" s="888" t="s">
        <v>310</v>
      </c>
      <c r="F6851" s="888" t="s">
        <v>310</v>
      </c>
    </row>
    <row r="6852" spans="1:6">
      <c r="A6852" s="888">
        <v>327</v>
      </c>
      <c r="B6852" s="888" t="s">
        <v>1042</v>
      </c>
      <c r="C6852" s="888" t="s">
        <v>1253</v>
      </c>
      <c r="D6852" s="889">
        <v>46027</v>
      </c>
      <c r="E6852" s="888" t="s">
        <v>310</v>
      </c>
      <c r="F6852" s="888" t="s">
        <v>310</v>
      </c>
    </row>
    <row r="6853" spans="1:6">
      <c r="A6853" s="888">
        <v>327</v>
      </c>
      <c r="B6853" s="888" t="s">
        <v>1042</v>
      </c>
      <c r="C6853" s="888" t="s">
        <v>1253</v>
      </c>
      <c r="D6853" s="889">
        <v>46028</v>
      </c>
      <c r="E6853" s="888" t="s">
        <v>310</v>
      </c>
      <c r="F6853" s="888" t="s">
        <v>310</v>
      </c>
    </row>
    <row r="6854" spans="1:6">
      <c r="A6854" s="888">
        <v>327</v>
      </c>
      <c r="B6854" s="888" t="s">
        <v>1042</v>
      </c>
      <c r="C6854" s="888" t="s">
        <v>1253</v>
      </c>
      <c r="D6854" s="889">
        <v>46029</v>
      </c>
      <c r="E6854" s="888" t="s">
        <v>310</v>
      </c>
      <c r="F6854" s="888" t="s">
        <v>310</v>
      </c>
    </row>
    <row r="6855" spans="1:6">
      <c r="A6855" s="888">
        <v>327</v>
      </c>
      <c r="B6855" s="888" t="s">
        <v>1042</v>
      </c>
      <c r="C6855" s="888" t="s">
        <v>1253</v>
      </c>
      <c r="D6855" s="889">
        <v>46030</v>
      </c>
      <c r="E6855" s="888" t="s">
        <v>310</v>
      </c>
      <c r="F6855" s="888" t="s">
        <v>310</v>
      </c>
    </row>
    <row r="6856" spans="1:6">
      <c r="A6856" s="888">
        <v>327</v>
      </c>
      <c r="B6856" s="888" t="s">
        <v>1042</v>
      </c>
      <c r="C6856" s="888" t="s">
        <v>1253</v>
      </c>
      <c r="D6856" s="889">
        <v>46031</v>
      </c>
      <c r="E6856" s="888" t="s">
        <v>310</v>
      </c>
      <c r="F6856" s="888" t="s">
        <v>310</v>
      </c>
    </row>
    <row r="6857" spans="1:6">
      <c r="A6857" s="888">
        <v>327</v>
      </c>
      <c r="B6857" s="888" t="s">
        <v>1042</v>
      </c>
      <c r="C6857" s="888" t="s">
        <v>1253</v>
      </c>
      <c r="D6857" s="889">
        <v>46032</v>
      </c>
      <c r="E6857" s="888" t="s">
        <v>310</v>
      </c>
      <c r="F6857" s="888" t="s">
        <v>310</v>
      </c>
    </row>
    <row r="6858" spans="1:6">
      <c r="A6858" s="888">
        <v>327</v>
      </c>
      <c r="B6858" s="888" t="s">
        <v>1042</v>
      </c>
      <c r="C6858" s="888" t="s">
        <v>1253</v>
      </c>
      <c r="D6858" s="889">
        <v>46033</v>
      </c>
      <c r="E6858" s="888" t="s">
        <v>310</v>
      </c>
      <c r="F6858" s="888" t="s">
        <v>310</v>
      </c>
    </row>
    <row r="6859" spans="1:6">
      <c r="A6859" s="888">
        <v>327</v>
      </c>
      <c r="B6859" s="888" t="s">
        <v>1042</v>
      </c>
      <c r="C6859" s="888" t="s">
        <v>1253</v>
      </c>
      <c r="D6859" s="889">
        <v>46034</v>
      </c>
      <c r="E6859" s="888" t="s">
        <v>310</v>
      </c>
      <c r="F6859" s="888" t="s">
        <v>310</v>
      </c>
    </row>
    <row r="6860" spans="1:6">
      <c r="A6860" s="888">
        <v>327</v>
      </c>
      <c r="B6860" s="888" t="s">
        <v>1042</v>
      </c>
      <c r="C6860" s="888" t="s">
        <v>1253</v>
      </c>
      <c r="D6860" s="889">
        <v>46035</v>
      </c>
      <c r="E6860" s="888" t="s">
        <v>310</v>
      </c>
      <c r="F6860" s="888" t="s">
        <v>310</v>
      </c>
    </row>
    <row r="6861" spans="1:6">
      <c r="A6861" s="888">
        <v>327</v>
      </c>
      <c r="B6861" s="888" t="s">
        <v>1042</v>
      </c>
      <c r="C6861" s="888" t="s">
        <v>1253</v>
      </c>
      <c r="D6861" s="889">
        <v>46036</v>
      </c>
      <c r="E6861" s="888" t="s">
        <v>310</v>
      </c>
      <c r="F6861" s="888" t="s">
        <v>310</v>
      </c>
    </row>
    <row r="6862" spans="1:6">
      <c r="A6862" s="888">
        <v>327</v>
      </c>
      <c r="B6862" s="888" t="s">
        <v>1042</v>
      </c>
      <c r="C6862" s="888" t="s">
        <v>1253</v>
      </c>
      <c r="D6862" s="889">
        <v>46037</v>
      </c>
      <c r="E6862" s="888" t="s">
        <v>310</v>
      </c>
      <c r="F6862" s="888" t="s">
        <v>310</v>
      </c>
    </row>
    <row r="6863" spans="1:6">
      <c r="A6863" s="888">
        <v>327</v>
      </c>
      <c r="B6863" s="888" t="s">
        <v>1042</v>
      </c>
      <c r="C6863" s="888" t="s">
        <v>1253</v>
      </c>
      <c r="D6863" s="889">
        <v>46038</v>
      </c>
      <c r="E6863" s="888" t="s">
        <v>310</v>
      </c>
      <c r="F6863" s="888" t="s">
        <v>310</v>
      </c>
    </row>
    <row r="6864" spans="1:6">
      <c r="A6864" s="888">
        <v>327</v>
      </c>
      <c r="B6864" s="888" t="s">
        <v>1042</v>
      </c>
      <c r="C6864" s="888" t="s">
        <v>1253</v>
      </c>
      <c r="D6864" s="889">
        <v>46039</v>
      </c>
      <c r="E6864" s="888" t="s">
        <v>310</v>
      </c>
      <c r="F6864" s="888" t="s">
        <v>310</v>
      </c>
    </row>
    <row r="6865" spans="1:9">
      <c r="A6865" s="888">
        <v>327</v>
      </c>
      <c r="B6865" s="888" t="s">
        <v>1042</v>
      </c>
      <c r="C6865" s="888" t="s">
        <v>1253</v>
      </c>
      <c r="D6865" s="889">
        <v>46040</v>
      </c>
      <c r="E6865" s="888" t="s">
        <v>310</v>
      </c>
      <c r="F6865" s="888" t="s">
        <v>310</v>
      </c>
    </row>
    <row r="6866" spans="1:9">
      <c r="A6866" s="888">
        <v>327</v>
      </c>
      <c r="B6866" s="888" t="s">
        <v>1042</v>
      </c>
      <c r="C6866" s="888" t="s">
        <v>1253</v>
      </c>
      <c r="D6866" s="889">
        <v>46041</v>
      </c>
      <c r="E6866" s="888" t="s">
        <v>310</v>
      </c>
      <c r="F6866" s="888" t="s">
        <v>310</v>
      </c>
    </row>
    <row r="6867" spans="1:9">
      <c r="A6867" s="888">
        <v>327</v>
      </c>
      <c r="B6867" s="888" t="s">
        <v>1042</v>
      </c>
      <c r="C6867" s="888" t="s">
        <v>1253</v>
      </c>
      <c r="D6867" s="889">
        <v>46042</v>
      </c>
      <c r="E6867" s="888" t="s">
        <v>310</v>
      </c>
      <c r="F6867" s="888" t="s">
        <v>310</v>
      </c>
    </row>
    <row r="6868" spans="1:9">
      <c r="A6868" s="888">
        <v>327</v>
      </c>
      <c r="B6868" s="888" t="s">
        <v>1042</v>
      </c>
      <c r="C6868" s="888" t="s">
        <v>1253</v>
      </c>
      <c r="D6868" s="889">
        <v>46043</v>
      </c>
      <c r="E6868" s="888" t="s">
        <v>310</v>
      </c>
      <c r="F6868" s="888" t="s">
        <v>310</v>
      </c>
    </row>
    <row r="6869" spans="1:9">
      <c r="A6869" s="888">
        <v>327</v>
      </c>
      <c r="B6869" s="888" t="s">
        <v>1042</v>
      </c>
      <c r="C6869" s="888" t="s">
        <v>1253</v>
      </c>
      <c r="D6869" s="889">
        <v>46044</v>
      </c>
      <c r="E6869" s="888" t="s">
        <v>310</v>
      </c>
      <c r="F6869" s="888" t="s">
        <v>310</v>
      </c>
    </row>
    <row r="6870" spans="1:9">
      <c r="A6870" s="888">
        <v>327</v>
      </c>
      <c r="B6870" s="888" t="s">
        <v>1042</v>
      </c>
      <c r="C6870" s="888" t="s">
        <v>1253</v>
      </c>
      <c r="D6870" s="889">
        <v>46045</v>
      </c>
      <c r="E6870" s="888" t="s">
        <v>310</v>
      </c>
      <c r="F6870" s="888" t="s">
        <v>310</v>
      </c>
    </row>
    <row r="6871" spans="1:9">
      <c r="A6871" s="888">
        <v>327</v>
      </c>
      <c r="B6871" s="888" t="s">
        <v>1042</v>
      </c>
      <c r="C6871" s="888" t="s">
        <v>1253</v>
      </c>
      <c r="D6871" s="889">
        <v>46046</v>
      </c>
      <c r="E6871" s="888" t="s">
        <v>310</v>
      </c>
      <c r="F6871" s="888" t="s">
        <v>310</v>
      </c>
    </row>
    <row r="6872" spans="1:9">
      <c r="A6872" s="888">
        <v>327</v>
      </c>
      <c r="B6872" s="888" t="s">
        <v>1042</v>
      </c>
      <c r="C6872" s="888" t="s">
        <v>1253</v>
      </c>
      <c r="D6872" s="889">
        <v>46047</v>
      </c>
      <c r="E6872" s="888" t="s">
        <v>310</v>
      </c>
      <c r="F6872" s="888" t="s">
        <v>310</v>
      </c>
    </row>
    <row r="6873" spans="1:9">
      <c r="A6873" s="888">
        <v>327</v>
      </c>
      <c r="B6873" s="888" t="s">
        <v>1042</v>
      </c>
      <c r="C6873" s="888" t="s">
        <v>1253</v>
      </c>
      <c r="D6873" s="889">
        <v>46048</v>
      </c>
      <c r="E6873" s="888" t="s">
        <v>310</v>
      </c>
      <c r="F6873" s="888" t="s">
        <v>310</v>
      </c>
    </row>
    <row r="6874" spans="1:9">
      <c r="A6874" s="888">
        <v>327</v>
      </c>
      <c r="B6874" s="888" t="s">
        <v>1042</v>
      </c>
      <c r="C6874" s="888" t="s">
        <v>1253</v>
      </c>
      <c r="D6874" s="889">
        <v>46049</v>
      </c>
      <c r="E6874" s="888" t="s">
        <v>310</v>
      </c>
      <c r="F6874" s="888" t="s">
        <v>310</v>
      </c>
    </row>
    <row r="6875" spans="1:9">
      <c r="A6875" s="888">
        <v>327</v>
      </c>
      <c r="B6875" s="888" t="s">
        <v>1042</v>
      </c>
      <c r="C6875" s="888" t="s">
        <v>1253</v>
      </c>
      <c r="D6875" s="889">
        <v>46050</v>
      </c>
      <c r="E6875" s="888" t="s">
        <v>310</v>
      </c>
      <c r="F6875" s="888" t="s">
        <v>310</v>
      </c>
    </row>
    <row r="6876" spans="1:9">
      <c r="A6876" s="888">
        <v>327</v>
      </c>
      <c r="B6876" s="888" t="s">
        <v>1042</v>
      </c>
      <c r="C6876" s="888" t="s">
        <v>1253</v>
      </c>
      <c r="D6876" s="889">
        <v>46051</v>
      </c>
      <c r="E6876" s="888" t="s">
        <v>310</v>
      </c>
      <c r="F6876" s="888" t="s">
        <v>310</v>
      </c>
    </row>
    <row r="6877" spans="1:9">
      <c r="A6877" s="888">
        <v>327</v>
      </c>
      <c r="B6877" s="888" t="s">
        <v>1042</v>
      </c>
      <c r="C6877" s="888" t="s">
        <v>1253</v>
      </c>
      <c r="D6877" s="889">
        <v>46052</v>
      </c>
      <c r="E6877" s="888" t="s">
        <v>310</v>
      </c>
      <c r="F6877" s="888" t="s">
        <v>310</v>
      </c>
    </row>
    <row r="6878" spans="1:9">
      <c r="A6878" s="888">
        <v>327</v>
      </c>
      <c r="B6878" s="888" t="s">
        <v>1042</v>
      </c>
      <c r="C6878" s="888" t="s">
        <v>1253</v>
      </c>
      <c r="D6878" s="889">
        <v>46053</v>
      </c>
      <c r="E6878" s="888" t="s">
        <v>310</v>
      </c>
      <c r="F6878" s="888" t="s">
        <v>310</v>
      </c>
    </row>
    <row r="6879" spans="1:9">
      <c r="A6879" s="888">
        <v>327</v>
      </c>
      <c r="B6879" s="888" t="s">
        <v>1042</v>
      </c>
      <c r="C6879" s="888" t="s">
        <v>1253</v>
      </c>
      <c r="D6879" s="889">
        <v>46054</v>
      </c>
      <c r="E6879" s="888" t="s">
        <v>310</v>
      </c>
      <c r="F6879" s="888" t="s">
        <v>310</v>
      </c>
    </row>
    <row r="6880" spans="1:9">
      <c r="A6880" s="888">
        <v>328</v>
      </c>
      <c r="B6880" s="888" t="s">
        <v>1064</v>
      </c>
      <c r="C6880" s="888" t="s">
        <v>1253</v>
      </c>
      <c r="D6880" s="889">
        <v>46023</v>
      </c>
      <c r="E6880" s="888" t="s">
        <v>310</v>
      </c>
      <c r="F6880" s="888" t="s">
        <v>310</v>
      </c>
      <c r="G6880" s="891" t="s">
        <v>1040</v>
      </c>
      <c r="H6880" s="891" t="s">
        <v>5285</v>
      </c>
      <c r="I6880" s="891" t="s">
        <v>1040</v>
      </c>
    </row>
    <row r="6881" spans="1:10">
      <c r="A6881" s="888">
        <v>328</v>
      </c>
      <c r="B6881" s="888" t="s">
        <v>1064</v>
      </c>
      <c r="C6881" s="888" t="s">
        <v>1253</v>
      </c>
      <c r="D6881" s="889">
        <v>46024</v>
      </c>
      <c r="E6881" s="888" t="s">
        <v>310</v>
      </c>
      <c r="F6881" s="888" t="s">
        <v>310</v>
      </c>
      <c r="G6881" s="891" t="s">
        <v>1040</v>
      </c>
      <c r="I6881" s="891" t="s">
        <v>1040</v>
      </c>
    </row>
    <row r="6882" spans="1:10">
      <c r="A6882" s="888">
        <v>328</v>
      </c>
      <c r="B6882" s="888" t="s">
        <v>1064</v>
      </c>
      <c r="C6882" s="888" t="s">
        <v>1253</v>
      </c>
      <c r="D6882" s="889">
        <v>46025</v>
      </c>
      <c r="E6882" s="888" t="s">
        <v>310</v>
      </c>
      <c r="F6882" s="888" t="s">
        <v>310</v>
      </c>
      <c r="G6882" s="891" t="s">
        <v>1040</v>
      </c>
      <c r="H6882" s="891" t="s">
        <v>2451</v>
      </c>
      <c r="I6882" s="891" t="s">
        <v>1040</v>
      </c>
      <c r="J6882" s="891" t="s">
        <v>2451</v>
      </c>
    </row>
    <row r="6883" spans="1:10">
      <c r="A6883" s="888">
        <v>328</v>
      </c>
      <c r="B6883" s="888" t="s">
        <v>1064</v>
      </c>
      <c r="C6883" s="888" t="s">
        <v>1253</v>
      </c>
      <c r="D6883" s="889">
        <v>46026</v>
      </c>
      <c r="E6883" s="888" t="s">
        <v>310</v>
      </c>
      <c r="F6883" s="888" t="s">
        <v>310</v>
      </c>
      <c r="G6883" s="891" t="s">
        <v>1040</v>
      </c>
      <c r="H6883" s="891" t="s">
        <v>2451</v>
      </c>
      <c r="I6883" s="891" t="s">
        <v>1040</v>
      </c>
      <c r="J6883" s="891" t="s">
        <v>2451</v>
      </c>
    </row>
    <row r="6884" spans="1:10">
      <c r="A6884" s="888">
        <v>328</v>
      </c>
      <c r="B6884" s="888" t="s">
        <v>1064</v>
      </c>
      <c r="C6884" s="888" t="s">
        <v>1253</v>
      </c>
      <c r="D6884" s="889">
        <v>46027</v>
      </c>
      <c r="E6884" s="890">
        <v>0.34795138888888888</v>
      </c>
      <c r="F6884" s="890">
        <v>0.76444444444444448</v>
      </c>
    </row>
    <row r="6885" spans="1:10">
      <c r="A6885" s="888" t="s">
        <v>5286</v>
      </c>
      <c r="B6885" s="888" t="s">
        <v>5287</v>
      </c>
      <c r="C6885" s="888" t="s">
        <v>1303</v>
      </c>
    </row>
    <row r="6886" spans="1:10">
      <c r="A6886" s="888">
        <v>328</v>
      </c>
      <c r="B6886" s="888" t="s">
        <v>1064</v>
      </c>
      <c r="C6886" s="888" t="s">
        <v>1253</v>
      </c>
      <c r="D6886" s="889">
        <v>46028</v>
      </c>
      <c r="E6886" s="890">
        <v>0.35054398148148147</v>
      </c>
      <c r="F6886" s="890">
        <v>0.76675925925925925</v>
      </c>
    </row>
    <row r="6887" spans="1:10">
      <c r="A6887" s="888" t="s">
        <v>5288</v>
      </c>
      <c r="B6887" s="888" t="s">
        <v>5289</v>
      </c>
      <c r="C6887" s="888" t="s">
        <v>1422</v>
      </c>
    </row>
    <row r="6888" spans="1:10">
      <c r="A6888" s="888">
        <v>328</v>
      </c>
      <c r="B6888" s="888" t="s">
        <v>1064</v>
      </c>
      <c r="C6888" s="888" t="s">
        <v>1253</v>
      </c>
      <c r="D6888" s="889">
        <v>46029</v>
      </c>
      <c r="E6888" s="890">
        <v>0.35849537037037038</v>
      </c>
      <c r="F6888" s="890">
        <v>0.76645833333333335</v>
      </c>
    </row>
    <row r="6889" spans="1:10">
      <c r="A6889" s="888" t="s">
        <v>5290</v>
      </c>
      <c r="B6889" s="888" t="s">
        <v>5291</v>
      </c>
      <c r="C6889" s="888" t="s">
        <v>1645</v>
      </c>
    </row>
    <row r="6890" spans="1:10">
      <c r="A6890" s="888">
        <v>328</v>
      </c>
      <c r="B6890" s="888" t="s">
        <v>1064</v>
      </c>
      <c r="C6890" s="888" t="s">
        <v>1253</v>
      </c>
      <c r="D6890" s="889">
        <v>46030</v>
      </c>
      <c r="E6890" s="890">
        <v>0.38871527777777776</v>
      </c>
      <c r="F6890" s="890">
        <v>0.77148148148148143</v>
      </c>
    </row>
    <row r="6891" spans="1:10">
      <c r="A6891" s="888" t="s">
        <v>5292</v>
      </c>
      <c r="B6891" s="888" t="s">
        <v>5293</v>
      </c>
      <c r="C6891" s="888" t="s">
        <v>1314</v>
      </c>
    </row>
    <row r="6892" spans="1:10">
      <c r="A6892" s="888">
        <v>328</v>
      </c>
      <c r="B6892" s="888" t="s">
        <v>1064</v>
      </c>
      <c r="C6892" s="888" t="s">
        <v>1253</v>
      </c>
      <c r="D6892" s="889">
        <v>46031</v>
      </c>
      <c r="E6892" s="890">
        <v>0.35328703703703701</v>
      </c>
      <c r="F6892" s="890">
        <v>0.75219907407407405</v>
      </c>
    </row>
    <row r="6893" spans="1:10">
      <c r="A6893" s="888" t="s">
        <v>5294</v>
      </c>
      <c r="B6893" s="888" t="s">
        <v>5295</v>
      </c>
      <c r="C6893" s="888" t="s">
        <v>1383</v>
      </c>
    </row>
    <row r="6894" spans="1:10">
      <c r="A6894" s="888">
        <v>328</v>
      </c>
      <c r="B6894" s="888" t="s">
        <v>1064</v>
      </c>
      <c r="C6894" s="888" t="s">
        <v>1253</v>
      </c>
      <c r="D6894" s="889">
        <v>46032</v>
      </c>
      <c r="E6894" s="888" t="s">
        <v>310</v>
      </c>
      <c r="F6894" s="888" t="s">
        <v>310</v>
      </c>
      <c r="G6894" s="891" t="s">
        <v>1040</v>
      </c>
      <c r="H6894" s="891" t="s">
        <v>2451</v>
      </c>
      <c r="I6894" s="891" t="s">
        <v>1040</v>
      </c>
    </row>
    <row r="6895" spans="1:10">
      <c r="A6895" s="888">
        <v>328</v>
      </c>
      <c r="B6895" s="888" t="s">
        <v>1064</v>
      </c>
      <c r="C6895" s="888" t="s">
        <v>1253</v>
      </c>
      <c r="D6895" s="889">
        <v>46033</v>
      </c>
      <c r="E6895" s="888" t="s">
        <v>310</v>
      </c>
      <c r="F6895" s="888" t="s">
        <v>310</v>
      </c>
      <c r="G6895" s="891" t="s">
        <v>1040</v>
      </c>
      <c r="H6895" s="891" t="s">
        <v>2451</v>
      </c>
      <c r="I6895" s="891" t="s">
        <v>1040</v>
      </c>
    </row>
    <row r="6896" spans="1:10">
      <c r="A6896" s="888">
        <v>328</v>
      </c>
      <c r="B6896" s="888" t="s">
        <v>1064</v>
      </c>
      <c r="C6896" s="888" t="s">
        <v>1253</v>
      </c>
      <c r="D6896" s="889">
        <v>46034</v>
      </c>
      <c r="E6896" s="890">
        <v>0.35424768518518518</v>
      </c>
      <c r="F6896" s="890">
        <v>0.76594907407407409</v>
      </c>
    </row>
    <row r="6897" spans="1:10">
      <c r="A6897" s="888" t="s">
        <v>5296</v>
      </c>
      <c r="B6897" s="888" t="s">
        <v>5297</v>
      </c>
      <c r="C6897" s="888" t="s">
        <v>1369</v>
      </c>
    </row>
    <row r="6898" spans="1:10">
      <c r="A6898" s="888">
        <v>328</v>
      </c>
      <c r="B6898" s="888" t="s">
        <v>1064</v>
      </c>
      <c r="C6898" s="888" t="s">
        <v>1253</v>
      </c>
      <c r="D6898" s="889">
        <v>46035</v>
      </c>
      <c r="E6898" s="888" t="s">
        <v>310</v>
      </c>
      <c r="F6898" s="888" t="s">
        <v>310</v>
      </c>
    </row>
    <row r="6899" spans="1:10">
      <c r="A6899" s="888">
        <v>328</v>
      </c>
      <c r="B6899" s="888" t="s">
        <v>1064</v>
      </c>
      <c r="C6899" s="888" t="s">
        <v>1253</v>
      </c>
      <c r="D6899" s="889">
        <v>46036</v>
      </c>
      <c r="E6899" s="890">
        <v>0.35046296296296298</v>
      </c>
      <c r="F6899" s="890">
        <v>0.75866898148148143</v>
      </c>
    </row>
    <row r="6900" spans="1:10">
      <c r="A6900" s="888" t="s">
        <v>5298</v>
      </c>
      <c r="B6900" s="888" t="s">
        <v>5299</v>
      </c>
      <c r="C6900" s="888" t="s">
        <v>2077</v>
      </c>
    </row>
    <row r="6901" spans="1:10">
      <c r="A6901" s="888">
        <v>328</v>
      </c>
      <c r="B6901" s="888" t="s">
        <v>1064</v>
      </c>
      <c r="C6901" s="888" t="s">
        <v>1253</v>
      </c>
      <c r="D6901" s="889">
        <v>46037</v>
      </c>
      <c r="E6901" s="890">
        <v>0.35351851851851851</v>
      </c>
      <c r="F6901" s="890">
        <v>0.76459490740740743</v>
      </c>
    </row>
    <row r="6902" spans="1:10">
      <c r="A6902" s="888" t="s">
        <v>5300</v>
      </c>
      <c r="B6902" s="888" t="s">
        <v>5301</v>
      </c>
      <c r="C6902" s="888" t="s">
        <v>1613</v>
      </c>
    </row>
    <row r="6903" spans="1:10">
      <c r="A6903" s="888">
        <v>328</v>
      </c>
      <c r="B6903" s="888" t="s">
        <v>1064</v>
      </c>
      <c r="C6903" s="888" t="s">
        <v>1253</v>
      </c>
      <c r="D6903" s="889">
        <v>46038</v>
      </c>
      <c r="E6903" s="890">
        <v>0.35616898148148146</v>
      </c>
      <c r="F6903" s="890">
        <v>0.77432870370370366</v>
      </c>
    </row>
    <row r="6904" spans="1:10">
      <c r="A6904" s="888" t="s">
        <v>5302</v>
      </c>
      <c r="B6904" s="888" t="s">
        <v>5303</v>
      </c>
      <c r="C6904" s="888" t="s">
        <v>1790</v>
      </c>
    </row>
    <row r="6905" spans="1:10">
      <c r="A6905" s="888">
        <v>328</v>
      </c>
      <c r="B6905" s="888" t="s">
        <v>1064</v>
      </c>
      <c r="C6905" s="888" t="s">
        <v>1253</v>
      </c>
      <c r="D6905" s="889">
        <v>46039</v>
      </c>
      <c r="E6905" s="888" t="s">
        <v>310</v>
      </c>
      <c r="F6905" s="888" t="s">
        <v>310</v>
      </c>
      <c r="G6905" s="891" t="s">
        <v>1040</v>
      </c>
      <c r="H6905" s="891" t="s">
        <v>2451</v>
      </c>
      <c r="I6905" s="891" t="s">
        <v>1040</v>
      </c>
    </row>
    <row r="6906" spans="1:10">
      <c r="A6906" s="888">
        <v>328</v>
      </c>
      <c r="B6906" s="888" t="s">
        <v>1064</v>
      </c>
      <c r="C6906" s="888" t="s">
        <v>1253</v>
      </c>
      <c r="D6906" s="889">
        <v>46040</v>
      </c>
      <c r="E6906" s="888" t="s">
        <v>310</v>
      </c>
      <c r="F6906" s="888" t="s">
        <v>310</v>
      </c>
      <c r="G6906" s="891" t="s">
        <v>1040</v>
      </c>
      <c r="H6906" s="891" t="s">
        <v>2451</v>
      </c>
      <c r="I6906" s="891" t="s">
        <v>1040</v>
      </c>
      <c r="J6906" s="891" t="s">
        <v>2451</v>
      </c>
    </row>
    <row r="6907" spans="1:10">
      <c r="A6907" s="888">
        <v>328</v>
      </c>
      <c r="B6907" s="888" t="s">
        <v>1064</v>
      </c>
      <c r="C6907" s="888" t="s">
        <v>1253</v>
      </c>
      <c r="D6907" s="889">
        <v>46041</v>
      </c>
      <c r="E6907" s="890">
        <v>0.36052083333333335</v>
      </c>
      <c r="F6907" s="890">
        <v>0.76800925925925922</v>
      </c>
    </row>
    <row r="6908" spans="1:10">
      <c r="A6908" s="888" t="s">
        <v>5304</v>
      </c>
      <c r="B6908" s="888" t="s">
        <v>5305</v>
      </c>
      <c r="C6908" s="888" t="s">
        <v>1645</v>
      </c>
    </row>
    <row r="6909" spans="1:10">
      <c r="A6909" s="888">
        <v>328</v>
      </c>
      <c r="B6909" s="888" t="s">
        <v>1064</v>
      </c>
      <c r="C6909" s="888" t="s">
        <v>1253</v>
      </c>
      <c r="D6909" s="889">
        <v>46042</v>
      </c>
      <c r="E6909" s="890">
        <v>0.34978009259259257</v>
      </c>
      <c r="F6909" s="890">
        <v>0.75881944444444449</v>
      </c>
    </row>
    <row r="6910" spans="1:10">
      <c r="A6910" s="888" t="s">
        <v>5306</v>
      </c>
      <c r="B6910" s="888" t="s">
        <v>5307</v>
      </c>
      <c r="C6910" s="888" t="s">
        <v>1372</v>
      </c>
    </row>
    <row r="6911" spans="1:10">
      <c r="A6911" s="888">
        <v>328</v>
      </c>
      <c r="B6911" s="888" t="s">
        <v>1064</v>
      </c>
      <c r="C6911" s="888" t="s">
        <v>1253</v>
      </c>
      <c r="D6911" s="889">
        <v>46043</v>
      </c>
      <c r="E6911" s="890">
        <v>0.36107638888888888</v>
      </c>
      <c r="F6911" s="890">
        <v>0.7567476851851852</v>
      </c>
    </row>
    <row r="6912" spans="1:10">
      <c r="A6912" s="888" t="s">
        <v>5308</v>
      </c>
      <c r="B6912" s="888" t="s">
        <v>5309</v>
      </c>
      <c r="C6912" s="888" t="s">
        <v>1404</v>
      </c>
    </row>
    <row r="6913" spans="1:10">
      <c r="A6913" s="888">
        <v>328</v>
      </c>
      <c r="B6913" s="888" t="s">
        <v>1064</v>
      </c>
      <c r="C6913" s="888" t="s">
        <v>1253</v>
      </c>
      <c r="D6913" s="889">
        <v>46044</v>
      </c>
      <c r="E6913" s="890">
        <v>0.35931712962962964</v>
      </c>
      <c r="F6913" s="890">
        <v>0.76378472222222227</v>
      </c>
    </row>
    <row r="6914" spans="1:10">
      <c r="A6914" s="888" t="s">
        <v>5310</v>
      </c>
      <c r="B6914" s="888" t="s">
        <v>5311</v>
      </c>
      <c r="C6914" s="888" t="s">
        <v>1266</v>
      </c>
    </row>
    <row r="6915" spans="1:10">
      <c r="A6915" s="888">
        <v>328</v>
      </c>
      <c r="B6915" s="888" t="s">
        <v>1064</v>
      </c>
      <c r="C6915" s="888" t="s">
        <v>1253</v>
      </c>
      <c r="D6915" s="889">
        <v>46045</v>
      </c>
      <c r="E6915" s="888" t="s">
        <v>310</v>
      </c>
      <c r="F6915" s="888" t="s">
        <v>310</v>
      </c>
    </row>
    <row r="6916" spans="1:10">
      <c r="A6916" s="888">
        <v>328</v>
      </c>
      <c r="B6916" s="888" t="s">
        <v>1064</v>
      </c>
      <c r="C6916" s="888" t="s">
        <v>1253</v>
      </c>
      <c r="D6916" s="889">
        <v>46046</v>
      </c>
      <c r="E6916" s="888" t="s">
        <v>310</v>
      </c>
      <c r="F6916" s="888" t="s">
        <v>310</v>
      </c>
      <c r="G6916" s="891" t="s">
        <v>1040</v>
      </c>
      <c r="H6916" s="891" t="s">
        <v>2451</v>
      </c>
      <c r="I6916" s="891" t="s">
        <v>1040</v>
      </c>
      <c r="J6916" s="891" t="s">
        <v>2451</v>
      </c>
    </row>
    <row r="6917" spans="1:10">
      <c r="A6917" s="888">
        <v>328</v>
      </c>
      <c r="B6917" s="888" t="s">
        <v>1064</v>
      </c>
      <c r="C6917" s="888" t="s">
        <v>1253</v>
      </c>
      <c r="D6917" s="889">
        <v>46047</v>
      </c>
      <c r="E6917" s="888" t="s">
        <v>310</v>
      </c>
      <c r="F6917" s="888" t="s">
        <v>310</v>
      </c>
      <c r="G6917" s="891" t="s">
        <v>1040</v>
      </c>
      <c r="H6917" s="891" t="s">
        <v>2451</v>
      </c>
      <c r="I6917" s="891" t="s">
        <v>1040</v>
      </c>
      <c r="J6917" s="891" t="s">
        <v>2451</v>
      </c>
    </row>
    <row r="6918" spans="1:10">
      <c r="A6918" s="888">
        <v>328</v>
      </c>
      <c r="B6918" s="888" t="s">
        <v>1064</v>
      </c>
      <c r="C6918" s="888" t="s">
        <v>1253</v>
      </c>
      <c r="D6918" s="889">
        <v>46048</v>
      </c>
      <c r="E6918" s="890">
        <v>0.38437500000000002</v>
      </c>
      <c r="F6918" s="890">
        <v>0.75506944444444446</v>
      </c>
    </row>
    <row r="6919" spans="1:10">
      <c r="A6919" s="888" t="s">
        <v>5312</v>
      </c>
      <c r="B6919" s="888" t="s">
        <v>5313</v>
      </c>
      <c r="C6919" s="888" t="s">
        <v>1590</v>
      </c>
    </row>
    <row r="6920" spans="1:10">
      <c r="A6920" s="888">
        <v>328</v>
      </c>
      <c r="B6920" s="888" t="s">
        <v>1064</v>
      </c>
      <c r="C6920" s="888" t="s">
        <v>1253</v>
      </c>
      <c r="D6920" s="889">
        <v>46049</v>
      </c>
      <c r="E6920" s="890">
        <v>0.35371527777777778</v>
      </c>
      <c r="F6920" s="890">
        <v>0.7631944444444444</v>
      </c>
    </row>
    <row r="6921" spans="1:10">
      <c r="A6921" s="888" t="s">
        <v>5314</v>
      </c>
      <c r="B6921" s="888" t="s">
        <v>5315</v>
      </c>
      <c r="C6921" s="888" t="s">
        <v>1874</v>
      </c>
    </row>
    <row r="6922" spans="1:10">
      <c r="A6922" s="888">
        <v>328</v>
      </c>
      <c r="B6922" s="888" t="s">
        <v>1064</v>
      </c>
      <c r="C6922" s="888" t="s">
        <v>1253</v>
      </c>
      <c r="D6922" s="889">
        <v>46050</v>
      </c>
      <c r="E6922" s="890">
        <v>0.36251157407407408</v>
      </c>
      <c r="F6922" s="890">
        <v>0.75935185185185183</v>
      </c>
    </row>
    <row r="6923" spans="1:10">
      <c r="A6923" s="888" t="s">
        <v>5316</v>
      </c>
      <c r="B6923" s="888" t="s">
        <v>5317</v>
      </c>
      <c r="C6923" s="888" t="s">
        <v>1452</v>
      </c>
    </row>
    <row r="6924" spans="1:10">
      <c r="A6924" s="888">
        <v>328</v>
      </c>
      <c r="B6924" s="888" t="s">
        <v>1064</v>
      </c>
      <c r="C6924" s="888" t="s">
        <v>1253</v>
      </c>
      <c r="D6924" s="889">
        <v>46051</v>
      </c>
      <c r="E6924" s="890">
        <v>0.35629629629629628</v>
      </c>
      <c r="F6924" s="890">
        <v>0.76351851851851849</v>
      </c>
    </row>
    <row r="6925" spans="1:10">
      <c r="A6925" s="888" t="s">
        <v>5318</v>
      </c>
      <c r="B6925" s="888" t="s">
        <v>5319</v>
      </c>
      <c r="C6925" s="888" t="s">
        <v>1868</v>
      </c>
    </row>
    <row r="6926" spans="1:10">
      <c r="A6926" s="888">
        <v>328</v>
      </c>
      <c r="B6926" s="888" t="s">
        <v>1064</v>
      </c>
      <c r="C6926" s="888" t="s">
        <v>1253</v>
      </c>
      <c r="D6926" s="889">
        <v>46052</v>
      </c>
      <c r="E6926" s="890">
        <v>0.36532407407407408</v>
      </c>
      <c r="F6926" s="890">
        <v>0.75464120370370369</v>
      </c>
    </row>
    <row r="6927" spans="1:10">
      <c r="A6927" s="888" t="s">
        <v>5320</v>
      </c>
      <c r="B6927" s="888" t="s">
        <v>5321</v>
      </c>
      <c r="C6927" s="888" t="s">
        <v>1737</v>
      </c>
    </row>
    <row r="6928" spans="1:10">
      <c r="A6928" s="888">
        <v>328</v>
      </c>
      <c r="B6928" s="888" t="s">
        <v>1064</v>
      </c>
      <c r="C6928" s="888" t="s">
        <v>1253</v>
      </c>
      <c r="D6928" s="889">
        <v>46053</v>
      </c>
      <c r="E6928" s="888" t="s">
        <v>310</v>
      </c>
      <c r="F6928" s="888" t="s">
        <v>310</v>
      </c>
      <c r="G6928" s="891" t="s">
        <v>1040</v>
      </c>
      <c r="H6928" s="891" t="s">
        <v>2451</v>
      </c>
      <c r="I6928" s="891" t="s">
        <v>1040</v>
      </c>
      <c r="J6928" s="891" t="s">
        <v>2451</v>
      </c>
    </row>
    <row r="6929" spans="1:6">
      <c r="A6929" s="888">
        <v>329</v>
      </c>
      <c r="B6929" s="888" t="s">
        <v>152</v>
      </c>
      <c r="C6929" s="888" t="s">
        <v>1253</v>
      </c>
      <c r="D6929" s="889">
        <v>46023</v>
      </c>
      <c r="E6929" s="888" t="s">
        <v>310</v>
      </c>
      <c r="F6929" s="888" t="s">
        <v>310</v>
      </c>
    </row>
    <row r="6930" spans="1:6">
      <c r="A6930" s="888">
        <v>329</v>
      </c>
      <c r="B6930" s="888" t="s">
        <v>152</v>
      </c>
      <c r="C6930" s="888" t="s">
        <v>1253</v>
      </c>
      <c r="D6930" s="889">
        <v>46024</v>
      </c>
      <c r="E6930" s="888" t="s">
        <v>310</v>
      </c>
      <c r="F6930" s="888" t="s">
        <v>310</v>
      </c>
    </row>
    <row r="6931" spans="1:6">
      <c r="A6931" s="888">
        <v>329</v>
      </c>
      <c r="B6931" s="888" t="s">
        <v>152</v>
      </c>
      <c r="C6931" s="888" t="s">
        <v>1253</v>
      </c>
      <c r="D6931" s="889">
        <v>46025</v>
      </c>
      <c r="E6931" s="888" t="s">
        <v>310</v>
      </c>
      <c r="F6931" s="888" t="s">
        <v>310</v>
      </c>
    </row>
    <row r="6932" spans="1:6">
      <c r="A6932" s="888">
        <v>329</v>
      </c>
      <c r="B6932" s="888" t="s">
        <v>152</v>
      </c>
      <c r="C6932" s="888" t="s">
        <v>1253</v>
      </c>
      <c r="D6932" s="889">
        <v>46026</v>
      </c>
      <c r="E6932" s="888" t="s">
        <v>310</v>
      </c>
      <c r="F6932" s="888" t="s">
        <v>310</v>
      </c>
    </row>
    <row r="6933" spans="1:6">
      <c r="A6933" s="888">
        <v>329</v>
      </c>
      <c r="B6933" s="888" t="s">
        <v>152</v>
      </c>
      <c r="C6933" s="888" t="s">
        <v>1253</v>
      </c>
      <c r="D6933" s="889">
        <v>46027</v>
      </c>
      <c r="E6933" s="888" t="s">
        <v>310</v>
      </c>
      <c r="F6933" s="888" t="s">
        <v>310</v>
      </c>
    </row>
    <row r="6934" spans="1:6">
      <c r="A6934" s="888">
        <v>329</v>
      </c>
      <c r="B6934" s="888" t="s">
        <v>152</v>
      </c>
      <c r="C6934" s="888" t="s">
        <v>1253</v>
      </c>
      <c r="D6934" s="889">
        <v>46028</v>
      </c>
      <c r="E6934" s="888" t="s">
        <v>310</v>
      </c>
      <c r="F6934" s="888" t="s">
        <v>310</v>
      </c>
    </row>
    <row r="6935" spans="1:6">
      <c r="A6935" s="888">
        <v>329</v>
      </c>
      <c r="B6935" s="888" t="s">
        <v>152</v>
      </c>
      <c r="C6935" s="888" t="s">
        <v>1253</v>
      </c>
      <c r="D6935" s="889">
        <v>46029</v>
      </c>
      <c r="E6935" s="888" t="s">
        <v>310</v>
      </c>
      <c r="F6935" s="888" t="s">
        <v>310</v>
      </c>
    </row>
    <row r="6936" spans="1:6">
      <c r="A6936" s="888">
        <v>329</v>
      </c>
      <c r="B6936" s="888" t="s">
        <v>152</v>
      </c>
      <c r="C6936" s="888" t="s">
        <v>1253</v>
      </c>
      <c r="D6936" s="889">
        <v>46030</v>
      </c>
      <c r="E6936" s="888" t="s">
        <v>310</v>
      </c>
      <c r="F6936" s="888" t="s">
        <v>310</v>
      </c>
    </row>
    <row r="6937" spans="1:6">
      <c r="A6937" s="888">
        <v>329</v>
      </c>
      <c r="B6937" s="888" t="s">
        <v>152</v>
      </c>
      <c r="C6937" s="888" t="s">
        <v>1253</v>
      </c>
      <c r="D6937" s="889">
        <v>46031</v>
      </c>
      <c r="E6937" s="888" t="s">
        <v>310</v>
      </c>
      <c r="F6937" s="888" t="s">
        <v>310</v>
      </c>
    </row>
    <row r="6938" spans="1:6">
      <c r="A6938" s="888">
        <v>329</v>
      </c>
      <c r="B6938" s="888" t="s">
        <v>152</v>
      </c>
      <c r="C6938" s="888" t="s">
        <v>1253</v>
      </c>
      <c r="D6938" s="889">
        <v>46032</v>
      </c>
      <c r="E6938" s="888" t="s">
        <v>310</v>
      </c>
      <c r="F6938" s="888" t="s">
        <v>310</v>
      </c>
    </row>
    <row r="6939" spans="1:6">
      <c r="A6939" s="888">
        <v>329</v>
      </c>
      <c r="B6939" s="888" t="s">
        <v>152</v>
      </c>
      <c r="C6939" s="888" t="s">
        <v>1253</v>
      </c>
      <c r="D6939" s="889">
        <v>46033</v>
      </c>
      <c r="E6939" s="888" t="s">
        <v>310</v>
      </c>
      <c r="F6939" s="888" t="s">
        <v>310</v>
      </c>
    </row>
    <row r="6940" spans="1:6">
      <c r="A6940" s="888">
        <v>329</v>
      </c>
      <c r="B6940" s="888" t="s">
        <v>152</v>
      </c>
      <c r="C6940" s="888" t="s">
        <v>1253</v>
      </c>
      <c r="D6940" s="889">
        <v>46034</v>
      </c>
      <c r="E6940" s="888" t="s">
        <v>310</v>
      </c>
      <c r="F6940" s="888" t="s">
        <v>310</v>
      </c>
    </row>
    <row r="6941" spans="1:6">
      <c r="A6941" s="888">
        <v>329</v>
      </c>
      <c r="B6941" s="888" t="s">
        <v>152</v>
      </c>
      <c r="C6941" s="888" t="s">
        <v>1253</v>
      </c>
      <c r="D6941" s="889">
        <v>46035</v>
      </c>
      <c r="E6941" s="888" t="s">
        <v>310</v>
      </c>
      <c r="F6941" s="888" t="s">
        <v>310</v>
      </c>
    </row>
    <row r="6942" spans="1:6">
      <c r="A6942" s="888">
        <v>329</v>
      </c>
      <c r="B6942" s="888" t="s">
        <v>152</v>
      </c>
      <c r="C6942" s="888" t="s">
        <v>1253</v>
      </c>
      <c r="D6942" s="889">
        <v>46036</v>
      </c>
      <c r="E6942" s="888" t="s">
        <v>310</v>
      </c>
      <c r="F6942" s="888" t="s">
        <v>310</v>
      </c>
    </row>
    <row r="6943" spans="1:6">
      <c r="A6943" s="888">
        <v>329</v>
      </c>
      <c r="B6943" s="888" t="s">
        <v>152</v>
      </c>
      <c r="C6943" s="888" t="s">
        <v>1253</v>
      </c>
      <c r="D6943" s="889">
        <v>46037</v>
      </c>
      <c r="E6943" s="888" t="s">
        <v>310</v>
      </c>
      <c r="F6943" s="888" t="s">
        <v>310</v>
      </c>
    </row>
    <row r="6944" spans="1:6">
      <c r="A6944" s="888">
        <v>329</v>
      </c>
      <c r="B6944" s="888" t="s">
        <v>152</v>
      </c>
      <c r="C6944" s="888" t="s">
        <v>1253</v>
      </c>
      <c r="D6944" s="889">
        <v>46038</v>
      </c>
      <c r="E6944" s="888" t="s">
        <v>310</v>
      </c>
      <c r="F6944" s="888" t="s">
        <v>310</v>
      </c>
    </row>
    <row r="6945" spans="1:6">
      <c r="A6945" s="888">
        <v>329</v>
      </c>
      <c r="B6945" s="888" t="s">
        <v>152</v>
      </c>
      <c r="C6945" s="888" t="s">
        <v>1253</v>
      </c>
      <c r="D6945" s="889">
        <v>46039</v>
      </c>
      <c r="E6945" s="888" t="s">
        <v>310</v>
      </c>
      <c r="F6945" s="888" t="s">
        <v>310</v>
      </c>
    </row>
    <row r="6946" spans="1:6">
      <c r="A6946" s="888">
        <v>329</v>
      </c>
      <c r="B6946" s="888" t="s">
        <v>152</v>
      </c>
      <c r="C6946" s="888" t="s">
        <v>1253</v>
      </c>
      <c r="D6946" s="889">
        <v>46040</v>
      </c>
      <c r="E6946" s="888" t="s">
        <v>310</v>
      </c>
      <c r="F6946" s="888" t="s">
        <v>310</v>
      </c>
    </row>
    <row r="6947" spans="1:6">
      <c r="A6947" s="888">
        <v>329</v>
      </c>
      <c r="B6947" s="888" t="s">
        <v>152</v>
      </c>
      <c r="C6947" s="888" t="s">
        <v>1253</v>
      </c>
      <c r="D6947" s="889">
        <v>46041</v>
      </c>
      <c r="E6947" s="888" t="s">
        <v>310</v>
      </c>
      <c r="F6947" s="888" t="s">
        <v>310</v>
      </c>
    </row>
    <row r="6948" spans="1:6">
      <c r="A6948" s="888">
        <v>329</v>
      </c>
      <c r="B6948" s="888" t="s">
        <v>152</v>
      </c>
      <c r="C6948" s="888" t="s">
        <v>1253</v>
      </c>
      <c r="D6948" s="889">
        <v>46042</v>
      </c>
      <c r="E6948" s="888" t="s">
        <v>310</v>
      </c>
      <c r="F6948" s="888" t="s">
        <v>310</v>
      </c>
    </row>
    <row r="6949" spans="1:6">
      <c r="A6949" s="888">
        <v>329</v>
      </c>
      <c r="B6949" s="888" t="s">
        <v>152</v>
      </c>
      <c r="C6949" s="888" t="s">
        <v>1253</v>
      </c>
      <c r="D6949" s="889">
        <v>46043</v>
      </c>
      <c r="E6949" s="888" t="s">
        <v>310</v>
      </c>
      <c r="F6949" s="888" t="s">
        <v>310</v>
      </c>
    </row>
    <row r="6950" spans="1:6">
      <c r="A6950" s="888">
        <v>329</v>
      </c>
      <c r="B6950" s="888" t="s">
        <v>152</v>
      </c>
      <c r="C6950" s="888" t="s">
        <v>1253</v>
      </c>
      <c r="D6950" s="889">
        <v>46044</v>
      </c>
      <c r="E6950" s="888" t="s">
        <v>310</v>
      </c>
      <c r="F6950" s="888" t="s">
        <v>310</v>
      </c>
    </row>
    <row r="6951" spans="1:6">
      <c r="A6951" s="888">
        <v>329</v>
      </c>
      <c r="B6951" s="888" t="s">
        <v>152</v>
      </c>
      <c r="C6951" s="888" t="s">
        <v>1253</v>
      </c>
      <c r="D6951" s="889">
        <v>46045</v>
      </c>
      <c r="E6951" s="888" t="s">
        <v>310</v>
      </c>
      <c r="F6951" s="888" t="s">
        <v>310</v>
      </c>
    </row>
    <row r="6952" spans="1:6">
      <c r="A6952" s="888">
        <v>329</v>
      </c>
      <c r="B6952" s="888" t="s">
        <v>152</v>
      </c>
      <c r="C6952" s="888" t="s">
        <v>1253</v>
      </c>
      <c r="D6952" s="889">
        <v>46046</v>
      </c>
      <c r="E6952" s="888" t="s">
        <v>310</v>
      </c>
      <c r="F6952" s="888" t="s">
        <v>310</v>
      </c>
    </row>
    <row r="6953" spans="1:6">
      <c r="A6953" s="888">
        <v>329</v>
      </c>
      <c r="B6953" s="888" t="s">
        <v>152</v>
      </c>
      <c r="C6953" s="888" t="s">
        <v>1253</v>
      </c>
      <c r="D6953" s="889">
        <v>46047</v>
      </c>
      <c r="E6953" s="888" t="s">
        <v>310</v>
      </c>
      <c r="F6953" s="888" t="s">
        <v>310</v>
      </c>
    </row>
    <row r="6954" spans="1:6">
      <c r="A6954" s="888">
        <v>329</v>
      </c>
      <c r="B6954" s="888" t="s">
        <v>152</v>
      </c>
      <c r="C6954" s="888" t="s">
        <v>1253</v>
      </c>
      <c r="D6954" s="889">
        <v>46048</v>
      </c>
      <c r="E6954" s="888" t="s">
        <v>310</v>
      </c>
      <c r="F6954" s="888" t="s">
        <v>310</v>
      </c>
    </row>
    <row r="6955" spans="1:6">
      <c r="A6955" s="888">
        <v>329</v>
      </c>
      <c r="B6955" s="888" t="s">
        <v>152</v>
      </c>
      <c r="C6955" s="888" t="s">
        <v>1253</v>
      </c>
      <c r="D6955" s="889">
        <v>46049</v>
      </c>
      <c r="E6955" s="888" t="s">
        <v>310</v>
      </c>
      <c r="F6955" s="888" t="s">
        <v>310</v>
      </c>
    </row>
    <row r="6956" spans="1:6">
      <c r="A6956" s="888">
        <v>329</v>
      </c>
      <c r="B6956" s="888" t="s">
        <v>152</v>
      </c>
      <c r="C6956" s="888" t="s">
        <v>1253</v>
      </c>
      <c r="D6956" s="889">
        <v>46050</v>
      </c>
      <c r="E6956" s="888" t="s">
        <v>310</v>
      </c>
      <c r="F6956" s="888" t="s">
        <v>310</v>
      </c>
    </row>
    <row r="6957" spans="1:6">
      <c r="A6957" s="888">
        <v>329</v>
      </c>
      <c r="B6957" s="888" t="s">
        <v>152</v>
      </c>
      <c r="C6957" s="888" t="s">
        <v>1253</v>
      </c>
      <c r="D6957" s="889">
        <v>46051</v>
      </c>
      <c r="E6957" s="888" t="s">
        <v>310</v>
      </c>
      <c r="F6957" s="888" t="s">
        <v>310</v>
      </c>
    </row>
    <row r="6958" spans="1:6">
      <c r="A6958" s="888">
        <v>329</v>
      </c>
      <c r="B6958" s="888" t="s">
        <v>152</v>
      </c>
      <c r="C6958" s="888" t="s">
        <v>1253</v>
      </c>
      <c r="D6958" s="889">
        <v>46052</v>
      </c>
      <c r="E6958" s="888" t="s">
        <v>310</v>
      </c>
      <c r="F6958" s="888" t="s">
        <v>310</v>
      </c>
    </row>
    <row r="6959" spans="1:6">
      <c r="A6959" s="888">
        <v>329</v>
      </c>
      <c r="B6959" s="888" t="s">
        <v>152</v>
      </c>
      <c r="C6959" s="888" t="s">
        <v>1253</v>
      </c>
      <c r="D6959" s="889">
        <v>46053</v>
      </c>
      <c r="E6959" s="888" t="s">
        <v>310</v>
      </c>
      <c r="F6959" s="888" t="s">
        <v>310</v>
      </c>
    </row>
    <row r="6960" spans="1:6">
      <c r="A6960" s="888">
        <v>329</v>
      </c>
      <c r="B6960" s="888" t="s">
        <v>152</v>
      </c>
      <c r="C6960" s="888" t="s">
        <v>1253</v>
      </c>
      <c r="D6960" s="889">
        <v>46054</v>
      </c>
      <c r="E6960" s="888" t="s">
        <v>310</v>
      </c>
      <c r="F6960" s="888" t="s">
        <v>310</v>
      </c>
    </row>
    <row r="6961" spans="1:6">
      <c r="A6961" s="888">
        <v>33</v>
      </c>
      <c r="B6961" s="888" t="s">
        <v>1114</v>
      </c>
      <c r="C6961" s="888" t="s">
        <v>1387</v>
      </c>
      <c r="D6961" s="889">
        <v>46023</v>
      </c>
      <c r="E6961" s="888" t="s">
        <v>310</v>
      </c>
      <c r="F6961" s="888" t="s">
        <v>310</v>
      </c>
    </row>
    <row r="6962" spans="1:6">
      <c r="A6962" s="888">
        <v>33</v>
      </c>
      <c r="B6962" s="888" t="s">
        <v>1114</v>
      </c>
      <c r="C6962" s="888" t="s">
        <v>1387</v>
      </c>
      <c r="D6962" s="889">
        <v>46024</v>
      </c>
      <c r="E6962" s="888" t="s">
        <v>310</v>
      </c>
      <c r="F6962" s="888" t="s">
        <v>310</v>
      </c>
    </row>
    <row r="6963" spans="1:6">
      <c r="A6963" s="888">
        <v>33</v>
      </c>
      <c r="B6963" s="888" t="s">
        <v>1114</v>
      </c>
      <c r="C6963" s="888" t="s">
        <v>1387</v>
      </c>
      <c r="D6963" s="889">
        <v>46025</v>
      </c>
      <c r="E6963" s="888" t="s">
        <v>310</v>
      </c>
      <c r="F6963" s="888" t="s">
        <v>310</v>
      </c>
    </row>
    <row r="6964" spans="1:6">
      <c r="A6964" s="888">
        <v>33</v>
      </c>
      <c r="B6964" s="888" t="s">
        <v>1114</v>
      </c>
      <c r="C6964" s="888" t="s">
        <v>1387</v>
      </c>
      <c r="D6964" s="889">
        <v>46026</v>
      </c>
      <c r="E6964" s="888" t="s">
        <v>310</v>
      </c>
      <c r="F6964" s="888" t="s">
        <v>310</v>
      </c>
    </row>
    <row r="6965" spans="1:6">
      <c r="A6965" s="888">
        <v>33</v>
      </c>
      <c r="B6965" s="888" t="s">
        <v>1114</v>
      </c>
      <c r="C6965" s="888" t="s">
        <v>1387</v>
      </c>
      <c r="D6965" s="889">
        <v>46027</v>
      </c>
      <c r="E6965" s="890">
        <v>0.35498842592592594</v>
      </c>
      <c r="F6965" s="890">
        <v>0.75190972222222219</v>
      </c>
    </row>
    <row r="6966" spans="1:6">
      <c r="A6966" s="888" t="s">
        <v>5322</v>
      </c>
      <c r="B6966" s="888" t="s">
        <v>5323</v>
      </c>
      <c r="C6966" s="888" t="s">
        <v>1514</v>
      </c>
    </row>
    <row r="6967" spans="1:6">
      <c r="A6967" s="888">
        <v>33</v>
      </c>
      <c r="B6967" s="888" t="s">
        <v>1114</v>
      </c>
      <c r="C6967" s="888" t="s">
        <v>1387</v>
      </c>
      <c r="D6967" s="889">
        <v>46028</v>
      </c>
      <c r="E6967" s="890">
        <v>0.35119212962962965</v>
      </c>
      <c r="F6967" s="890">
        <v>0.75211805555555555</v>
      </c>
    </row>
    <row r="6968" spans="1:6">
      <c r="A6968" s="888" t="s">
        <v>5324</v>
      </c>
      <c r="B6968" s="888" t="s">
        <v>5325</v>
      </c>
      <c r="C6968" s="888" t="s">
        <v>1378</v>
      </c>
    </row>
    <row r="6969" spans="1:6">
      <c r="A6969" s="888">
        <v>33</v>
      </c>
      <c r="B6969" s="888" t="s">
        <v>1114</v>
      </c>
      <c r="C6969" s="888" t="s">
        <v>1387</v>
      </c>
      <c r="D6969" s="889">
        <v>46029</v>
      </c>
      <c r="E6969" s="890">
        <v>0.35274305555555557</v>
      </c>
      <c r="F6969" s="890">
        <v>0.75165509259259256</v>
      </c>
    </row>
    <row r="6970" spans="1:6">
      <c r="A6970" s="888" t="s">
        <v>5326</v>
      </c>
      <c r="B6970" s="888" t="s">
        <v>5327</v>
      </c>
      <c r="C6970" s="888" t="s">
        <v>1383</v>
      </c>
    </row>
    <row r="6971" spans="1:6">
      <c r="A6971" s="888">
        <v>33</v>
      </c>
      <c r="B6971" s="888" t="s">
        <v>1114</v>
      </c>
      <c r="C6971" s="888" t="s">
        <v>1387</v>
      </c>
      <c r="D6971" s="889">
        <v>46030</v>
      </c>
      <c r="E6971" s="890">
        <v>0.35274305555555557</v>
      </c>
      <c r="F6971" s="890">
        <v>0.75628472222222221</v>
      </c>
    </row>
    <row r="6972" spans="1:6">
      <c r="A6972" s="888" t="s">
        <v>5328</v>
      </c>
      <c r="B6972" s="888" t="s">
        <v>5329</v>
      </c>
      <c r="C6972" s="888" t="s">
        <v>1363</v>
      </c>
    </row>
    <row r="6973" spans="1:6">
      <c r="A6973" s="888">
        <v>33</v>
      </c>
      <c r="B6973" s="888" t="s">
        <v>1114</v>
      </c>
      <c r="C6973" s="888" t="s">
        <v>1387</v>
      </c>
      <c r="D6973" s="889">
        <v>46031</v>
      </c>
      <c r="E6973" s="888" t="s">
        <v>310</v>
      </c>
      <c r="F6973" s="888" t="s">
        <v>310</v>
      </c>
    </row>
    <row r="6974" spans="1:6">
      <c r="A6974" s="888">
        <v>33</v>
      </c>
      <c r="B6974" s="888" t="s">
        <v>1114</v>
      </c>
      <c r="C6974" s="888" t="s">
        <v>1387</v>
      </c>
      <c r="D6974" s="889">
        <v>46032</v>
      </c>
      <c r="E6974" s="888" t="s">
        <v>310</v>
      </c>
      <c r="F6974" s="888" t="s">
        <v>310</v>
      </c>
    </row>
    <row r="6975" spans="1:6">
      <c r="A6975" s="888">
        <v>33</v>
      </c>
      <c r="B6975" s="888" t="s">
        <v>1114</v>
      </c>
      <c r="C6975" s="888" t="s">
        <v>1387</v>
      </c>
      <c r="D6975" s="889">
        <v>46033</v>
      </c>
      <c r="E6975" s="888" t="s">
        <v>310</v>
      </c>
      <c r="F6975" s="888" t="s">
        <v>310</v>
      </c>
    </row>
    <row r="6976" spans="1:6">
      <c r="A6976" s="888">
        <v>33</v>
      </c>
      <c r="B6976" s="888" t="s">
        <v>1114</v>
      </c>
      <c r="C6976" s="888" t="s">
        <v>1387</v>
      </c>
      <c r="D6976" s="889">
        <v>46034</v>
      </c>
      <c r="E6976" s="890">
        <v>0.35261574074074076</v>
      </c>
      <c r="F6976" s="890">
        <v>0.75296296296296295</v>
      </c>
    </row>
    <row r="6977" spans="1:6">
      <c r="A6977" s="888" t="s">
        <v>5330</v>
      </c>
      <c r="B6977" s="888" t="s">
        <v>5331</v>
      </c>
      <c r="C6977" s="888" t="s">
        <v>1378</v>
      </c>
    </row>
    <row r="6978" spans="1:6">
      <c r="A6978" s="888">
        <v>33</v>
      </c>
      <c r="B6978" s="888" t="s">
        <v>1114</v>
      </c>
      <c r="C6978" s="888" t="s">
        <v>1387</v>
      </c>
      <c r="D6978" s="889">
        <v>46035</v>
      </c>
      <c r="E6978" s="890">
        <v>0.35328703703703701</v>
      </c>
      <c r="F6978" s="890">
        <v>0.75275462962962958</v>
      </c>
    </row>
    <row r="6979" spans="1:6">
      <c r="A6979" s="888" t="s">
        <v>5332</v>
      </c>
      <c r="B6979" s="888" t="s">
        <v>5333</v>
      </c>
      <c r="C6979" s="888" t="s">
        <v>1288</v>
      </c>
    </row>
    <row r="6980" spans="1:6">
      <c r="A6980" s="888">
        <v>33</v>
      </c>
      <c r="B6980" s="888" t="s">
        <v>1114</v>
      </c>
      <c r="C6980" s="888" t="s">
        <v>1387</v>
      </c>
      <c r="D6980" s="889">
        <v>46036</v>
      </c>
      <c r="E6980" s="890">
        <v>0.35210648148148149</v>
      </c>
      <c r="F6980" s="890">
        <v>0.75302083333333336</v>
      </c>
    </row>
    <row r="6981" spans="1:6">
      <c r="A6981" s="888" t="s">
        <v>5334</v>
      </c>
      <c r="B6981" s="888" t="s">
        <v>5335</v>
      </c>
      <c r="C6981" s="888" t="s">
        <v>1378</v>
      </c>
    </row>
    <row r="6982" spans="1:6">
      <c r="A6982" s="888">
        <v>33</v>
      </c>
      <c r="B6982" s="888" t="s">
        <v>1114</v>
      </c>
      <c r="C6982" s="888" t="s">
        <v>1387</v>
      </c>
      <c r="D6982" s="889">
        <v>46037</v>
      </c>
      <c r="E6982" s="890">
        <v>0.35416666666666669</v>
      </c>
      <c r="F6982" s="890">
        <v>0.7522685185185185</v>
      </c>
    </row>
    <row r="6983" spans="1:6">
      <c r="A6983" s="888" t="s">
        <v>5336</v>
      </c>
      <c r="B6983" s="888" t="s">
        <v>5337</v>
      </c>
      <c r="C6983" s="888" t="s">
        <v>1457</v>
      </c>
    </row>
    <row r="6984" spans="1:6">
      <c r="A6984" s="888">
        <v>33</v>
      </c>
      <c r="B6984" s="888" t="s">
        <v>1114</v>
      </c>
      <c r="C6984" s="888" t="s">
        <v>1387</v>
      </c>
      <c r="D6984" s="889">
        <v>46038</v>
      </c>
      <c r="E6984" s="888" t="s">
        <v>310</v>
      </c>
      <c r="F6984" s="888" t="s">
        <v>310</v>
      </c>
    </row>
    <row r="6985" spans="1:6">
      <c r="A6985" s="888">
        <v>33</v>
      </c>
      <c r="B6985" s="888" t="s">
        <v>1114</v>
      </c>
      <c r="C6985" s="888" t="s">
        <v>1387</v>
      </c>
      <c r="D6985" s="889">
        <v>46039</v>
      </c>
      <c r="E6985" s="888" t="s">
        <v>310</v>
      </c>
      <c r="F6985" s="888" t="s">
        <v>310</v>
      </c>
    </row>
    <row r="6986" spans="1:6">
      <c r="A6986" s="888">
        <v>33</v>
      </c>
      <c r="B6986" s="888" t="s">
        <v>1114</v>
      </c>
      <c r="C6986" s="888" t="s">
        <v>1387</v>
      </c>
      <c r="D6986" s="889">
        <v>46040</v>
      </c>
      <c r="E6986" s="888" t="s">
        <v>310</v>
      </c>
      <c r="F6986" s="888" t="s">
        <v>310</v>
      </c>
    </row>
    <row r="6987" spans="1:6">
      <c r="A6987" s="888">
        <v>33</v>
      </c>
      <c r="B6987" s="888" t="s">
        <v>1114</v>
      </c>
      <c r="C6987" s="888" t="s">
        <v>1387</v>
      </c>
      <c r="D6987" s="889">
        <v>46041</v>
      </c>
      <c r="E6987" s="890">
        <v>0.37655092592592593</v>
      </c>
      <c r="F6987" s="890">
        <v>0.75513888888888892</v>
      </c>
    </row>
    <row r="6988" spans="1:6">
      <c r="A6988" s="888" t="s">
        <v>5338</v>
      </c>
      <c r="B6988" s="888" t="s">
        <v>5339</v>
      </c>
      <c r="C6988" s="888" t="s">
        <v>1336</v>
      </c>
    </row>
    <row r="6989" spans="1:6">
      <c r="A6989" s="888">
        <v>33</v>
      </c>
      <c r="B6989" s="888" t="s">
        <v>1114</v>
      </c>
      <c r="C6989" s="888" t="s">
        <v>1387</v>
      </c>
      <c r="D6989" s="889">
        <v>46042</v>
      </c>
      <c r="E6989" s="890">
        <v>0.35315972222222225</v>
      </c>
      <c r="F6989" s="890">
        <v>0.75233796296296296</v>
      </c>
    </row>
    <row r="6990" spans="1:6">
      <c r="A6990" s="888" t="s">
        <v>5340</v>
      </c>
      <c r="B6990" s="888" t="s">
        <v>5341</v>
      </c>
      <c r="C6990" s="888" t="s">
        <v>1288</v>
      </c>
    </row>
    <row r="6991" spans="1:6">
      <c r="A6991" s="888">
        <v>33</v>
      </c>
      <c r="B6991" s="888" t="s">
        <v>1114</v>
      </c>
      <c r="C6991" s="888" t="s">
        <v>1387</v>
      </c>
      <c r="D6991" s="889">
        <v>46043</v>
      </c>
      <c r="E6991" s="890">
        <v>0.35739583333333336</v>
      </c>
      <c r="F6991" s="890">
        <v>0.75201388888888887</v>
      </c>
    </row>
    <row r="6992" spans="1:6">
      <c r="A6992" s="888" t="s">
        <v>5342</v>
      </c>
      <c r="B6992" s="888" t="s">
        <v>5343</v>
      </c>
      <c r="C6992" s="888" t="s">
        <v>1285</v>
      </c>
    </row>
    <row r="6993" spans="1:6">
      <c r="A6993" s="888">
        <v>33</v>
      </c>
      <c r="B6993" s="888" t="s">
        <v>1114</v>
      </c>
      <c r="C6993" s="888" t="s">
        <v>1387</v>
      </c>
      <c r="D6993" s="889">
        <v>46044</v>
      </c>
      <c r="E6993" s="890">
        <v>0.35306712962962961</v>
      </c>
      <c r="F6993" s="890">
        <v>0.75188657407407411</v>
      </c>
    </row>
    <row r="6994" spans="1:6">
      <c r="A6994" s="888" t="s">
        <v>5344</v>
      </c>
      <c r="B6994" s="888" t="s">
        <v>5345</v>
      </c>
      <c r="C6994" s="888" t="s">
        <v>1383</v>
      </c>
    </row>
    <row r="6995" spans="1:6">
      <c r="A6995" s="888">
        <v>33</v>
      </c>
      <c r="B6995" s="888" t="s">
        <v>1114</v>
      </c>
      <c r="C6995" s="888" t="s">
        <v>1387</v>
      </c>
      <c r="D6995" s="889">
        <v>46045</v>
      </c>
      <c r="E6995" s="888" t="s">
        <v>310</v>
      </c>
      <c r="F6995" s="888" t="s">
        <v>310</v>
      </c>
    </row>
    <row r="6996" spans="1:6">
      <c r="A6996" s="888">
        <v>33</v>
      </c>
      <c r="B6996" s="888" t="s">
        <v>1114</v>
      </c>
      <c r="C6996" s="888" t="s">
        <v>1387</v>
      </c>
      <c r="D6996" s="889">
        <v>46046</v>
      </c>
      <c r="E6996" s="888" t="s">
        <v>310</v>
      </c>
      <c r="F6996" s="888" t="s">
        <v>310</v>
      </c>
    </row>
    <row r="6997" spans="1:6">
      <c r="A6997" s="888">
        <v>33</v>
      </c>
      <c r="B6997" s="888" t="s">
        <v>1114</v>
      </c>
      <c r="C6997" s="888" t="s">
        <v>1387</v>
      </c>
      <c r="D6997" s="889">
        <v>46047</v>
      </c>
      <c r="E6997" s="888" t="s">
        <v>310</v>
      </c>
      <c r="F6997" s="888" t="s">
        <v>310</v>
      </c>
    </row>
    <row r="6998" spans="1:6">
      <c r="A6998" s="888">
        <v>33</v>
      </c>
      <c r="B6998" s="888" t="s">
        <v>1114</v>
      </c>
      <c r="C6998" s="888" t="s">
        <v>1387</v>
      </c>
      <c r="D6998" s="889">
        <v>46048</v>
      </c>
      <c r="E6998" s="890">
        <v>0.3533101851851852</v>
      </c>
      <c r="F6998" s="890">
        <v>0.75288194444444445</v>
      </c>
    </row>
    <row r="6999" spans="1:6">
      <c r="A6999" s="888" t="s">
        <v>5346</v>
      </c>
      <c r="B6999" s="888" t="s">
        <v>5347</v>
      </c>
      <c r="C6999" s="888" t="s">
        <v>1288</v>
      </c>
    </row>
    <row r="7000" spans="1:6">
      <c r="A7000" s="888">
        <v>33</v>
      </c>
      <c r="B7000" s="888" t="s">
        <v>1114</v>
      </c>
      <c r="C7000" s="888" t="s">
        <v>1387</v>
      </c>
      <c r="D7000" s="889">
        <v>46049</v>
      </c>
      <c r="E7000" s="890">
        <v>0.35269675925925925</v>
      </c>
      <c r="F7000" s="890">
        <v>0.75410879629629635</v>
      </c>
    </row>
    <row r="7001" spans="1:6">
      <c r="A7001" s="888" t="s">
        <v>5348</v>
      </c>
      <c r="B7001" s="888" t="s">
        <v>5349</v>
      </c>
      <c r="C7001" s="888" t="s">
        <v>1466</v>
      </c>
    </row>
    <row r="7002" spans="1:6">
      <c r="A7002" s="888">
        <v>33</v>
      </c>
      <c r="B7002" s="888" t="s">
        <v>1114</v>
      </c>
      <c r="C7002" s="888" t="s">
        <v>1387</v>
      </c>
      <c r="D7002" s="889">
        <v>46050</v>
      </c>
      <c r="E7002" s="890">
        <v>0.3525578703703704</v>
      </c>
      <c r="F7002" s="890">
        <v>0.75377314814814811</v>
      </c>
    </row>
    <row r="7003" spans="1:6">
      <c r="A7003" s="888" t="s">
        <v>5350</v>
      </c>
      <c r="B7003" s="888" t="s">
        <v>5351</v>
      </c>
      <c r="C7003" s="888" t="s">
        <v>1466</v>
      </c>
    </row>
    <row r="7004" spans="1:6">
      <c r="A7004" s="888">
        <v>33</v>
      </c>
      <c r="B7004" s="888" t="s">
        <v>1114</v>
      </c>
      <c r="C7004" s="888" t="s">
        <v>1387</v>
      </c>
      <c r="D7004" s="889">
        <v>46051</v>
      </c>
      <c r="E7004" s="890">
        <v>0.35278935185185184</v>
      </c>
      <c r="F7004" s="890">
        <v>0.75773148148148151</v>
      </c>
    </row>
    <row r="7005" spans="1:6">
      <c r="A7005" s="888" t="s">
        <v>5352</v>
      </c>
      <c r="B7005" s="888" t="s">
        <v>5353</v>
      </c>
      <c r="C7005" s="888" t="s">
        <v>1356</v>
      </c>
    </row>
    <row r="7006" spans="1:6">
      <c r="A7006" s="888">
        <v>33</v>
      </c>
      <c r="B7006" s="888" t="s">
        <v>1114</v>
      </c>
      <c r="C7006" s="888" t="s">
        <v>1387</v>
      </c>
      <c r="D7006" s="889">
        <v>46052</v>
      </c>
      <c r="E7006" s="888" t="s">
        <v>310</v>
      </c>
      <c r="F7006" s="888" t="s">
        <v>310</v>
      </c>
    </row>
    <row r="7007" spans="1:6">
      <c r="A7007" s="888">
        <v>33</v>
      </c>
      <c r="B7007" s="888" t="s">
        <v>1114</v>
      </c>
      <c r="C7007" s="888" t="s">
        <v>1387</v>
      </c>
      <c r="D7007" s="889">
        <v>46053</v>
      </c>
      <c r="E7007" s="888" t="s">
        <v>310</v>
      </c>
      <c r="F7007" s="888" t="s">
        <v>310</v>
      </c>
    </row>
    <row r="7008" spans="1:6">
      <c r="A7008" s="888">
        <v>33</v>
      </c>
      <c r="B7008" s="888" t="s">
        <v>1114</v>
      </c>
      <c r="C7008" s="888" t="s">
        <v>1387</v>
      </c>
      <c r="D7008" s="889">
        <v>46054</v>
      </c>
      <c r="E7008" s="888" t="s">
        <v>310</v>
      </c>
      <c r="F7008" s="888" t="s">
        <v>310</v>
      </c>
    </row>
    <row r="7009" spans="1:11">
      <c r="A7009" s="888">
        <v>330</v>
      </c>
      <c r="B7009" s="888" t="s">
        <v>990</v>
      </c>
      <c r="C7009" s="888" t="s">
        <v>1253</v>
      </c>
      <c r="D7009" s="889">
        <v>46023</v>
      </c>
      <c r="E7009" s="888" t="s">
        <v>310</v>
      </c>
      <c r="F7009" s="888" t="s">
        <v>310</v>
      </c>
      <c r="G7009" s="891" t="s">
        <v>1039</v>
      </c>
      <c r="H7009" s="891" t="s">
        <v>4991</v>
      </c>
      <c r="I7009" s="891" t="s">
        <v>1039</v>
      </c>
      <c r="J7009" s="891" t="s">
        <v>4991</v>
      </c>
    </row>
    <row r="7010" spans="1:11">
      <c r="A7010" s="888">
        <v>330</v>
      </c>
      <c r="B7010" s="888" t="s">
        <v>990</v>
      </c>
      <c r="C7010" s="888" t="s">
        <v>1253</v>
      </c>
      <c r="D7010" s="889">
        <v>46024</v>
      </c>
      <c r="E7010" s="888" t="s">
        <v>310</v>
      </c>
      <c r="F7010" s="888" t="s">
        <v>310</v>
      </c>
      <c r="G7010" s="891" t="s">
        <v>1039</v>
      </c>
      <c r="H7010" s="891" t="s">
        <v>1080</v>
      </c>
      <c r="I7010" s="891" t="s">
        <v>1039</v>
      </c>
      <c r="J7010" s="891" t="s">
        <v>1080</v>
      </c>
    </row>
    <row r="7011" spans="1:11">
      <c r="A7011" s="888">
        <v>330</v>
      </c>
      <c r="B7011" s="888" t="s">
        <v>990</v>
      </c>
      <c r="C7011" s="888" t="s">
        <v>1253</v>
      </c>
      <c r="D7011" s="889">
        <v>46025</v>
      </c>
      <c r="E7011" s="888" t="s">
        <v>310</v>
      </c>
      <c r="F7011" s="888" t="s">
        <v>310</v>
      </c>
      <c r="G7011" s="891" t="s">
        <v>1039</v>
      </c>
      <c r="H7011" s="891" t="s">
        <v>1344</v>
      </c>
      <c r="I7011" s="891" t="s">
        <v>1039</v>
      </c>
      <c r="J7011" s="891" t="s">
        <v>1344</v>
      </c>
    </row>
    <row r="7012" spans="1:11">
      <c r="A7012" s="888">
        <v>330</v>
      </c>
      <c r="B7012" s="888" t="s">
        <v>990</v>
      </c>
      <c r="C7012" s="888" t="s">
        <v>1253</v>
      </c>
      <c r="D7012" s="889">
        <v>46026</v>
      </c>
      <c r="E7012" s="888" t="s">
        <v>310</v>
      </c>
      <c r="F7012" s="888" t="s">
        <v>310</v>
      </c>
      <c r="G7012" s="891" t="s">
        <v>1039</v>
      </c>
      <c r="H7012" s="891" t="s">
        <v>1344</v>
      </c>
      <c r="I7012" s="891" t="s">
        <v>1039</v>
      </c>
      <c r="J7012" s="891" t="s">
        <v>1344</v>
      </c>
    </row>
    <row r="7013" spans="1:11">
      <c r="A7013" s="888">
        <v>330</v>
      </c>
      <c r="B7013" s="888" t="s">
        <v>990</v>
      </c>
      <c r="C7013" s="888" t="s">
        <v>1253</v>
      </c>
      <c r="D7013" s="889">
        <v>46027</v>
      </c>
      <c r="E7013" s="890">
        <v>0.35468749999999999</v>
      </c>
      <c r="F7013" s="890">
        <v>0.75668981481481479</v>
      </c>
    </row>
    <row r="7014" spans="1:11">
      <c r="A7014" s="888" t="s">
        <v>5354</v>
      </c>
      <c r="B7014" s="888" t="s">
        <v>5355</v>
      </c>
      <c r="C7014" s="888" t="s">
        <v>1538</v>
      </c>
    </row>
    <row r="7015" spans="1:11">
      <c r="A7015" s="888">
        <v>330</v>
      </c>
      <c r="B7015" s="888" t="s">
        <v>990</v>
      </c>
      <c r="C7015" s="888" t="s">
        <v>1253</v>
      </c>
      <c r="D7015" s="889">
        <v>46028</v>
      </c>
      <c r="E7015" s="890">
        <v>0.36149305555555555</v>
      </c>
      <c r="F7015" s="890">
        <v>0.76129629629629625</v>
      </c>
      <c r="G7015" s="891" t="s">
        <v>1039</v>
      </c>
      <c r="H7015" s="891" t="s">
        <v>1005</v>
      </c>
    </row>
    <row r="7016" spans="1:11">
      <c r="A7016" s="888" t="s">
        <v>5356</v>
      </c>
      <c r="B7016" s="888" t="s">
        <v>5357</v>
      </c>
      <c r="C7016" s="888" t="s">
        <v>1526</v>
      </c>
    </row>
    <row r="7017" spans="1:11">
      <c r="A7017" s="888">
        <v>330</v>
      </c>
      <c r="B7017" s="888" t="s">
        <v>990</v>
      </c>
      <c r="C7017" s="888" t="s">
        <v>1253</v>
      </c>
      <c r="D7017" s="889">
        <v>46029</v>
      </c>
      <c r="E7017" s="890">
        <v>0.35450231481481481</v>
      </c>
      <c r="F7017" s="890">
        <v>0.75534722222222217</v>
      </c>
    </row>
    <row r="7018" spans="1:11">
      <c r="A7018" s="888" t="s">
        <v>5358</v>
      </c>
      <c r="B7018" s="888" t="s">
        <v>5359</v>
      </c>
      <c r="C7018" s="888" t="s">
        <v>1378</v>
      </c>
    </row>
    <row r="7019" spans="1:11">
      <c r="A7019" s="892">
        <v>330</v>
      </c>
      <c r="B7019" s="892" t="s">
        <v>990</v>
      </c>
      <c r="C7019" s="892" t="s">
        <v>1253</v>
      </c>
      <c r="D7019" s="893">
        <v>46030</v>
      </c>
      <c r="E7019" s="892" t="s">
        <v>310</v>
      </c>
      <c r="F7019" s="892" t="s">
        <v>310</v>
      </c>
      <c r="G7019" s="895" t="s">
        <v>1039</v>
      </c>
      <c r="H7019" s="895" t="s">
        <v>1084</v>
      </c>
      <c r="I7019" s="895" t="s">
        <v>1039</v>
      </c>
      <c r="J7019" s="895" t="s">
        <v>1084</v>
      </c>
      <c r="K7019" s="895"/>
    </row>
    <row r="7020" spans="1:11">
      <c r="A7020" s="892">
        <v>330</v>
      </c>
      <c r="B7020" s="892" t="s">
        <v>990</v>
      </c>
      <c r="C7020" s="892" t="s">
        <v>1253</v>
      </c>
      <c r="D7020" s="893">
        <v>46031</v>
      </c>
      <c r="E7020" s="894">
        <v>0.35315972222222225</v>
      </c>
      <c r="F7020" s="894">
        <v>0.75979166666666664</v>
      </c>
      <c r="G7020" s="895"/>
      <c r="H7020" s="895"/>
      <c r="I7020" s="895"/>
      <c r="J7020" s="895"/>
      <c r="K7020" s="895"/>
    </row>
    <row r="7021" spans="1:11">
      <c r="A7021" s="888" t="s">
        <v>5360</v>
      </c>
      <c r="B7021" s="888" t="s">
        <v>5361</v>
      </c>
      <c r="C7021" s="888" t="s">
        <v>1868</v>
      </c>
    </row>
    <row r="7022" spans="1:11">
      <c r="A7022" s="892">
        <v>330</v>
      </c>
      <c r="B7022" s="892" t="s">
        <v>990</v>
      </c>
      <c r="C7022" s="892" t="s">
        <v>1253</v>
      </c>
      <c r="D7022" s="893">
        <v>46032</v>
      </c>
      <c r="E7022" s="892" t="s">
        <v>310</v>
      </c>
      <c r="F7022" s="892" t="s">
        <v>310</v>
      </c>
      <c r="G7022" s="895" t="s">
        <v>1039</v>
      </c>
      <c r="H7022" s="895" t="s">
        <v>1344</v>
      </c>
      <c r="I7022" s="895" t="s">
        <v>1039</v>
      </c>
      <c r="J7022" s="895" t="s">
        <v>1344</v>
      </c>
      <c r="K7022" s="895"/>
    </row>
    <row r="7023" spans="1:11">
      <c r="A7023" s="892">
        <v>330</v>
      </c>
      <c r="B7023" s="892" t="s">
        <v>990</v>
      </c>
      <c r="C7023" s="892" t="s">
        <v>1253</v>
      </c>
      <c r="D7023" s="893">
        <v>46033</v>
      </c>
      <c r="E7023" s="892" t="s">
        <v>310</v>
      </c>
      <c r="F7023" s="892" t="s">
        <v>310</v>
      </c>
      <c r="G7023" s="895" t="s">
        <v>1039</v>
      </c>
      <c r="H7023" s="895" t="s">
        <v>1344</v>
      </c>
      <c r="I7023" s="895" t="s">
        <v>1039</v>
      </c>
      <c r="J7023" s="895" t="s">
        <v>1344</v>
      </c>
      <c r="K7023" s="895"/>
    </row>
    <row r="7024" spans="1:11">
      <c r="A7024" s="892">
        <v>330</v>
      </c>
      <c r="B7024" s="892" t="s">
        <v>990</v>
      </c>
      <c r="C7024" s="892" t="s">
        <v>1253</v>
      </c>
      <c r="D7024" s="893">
        <v>46034</v>
      </c>
      <c r="E7024" s="894">
        <v>0.34752314814814816</v>
      </c>
      <c r="F7024" s="894">
        <v>0.75442129629629628</v>
      </c>
      <c r="G7024" s="895"/>
      <c r="H7024" s="895"/>
      <c r="I7024" s="895"/>
      <c r="J7024" s="895"/>
      <c r="K7024" s="895"/>
    </row>
    <row r="7025" spans="1:11">
      <c r="A7025" s="888" t="s">
        <v>5362</v>
      </c>
      <c r="B7025" s="888" t="s">
        <v>5363</v>
      </c>
      <c r="C7025" s="888" t="s">
        <v>1868</v>
      </c>
    </row>
    <row r="7026" spans="1:11">
      <c r="A7026" s="892">
        <v>330</v>
      </c>
      <c r="B7026" s="892" t="s">
        <v>990</v>
      </c>
      <c r="C7026" s="892" t="s">
        <v>1253</v>
      </c>
      <c r="D7026" s="893">
        <v>46035</v>
      </c>
      <c r="E7026" s="894">
        <v>0.35452546296296295</v>
      </c>
      <c r="F7026" s="894">
        <v>0.68527777777777776</v>
      </c>
      <c r="G7026" s="895"/>
      <c r="H7026" s="895"/>
      <c r="I7026" s="895" t="s">
        <v>1039</v>
      </c>
      <c r="J7026" s="895" t="s">
        <v>5364</v>
      </c>
      <c r="K7026" s="895"/>
    </row>
    <row r="7027" spans="1:11">
      <c r="A7027" s="888" t="s">
        <v>5365</v>
      </c>
      <c r="B7027" s="888" t="s">
        <v>5366</v>
      </c>
      <c r="C7027" s="888" t="s">
        <v>4631</v>
      </c>
    </row>
    <row r="7028" spans="1:11">
      <c r="A7028" s="892">
        <v>330</v>
      </c>
      <c r="B7028" s="892" t="s">
        <v>990</v>
      </c>
      <c r="C7028" s="892" t="s">
        <v>1253</v>
      </c>
      <c r="D7028" s="893">
        <v>46036</v>
      </c>
      <c r="E7028" s="894">
        <v>0.35519675925925925</v>
      </c>
      <c r="F7028" s="894">
        <v>0.75976851851851857</v>
      </c>
      <c r="G7028" s="895" t="s">
        <v>1039</v>
      </c>
      <c r="H7028" s="895" t="s">
        <v>1005</v>
      </c>
      <c r="I7028" s="895"/>
      <c r="J7028" s="895"/>
      <c r="K7028" s="895"/>
    </row>
    <row r="7029" spans="1:11">
      <c r="A7029" s="888" t="s">
        <v>5367</v>
      </c>
      <c r="B7029" s="888" t="s">
        <v>5368</v>
      </c>
      <c r="C7029" s="888" t="s">
        <v>1356</v>
      </c>
    </row>
    <row r="7030" spans="1:11">
      <c r="A7030" s="892">
        <v>330</v>
      </c>
      <c r="B7030" s="892" t="s">
        <v>990</v>
      </c>
      <c r="C7030" s="892" t="s">
        <v>1253</v>
      </c>
      <c r="D7030" s="893">
        <v>46037</v>
      </c>
      <c r="E7030" s="892" t="s">
        <v>310</v>
      </c>
      <c r="F7030" s="892" t="s">
        <v>310</v>
      </c>
      <c r="G7030" s="895" t="s">
        <v>1039</v>
      </c>
      <c r="H7030" s="895" t="s">
        <v>1084</v>
      </c>
      <c r="I7030" s="895" t="s">
        <v>1039</v>
      </c>
      <c r="J7030" s="895" t="s">
        <v>1084</v>
      </c>
      <c r="K7030" s="895"/>
    </row>
    <row r="7031" spans="1:11">
      <c r="A7031" s="892">
        <v>330</v>
      </c>
      <c r="B7031" s="892" t="s">
        <v>990</v>
      </c>
      <c r="C7031" s="892" t="s">
        <v>1253</v>
      </c>
      <c r="D7031" s="893">
        <v>46038</v>
      </c>
      <c r="E7031" s="894">
        <v>0.34758101851851853</v>
      </c>
      <c r="F7031" s="894">
        <v>0.76025462962962964</v>
      </c>
      <c r="G7031" s="895"/>
      <c r="H7031" s="895"/>
      <c r="I7031" s="895"/>
      <c r="J7031" s="895"/>
      <c r="K7031" s="895"/>
    </row>
    <row r="7032" spans="1:11">
      <c r="A7032" s="888" t="s">
        <v>5369</v>
      </c>
      <c r="B7032" s="888" t="s">
        <v>5370</v>
      </c>
      <c r="C7032" s="888" t="s">
        <v>1816</v>
      </c>
    </row>
    <row r="7033" spans="1:11">
      <c r="A7033" s="892">
        <v>330</v>
      </c>
      <c r="B7033" s="892" t="s">
        <v>990</v>
      </c>
      <c r="C7033" s="892" t="s">
        <v>1253</v>
      </c>
      <c r="D7033" s="893">
        <v>46039</v>
      </c>
      <c r="E7033" s="892" t="s">
        <v>310</v>
      </c>
      <c r="F7033" s="892" t="s">
        <v>310</v>
      </c>
      <c r="G7033" s="895" t="s">
        <v>1039</v>
      </c>
      <c r="H7033" s="895" t="s">
        <v>1344</v>
      </c>
      <c r="I7033" s="895" t="s">
        <v>1039</v>
      </c>
      <c r="J7033" s="895" t="s">
        <v>1344</v>
      </c>
      <c r="K7033" s="895"/>
    </row>
    <row r="7034" spans="1:11">
      <c r="A7034" s="892">
        <v>330</v>
      </c>
      <c r="B7034" s="892" t="s">
        <v>990</v>
      </c>
      <c r="C7034" s="892" t="s">
        <v>1253</v>
      </c>
      <c r="D7034" s="893">
        <v>46040</v>
      </c>
      <c r="E7034" s="892" t="s">
        <v>310</v>
      </c>
      <c r="F7034" s="892" t="s">
        <v>310</v>
      </c>
      <c r="G7034" s="895" t="s">
        <v>1039</v>
      </c>
      <c r="H7034" s="895" t="s">
        <v>1344</v>
      </c>
      <c r="I7034" s="895" t="s">
        <v>1039</v>
      </c>
      <c r="J7034" s="895" t="s">
        <v>1344</v>
      </c>
      <c r="K7034" s="895"/>
    </row>
    <row r="7035" spans="1:11">
      <c r="A7035" s="892">
        <v>330</v>
      </c>
      <c r="B7035" s="892" t="s">
        <v>990</v>
      </c>
      <c r="C7035" s="892" t="s">
        <v>1253</v>
      </c>
      <c r="D7035" s="893">
        <v>46041</v>
      </c>
      <c r="E7035" s="894">
        <v>0.35953703703703704</v>
      </c>
      <c r="F7035" s="894">
        <v>0.75877314814814811</v>
      </c>
      <c r="G7035" s="895" t="s">
        <v>1039</v>
      </c>
      <c r="H7035" s="895" t="s">
        <v>1005</v>
      </c>
      <c r="I7035" s="895"/>
      <c r="J7035" s="895"/>
      <c r="K7035" s="895"/>
    </row>
    <row r="7036" spans="1:11">
      <c r="A7036" s="888" t="s">
        <v>5371</v>
      </c>
      <c r="B7036" s="888" t="s">
        <v>5372</v>
      </c>
      <c r="C7036" s="888" t="s">
        <v>1288</v>
      </c>
    </row>
    <row r="7037" spans="1:11">
      <c r="A7037" s="892">
        <v>330</v>
      </c>
      <c r="B7037" s="892" t="s">
        <v>990</v>
      </c>
      <c r="C7037" s="892" t="s">
        <v>1253</v>
      </c>
      <c r="D7037" s="893">
        <v>46042</v>
      </c>
      <c r="E7037" s="894">
        <v>0.35229166666666667</v>
      </c>
      <c r="F7037" s="894">
        <v>0.76853009259259264</v>
      </c>
      <c r="G7037" s="895"/>
      <c r="H7037" s="895"/>
      <c r="I7037" s="895"/>
      <c r="J7037" s="895"/>
      <c r="K7037" s="895"/>
    </row>
    <row r="7038" spans="1:11">
      <c r="A7038" s="888" t="s">
        <v>5373</v>
      </c>
      <c r="B7038" s="888" t="s">
        <v>5374</v>
      </c>
      <c r="C7038" s="888" t="s">
        <v>1422</v>
      </c>
    </row>
    <row r="7039" spans="1:11">
      <c r="A7039" s="892">
        <v>330</v>
      </c>
      <c r="B7039" s="892" t="s">
        <v>990</v>
      </c>
      <c r="C7039" s="892" t="s">
        <v>1253</v>
      </c>
      <c r="D7039" s="893">
        <v>46043</v>
      </c>
      <c r="E7039" s="894">
        <v>0.35289351851851852</v>
      </c>
      <c r="F7039" s="894">
        <v>0.75693287037037038</v>
      </c>
      <c r="G7039" s="895"/>
      <c r="H7039" s="895"/>
      <c r="I7039" s="895"/>
      <c r="J7039" s="895"/>
      <c r="K7039" s="895"/>
    </row>
    <row r="7040" spans="1:11">
      <c r="A7040" s="888" t="s">
        <v>5375</v>
      </c>
      <c r="B7040" s="888" t="s">
        <v>5376</v>
      </c>
      <c r="C7040" s="888" t="s">
        <v>1266</v>
      </c>
    </row>
    <row r="7041" spans="1:11">
      <c r="A7041" s="892">
        <v>330</v>
      </c>
      <c r="B7041" s="892" t="s">
        <v>990</v>
      </c>
      <c r="C7041" s="892" t="s">
        <v>1253</v>
      </c>
      <c r="D7041" s="893">
        <v>46044</v>
      </c>
      <c r="E7041" s="894">
        <v>0.35460648148148149</v>
      </c>
      <c r="F7041" s="894">
        <v>0.82817129629629627</v>
      </c>
      <c r="G7041" s="895"/>
      <c r="H7041" s="895"/>
      <c r="I7041" s="895"/>
      <c r="J7041" s="895"/>
      <c r="K7041" s="895"/>
    </row>
    <row r="7042" spans="1:11">
      <c r="A7042" s="888" t="s">
        <v>5377</v>
      </c>
      <c r="B7042" s="888" t="s">
        <v>5378</v>
      </c>
      <c r="C7042" s="888" t="s">
        <v>1795</v>
      </c>
    </row>
    <row r="7043" spans="1:11">
      <c r="A7043" s="892">
        <v>330</v>
      </c>
      <c r="B7043" s="892" t="s">
        <v>990</v>
      </c>
      <c r="C7043" s="892" t="s">
        <v>1253</v>
      </c>
      <c r="D7043" s="893">
        <v>46045</v>
      </c>
      <c r="E7043" s="894">
        <v>0.3548263888888889</v>
      </c>
      <c r="F7043" s="894">
        <v>0.77552083333333333</v>
      </c>
      <c r="G7043" s="895"/>
      <c r="H7043" s="895"/>
      <c r="I7043" s="895"/>
      <c r="J7043" s="895"/>
      <c r="K7043" s="895"/>
    </row>
    <row r="7044" spans="1:11">
      <c r="A7044" s="888" t="s">
        <v>5379</v>
      </c>
      <c r="B7044" s="888" t="s">
        <v>5380</v>
      </c>
      <c r="C7044" s="888" t="s">
        <v>1871</v>
      </c>
    </row>
    <row r="7045" spans="1:11">
      <c r="A7045" s="892">
        <v>330</v>
      </c>
      <c r="B7045" s="892" t="s">
        <v>990</v>
      </c>
      <c r="C7045" s="892" t="s">
        <v>1253</v>
      </c>
      <c r="D7045" s="893">
        <v>46046</v>
      </c>
      <c r="E7045" s="892" t="s">
        <v>310</v>
      </c>
      <c r="F7045" s="892" t="s">
        <v>310</v>
      </c>
      <c r="G7045" s="895" t="s">
        <v>1039</v>
      </c>
      <c r="H7045" s="895" t="s">
        <v>1344</v>
      </c>
      <c r="I7045" s="895" t="s">
        <v>1039</v>
      </c>
      <c r="J7045" s="895" t="s">
        <v>1344</v>
      </c>
      <c r="K7045" s="895"/>
    </row>
    <row r="7046" spans="1:11">
      <c r="A7046" s="892">
        <v>330</v>
      </c>
      <c r="B7046" s="892" t="s">
        <v>990</v>
      </c>
      <c r="C7046" s="892" t="s">
        <v>1253</v>
      </c>
      <c r="D7046" s="893">
        <v>46047</v>
      </c>
      <c r="E7046" s="892" t="s">
        <v>310</v>
      </c>
      <c r="F7046" s="892" t="s">
        <v>310</v>
      </c>
      <c r="G7046" s="895" t="s">
        <v>1039</v>
      </c>
      <c r="H7046" s="895" t="s">
        <v>1344</v>
      </c>
      <c r="I7046" s="895" t="s">
        <v>1039</v>
      </c>
      <c r="J7046" s="895" t="s">
        <v>1344</v>
      </c>
      <c r="K7046" s="895"/>
    </row>
    <row r="7047" spans="1:11">
      <c r="A7047" s="892">
        <v>330</v>
      </c>
      <c r="B7047" s="892" t="s">
        <v>990</v>
      </c>
      <c r="C7047" s="892" t="s">
        <v>1253</v>
      </c>
      <c r="D7047" s="893">
        <v>46048</v>
      </c>
      <c r="E7047" s="894">
        <v>0.35515046296296299</v>
      </c>
      <c r="F7047" s="894">
        <v>0.75391203703703702</v>
      </c>
      <c r="G7047" s="895" t="s">
        <v>1039</v>
      </c>
      <c r="H7047" s="895" t="s">
        <v>1005</v>
      </c>
      <c r="I7047" s="895"/>
      <c r="J7047" s="895"/>
      <c r="K7047" s="895"/>
    </row>
    <row r="7048" spans="1:11">
      <c r="A7048" s="888" t="s">
        <v>5381</v>
      </c>
      <c r="B7048" s="888" t="s">
        <v>5382</v>
      </c>
      <c r="C7048" s="888" t="s">
        <v>1383</v>
      </c>
    </row>
    <row r="7049" spans="1:11">
      <c r="A7049" s="892">
        <v>330</v>
      </c>
      <c r="B7049" s="892" t="s">
        <v>990</v>
      </c>
      <c r="C7049" s="892" t="s">
        <v>1253</v>
      </c>
      <c r="D7049" s="893">
        <v>46049</v>
      </c>
      <c r="E7049" s="894">
        <v>0.34891203703703705</v>
      </c>
      <c r="F7049" s="894">
        <v>0.75715277777777779</v>
      </c>
      <c r="G7049" s="895"/>
      <c r="H7049" s="895"/>
      <c r="I7049" s="895"/>
      <c r="J7049" s="895"/>
      <c r="K7049" s="895"/>
    </row>
    <row r="7050" spans="1:11">
      <c r="A7050" s="888" t="s">
        <v>5383</v>
      </c>
      <c r="B7050" s="888" t="s">
        <v>5384</v>
      </c>
      <c r="C7050" s="888" t="s">
        <v>2077</v>
      </c>
    </row>
    <row r="7051" spans="1:11">
      <c r="A7051" s="892">
        <v>330</v>
      </c>
      <c r="B7051" s="892" t="s">
        <v>990</v>
      </c>
      <c r="C7051" s="892" t="s">
        <v>1253</v>
      </c>
      <c r="D7051" s="893">
        <v>46050</v>
      </c>
      <c r="E7051" s="894">
        <v>0.3565625</v>
      </c>
      <c r="F7051" s="894">
        <v>0.75373842592592588</v>
      </c>
      <c r="G7051" s="895" t="s">
        <v>1039</v>
      </c>
      <c r="H7051" s="895" t="s">
        <v>1005</v>
      </c>
      <c r="I7051" s="895"/>
      <c r="J7051" s="895"/>
      <c r="K7051" s="895"/>
    </row>
    <row r="7052" spans="1:11">
      <c r="A7052" s="888" t="s">
        <v>5385</v>
      </c>
      <c r="B7052" s="888" t="s">
        <v>5386</v>
      </c>
      <c r="C7052" s="888" t="s">
        <v>1514</v>
      </c>
    </row>
    <row r="7053" spans="1:11">
      <c r="A7053" s="892">
        <v>330</v>
      </c>
      <c r="B7053" s="892" t="s">
        <v>990</v>
      </c>
      <c r="C7053" s="892" t="s">
        <v>1253</v>
      </c>
      <c r="D7053" s="893">
        <v>46051</v>
      </c>
      <c r="E7053" s="894">
        <v>0.35543981481481479</v>
      </c>
      <c r="F7053" s="894">
        <v>0.75532407407407409</v>
      </c>
      <c r="G7053" s="895" t="s">
        <v>1039</v>
      </c>
      <c r="H7053" s="895" t="s">
        <v>1005</v>
      </c>
      <c r="I7053" s="895"/>
      <c r="J7053" s="895"/>
      <c r="K7053" s="895"/>
    </row>
    <row r="7054" spans="1:11">
      <c r="A7054" s="888" t="s">
        <v>5387</v>
      </c>
      <c r="B7054" s="888" t="s">
        <v>5388</v>
      </c>
      <c r="C7054" s="888" t="s">
        <v>1526</v>
      </c>
    </row>
    <row r="7055" spans="1:11">
      <c r="A7055" s="892">
        <v>330</v>
      </c>
      <c r="B7055" s="892" t="s">
        <v>990</v>
      </c>
      <c r="C7055" s="892" t="s">
        <v>1253</v>
      </c>
      <c r="D7055" s="893">
        <v>46052</v>
      </c>
      <c r="E7055" s="894">
        <v>0.35586805555555556</v>
      </c>
      <c r="F7055" s="894">
        <v>0.75893518518518521</v>
      </c>
      <c r="G7055" s="895" t="s">
        <v>1039</v>
      </c>
      <c r="H7055" s="895" t="s">
        <v>1005</v>
      </c>
      <c r="I7055" s="895"/>
      <c r="J7055" s="895"/>
      <c r="K7055" s="895"/>
    </row>
    <row r="7056" spans="1:11">
      <c r="A7056" s="888" t="s">
        <v>5389</v>
      </c>
      <c r="B7056" s="888" t="s">
        <v>5390</v>
      </c>
      <c r="C7056" s="888" t="s">
        <v>1624</v>
      </c>
    </row>
    <row r="7057" spans="1:11">
      <c r="A7057" s="892">
        <v>330</v>
      </c>
      <c r="B7057" s="892" t="s">
        <v>990</v>
      </c>
      <c r="C7057" s="892" t="s">
        <v>1253</v>
      </c>
      <c r="D7057" s="893">
        <v>46053</v>
      </c>
      <c r="E7057" s="892" t="s">
        <v>310</v>
      </c>
      <c r="F7057" s="892" t="s">
        <v>310</v>
      </c>
      <c r="G7057" s="895" t="s">
        <v>1039</v>
      </c>
      <c r="H7057" s="895" t="s">
        <v>1344</v>
      </c>
      <c r="I7057" s="895" t="s">
        <v>1039</v>
      </c>
      <c r="J7057" s="895" t="s">
        <v>1344</v>
      </c>
      <c r="K7057" s="895"/>
    </row>
    <row r="7058" spans="1:11">
      <c r="A7058" s="888">
        <v>331</v>
      </c>
      <c r="B7058" s="888" t="s">
        <v>991</v>
      </c>
      <c r="C7058" s="888" t="s">
        <v>1253</v>
      </c>
      <c r="D7058" s="889">
        <v>46023</v>
      </c>
      <c r="E7058" s="888" t="s">
        <v>310</v>
      </c>
      <c r="F7058" s="888" t="s">
        <v>310</v>
      </c>
    </row>
    <row r="7059" spans="1:11">
      <c r="A7059" s="888">
        <v>331</v>
      </c>
      <c r="B7059" s="888" t="s">
        <v>991</v>
      </c>
      <c r="C7059" s="888" t="s">
        <v>1253</v>
      </c>
      <c r="D7059" s="889">
        <v>46024</v>
      </c>
      <c r="E7059" s="888" t="s">
        <v>310</v>
      </c>
      <c r="F7059" s="888" t="s">
        <v>310</v>
      </c>
    </row>
    <row r="7060" spans="1:11">
      <c r="A7060" s="888">
        <v>331</v>
      </c>
      <c r="B7060" s="888" t="s">
        <v>991</v>
      </c>
      <c r="C7060" s="888" t="s">
        <v>1253</v>
      </c>
      <c r="D7060" s="889">
        <v>46025</v>
      </c>
      <c r="E7060" s="888" t="s">
        <v>310</v>
      </c>
      <c r="F7060" s="888" t="s">
        <v>310</v>
      </c>
    </row>
    <row r="7061" spans="1:11">
      <c r="A7061" s="888">
        <v>331</v>
      </c>
      <c r="B7061" s="888" t="s">
        <v>991</v>
      </c>
      <c r="C7061" s="888" t="s">
        <v>1253</v>
      </c>
      <c r="D7061" s="889">
        <v>46026</v>
      </c>
      <c r="E7061" s="888" t="s">
        <v>310</v>
      </c>
      <c r="F7061" s="888" t="s">
        <v>310</v>
      </c>
    </row>
    <row r="7062" spans="1:11">
      <c r="A7062" s="888">
        <v>331</v>
      </c>
      <c r="B7062" s="888" t="s">
        <v>991</v>
      </c>
      <c r="C7062" s="888" t="s">
        <v>1253</v>
      </c>
      <c r="D7062" s="889">
        <v>46027</v>
      </c>
      <c r="E7062" s="888" t="s">
        <v>310</v>
      </c>
      <c r="F7062" s="888" t="s">
        <v>310</v>
      </c>
    </row>
    <row r="7063" spans="1:11">
      <c r="A7063" s="888">
        <v>331</v>
      </c>
      <c r="B7063" s="888" t="s">
        <v>991</v>
      </c>
      <c r="C7063" s="888" t="s">
        <v>1253</v>
      </c>
      <c r="D7063" s="889">
        <v>46028</v>
      </c>
      <c r="E7063" s="888" t="s">
        <v>310</v>
      </c>
      <c r="F7063" s="888" t="s">
        <v>310</v>
      </c>
    </row>
    <row r="7064" spans="1:11">
      <c r="A7064" s="888">
        <v>331</v>
      </c>
      <c r="B7064" s="888" t="s">
        <v>991</v>
      </c>
      <c r="C7064" s="888" t="s">
        <v>1253</v>
      </c>
      <c r="D7064" s="889">
        <v>46029</v>
      </c>
      <c r="E7064" s="890">
        <v>0.81726851851851856</v>
      </c>
      <c r="F7064" s="890">
        <v>0.81731481481481483</v>
      </c>
    </row>
    <row r="7065" spans="1:11">
      <c r="A7065" s="888" t="s">
        <v>5391</v>
      </c>
      <c r="B7065" s="888" t="s">
        <v>5392</v>
      </c>
      <c r="C7065" s="888" t="s">
        <v>1259</v>
      </c>
    </row>
    <row r="7066" spans="1:11">
      <c r="A7066" s="888">
        <v>331</v>
      </c>
      <c r="B7066" s="888" t="s">
        <v>991</v>
      </c>
      <c r="C7066" s="888" t="s">
        <v>1253</v>
      </c>
      <c r="D7066" s="889">
        <v>46030</v>
      </c>
      <c r="E7066" s="888" t="s">
        <v>310</v>
      </c>
      <c r="F7066" s="888" t="s">
        <v>310</v>
      </c>
    </row>
    <row r="7067" spans="1:11">
      <c r="A7067" s="888">
        <v>331</v>
      </c>
      <c r="B7067" s="888" t="s">
        <v>991</v>
      </c>
      <c r="C7067" s="888" t="s">
        <v>1253</v>
      </c>
      <c r="D7067" s="889">
        <v>46031</v>
      </c>
      <c r="E7067" s="888" t="s">
        <v>310</v>
      </c>
      <c r="F7067" s="888" t="s">
        <v>310</v>
      </c>
    </row>
    <row r="7068" spans="1:11">
      <c r="A7068" s="888">
        <v>331</v>
      </c>
      <c r="B7068" s="888" t="s">
        <v>991</v>
      </c>
      <c r="C7068" s="888" t="s">
        <v>1253</v>
      </c>
      <c r="D7068" s="889">
        <v>46032</v>
      </c>
      <c r="E7068" s="888" t="s">
        <v>310</v>
      </c>
      <c r="F7068" s="888" t="s">
        <v>310</v>
      </c>
    </row>
    <row r="7069" spans="1:11">
      <c r="A7069" s="888">
        <v>331</v>
      </c>
      <c r="B7069" s="888" t="s">
        <v>991</v>
      </c>
      <c r="C7069" s="888" t="s">
        <v>1253</v>
      </c>
      <c r="D7069" s="889">
        <v>46033</v>
      </c>
      <c r="E7069" s="888" t="s">
        <v>310</v>
      </c>
      <c r="F7069" s="888" t="s">
        <v>310</v>
      </c>
    </row>
    <row r="7070" spans="1:11">
      <c r="A7070" s="888">
        <v>331</v>
      </c>
      <c r="B7070" s="888" t="s">
        <v>991</v>
      </c>
      <c r="C7070" s="888" t="s">
        <v>1253</v>
      </c>
      <c r="D7070" s="889">
        <v>46034</v>
      </c>
      <c r="E7070" s="888" t="s">
        <v>310</v>
      </c>
      <c r="F7070" s="888" t="s">
        <v>310</v>
      </c>
    </row>
    <row r="7071" spans="1:11">
      <c r="A7071" s="888">
        <v>331</v>
      </c>
      <c r="B7071" s="888" t="s">
        <v>991</v>
      </c>
      <c r="C7071" s="888" t="s">
        <v>1253</v>
      </c>
      <c r="D7071" s="889">
        <v>46035</v>
      </c>
      <c r="E7071" s="888" t="s">
        <v>310</v>
      </c>
      <c r="F7071" s="888" t="s">
        <v>310</v>
      </c>
    </row>
    <row r="7072" spans="1:11">
      <c r="A7072" s="888">
        <v>331</v>
      </c>
      <c r="B7072" s="888" t="s">
        <v>991</v>
      </c>
      <c r="C7072" s="888" t="s">
        <v>1253</v>
      </c>
      <c r="D7072" s="889">
        <v>46036</v>
      </c>
      <c r="E7072" s="888" t="s">
        <v>310</v>
      </c>
      <c r="F7072" s="888" t="s">
        <v>310</v>
      </c>
    </row>
    <row r="7073" spans="1:6">
      <c r="A7073" s="888">
        <v>331</v>
      </c>
      <c r="B7073" s="888" t="s">
        <v>991</v>
      </c>
      <c r="C7073" s="888" t="s">
        <v>1253</v>
      </c>
      <c r="D7073" s="889">
        <v>46037</v>
      </c>
      <c r="E7073" s="888" t="s">
        <v>310</v>
      </c>
      <c r="F7073" s="888" t="s">
        <v>310</v>
      </c>
    </row>
    <row r="7074" spans="1:6">
      <c r="A7074" s="888">
        <v>331</v>
      </c>
      <c r="B7074" s="888" t="s">
        <v>991</v>
      </c>
      <c r="C7074" s="888" t="s">
        <v>1253</v>
      </c>
      <c r="D7074" s="889">
        <v>46038</v>
      </c>
      <c r="E7074" s="888" t="s">
        <v>310</v>
      </c>
      <c r="F7074" s="888" t="s">
        <v>310</v>
      </c>
    </row>
    <row r="7075" spans="1:6">
      <c r="A7075" s="888">
        <v>331</v>
      </c>
      <c r="B7075" s="888" t="s">
        <v>991</v>
      </c>
      <c r="C7075" s="888" t="s">
        <v>1253</v>
      </c>
      <c r="D7075" s="889">
        <v>46039</v>
      </c>
      <c r="E7075" s="888" t="s">
        <v>310</v>
      </c>
      <c r="F7075" s="888" t="s">
        <v>310</v>
      </c>
    </row>
    <row r="7076" spans="1:6">
      <c r="A7076" s="888">
        <v>331</v>
      </c>
      <c r="B7076" s="888" t="s">
        <v>991</v>
      </c>
      <c r="C7076" s="888" t="s">
        <v>1253</v>
      </c>
      <c r="D7076" s="889">
        <v>46040</v>
      </c>
      <c r="E7076" s="888" t="s">
        <v>310</v>
      </c>
      <c r="F7076" s="888" t="s">
        <v>310</v>
      </c>
    </row>
    <row r="7077" spans="1:6">
      <c r="A7077" s="888">
        <v>331</v>
      </c>
      <c r="B7077" s="888" t="s">
        <v>991</v>
      </c>
      <c r="C7077" s="888" t="s">
        <v>1253</v>
      </c>
      <c r="D7077" s="889">
        <v>46041</v>
      </c>
      <c r="E7077" s="888" t="s">
        <v>310</v>
      </c>
      <c r="F7077" s="888" t="s">
        <v>310</v>
      </c>
    </row>
    <row r="7078" spans="1:6">
      <c r="A7078" s="888">
        <v>331</v>
      </c>
      <c r="B7078" s="888" t="s">
        <v>991</v>
      </c>
      <c r="C7078" s="888" t="s">
        <v>1253</v>
      </c>
      <c r="D7078" s="889">
        <v>46042</v>
      </c>
      <c r="E7078" s="888" t="s">
        <v>310</v>
      </c>
      <c r="F7078" s="888" t="s">
        <v>310</v>
      </c>
    </row>
    <row r="7079" spans="1:6">
      <c r="A7079" s="888">
        <v>331</v>
      </c>
      <c r="B7079" s="888" t="s">
        <v>991</v>
      </c>
      <c r="C7079" s="888" t="s">
        <v>1253</v>
      </c>
      <c r="D7079" s="889">
        <v>46043</v>
      </c>
      <c r="E7079" s="888" t="s">
        <v>310</v>
      </c>
      <c r="F7079" s="888" t="s">
        <v>310</v>
      </c>
    </row>
    <row r="7080" spans="1:6">
      <c r="A7080" s="888">
        <v>331</v>
      </c>
      <c r="B7080" s="888" t="s">
        <v>991</v>
      </c>
      <c r="C7080" s="888" t="s">
        <v>1253</v>
      </c>
      <c r="D7080" s="889">
        <v>46044</v>
      </c>
      <c r="E7080" s="888" t="s">
        <v>310</v>
      </c>
      <c r="F7080" s="888" t="s">
        <v>310</v>
      </c>
    </row>
    <row r="7081" spans="1:6">
      <c r="A7081" s="888">
        <v>331</v>
      </c>
      <c r="B7081" s="888" t="s">
        <v>991</v>
      </c>
      <c r="C7081" s="888" t="s">
        <v>1253</v>
      </c>
      <c r="D7081" s="889">
        <v>46045</v>
      </c>
      <c r="E7081" s="888" t="s">
        <v>310</v>
      </c>
      <c r="F7081" s="888" t="s">
        <v>310</v>
      </c>
    </row>
    <row r="7082" spans="1:6">
      <c r="A7082" s="888">
        <v>331</v>
      </c>
      <c r="B7082" s="888" t="s">
        <v>991</v>
      </c>
      <c r="C7082" s="888" t="s">
        <v>1253</v>
      </c>
      <c r="D7082" s="889">
        <v>46046</v>
      </c>
      <c r="E7082" s="888" t="s">
        <v>310</v>
      </c>
      <c r="F7082" s="888" t="s">
        <v>310</v>
      </c>
    </row>
    <row r="7083" spans="1:6">
      <c r="A7083" s="888">
        <v>331</v>
      </c>
      <c r="B7083" s="888" t="s">
        <v>991</v>
      </c>
      <c r="C7083" s="888" t="s">
        <v>1253</v>
      </c>
      <c r="D7083" s="889">
        <v>46047</v>
      </c>
      <c r="E7083" s="888" t="s">
        <v>310</v>
      </c>
      <c r="F7083" s="888" t="s">
        <v>310</v>
      </c>
    </row>
    <row r="7084" spans="1:6">
      <c r="A7084" s="888">
        <v>331</v>
      </c>
      <c r="B7084" s="888" t="s">
        <v>991</v>
      </c>
      <c r="C7084" s="888" t="s">
        <v>1253</v>
      </c>
      <c r="D7084" s="889">
        <v>46048</v>
      </c>
      <c r="E7084" s="888" t="s">
        <v>310</v>
      </c>
      <c r="F7084" s="888" t="s">
        <v>310</v>
      </c>
    </row>
    <row r="7085" spans="1:6">
      <c r="A7085" s="888">
        <v>331</v>
      </c>
      <c r="B7085" s="888" t="s">
        <v>991</v>
      </c>
      <c r="C7085" s="888" t="s">
        <v>1253</v>
      </c>
      <c r="D7085" s="889">
        <v>46049</v>
      </c>
      <c r="E7085" s="888" t="s">
        <v>310</v>
      </c>
      <c r="F7085" s="888" t="s">
        <v>310</v>
      </c>
    </row>
    <row r="7086" spans="1:6">
      <c r="A7086" s="888">
        <v>331</v>
      </c>
      <c r="B7086" s="888" t="s">
        <v>991</v>
      </c>
      <c r="C7086" s="888" t="s">
        <v>1253</v>
      </c>
      <c r="D7086" s="889">
        <v>46050</v>
      </c>
      <c r="E7086" s="888" t="s">
        <v>310</v>
      </c>
      <c r="F7086" s="888" t="s">
        <v>310</v>
      </c>
    </row>
    <row r="7087" spans="1:6">
      <c r="A7087" s="888">
        <v>331</v>
      </c>
      <c r="B7087" s="888" t="s">
        <v>991</v>
      </c>
      <c r="C7087" s="888" t="s">
        <v>1253</v>
      </c>
      <c r="D7087" s="889">
        <v>46051</v>
      </c>
      <c r="E7087" s="888" t="s">
        <v>310</v>
      </c>
      <c r="F7087" s="888" t="s">
        <v>310</v>
      </c>
    </row>
    <row r="7088" spans="1:6">
      <c r="A7088" s="888">
        <v>331</v>
      </c>
      <c r="B7088" s="888" t="s">
        <v>991</v>
      </c>
      <c r="C7088" s="888" t="s">
        <v>1253</v>
      </c>
      <c r="D7088" s="889">
        <v>46052</v>
      </c>
      <c r="E7088" s="888" t="s">
        <v>310</v>
      </c>
      <c r="F7088" s="888" t="s">
        <v>310</v>
      </c>
    </row>
    <row r="7089" spans="1:6">
      <c r="A7089" s="888">
        <v>331</v>
      </c>
      <c r="B7089" s="888" t="s">
        <v>991</v>
      </c>
      <c r="C7089" s="888" t="s">
        <v>1253</v>
      </c>
      <c r="D7089" s="889">
        <v>46053</v>
      </c>
      <c r="E7089" s="888" t="s">
        <v>310</v>
      </c>
      <c r="F7089" s="888" t="s">
        <v>310</v>
      </c>
    </row>
    <row r="7090" spans="1:6">
      <c r="A7090" s="888">
        <v>331</v>
      </c>
      <c r="B7090" s="888" t="s">
        <v>991</v>
      </c>
      <c r="C7090" s="888" t="s">
        <v>1253</v>
      </c>
      <c r="D7090" s="889">
        <v>46054</v>
      </c>
      <c r="E7090" s="888" t="s">
        <v>310</v>
      </c>
      <c r="F7090" s="888" t="s">
        <v>310</v>
      </c>
    </row>
    <row r="7091" spans="1:6">
      <c r="A7091" s="888">
        <v>332</v>
      </c>
      <c r="B7091" s="888" t="s">
        <v>1065</v>
      </c>
      <c r="C7091" s="888" t="s">
        <v>1468</v>
      </c>
      <c r="D7091" s="889">
        <v>46023</v>
      </c>
      <c r="E7091" s="888" t="s">
        <v>310</v>
      </c>
      <c r="F7091" s="888" t="s">
        <v>310</v>
      </c>
    </row>
    <row r="7092" spans="1:6">
      <c r="A7092" s="888">
        <v>332</v>
      </c>
      <c r="B7092" s="888" t="s">
        <v>1065</v>
      </c>
      <c r="C7092" s="888" t="s">
        <v>1468</v>
      </c>
      <c r="D7092" s="889">
        <v>46024</v>
      </c>
      <c r="E7092" s="890">
        <v>0.33489583333333334</v>
      </c>
      <c r="F7092" s="890">
        <v>0.74442129629629628</v>
      </c>
    </row>
    <row r="7093" spans="1:6">
      <c r="A7093" s="888" t="s">
        <v>5393</v>
      </c>
      <c r="B7093" s="888" t="s">
        <v>5394</v>
      </c>
      <c r="C7093" s="888" t="s">
        <v>1874</v>
      </c>
    </row>
    <row r="7094" spans="1:6">
      <c r="A7094" s="888">
        <v>332</v>
      </c>
      <c r="B7094" s="888" t="s">
        <v>1065</v>
      </c>
      <c r="C7094" s="888" t="s">
        <v>1468</v>
      </c>
      <c r="D7094" s="889">
        <v>46025</v>
      </c>
      <c r="E7094" s="888" t="s">
        <v>310</v>
      </c>
      <c r="F7094" s="888" t="s">
        <v>310</v>
      </c>
    </row>
    <row r="7095" spans="1:6">
      <c r="A7095" s="888">
        <v>332</v>
      </c>
      <c r="B7095" s="888" t="s">
        <v>1065</v>
      </c>
      <c r="C7095" s="888" t="s">
        <v>1468</v>
      </c>
      <c r="D7095" s="889">
        <v>46026</v>
      </c>
      <c r="E7095" s="888" t="s">
        <v>310</v>
      </c>
      <c r="F7095" s="888" t="s">
        <v>310</v>
      </c>
    </row>
    <row r="7096" spans="1:6">
      <c r="A7096" s="888">
        <v>332</v>
      </c>
      <c r="B7096" s="888" t="s">
        <v>1065</v>
      </c>
      <c r="C7096" s="888" t="s">
        <v>1468</v>
      </c>
      <c r="D7096" s="889">
        <v>46027</v>
      </c>
      <c r="E7096" s="890">
        <v>0.33583333333333332</v>
      </c>
      <c r="F7096" s="890">
        <v>0.73474537037037035</v>
      </c>
    </row>
    <row r="7097" spans="1:6">
      <c r="A7097" s="888" t="s">
        <v>5395</v>
      </c>
      <c r="B7097" s="888" t="s">
        <v>5396</v>
      </c>
      <c r="C7097" s="888" t="s">
        <v>1383</v>
      </c>
    </row>
    <row r="7098" spans="1:6">
      <c r="A7098" s="888">
        <v>332</v>
      </c>
      <c r="B7098" s="888" t="s">
        <v>1065</v>
      </c>
      <c r="C7098" s="888" t="s">
        <v>1468</v>
      </c>
      <c r="D7098" s="889">
        <v>46028</v>
      </c>
      <c r="E7098" s="890">
        <v>0.33780092592592592</v>
      </c>
      <c r="F7098" s="890">
        <v>0.7354398148148148</v>
      </c>
    </row>
    <row r="7099" spans="1:6">
      <c r="A7099" s="888" t="s">
        <v>5397</v>
      </c>
      <c r="B7099" s="888" t="s">
        <v>5398</v>
      </c>
      <c r="C7099" s="888" t="s">
        <v>1457</v>
      </c>
    </row>
    <row r="7100" spans="1:6">
      <c r="A7100" s="888">
        <v>332</v>
      </c>
      <c r="B7100" s="888" t="s">
        <v>1065</v>
      </c>
      <c r="C7100" s="888" t="s">
        <v>1468</v>
      </c>
      <c r="D7100" s="889">
        <v>46029</v>
      </c>
      <c r="E7100" s="890">
        <v>0.33179398148148148</v>
      </c>
      <c r="F7100" s="890">
        <v>0.73629629629629634</v>
      </c>
    </row>
    <row r="7101" spans="1:6">
      <c r="A7101" s="888" t="s">
        <v>5399</v>
      </c>
      <c r="B7101" s="888" t="s">
        <v>5400</v>
      </c>
      <c r="C7101" s="888" t="s">
        <v>1266</v>
      </c>
    </row>
    <row r="7102" spans="1:6">
      <c r="A7102" s="888">
        <v>332</v>
      </c>
      <c r="B7102" s="888" t="s">
        <v>1065</v>
      </c>
      <c r="C7102" s="888" t="s">
        <v>1468</v>
      </c>
      <c r="D7102" s="889">
        <v>46030</v>
      </c>
      <c r="E7102" s="890">
        <v>0.32775462962962965</v>
      </c>
      <c r="F7102" s="890">
        <v>0.73434027777777777</v>
      </c>
    </row>
    <row r="7103" spans="1:6">
      <c r="A7103" s="888" t="s">
        <v>5401</v>
      </c>
      <c r="B7103" s="888" t="s">
        <v>5402</v>
      </c>
      <c r="C7103" s="888" t="s">
        <v>1375</v>
      </c>
    </row>
    <row r="7104" spans="1:6">
      <c r="A7104" s="888">
        <v>332</v>
      </c>
      <c r="B7104" s="888" t="s">
        <v>1065</v>
      </c>
      <c r="C7104" s="888" t="s">
        <v>1468</v>
      </c>
      <c r="D7104" s="889">
        <v>46031</v>
      </c>
      <c r="E7104" s="890">
        <v>0.32907407407407407</v>
      </c>
      <c r="F7104" s="890">
        <v>0.73396990740740742</v>
      </c>
    </row>
    <row r="7105" spans="1:6">
      <c r="A7105" s="888" t="s">
        <v>5403</v>
      </c>
      <c r="B7105" s="888" t="s">
        <v>5404</v>
      </c>
      <c r="C7105" s="888" t="s">
        <v>1356</v>
      </c>
    </row>
    <row r="7106" spans="1:6">
      <c r="A7106" s="888">
        <v>332</v>
      </c>
      <c r="B7106" s="888" t="s">
        <v>1065</v>
      </c>
      <c r="C7106" s="888" t="s">
        <v>1468</v>
      </c>
      <c r="D7106" s="889">
        <v>46032</v>
      </c>
      <c r="E7106" s="888" t="s">
        <v>310</v>
      </c>
      <c r="F7106" s="888" t="s">
        <v>310</v>
      </c>
    </row>
    <row r="7107" spans="1:6">
      <c r="A7107" s="888">
        <v>332</v>
      </c>
      <c r="B7107" s="888" t="s">
        <v>1065</v>
      </c>
      <c r="C7107" s="888" t="s">
        <v>1468</v>
      </c>
      <c r="D7107" s="889">
        <v>46033</v>
      </c>
      <c r="E7107" s="888" t="s">
        <v>310</v>
      </c>
      <c r="F7107" s="888" t="s">
        <v>310</v>
      </c>
    </row>
    <row r="7108" spans="1:6">
      <c r="A7108" s="888">
        <v>332</v>
      </c>
      <c r="B7108" s="888" t="s">
        <v>1065</v>
      </c>
      <c r="C7108" s="888" t="s">
        <v>1468</v>
      </c>
      <c r="D7108" s="889">
        <v>46034</v>
      </c>
      <c r="E7108" s="890">
        <v>0.32582175925925927</v>
      </c>
      <c r="F7108" s="890">
        <v>0.73581018518518515</v>
      </c>
    </row>
    <row r="7109" spans="1:6">
      <c r="A7109" s="888" t="s">
        <v>5405</v>
      </c>
      <c r="B7109" s="888" t="s">
        <v>5406</v>
      </c>
      <c r="C7109" s="888" t="s">
        <v>1874</v>
      </c>
    </row>
    <row r="7110" spans="1:6">
      <c r="A7110" s="888">
        <v>332</v>
      </c>
      <c r="B7110" s="888" t="s">
        <v>1065</v>
      </c>
      <c r="C7110" s="888" t="s">
        <v>1468</v>
      </c>
      <c r="D7110" s="889">
        <v>46035</v>
      </c>
      <c r="E7110" s="890">
        <v>0.34075231481481483</v>
      </c>
      <c r="F7110" s="890">
        <v>0.67945601851851856</v>
      </c>
    </row>
    <row r="7111" spans="1:6">
      <c r="A7111" s="888" t="s">
        <v>5407</v>
      </c>
      <c r="B7111" s="888" t="s">
        <v>5408</v>
      </c>
      <c r="C7111" s="888" t="s">
        <v>1504</v>
      </c>
    </row>
    <row r="7112" spans="1:6">
      <c r="A7112" s="888">
        <v>332</v>
      </c>
      <c r="B7112" s="888" t="s">
        <v>1065</v>
      </c>
      <c r="C7112" s="888" t="s">
        <v>1468</v>
      </c>
      <c r="D7112" s="889">
        <v>46036</v>
      </c>
      <c r="E7112" s="890">
        <v>0.33004629629629628</v>
      </c>
      <c r="F7112" s="890">
        <v>0.50981481481481483</v>
      </c>
    </row>
    <row r="7113" spans="1:6">
      <c r="A7113" s="888" t="s">
        <v>5409</v>
      </c>
      <c r="B7113" s="888" t="s">
        <v>5410</v>
      </c>
      <c r="C7113" s="888" t="s">
        <v>4610</v>
      </c>
    </row>
    <row r="7114" spans="1:6">
      <c r="A7114" s="888">
        <v>332</v>
      </c>
      <c r="B7114" s="888" t="s">
        <v>1065</v>
      </c>
      <c r="C7114" s="888" t="s">
        <v>1468</v>
      </c>
      <c r="D7114" s="889">
        <v>46037</v>
      </c>
      <c r="E7114" s="890">
        <v>0.33497685185185183</v>
      </c>
      <c r="F7114" s="890">
        <v>0.73587962962962961</v>
      </c>
    </row>
    <row r="7115" spans="1:6">
      <c r="A7115" s="888" t="s">
        <v>5411</v>
      </c>
      <c r="B7115" s="888" t="s">
        <v>5412</v>
      </c>
      <c r="C7115" s="888" t="s">
        <v>1378</v>
      </c>
    </row>
    <row r="7116" spans="1:6">
      <c r="A7116" s="888">
        <v>332</v>
      </c>
      <c r="B7116" s="888" t="s">
        <v>1065</v>
      </c>
      <c r="C7116" s="888" t="s">
        <v>1468</v>
      </c>
      <c r="D7116" s="889">
        <v>46038</v>
      </c>
      <c r="E7116" s="890">
        <v>0.33258101851851851</v>
      </c>
      <c r="F7116" s="890">
        <v>0.7874768518518519</v>
      </c>
    </row>
    <row r="7117" spans="1:6">
      <c r="A7117" s="888" t="s">
        <v>5413</v>
      </c>
      <c r="B7117" s="888" t="s">
        <v>5414</v>
      </c>
      <c r="C7117" s="888" t="s">
        <v>3259</v>
      </c>
    </row>
    <row r="7118" spans="1:6">
      <c r="A7118" s="888">
        <v>332</v>
      </c>
      <c r="B7118" s="888" t="s">
        <v>1065</v>
      </c>
      <c r="C7118" s="888" t="s">
        <v>1468</v>
      </c>
      <c r="D7118" s="889">
        <v>46039</v>
      </c>
      <c r="E7118" s="888" t="s">
        <v>310</v>
      </c>
      <c r="F7118" s="888" t="s">
        <v>310</v>
      </c>
    </row>
    <row r="7119" spans="1:6">
      <c r="A7119" s="888">
        <v>332</v>
      </c>
      <c r="B7119" s="888" t="s">
        <v>1065</v>
      </c>
      <c r="C7119" s="888" t="s">
        <v>1468</v>
      </c>
      <c r="D7119" s="889">
        <v>46040</v>
      </c>
      <c r="E7119" s="888" t="s">
        <v>310</v>
      </c>
      <c r="F7119" s="888" t="s">
        <v>310</v>
      </c>
    </row>
    <row r="7120" spans="1:6">
      <c r="A7120" s="888">
        <v>332</v>
      </c>
      <c r="B7120" s="888" t="s">
        <v>1065</v>
      </c>
      <c r="C7120" s="888" t="s">
        <v>1468</v>
      </c>
      <c r="D7120" s="889">
        <v>46041</v>
      </c>
      <c r="E7120" s="890">
        <v>0.33207175925925925</v>
      </c>
      <c r="F7120" s="890">
        <v>0.73383101851851851</v>
      </c>
    </row>
    <row r="7121" spans="1:6">
      <c r="A7121" s="888" t="s">
        <v>5415</v>
      </c>
      <c r="B7121" s="888" t="s">
        <v>5416</v>
      </c>
      <c r="C7121" s="888" t="s">
        <v>1538</v>
      </c>
    </row>
    <row r="7122" spans="1:6">
      <c r="A7122" s="888">
        <v>332</v>
      </c>
      <c r="B7122" s="888" t="s">
        <v>1065</v>
      </c>
      <c r="C7122" s="888" t="s">
        <v>1468</v>
      </c>
      <c r="D7122" s="889">
        <v>46042</v>
      </c>
      <c r="E7122" s="890">
        <v>0.33054398148148151</v>
      </c>
      <c r="F7122" s="890">
        <v>0.7349768518518518</v>
      </c>
    </row>
    <row r="7123" spans="1:6">
      <c r="A7123" s="888" t="s">
        <v>5417</v>
      </c>
      <c r="B7123" s="888" t="s">
        <v>5418</v>
      </c>
      <c r="C7123" s="888" t="s">
        <v>1266</v>
      </c>
    </row>
    <row r="7124" spans="1:6">
      <c r="A7124" s="888">
        <v>332</v>
      </c>
      <c r="B7124" s="888" t="s">
        <v>1065</v>
      </c>
      <c r="C7124" s="888" t="s">
        <v>1468</v>
      </c>
      <c r="D7124" s="889">
        <v>46043</v>
      </c>
      <c r="E7124" s="890">
        <v>0.32956018518518521</v>
      </c>
      <c r="F7124" s="890">
        <v>0.73488425925925926</v>
      </c>
    </row>
    <row r="7125" spans="1:6">
      <c r="A7125" s="888" t="s">
        <v>5419</v>
      </c>
      <c r="B7125" s="888" t="s">
        <v>5420</v>
      </c>
      <c r="C7125" s="888" t="s">
        <v>2340</v>
      </c>
    </row>
    <row r="7126" spans="1:6">
      <c r="A7126" s="888">
        <v>332</v>
      </c>
      <c r="B7126" s="888" t="s">
        <v>1065</v>
      </c>
      <c r="C7126" s="888" t="s">
        <v>1468</v>
      </c>
      <c r="D7126" s="889">
        <v>46044</v>
      </c>
      <c r="E7126" s="890">
        <v>0.32925925925925925</v>
      </c>
      <c r="F7126" s="890">
        <v>0.73423611111111109</v>
      </c>
    </row>
    <row r="7127" spans="1:6">
      <c r="A7127" s="888" t="s">
        <v>5421</v>
      </c>
      <c r="B7127" s="888" t="s">
        <v>5422</v>
      </c>
      <c r="C7127" s="888" t="s">
        <v>1356</v>
      </c>
    </row>
    <row r="7128" spans="1:6">
      <c r="A7128" s="888">
        <v>332</v>
      </c>
      <c r="B7128" s="888" t="s">
        <v>1065</v>
      </c>
      <c r="C7128" s="888" t="s">
        <v>1468</v>
      </c>
      <c r="D7128" s="889">
        <v>46045</v>
      </c>
      <c r="E7128" s="890">
        <v>0.33305555555555555</v>
      </c>
      <c r="F7128" s="890">
        <v>0.74387731481481478</v>
      </c>
    </row>
    <row r="7129" spans="1:6">
      <c r="A7129" s="888" t="s">
        <v>5423</v>
      </c>
      <c r="B7129" s="888" t="s">
        <v>5424</v>
      </c>
      <c r="C7129" s="888" t="s">
        <v>1613</v>
      </c>
    </row>
    <row r="7130" spans="1:6">
      <c r="A7130" s="888">
        <v>332</v>
      </c>
      <c r="B7130" s="888" t="s">
        <v>1065</v>
      </c>
      <c r="C7130" s="888" t="s">
        <v>1468</v>
      </c>
      <c r="D7130" s="889">
        <v>46046</v>
      </c>
      <c r="E7130" s="888" t="s">
        <v>310</v>
      </c>
      <c r="F7130" s="888" t="s">
        <v>310</v>
      </c>
    </row>
    <row r="7131" spans="1:6">
      <c r="A7131" s="888">
        <v>332</v>
      </c>
      <c r="B7131" s="888" t="s">
        <v>1065</v>
      </c>
      <c r="C7131" s="888" t="s">
        <v>1468</v>
      </c>
      <c r="D7131" s="889">
        <v>46047</v>
      </c>
      <c r="E7131" s="888" t="s">
        <v>310</v>
      </c>
      <c r="F7131" s="888" t="s">
        <v>310</v>
      </c>
    </row>
    <row r="7132" spans="1:6">
      <c r="A7132" s="888">
        <v>332</v>
      </c>
      <c r="B7132" s="888" t="s">
        <v>1065</v>
      </c>
      <c r="C7132" s="888" t="s">
        <v>1468</v>
      </c>
      <c r="D7132" s="889">
        <v>46048</v>
      </c>
      <c r="E7132" s="890">
        <v>0.33278935185185188</v>
      </c>
      <c r="F7132" s="890">
        <v>0.73518518518518516</v>
      </c>
    </row>
    <row r="7133" spans="1:6">
      <c r="A7133" s="888" t="s">
        <v>5425</v>
      </c>
      <c r="B7133" s="888" t="s">
        <v>5426</v>
      </c>
      <c r="C7133" s="888" t="s">
        <v>1538</v>
      </c>
    </row>
    <row r="7134" spans="1:6">
      <c r="A7134" s="888">
        <v>332</v>
      </c>
      <c r="B7134" s="888" t="s">
        <v>1065</v>
      </c>
      <c r="C7134" s="888" t="s">
        <v>1468</v>
      </c>
      <c r="D7134" s="889">
        <v>46049</v>
      </c>
      <c r="E7134" s="890">
        <v>0.33086805555555554</v>
      </c>
      <c r="F7134" s="890">
        <v>0.73534722222222226</v>
      </c>
    </row>
    <row r="7135" spans="1:6">
      <c r="A7135" s="888" t="s">
        <v>5427</v>
      </c>
      <c r="B7135" s="888" t="s">
        <v>5428</v>
      </c>
      <c r="C7135" s="888" t="s">
        <v>1266</v>
      </c>
    </row>
    <row r="7136" spans="1:6">
      <c r="A7136" s="888">
        <v>332</v>
      </c>
      <c r="B7136" s="888" t="s">
        <v>1065</v>
      </c>
      <c r="C7136" s="888" t="s">
        <v>1468</v>
      </c>
      <c r="D7136" s="889">
        <v>46050</v>
      </c>
      <c r="E7136" s="890">
        <v>0.3410185185185185</v>
      </c>
      <c r="F7136" s="890">
        <v>0.73619212962962965</v>
      </c>
    </row>
    <row r="7137" spans="1:6">
      <c r="A7137" s="888" t="s">
        <v>5429</v>
      </c>
      <c r="B7137" s="888" t="s">
        <v>5430</v>
      </c>
      <c r="C7137" s="888" t="s">
        <v>1413</v>
      </c>
    </row>
    <row r="7138" spans="1:6">
      <c r="A7138" s="888">
        <v>332</v>
      </c>
      <c r="B7138" s="888" t="s">
        <v>1065</v>
      </c>
      <c r="C7138" s="888" t="s">
        <v>1468</v>
      </c>
      <c r="D7138" s="889">
        <v>46051</v>
      </c>
      <c r="E7138" s="890">
        <v>0.33054398148148151</v>
      </c>
      <c r="F7138" s="890">
        <v>0.73396990740740742</v>
      </c>
    </row>
    <row r="7139" spans="1:6">
      <c r="A7139" s="888" t="s">
        <v>5431</v>
      </c>
      <c r="B7139" s="888" t="s">
        <v>5432</v>
      </c>
      <c r="C7139" s="888" t="s">
        <v>1363</v>
      </c>
    </row>
    <row r="7140" spans="1:6">
      <c r="A7140" s="888">
        <v>332</v>
      </c>
      <c r="B7140" s="888" t="s">
        <v>1065</v>
      </c>
      <c r="C7140" s="888" t="s">
        <v>1468</v>
      </c>
      <c r="D7140" s="889">
        <v>46052</v>
      </c>
      <c r="E7140" s="888" t="s">
        <v>310</v>
      </c>
      <c r="F7140" s="888" t="s">
        <v>310</v>
      </c>
    </row>
    <row r="7141" spans="1:6">
      <c r="A7141" s="888">
        <v>332</v>
      </c>
      <c r="B7141" s="888" t="s">
        <v>1065</v>
      </c>
      <c r="C7141" s="888" t="s">
        <v>1468</v>
      </c>
      <c r="D7141" s="889">
        <v>46053</v>
      </c>
      <c r="E7141" s="888" t="s">
        <v>310</v>
      </c>
      <c r="F7141" s="888" t="s">
        <v>310</v>
      </c>
    </row>
    <row r="7142" spans="1:6">
      <c r="A7142" s="888">
        <v>332</v>
      </c>
      <c r="B7142" s="888" t="s">
        <v>1065</v>
      </c>
      <c r="C7142" s="888" t="s">
        <v>1468</v>
      </c>
      <c r="D7142" s="889">
        <v>46054</v>
      </c>
      <c r="E7142" s="888" t="s">
        <v>310</v>
      </c>
      <c r="F7142" s="888" t="s">
        <v>310</v>
      </c>
    </row>
    <row r="7143" spans="1:6">
      <c r="A7143" s="888">
        <v>333</v>
      </c>
      <c r="B7143" s="888" t="s">
        <v>241</v>
      </c>
      <c r="C7143" s="888" t="s">
        <v>1253</v>
      </c>
      <c r="D7143" s="889">
        <v>46023</v>
      </c>
      <c r="E7143" s="888" t="s">
        <v>310</v>
      </c>
      <c r="F7143" s="888" t="s">
        <v>310</v>
      </c>
    </row>
    <row r="7144" spans="1:6">
      <c r="A7144" s="888">
        <v>333</v>
      </c>
      <c r="B7144" s="888" t="s">
        <v>241</v>
      </c>
      <c r="C7144" s="888" t="s">
        <v>1253</v>
      </c>
      <c r="D7144" s="889">
        <v>46024</v>
      </c>
      <c r="E7144" s="888" t="s">
        <v>310</v>
      </c>
      <c r="F7144" s="888" t="s">
        <v>310</v>
      </c>
    </row>
    <row r="7145" spans="1:6">
      <c r="A7145" s="888">
        <v>333</v>
      </c>
      <c r="B7145" s="888" t="s">
        <v>241</v>
      </c>
      <c r="C7145" s="888" t="s">
        <v>1253</v>
      </c>
      <c r="D7145" s="889">
        <v>46025</v>
      </c>
      <c r="E7145" s="888" t="s">
        <v>310</v>
      </c>
      <c r="F7145" s="888" t="s">
        <v>310</v>
      </c>
    </row>
    <row r="7146" spans="1:6">
      <c r="A7146" s="888">
        <v>333</v>
      </c>
      <c r="B7146" s="888" t="s">
        <v>241</v>
      </c>
      <c r="C7146" s="888" t="s">
        <v>1253</v>
      </c>
      <c r="D7146" s="889">
        <v>46026</v>
      </c>
      <c r="E7146" s="888" t="s">
        <v>310</v>
      </c>
      <c r="F7146" s="888" t="s">
        <v>310</v>
      </c>
    </row>
    <row r="7147" spans="1:6">
      <c r="A7147" s="888">
        <v>333</v>
      </c>
      <c r="B7147" s="888" t="s">
        <v>241</v>
      </c>
      <c r="C7147" s="888" t="s">
        <v>1253</v>
      </c>
      <c r="D7147" s="889">
        <v>46027</v>
      </c>
      <c r="E7147" s="888" t="s">
        <v>310</v>
      </c>
      <c r="F7147" s="888" t="s">
        <v>310</v>
      </c>
    </row>
    <row r="7148" spans="1:6">
      <c r="A7148" s="888">
        <v>333</v>
      </c>
      <c r="B7148" s="888" t="s">
        <v>241</v>
      </c>
      <c r="C7148" s="888" t="s">
        <v>1253</v>
      </c>
      <c r="D7148" s="889">
        <v>46028</v>
      </c>
      <c r="E7148" s="888" t="s">
        <v>310</v>
      </c>
      <c r="F7148" s="888" t="s">
        <v>310</v>
      </c>
    </row>
    <row r="7149" spans="1:6">
      <c r="A7149" s="888">
        <v>333</v>
      </c>
      <c r="B7149" s="888" t="s">
        <v>241</v>
      </c>
      <c r="C7149" s="888" t="s">
        <v>1253</v>
      </c>
      <c r="D7149" s="889">
        <v>46029</v>
      </c>
      <c r="E7149" s="888" t="s">
        <v>310</v>
      </c>
      <c r="F7149" s="888" t="s">
        <v>310</v>
      </c>
    </row>
    <row r="7150" spans="1:6">
      <c r="A7150" s="888">
        <v>333</v>
      </c>
      <c r="B7150" s="888" t="s">
        <v>241</v>
      </c>
      <c r="C7150" s="888" t="s">
        <v>1253</v>
      </c>
      <c r="D7150" s="889">
        <v>46030</v>
      </c>
      <c r="E7150" s="888" t="s">
        <v>310</v>
      </c>
      <c r="F7150" s="888" t="s">
        <v>310</v>
      </c>
    </row>
    <row r="7151" spans="1:6">
      <c r="A7151" s="888">
        <v>333</v>
      </c>
      <c r="B7151" s="888" t="s">
        <v>241</v>
      </c>
      <c r="C7151" s="888" t="s">
        <v>1253</v>
      </c>
      <c r="D7151" s="889">
        <v>46031</v>
      </c>
      <c r="E7151" s="888" t="s">
        <v>310</v>
      </c>
      <c r="F7151" s="888" t="s">
        <v>310</v>
      </c>
    </row>
    <row r="7152" spans="1:6">
      <c r="A7152" s="888">
        <v>333</v>
      </c>
      <c r="B7152" s="888" t="s">
        <v>241</v>
      </c>
      <c r="C7152" s="888" t="s">
        <v>1253</v>
      </c>
      <c r="D7152" s="889">
        <v>46032</v>
      </c>
      <c r="E7152" s="888" t="s">
        <v>310</v>
      </c>
      <c r="F7152" s="888" t="s">
        <v>310</v>
      </c>
    </row>
    <row r="7153" spans="1:6">
      <c r="A7153" s="888">
        <v>333</v>
      </c>
      <c r="B7153" s="888" t="s">
        <v>241</v>
      </c>
      <c r="C7153" s="888" t="s">
        <v>1253</v>
      </c>
      <c r="D7153" s="889">
        <v>46033</v>
      </c>
      <c r="E7153" s="888" t="s">
        <v>310</v>
      </c>
      <c r="F7153" s="888" t="s">
        <v>310</v>
      </c>
    </row>
    <row r="7154" spans="1:6">
      <c r="A7154" s="888">
        <v>333</v>
      </c>
      <c r="B7154" s="888" t="s">
        <v>241</v>
      </c>
      <c r="C7154" s="888" t="s">
        <v>1253</v>
      </c>
      <c r="D7154" s="889">
        <v>46034</v>
      </c>
      <c r="E7154" s="888" t="s">
        <v>310</v>
      </c>
      <c r="F7154" s="888" t="s">
        <v>310</v>
      </c>
    </row>
    <row r="7155" spans="1:6">
      <c r="A7155" s="888">
        <v>333</v>
      </c>
      <c r="B7155" s="888" t="s">
        <v>241</v>
      </c>
      <c r="C7155" s="888" t="s">
        <v>1253</v>
      </c>
      <c r="D7155" s="889">
        <v>46035</v>
      </c>
      <c r="E7155" s="888" t="s">
        <v>310</v>
      </c>
      <c r="F7155" s="888" t="s">
        <v>310</v>
      </c>
    </row>
    <row r="7156" spans="1:6">
      <c r="A7156" s="888">
        <v>333</v>
      </c>
      <c r="B7156" s="888" t="s">
        <v>241</v>
      </c>
      <c r="C7156" s="888" t="s">
        <v>1253</v>
      </c>
      <c r="D7156" s="889">
        <v>46036</v>
      </c>
      <c r="E7156" s="888" t="s">
        <v>310</v>
      </c>
      <c r="F7156" s="888" t="s">
        <v>310</v>
      </c>
    </row>
    <row r="7157" spans="1:6">
      <c r="A7157" s="888">
        <v>333</v>
      </c>
      <c r="B7157" s="888" t="s">
        <v>241</v>
      </c>
      <c r="C7157" s="888" t="s">
        <v>1253</v>
      </c>
      <c r="D7157" s="889">
        <v>46037</v>
      </c>
      <c r="E7157" s="888" t="s">
        <v>310</v>
      </c>
      <c r="F7157" s="888" t="s">
        <v>310</v>
      </c>
    </row>
    <row r="7158" spans="1:6">
      <c r="A7158" s="888">
        <v>333</v>
      </c>
      <c r="B7158" s="888" t="s">
        <v>241</v>
      </c>
      <c r="C7158" s="888" t="s">
        <v>1253</v>
      </c>
      <c r="D7158" s="889">
        <v>46038</v>
      </c>
      <c r="E7158" s="888" t="s">
        <v>310</v>
      </c>
      <c r="F7158" s="888" t="s">
        <v>310</v>
      </c>
    </row>
    <row r="7159" spans="1:6">
      <c r="A7159" s="888">
        <v>333</v>
      </c>
      <c r="B7159" s="888" t="s">
        <v>241</v>
      </c>
      <c r="C7159" s="888" t="s">
        <v>1253</v>
      </c>
      <c r="D7159" s="889">
        <v>46039</v>
      </c>
      <c r="E7159" s="888" t="s">
        <v>310</v>
      </c>
      <c r="F7159" s="888" t="s">
        <v>310</v>
      </c>
    </row>
    <row r="7160" spans="1:6">
      <c r="A7160" s="888">
        <v>333</v>
      </c>
      <c r="B7160" s="888" t="s">
        <v>241</v>
      </c>
      <c r="C7160" s="888" t="s">
        <v>1253</v>
      </c>
      <c r="D7160" s="889">
        <v>46040</v>
      </c>
      <c r="E7160" s="888" t="s">
        <v>310</v>
      </c>
      <c r="F7160" s="888" t="s">
        <v>310</v>
      </c>
    </row>
    <row r="7161" spans="1:6">
      <c r="A7161" s="888">
        <v>333</v>
      </c>
      <c r="B7161" s="888" t="s">
        <v>241</v>
      </c>
      <c r="C7161" s="888" t="s">
        <v>1253</v>
      </c>
      <c r="D7161" s="889">
        <v>46041</v>
      </c>
      <c r="E7161" s="888" t="s">
        <v>310</v>
      </c>
      <c r="F7161" s="888" t="s">
        <v>310</v>
      </c>
    </row>
    <row r="7162" spans="1:6">
      <c r="A7162" s="888">
        <v>333</v>
      </c>
      <c r="B7162" s="888" t="s">
        <v>241</v>
      </c>
      <c r="C7162" s="888" t="s">
        <v>1253</v>
      </c>
      <c r="D7162" s="889">
        <v>46042</v>
      </c>
      <c r="E7162" s="888" t="s">
        <v>310</v>
      </c>
      <c r="F7162" s="888" t="s">
        <v>310</v>
      </c>
    </row>
    <row r="7163" spans="1:6">
      <c r="A7163" s="888">
        <v>333</v>
      </c>
      <c r="B7163" s="888" t="s">
        <v>241</v>
      </c>
      <c r="C7163" s="888" t="s">
        <v>1253</v>
      </c>
      <c r="D7163" s="889">
        <v>46043</v>
      </c>
      <c r="E7163" s="888" t="s">
        <v>310</v>
      </c>
      <c r="F7163" s="888" t="s">
        <v>310</v>
      </c>
    </row>
    <row r="7164" spans="1:6">
      <c r="A7164" s="888">
        <v>333</v>
      </c>
      <c r="B7164" s="888" t="s">
        <v>241</v>
      </c>
      <c r="C7164" s="888" t="s">
        <v>1253</v>
      </c>
      <c r="D7164" s="889">
        <v>46044</v>
      </c>
      <c r="E7164" s="888" t="s">
        <v>310</v>
      </c>
      <c r="F7164" s="888" t="s">
        <v>310</v>
      </c>
    </row>
    <row r="7165" spans="1:6">
      <c r="A7165" s="888">
        <v>333</v>
      </c>
      <c r="B7165" s="888" t="s">
        <v>241</v>
      </c>
      <c r="C7165" s="888" t="s">
        <v>1253</v>
      </c>
      <c r="D7165" s="889">
        <v>46045</v>
      </c>
      <c r="E7165" s="888" t="s">
        <v>310</v>
      </c>
      <c r="F7165" s="888" t="s">
        <v>310</v>
      </c>
    </row>
    <row r="7166" spans="1:6">
      <c r="A7166" s="888">
        <v>333</v>
      </c>
      <c r="B7166" s="888" t="s">
        <v>241</v>
      </c>
      <c r="C7166" s="888" t="s">
        <v>1253</v>
      </c>
      <c r="D7166" s="889">
        <v>46046</v>
      </c>
      <c r="E7166" s="888" t="s">
        <v>310</v>
      </c>
      <c r="F7166" s="888" t="s">
        <v>310</v>
      </c>
    </row>
    <row r="7167" spans="1:6">
      <c r="A7167" s="888">
        <v>333</v>
      </c>
      <c r="B7167" s="888" t="s">
        <v>241</v>
      </c>
      <c r="C7167" s="888" t="s">
        <v>1253</v>
      </c>
      <c r="D7167" s="889">
        <v>46047</v>
      </c>
      <c r="E7167" s="888" t="s">
        <v>310</v>
      </c>
      <c r="F7167" s="888" t="s">
        <v>310</v>
      </c>
    </row>
    <row r="7168" spans="1:6">
      <c r="A7168" s="888">
        <v>333</v>
      </c>
      <c r="B7168" s="888" t="s">
        <v>241</v>
      </c>
      <c r="C7168" s="888" t="s">
        <v>1253</v>
      </c>
      <c r="D7168" s="889">
        <v>46048</v>
      </c>
      <c r="E7168" s="888" t="s">
        <v>310</v>
      </c>
      <c r="F7168" s="888" t="s">
        <v>310</v>
      </c>
    </row>
    <row r="7169" spans="1:6">
      <c r="A7169" s="888">
        <v>333</v>
      </c>
      <c r="B7169" s="888" t="s">
        <v>241</v>
      </c>
      <c r="C7169" s="888" t="s">
        <v>1253</v>
      </c>
      <c r="D7169" s="889">
        <v>46049</v>
      </c>
      <c r="E7169" s="888" t="s">
        <v>310</v>
      </c>
      <c r="F7169" s="888" t="s">
        <v>310</v>
      </c>
    </row>
    <row r="7170" spans="1:6">
      <c r="A7170" s="888">
        <v>333</v>
      </c>
      <c r="B7170" s="888" t="s">
        <v>241</v>
      </c>
      <c r="C7170" s="888" t="s">
        <v>1253</v>
      </c>
      <c r="D7170" s="889">
        <v>46050</v>
      </c>
      <c r="E7170" s="888" t="s">
        <v>310</v>
      </c>
      <c r="F7170" s="888" t="s">
        <v>310</v>
      </c>
    </row>
    <row r="7171" spans="1:6">
      <c r="A7171" s="888">
        <v>333</v>
      </c>
      <c r="B7171" s="888" t="s">
        <v>241</v>
      </c>
      <c r="C7171" s="888" t="s">
        <v>1253</v>
      </c>
      <c r="D7171" s="889">
        <v>46051</v>
      </c>
      <c r="E7171" s="888" t="s">
        <v>310</v>
      </c>
      <c r="F7171" s="888" t="s">
        <v>310</v>
      </c>
    </row>
    <row r="7172" spans="1:6">
      <c r="A7172" s="888">
        <v>333</v>
      </c>
      <c r="B7172" s="888" t="s">
        <v>241</v>
      </c>
      <c r="C7172" s="888" t="s">
        <v>1253</v>
      </c>
      <c r="D7172" s="889">
        <v>46052</v>
      </c>
      <c r="E7172" s="888" t="s">
        <v>310</v>
      </c>
      <c r="F7172" s="888" t="s">
        <v>310</v>
      </c>
    </row>
    <row r="7173" spans="1:6">
      <c r="A7173" s="888">
        <v>333</v>
      </c>
      <c r="B7173" s="888" t="s">
        <v>241</v>
      </c>
      <c r="C7173" s="888" t="s">
        <v>1253</v>
      </c>
      <c r="D7173" s="889">
        <v>46053</v>
      </c>
      <c r="E7173" s="888" t="s">
        <v>310</v>
      </c>
      <c r="F7173" s="888" t="s">
        <v>310</v>
      </c>
    </row>
    <row r="7174" spans="1:6">
      <c r="A7174" s="888">
        <v>333</v>
      </c>
      <c r="B7174" s="888" t="s">
        <v>241</v>
      </c>
      <c r="C7174" s="888" t="s">
        <v>1253</v>
      </c>
      <c r="D7174" s="889">
        <v>46054</v>
      </c>
      <c r="E7174" s="888" t="s">
        <v>310</v>
      </c>
      <c r="F7174" s="888" t="s">
        <v>310</v>
      </c>
    </row>
    <row r="7175" spans="1:6">
      <c r="A7175" s="888">
        <v>334</v>
      </c>
      <c r="B7175" s="888" t="s">
        <v>1049</v>
      </c>
      <c r="C7175" s="888" t="s">
        <v>1468</v>
      </c>
      <c r="D7175" s="889">
        <v>46023</v>
      </c>
      <c r="E7175" s="888" t="s">
        <v>310</v>
      </c>
      <c r="F7175" s="888" t="s">
        <v>310</v>
      </c>
    </row>
    <row r="7176" spans="1:6">
      <c r="A7176" s="888">
        <v>334</v>
      </c>
      <c r="B7176" s="888" t="s">
        <v>1049</v>
      </c>
      <c r="C7176" s="888" t="s">
        <v>1468</v>
      </c>
      <c r="D7176" s="889">
        <v>46024</v>
      </c>
      <c r="E7176" s="888" t="s">
        <v>310</v>
      </c>
      <c r="F7176" s="888" t="s">
        <v>310</v>
      </c>
    </row>
    <row r="7177" spans="1:6">
      <c r="A7177" s="888">
        <v>334</v>
      </c>
      <c r="B7177" s="888" t="s">
        <v>1049</v>
      </c>
      <c r="C7177" s="888" t="s">
        <v>1468</v>
      </c>
      <c r="D7177" s="889">
        <v>46025</v>
      </c>
      <c r="E7177" s="888" t="s">
        <v>310</v>
      </c>
      <c r="F7177" s="888" t="s">
        <v>310</v>
      </c>
    </row>
    <row r="7178" spans="1:6">
      <c r="A7178" s="888">
        <v>334</v>
      </c>
      <c r="B7178" s="888" t="s">
        <v>1049</v>
      </c>
      <c r="C7178" s="888" t="s">
        <v>1468</v>
      </c>
      <c r="D7178" s="889">
        <v>46026</v>
      </c>
      <c r="E7178" s="888" t="s">
        <v>310</v>
      </c>
      <c r="F7178" s="888" t="s">
        <v>310</v>
      </c>
    </row>
    <row r="7179" spans="1:6">
      <c r="A7179" s="888">
        <v>334</v>
      </c>
      <c r="B7179" s="888" t="s">
        <v>1049</v>
      </c>
      <c r="C7179" s="888" t="s">
        <v>1468</v>
      </c>
      <c r="D7179" s="889">
        <v>46027</v>
      </c>
      <c r="E7179" s="888" t="s">
        <v>310</v>
      </c>
      <c r="F7179" s="888" t="s">
        <v>310</v>
      </c>
    </row>
    <row r="7180" spans="1:6">
      <c r="A7180" s="888">
        <v>334</v>
      </c>
      <c r="B7180" s="888" t="s">
        <v>1049</v>
      </c>
      <c r="C7180" s="888" t="s">
        <v>1468</v>
      </c>
      <c r="D7180" s="889">
        <v>46028</v>
      </c>
      <c r="E7180" s="888" t="s">
        <v>310</v>
      </c>
      <c r="F7180" s="888" t="s">
        <v>310</v>
      </c>
    </row>
    <row r="7181" spans="1:6">
      <c r="A7181" s="888">
        <v>334</v>
      </c>
      <c r="B7181" s="888" t="s">
        <v>1049</v>
      </c>
      <c r="C7181" s="888" t="s">
        <v>1468</v>
      </c>
      <c r="D7181" s="889">
        <v>46029</v>
      </c>
      <c r="E7181" s="888" t="s">
        <v>310</v>
      </c>
      <c r="F7181" s="888" t="s">
        <v>310</v>
      </c>
    </row>
    <row r="7182" spans="1:6">
      <c r="A7182" s="888">
        <v>334</v>
      </c>
      <c r="B7182" s="888" t="s">
        <v>1049</v>
      </c>
      <c r="C7182" s="888" t="s">
        <v>1468</v>
      </c>
      <c r="D7182" s="889">
        <v>46030</v>
      </c>
      <c r="E7182" s="888" t="s">
        <v>310</v>
      </c>
      <c r="F7182" s="888" t="s">
        <v>310</v>
      </c>
    </row>
    <row r="7183" spans="1:6">
      <c r="A7183" s="888">
        <v>334</v>
      </c>
      <c r="B7183" s="888" t="s">
        <v>1049</v>
      </c>
      <c r="C7183" s="888" t="s">
        <v>1468</v>
      </c>
      <c r="D7183" s="889">
        <v>46031</v>
      </c>
      <c r="E7183" s="888" t="s">
        <v>310</v>
      </c>
      <c r="F7183" s="888" t="s">
        <v>310</v>
      </c>
    </row>
    <row r="7184" spans="1:6">
      <c r="A7184" s="888">
        <v>334</v>
      </c>
      <c r="B7184" s="888" t="s">
        <v>1049</v>
      </c>
      <c r="C7184" s="888" t="s">
        <v>1468</v>
      </c>
      <c r="D7184" s="889">
        <v>46032</v>
      </c>
      <c r="E7184" s="888" t="s">
        <v>310</v>
      </c>
      <c r="F7184" s="888" t="s">
        <v>310</v>
      </c>
    </row>
    <row r="7185" spans="1:6">
      <c r="A7185" s="888">
        <v>334</v>
      </c>
      <c r="B7185" s="888" t="s">
        <v>1049</v>
      </c>
      <c r="C7185" s="888" t="s">
        <v>1468</v>
      </c>
      <c r="D7185" s="889">
        <v>46033</v>
      </c>
      <c r="E7185" s="888" t="s">
        <v>310</v>
      </c>
      <c r="F7185" s="888" t="s">
        <v>310</v>
      </c>
    </row>
    <row r="7186" spans="1:6">
      <c r="A7186" s="888">
        <v>334</v>
      </c>
      <c r="B7186" s="888" t="s">
        <v>1049</v>
      </c>
      <c r="C7186" s="888" t="s">
        <v>1468</v>
      </c>
      <c r="D7186" s="889">
        <v>46034</v>
      </c>
      <c r="E7186" s="888" t="s">
        <v>310</v>
      </c>
      <c r="F7186" s="888" t="s">
        <v>310</v>
      </c>
    </row>
    <row r="7187" spans="1:6">
      <c r="A7187" s="888">
        <v>334</v>
      </c>
      <c r="B7187" s="888" t="s">
        <v>1049</v>
      </c>
      <c r="C7187" s="888" t="s">
        <v>1468</v>
      </c>
      <c r="D7187" s="889">
        <v>46035</v>
      </c>
      <c r="E7187" s="890">
        <v>0.61535879629629631</v>
      </c>
      <c r="F7187" s="890">
        <v>0.68395833333333333</v>
      </c>
    </row>
    <row r="7188" spans="1:6">
      <c r="A7188" s="888" t="s">
        <v>5433</v>
      </c>
      <c r="B7188" s="888" t="s">
        <v>5434</v>
      </c>
      <c r="C7188" s="888" t="s">
        <v>1892</v>
      </c>
    </row>
    <row r="7189" spans="1:6">
      <c r="A7189" s="888">
        <v>334</v>
      </c>
      <c r="B7189" s="888" t="s">
        <v>1049</v>
      </c>
      <c r="C7189" s="888" t="s">
        <v>1468</v>
      </c>
      <c r="D7189" s="889">
        <v>46036</v>
      </c>
      <c r="E7189" s="888" t="s">
        <v>310</v>
      </c>
      <c r="F7189" s="888" t="s">
        <v>310</v>
      </c>
    </row>
    <row r="7190" spans="1:6">
      <c r="A7190" s="888">
        <v>334</v>
      </c>
      <c r="B7190" s="888" t="s">
        <v>1049</v>
      </c>
      <c r="C7190" s="888" t="s">
        <v>1468</v>
      </c>
      <c r="D7190" s="889">
        <v>46037</v>
      </c>
      <c r="E7190" s="888" t="s">
        <v>310</v>
      </c>
      <c r="F7190" s="888" t="s">
        <v>310</v>
      </c>
    </row>
    <row r="7191" spans="1:6">
      <c r="A7191" s="888">
        <v>334</v>
      </c>
      <c r="B7191" s="888" t="s">
        <v>1049</v>
      </c>
      <c r="C7191" s="888" t="s">
        <v>1468</v>
      </c>
      <c r="D7191" s="889">
        <v>46038</v>
      </c>
      <c r="E7191" s="888" t="s">
        <v>310</v>
      </c>
      <c r="F7191" s="888" t="s">
        <v>310</v>
      </c>
    </row>
    <row r="7192" spans="1:6">
      <c r="A7192" s="888">
        <v>334</v>
      </c>
      <c r="B7192" s="888" t="s">
        <v>1049</v>
      </c>
      <c r="C7192" s="888" t="s">
        <v>1468</v>
      </c>
      <c r="D7192" s="889">
        <v>46039</v>
      </c>
      <c r="E7192" s="888" t="s">
        <v>310</v>
      </c>
      <c r="F7192" s="888" t="s">
        <v>310</v>
      </c>
    </row>
    <row r="7193" spans="1:6">
      <c r="A7193" s="888">
        <v>334</v>
      </c>
      <c r="B7193" s="888" t="s">
        <v>1049</v>
      </c>
      <c r="C7193" s="888" t="s">
        <v>1468</v>
      </c>
      <c r="D7193" s="889">
        <v>46040</v>
      </c>
      <c r="E7193" s="888" t="s">
        <v>310</v>
      </c>
      <c r="F7193" s="888" t="s">
        <v>310</v>
      </c>
    </row>
    <row r="7194" spans="1:6">
      <c r="A7194" s="888">
        <v>334</v>
      </c>
      <c r="B7194" s="888" t="s">
        <v>1049</v>
      </c>
      <c r="C7194" s="888" t="s">
        <v>1468</v>
      </c>
      <c r="D7194" s="889">
        <v>46041</v>
      </c>
      <c r="E7194" s="888" t="s">
        <v>310</v>
      </c>
      <c r="F7194" s="888" t="s">
        <v>310</v>
      </c>
    </row>
    <row r="7195" spans="1:6">
      <c r="A7195" s="888">
        <v>334</v>
      </c>
      <c r="B7195" s="888" t="s">
        <v>1049</v>
      </c>
      <c r="C7195" s="888" t="s">
        <v>1468</v>
      </c>
      <c r="D7195" s="889">
        <v>46042</v>
      </c>
      <c r="E7195" s="888" t="s">
        <v>310</v>
      </c>
      <c r="F7195" s="888" t="s">
        <v>310</v>
      </c>
    </row>
    <row r="7196" spans="1:6">
      <c r="A7196" s="888">
        <v>334</v>
      </c>
      <c r="B7196" s="888" t="s">
        <v>1049</v>
      </c>
      <c r="C7196" s="888" t="s">
        <v>1468</v>
      </c>
      <c r="D7196" s="889">
        <v>46043</v>
      </c>
      <c r="E7196" s="888" t="s">
        <v>310</v>
      </c>
      <c r="F7196" s="888" t="s">
        <v>310</v>
      </c>
    </row>
    <row r="7197" spans="1:6">
      <c r="A7197" s="888">
        <v>334</v>
      </c>
      <c r="B7197" s="888" t="s">
        <v>1049</v>
      </c>
      <c r="C7197" s="888" t="s">
        <v>1468</v>
      </c>
      <c r="D7197" s="889">
        <v>46044</v>
      </c>
      <c r="E7197" s="888" t="s">
        <v>310</v>
      </c>
      <c r="F7197" s="888" t="s">
        <v>310</v>
      </c>
    </row>
    <row r="7198" spans="1:6">
      <c r="A7198" s="888">
        <v>334</v>
      </c>
      <c r="B7198" s="888" t="s">
        <v>1049</v>
      </c>
      <c r="C7198" s="888" t="s">
        <v>1468</v>
      </c>
      <c r="D7198" s="889">
        <v>46045</v>
      </c>
      <c r="E7198" s="888" t="s">
        <v>310</v>
      </c>
      <c r="F7198" s="888" t="s">
        <v>310</v>
      </c>
    </row>
    <row r="7199" spans="1:6">
      <c r="A7199" s="888">
        <v>334</v>
      </c>
      <c r="B7199" s="888" t="s">
        <v>1049</v>
      </c>
      <c r="C7199" s="888" t="s">
        <v>1468</v>
      </c>
      <c r="D7199" s="889">
        <v>46046</v>
      </c>
      <c r="E7199" s="888" t="s">
        <v>310</v>
      </c>
      <c r="F7199" s="888" t="s">
        <v>310</v>
      </c>
    </row>
    <row r="7200" spans="1:6">
      <c r="A7200" s="888">
        <v>334</v>
      </c>
      <c r="B7200" s="888" t="s">
        <v>1049</v>
      </c>
      <c r="C7200" s="888" t="s">
        <v>1468</v>
      </c>
      <c r="D7200" s="889">
        <v>46047</v>
      </c>
      <c r="E7200" s="888" t="s">
        <v>310</v>
      </c>
      <c r="F7200" s="888" t="s">
        <v>310</v>
      </c>
    </row>
    <row r="7201" spans="1:6">
      <c r="A7201" s="888">
        <v>334</v>
      </c>
      <c r="B7201" s="888" t="s">
        <v>1049</v>
      </c>
      <c r="C7201" s="888" t="s">
        <v>1468</v>
      </c>
      <c r="D7201" s="889">
        <v>46048</v>
      </c>
      <c r="E7201" s="888" t="s">
        <v>310</v>
      </c>
      <c r="F7201" s="888" t="s">
        <v>310</v>
      </c>
    </row>
    <row r="7202" spans="1:6">
      <c r="A7202" s="888">
        <v>334</v>
      </c>
      <c r="B7202" s="888" t="s">
        <v>1049</v>
      </c>
      <c r="C7202" s="888" t="s">
        <v>1468</v>
      </c>
      <c r="D7202" s="889">
        <v>46049</v>
      </c>
      <c r="E7202" s="888" t="s">
        <v>310</v>
      </c>
      <c r="F7202" s="888" t="s">
        <v>310</v>
      </c>
    </row>
    <row r="7203" spans="1:6">
      <c r="A7203" s="888">
        <v>334</v>
      </c>
      <c r="B7203" s="888" t="s">
        <v>1049</v>
      </c>
      <c r="C7203" s="888" t="s">
        <v>1468</v>
      </c>
      <c r="D7203" s="889">
        <v>46050</v>
      </c>
      <c r="E7203" s="888" t="s">
        <v>310</v>
      </c>
      <c r="F7203" s="888" t="s">
        <v>310</v>
      </c>
    </row>
    <row r="7204" spans="1:6">
      <c r="A7204" s="888">
        <v>334</v>
      </c>
      <c r="B7204" s="888" t="s">
        <v>1049</v>
      </c>
      <c r="C7204" s="888" t="s">
        <v>1468</v>
      </c>
      <c r="D7204" s="889">
        <v>46051</v>
      </c>
      <c r="E7204" s="888" t="s">
        <v>310</v>
      </c>
      <c r="F7204" s="888" t="s">
        <v>310</v>
      </c>
    </row>
    <row r="7205" spans="1:6">
      <c r="A7205" s="888">
        <v>334</v>
      </c>
      <c r="B7205" s="888" t="s">
        <v>1049</v>
      </c>
      <c r="C7205" s="888" t="s">
        <v>1468</v>
      </c>
      <c r="D7205" s="889">
        <v>46052</v>
      </c>
      <c r="E7205" s="888" t="s">
        <v>310</v>
      </c>
      <c r="F7205" s="888" t="s">
        <v>310</v>
      </c>
    </row>
    <row r="7206" spans="1:6">
      <c r="A7206" s="888">
        <v>334</v>
      </c>
      <c r="B7206" s="888" t="s">
        <v>1049</v>
      </c>
      <c r="C7206" s="888" t="s">
        <v>1468</v>
      </c>
      <c r="D7206" s="889">
        <v>46053</v>
      </c>
      <c r="E7206" s="888" t="s">
        <v>310</v>
      </c>
      <c r="F7206" s="888" t="s">
        <v>310</v>
      </c>
    </row>
    <row r="7207" spans="1:6">
      <c r="A7207" s="888">
        <v>334</v>
      </c>
      <c r="B7207" s="888" t="s">
        <v>1049</v>
      </c>
      <c r="C7207" s="888" t="s">
        <v>1468</v>
      </c>
      <c r="D7207" s="889">
        <v>46054</v>
      </c>
      <c r="E7207" s="888" t="s">
        <v>310</v>
      </c>
      <c r="F7207" s="888" t="s">
        <v>310</v>
      </c>
    </row>
    <row r="7208" spans="1:6">
      <c r="A7208" s="888">
        <v>35</v>
      </c>
      <c r="B7208" s="888" t="s">
        <v>1115</v>
      </c>
      <c r="C7208" s="888" t="s">
        <v>1387</v>
      </c>
      <c r="D7208" s="889">
        <v>46023</v>
      </c>
      <c r="E7208" s="888" t="s">
        <v>310</v>
      </c>
      <c r="F7208" s="888" t="s">
        <v>310</v>
      </c>
    </row>
    <row r="7209" spans="1:6">
      <c r="A7209" s="888">
        <v>35</v>
      </c>
      <c r="B7209" s="888" t="s">
        <v>1115</v>
      </c>
      <c r="C7209" s="888" t="s">
        <v>1387</v>
      </c>
      <c r="D7209" s="889">
        <v>46024</v>
      </c>
      <c r="E7209" s="888" t="s">
        <v>310</v>
      </c>
      <c r="F7209" s="888" t="s">
        <v>310</v>
      </c>
    </row>
    <row r="7210" spans="1:6">
      <c r="A7210" s="888">
        <v>35</v>
      </c>
      <c r="B7210" s="888" t="s">
        <v>1115</v>
      </c>
      <c r="C7210" s="888" t="s">
        <v>1387</v>
      </c>
      <c r="D7210" s="889">
        <v>46025</v>
      </c>
      <c r="E7210" s="888" t="s">
        <v>310</v>
      </c>
      <c r="F7210" s="888" t="s">
        <v>310</v>
      </c>
    </row>
    <row r="7211" spans="1:6">
      <c r="A7211" s="888">
        <v>35</v>
      </c>
      <c r="B7211" s="888" t="s">
        <v>1115</v>
      </c>
      <c r="C7211" s="888" t="s">
        <v>1387</v>
      </c>
      <c r="D7211" s="889">
        <v>46026</v>
      </c>
      <c r="E7211" s="888" t="s">
        <v>310</v>
      </c>
      <c r="F7211" s="888" t="s">
        <v>310</v>
      </c>
    </row>
    <row r="7212" spans="1:6">
      <c r="A7212" s="888">
        <v>35</v>
      </c>
      <c r="B7212" s="888" t="s">
        <v>1115</v>
      </c>
      <c r="C7212" s="888" t="s">
        <v>1387</v>
      </c>
      <c r="D7212" s="889">
        <v>46027</v>
      </c>
      <c r="E7212" s="888" t="s">
        <v>310</v>
      </c>
      <c r="F7212" s="888" t="s">
        <v>310</v>
      </c>
    </row>
    <row r="7213" spans="1:6">
      <c r="A7213" s="888">
        <v>35</v>
      </c>
      <c r="B7213" s="888" t="s">
        <v>1115</v>
      </c>
      <c r="C7213" s="888" t="s">
        <v>1387</v>
      </c>
      <c r="D7213" s="889">
        <v>46028</v>
      </c>
      <c r="E7213" s="890">
        <v>0.35115740740740742</v>
      </c>
      <c r="F7213" s="890">
        <v>0.7520486111111111</v>
      </c>
    </row>
    <row r="7214" spans="1:6">
      <c r="A7214" s="888" t="s">
        <v>5435</v>
      </c>
      <c r="B7214" s="888" t="s">
        <v>5436</v>
      </c>
      <c r="C7214" s="888" t="s">
        <v>1378</v>
      </c>
    </row>
    <row r="7215" spans="1:6">
      <c r="A7215" s="888">
        <v>35</v>
      </c>
      <c r="B7215" s="888" t="s">
        <v>1115</v>
      </c>
      <c r="C7215" s="888" t="s">
        <v>1387</v>
      </c>
      <c r="D7215" s="889">
        <v>46029</v>
      </c>
      <c r="E7215" s="890">
        <v>0.3527777777777778</v>
      </c>
      <c r="F7215" s="890">
        <v>0.75150462962962961</v>
      </c>
    </row>
    <row r="7216" spans="1:6">
      <c r="A7216" s="888" t="s">
        <v>5437</v>
      </c>
      <c r="B7216" s="888" t="s">
        <v>5438</v>
      </c>
      <c r="C7216" s="888" t="s">
        <v>1383</v>
      </c>
    </row>
    <row r="7217" spans="1:6">
      <c r="A7217" s="888">
        <v>35</v>
      </c>
      <c r="B7217" s="888" t="s">
        <v>1115</v>
      </c>
      <c r="C7217" s="888" t="s">
        <v>1387</v>
      </c>
      <c r="D7217" s="889">
        <v>46030</v>
      </c>
      <c r="E7217" s="890">
        <v>0.35270833333333335</v>
      </c>
      <c r="F7217" s="890">
        <v>0.75127314814814816</v>
      </c>
    </row>
    <row r="7218" spans="1:6">
      <c r="A7218" s="888" t="s">
        <v>5439</v>
      </c>
      <c r="B7218" s="888" t="s">
        <v>5440</v>
      </c>
      <c r="C7218" s="888" t="s">
        <v>1383</v>
      </c>
    </row>
    <row r="7219" spans="1:6">
      <c r="A7219" s="888">
        <v>35</v>
      </c>
      <c r="B7219" s="888" t="s">
        <v>1115</v>
      </c>
      <c r="C7219" s="888" t="s">
        <v>1387</v>
      </c>
      <c r="D7219" s="889">
        <v>46031</v>
      </c>
      <c r="E7219" s="888" t="s">
        <v>310</v>
      </c>
      <c r="F7219" s="888" t="s">
        <v>310</v>
      </c>
    </row>
    <row r="7220" spans="1:6">
      <c r="A7220" s="888">
        <v>35</v>
      </c>
      <c r="B7220" s="888" t="s">
        <v>1115</v>
      </c>
      <c r="C7220" s="888" t="s">
        <v>1387</v>
      </c>
      <c r="D7220" s="889">
        <v>46032</v>
      </c>
      <c r="E7220" s="888" t="s">
        <v>310</v>
      </c>
      <c r="F7220" s="888" t="s">
        <v>310</v>
      </c>
    </row>
    <row r="7221" spans="1:6">
      <c r="A7221" s="888">
        <v>35</v>
      </c>
      <c r="B7221" s="888" t="s">
        <v>1115</v>
      </c>
      <c r="C7221" s="888" t="s">
        <v>1387</v>
      </c>
      <c r="D7221" s="889">
        <v>46033</v>
      </c>
      <c r="E7221" s="888" t="s">
        <v>310</v>
      </c>
      <c r="F7221" s="888" t="s">
        <v>310</v>
      </c>
    </row>
    <row r="7222" spans="1:6">
      <c r="A7222" s="888">
        <v>35</v>
      </c>
      <c r="B7222" s="888" t="s">
        <v>1115</v>
      </c>
      <c r="C7222" s="888" t="s">
        <v>1387</v>
      </c>
      <c r="D7222" s="889">
        <v>46034</v>
      </c>
      <c r="E7222" s="890">
        <v>0.35259259259259257</v>
      </c>
      <c r="F7222" s="890">
        <v>0.7517476851851852</v>
      </c>
    </row>
    <row r="7223" spans="1:6">
      <c r="A7223" s="888" t="s">
        <v>5441</v>
      </c>
      <c r="B7223" s="888" t="s">
        <v>5442</v>
      </c>
      <c r="C7223" s="888" t="s">
        <v>1288</v>
      </c>
    </row>
    <row r="7224" spans="1:6">
      <c r="A7224" s="888">
        <v>35</v>
      </c>
      <c r="B7224" s="888" t="s">
        <v>1115</v>
      </c>
      <c r="C7224" s="888" t="s">
        <v>1387</v>
      </c>
      <c r="D7224" s="889">
        <v>46035</v>
      </c>
      <c r="E7224" s="890">
        <v>0.35335648148148147</v>
      </c>
      <c r="F7224" s="890">
        <v>0.7525115740740741</v>
      </c>
    </row>
    <row r="7225" spans="1:6">
      <c r="A7225" s="888" t="s">
        <v>5443</v>
      </c>
      <c r="B7225" s="888" t="s">
        <v>5444</v>
      </c>
      <c r="C7225" s="888" t="s">
        <v>1288</v>
      </c>
    </row>
    <row r="7226" spans="1:6">
      <c r="A7226" s="888">
        <v>35</v>
      </c>
      <c r="B7226" s="888" t="s">
        <v>1115</v>
      </c>
      <c r="C7226" s="888" t="s">
        <v>1387</v>
      </c>
      <c r="D7226" s="889">
        <v>46036</v>
      </c>
      <c r="E7226" s="890">
        <v>0.35219907407407408</v>
      </c>
      <c r="F7226" s="890">
        <v>0.75178240740740743</v>
      </c>
    </row>
    <row r="7227" spans="1:6">
      <c r="A7227" s="888" t="s">
        <v>5445</v>
      </c>
      <c r="B7227" s="888" t="s">
        <v>5446</v>
      </c>
      <c r="C7227" s="888" t="s">
        <v>1288</v>
      </c>
    </row>
    <row r="7228" spans="1:6">
      <c r="A7228" s="888">
        <v>35</v>
      </c>
      <c r="B7228" s="888" t="s">
        <v>1115</v>
      </c>
      <c r="C7228" s="888" t="s">
        <v>1387</v>
      </c>
      <c r="D7228" s="889">
        <v>46037</v>
      </c>
      <c r="E7228" s="890">
        <v>0.35432870370370373</v>
      </c>
      <c r="F7228" s="890">
        <v>0.75155092592592587</v>
      </c>
    </row>
    <row r="7229" spans="1:6">
      <c r="A7229" s="888" t="s">
        <v>5447</v>
      </c>
      <c r="B7229" s="888" t="s">
        <v>5448</v>
      </c>
      <c r="C7229" s="888" t="s">
        <v>1514</v>
      </c>
    </row>
    <row r="7230" spans="1:6">
      <c r="A7230" s="888">
        <v>35</v>
      </c>
      <c r="B7230" s="888" t="s">
        <v>1115</v>
      </c>
      <c r="C7230" s="888" t="s">
        <v>1387</v>
      </c>
      <c r="D7230" s="889">
        <v>46038</v>
      </c>
      <c r="E7230" s="888" t="s">
        <v>310</v>
      </c>
      <c r="F7230" s="888" t="s">
        <v>310</v>
      </c>
    </row>
    <row r="7231" spans="1:6">
      <c r="A7231" s="888">
        <v>35</v>
      </c>
      <c r="B7231" s="888" t="s">
        <v>1115</v>
      </c>
      <c r="C7231" s="888" t="s">
        <v>1387</v>
      </c>
      <c r="D7231" s="889">
        <v>46039</v>
      </c>
      <c r="E7231" s="888" t="s">
        <v>310</v>
      </c>
      <c r="F7231" s="888" t="s">
        <v>310</v>
      </c>
    </row>
    <row r="7232" spans="1:6">
      <c r="A7232" s="888">
        <v>35</v>
      </c>
      <c r="B7232" s="888" t="s">
        <v>1115</v>
      </c>
      <c r="C7232" s="888" t="s">
        <v>1387</v>
      </c>
      <c r="D7232" s="889">
        <v>46040</v>
      </c>
      <c r="E7232" s="888" t="s">
        <v>310</v>
      </c>
      <c r="F7232" s="888" t="s">
        <v>310</v>
      </c>
    </row>
    <row r="7233" spans="1:6">
      <c r="A7233" s="888">
        <v>35</v>
      </c>
      <c r="B7233" s="888" t="s">
        <v>1115</v>
      </c>
      <c r="C7233" s="888" t="s">
        <v>1387</v>
      </c>
      <c r="D7233" s="889">
        <v>46041</v>
      </c>
      <c r="E7233" s="890">
        <v>0.37641203703703702</v>
      </c>
      <c r="F7233" s="890">
        <v>0.75209490740740736</v>
      </c>
    </row>
    <row r="7234" spans="1:6">
      <c r="A7234" s="888" t="s">
        <v>5449</v>
      </c>
      <c r="B7234" s="888" t="s">
        <v>5450</v>
      </c>
      <c r="C7234" s="888" t="s">
        <v>1330</v>
      </c>
    </row>
    <row r="7235" spans="1:6">
      <c r="A7235" s="888">
        <v>35</v>
      </c>
      <c r="B7235" s="888" t="s">
        <v>1115</v>
      </c>
      <c r="C7235" s="888" t="s">
        <v>1387</v>
      </c>
      <c r="D7235" s="889">
        <v>46042</v>
      </c>
      <c r="E7235" s="890">
        <v>0.35319444444444442</v>
      </c>
      <c r="F7235" s="890">
        <v>0.75170138888888893</v>
      </c>
    </row>
    <row r="7236" spans="1:6">
      <c r="A7236" s="888" t="s">
        <v>5451</v>
      </c>
      <c r="B7236" s="888" t="s">
        <v>5452</v>
      </c>
      <c r="C7236" s="888" t="s">
        <v>1383</v>
      </c>
    </row>
    <row r="7237" spans="1:6">
      <c r="A7237" s="888">
        <v>35</v>
      </c>
      <c r="B7237" s="888" t="s">
        <v>1115</v>
      </c>
      <c r="C7237" s="888" t="s">
        <v>1387</v>
      </c>
      <c r="D7237" s="889">
        <v>46043</v>
      </c>
      <c r="E7237" s="890">
        <v>0.35736111111111113</v>
      </c>
      <c r="F7237" s="890">
        <v>0.75162037037037033</v>
      </c>
    </row>
    <row r="7238" spans="1:6">
      <c r="A7238" s="888" t="s">
        <v>5453</v>
      </c>
      <c r="B7238" s="888" t="s">
        <v>5454</v>
      </c>
      <c r="C7238" s="888" t="s">
        <v>1285</v>
      </c>
    </row>
    <row r="7239" spans="1:6">
      <c r="A7239" s="888">
        <v>35</v>
      </c>
      <c r="B7239" s="888" t="s">
        <v>1115</v>
      </c>
      <c r="C7239" s="888" t="s">
        <v>1387</v>
      </c>
      <c r="D7239" s="889">
        <v>46044</v>
      </c>
      <c r="E7239" s="890">
        <v>0.35293981481481479</v>
      </c>
      <c r="F7239" s="890">
        <v>0.75133101851851847</v>
      </c>
    </row>
    <row r="7240" spans="1:6">
      <c r="A7240" s="888" t="s">
        <v>5455</v>
      </c>
      <c r="B7240" s="888" t="s">
        <v>5456</v>
      </c>
      <c r="C7240" s="888" t="s">
        <v>1383</v>
      </c>
    </row>
    <row r="7241" spans="1:6">
      <c r="A7241" s="888">
        <v>35</v>
      </c>
      <c r="B7241" s="888" t="s">
        <v>1115</v>
      </c>
      <c r="C7241" s="888" t="s">
        <v>1387</v>
      </c>
      <c r="D7241" s="889">
        <v>46045</v>
      </c>
      <c r="E7241" s="888" t="s">
        <v>310</v>
      </c>
      <c r="F7241" s="888" t="s">
        <v>310</v>
      </c>
    </row>
    <row r="7242" spans="1:6">
      <c r="A7242" s="888">
        <v>35</v>
      </c>
      <c r="B7242" s="888" t="s">
        <v>1115</v>
      </c>
      <c r="C7242" s="888" t="s">
        <v>1387</v>
      </c>
      <c r="D7242" s="889">
        <v>46046</v>
      </c>
      <c r="E7242" s="888" t="s">
        <v>310</v>
      </c>
      <c r="F7242" s="888" t="s">
        <v>310</v>
      </c>
    </row>
    <row r="7243" spans="1:6">
      <c r="A7243" s="888">
        <v>35</v>
      </c>
      <c r="B7243" s="888" t="s">
        <v>1115</v>
      </c>
      <c r="C7243" s="888" t="s">
        <v>1387</v>
      </c>
      <c r="D7243" s="889">
        <v>46047</v>
      </c>
      <c r="E7243" s="888" t="s">
        <v>310</v>
      </c>
      <c r="F7243" s="888" t="s">
        <v>310</v>
      </c>
    </row>
    <row r="7244" spans="1:6">
      <c r="A7244" s="888">
        <v>35</v>
      </c>
      <c r="B7244" s="888" t="s">
        <v>1115</v>
      </c>
      <c r="C7244" s="888" t="s">
        <v>1387</v>
      </c>
      <c r="D7244" s="889">
        <v>46048</v>
      </c>
      <c r="E7244" s="890">
        <v>0.35229166666666667</v>
      </c>
      <c r="F7244" s="890">
        <v>0.75185185185185188</v>
      </c>
    </row>
    <row r="7245" spans="1:6">
      <c r="A7245" s="888" t="s">
        <v>5457</v>
      </c>
      <c r="B7245" s="888" t="s">
        <v>5458</v>
      </c>
      <c r="C7245" s="888" t="s">
        <v>1288</v>
      </c>
    </row>
    <row r="7246" spans="1:6">
      <c r="A7246" s="888">
        <v>35</v>
      </c>
      <c r="B7246" s="888" t="s">
        <v>1115</v>
      </c>
      <c r="C7246" s="888" t="s">
        <v>1387</v>
      </c>
      <c r="D7246" s="889">
        <v>46049</v>
      </c>
      <c r="E7246" s="890">
        <v>0.35267361111111112</v>
      </c>
      <c r="F7246" s="890">
        <v>0.7517476851851852</v>
      </c>
    </row>
    <row r="7247" spans="1:6">
      <c r="A7247" s="888" t="s">
        <v>5459</v>
      </c>
      <c r="B7247" s="888" t="s">
        <v>5460</v>
      </c>
      <c r="C7247" s="888" t="s">
        <v>1288</v>
      </c>
    </row>
    <row r="7248" spans="1:6">
      <c r="A7248" s="888">
        <v>35</v>
      </c>
      <c r="B7248" s="888" t="s">
        <v>1115</v>
      </c>
      <c r="C7248" s="888" t="s">
        <v>1387</v>
      </c>
      <c r="D7248" s="889">
        <v>46050</v>
      </c>
      <c r="E7248" s="890">
        <v>0.35247685185185185</v>
      </c>
      <c r="F7248" s="890">
        <v>0.75223379629629628</v>
      </c>
    </row>
    <row r="7249" spans="1:6">
      <c r="A7249" s="888" t="s">
        <v>5461</v>
      </c>
      <c r="B7249" s="888" t="s">
        <v>5462</v>
      </c>
      <c r="C7249" s="888" t="s">
        <v>1526</v>
      </c>
    </row>
    <row r="7250" spans="1:6">
      <c r="A7250" s="888">
        <v>35</v>
      </c>
      <c r="B7250" s="888" t="s">
        <v>1115</v>
      </c>
      <c r="C7250" s="888" t="s">
        <v>1387</v>
      </c>
      <c r="D7250" s="889">
        <v>46051</v>
      </c>
      <c r="E7250" s="890">
        <v>0.3532986111111111</v>
      </c>
      <c r="F7250" s="890">
        <v>0.75309027777777782</v>
      </c>
    </row>
    <row r="7251" spans="1:6">
      <c r="A7251" s="888" t="s">
        <v>5463</v>
      </c>
      <c r="B7251" s="888" t="s">
        <v>5464</v>
      </c>
      <c r="C7251" s="888" t="s">
        <v>1526</v>
      </c>
    </row>
    <row r="7252" spans="1:6">
      <c r="A7252" s="888">
        <v>35</v>
      </c>
      <c r="B7252" s="888" t="s">
        <v>1115</v>
      </c>
      <c r="C7252" s="888" t="s">
        <v>1387</v>
      </c>
      <c r="D7252" s="889">
        <v>46052</v>
      </c>
      <c r="E7252" s="888" t="s">
        <v>310</v>
      </c>
      <c r="F7252" s="888" t="s">
        <v>310</v>
      </c>
    </row>
    <row r="7253" spans="1:6">
      <c r="A7253" s="888">
        <v>35</v>
      </c>
      <c r="B7253" s="888" t="s">
        <v>1115</v>
      </c>
      <c r="C7253" s="888" t="s">
        <v>1387</v>
      </c>
      <c r="D7253" s="889">
        <v>46053</v>
      </c>
      <c r="E7253" s="888" t="s">
        <v>310</v>
      </c>
      <c r="F7253" s="888" t="s">
        <v>310</v>
      </c>
    </row>
    <row r="7254" spans="1:6">
      <c r="A7254" s="888">
        <v>35</v>
      </c>
      <c r="B7254" s="888" t="s">
        <v>1115</v>
      </c>
      <c r="C7254" s="888" t="s">
        <v>1387</v>
      </c>
      <c r="D7254" s="889">
        <v>46054</v>
      </c>
      <c r="E7254" s="888" t="s">
        <v>310</v>
      </c>
      <c r="F7254" s="888" t="s">
        <v>310</v>
      </c>
    </row>
    <row r="7255" spans="1:6">
      <c r="A7255" s="888">
        <v>371</v>
      </c>
      <c r="B7255" s="888" t="s">
        <v>1201</v>
      </c>
      <c r="C7255" s="888" t="s">
        <v>2310</v>
      </c>
      <c r="D7255" s="889">
        <v>46023</v>
      </c>
      <c r="E7255" s="888" t="s">
        <v>310</v>
      </c>
      <c r="F7255" s="888" t="s">
        <v>310</v>
      </c>
    </row>
    <row r="7256" spans="1:6">
      <c r="A7256" s="888">
        <v>371</v>
      </c>
      <c r="B7256" s="888" t="s">
        <v>1201</v>
      </c>
      <c r="C7256" s="888" t="s">
        <v>2310</v>
      </c>
      <c r="D7256" s="889">
        <v>46024</v>
      </c>
      <c r="E7256" s="888" t="s">
        <v>310</v>
      </c>
      <c r="F7256" s="888" t="s">
        <v>310</v>
      </c>
    </row>
    <row r="7257" spans="1:6">
      <c r="A7257" s="888">
        <v>371</v>
      </c>
      <c r="B7257" s="888" t="s">
        <v>1201</v>
      </c>
      <c r="C7257" s="888" t="s">
        <v>2310</v>
      </c>
      <c r="D7257" s="889">
        <v>46025</v>
      </c>
      <c r="E7257" s="888" t="s">
        <v>310</v>
      </c>
      <c r="F7257" s="888" t="s">
        <v>310</v>
      </c>
    </row>
    <row r="7258" spans="1:6">
      <c r="A7258" s="888">
        <v>371</v>
      </c>
      <c r="B7258" s="888" t="s">
        <v>1201</v>
      </c>
      <c r="C7258" s="888" t="s">
        <v>2310</v>
      </c>
      <c r="D7258" s="889">
        <v>46026</v>
      </c>
      <c r="E7258" s="888" t="s">
        <v>310</v>
      </c>
      <c r="F7258" s="888" t="s">
        <v>310</v>
      </c>
    </row>
    <row r="7259" spans="1:6">
      <c r="A7259" s="888">
        <v>371</v>
      </c>
      <c r="B7259" s="888" t="s">
        <v>1201</v>
      </c>
      <c r="C7259" s="888" t="s">
        <v>2310</v>
      </c>
      <c r="D7259" s="889">
        <v>46027</v>
      </c>
      <c r="E7259" s="888" t="s">
        <v>310</v>
      </c>
      <c r="F7259" s="888" t="s">
        <v>310</v>
      </c>
    </row>
    <row r="7260" spans="1:6">
      <c r="A7260" s="888">
        <v>371</v>
      </c>
      <c r="B7260" s="888" t="s">
        <v>1201</v>
      </c>
      <c r="C7260" s="888" t="s">
        <v>2310</v>
      </c>
      <c r="D7260" s="889">
        <v>46028</v>
      </c>
      <c r="E7260" s="888" t="s">
        <v>310</v>
      </c>
      <c r="F7260" s="888" t="s">
        <v>310</v>
      </c>
    </row>
    <row r="7261" spans="1:6">
      <c r="A7261" s="888">
        <v>371</v>
      </c>
      <c r="B7261" s="888" t="s">
        <v>1201</v>
      </c>
      <c r="C7261" s="888" t="s">
        <v>2310</v>
      </c>
      <c r="D7261" s="889">
        <v>46029</v>
      </c>
      <c r="E7261" s="888" t="s">
        <v>310</v>
      </c>
      <c r="F7261" s="888" t="s">
        <v>310</v>
      </c>
    </row>
    <row r="7262" spans="1:6">
      <c r="A7262" s="888">
        <v>371</v>
      </c>
      <c r="B7262" s="888" t="s">
        <v>1201</v>
      </c>
      <c r="C7262" s="888" t="s">
        <v>2310</v>
      </c>
      <c r="D7262" s="889">
        <v>46030</v>
      </c>
      <c r="E7262" s="888" t="s">
        <v>310</v>
      </c>
      <c r="F7262" s="888" t="s">
        <v>310</v>
      </c>
    </row>
    <row r="7263" spans="1:6">
      <c r="A7263" s="888">
        <v>371</v>
      </c>
      <c r="B7263" s="888" t="s">
        <v>1201</v>
      </c>
      <c r="C7263" s="888" t="s">
        <v>2310</v>
      </c>
      <c r="D7263" s="889">
        <v>46031</v>
      </c>
      <c r="E7263" s="888" t="s">
        <v>310</v>
      </c>
      <c r="F7263" s="888" t="s">
        <v>310</v>
      </c>
    </row>
    <row r="7264" spans="1:6">
      <c r="A7264" s="888">
        <v>371</v>
      </c>
      <c r="B7264" s="888" t="s">
        <v>1201</v>
      </c>
      <c r="C7264" s="888" t="s">
        <v>2310</v>
      </c>
      <c r="D7264" s="889">
        <v>46032</v>
      </c>
      <c r="E7264" s="888" t="s">
        <v>310</v>
      </c>
      <c r="F7264" s="888" t="s">
        <v>310</v>
      </c>
    </row>
    <row r="7265" spans="1:6">
      <c r="A7265" s="888">
        <v>371</v>
      </c>
      <c r="B7265" s="888" t="s">
        <v>1201</v>
      </c>
      <c r="C7265" s="888" t="s">
        <v>2310</v>
      </c>
      <c r="D7265" s="889">
        <v>46033</v>
      </c>
      <c r="E7265" s="888" t="s">
        <v>310</v>
      </c>
      <c r="F7265" s="888" t="s">
        <v>310</v>
      </c>
    </row>
    <row r="7266" spans="1:6">
      <c r="A7266" s="888">
        <v>371</v>
      </c>
      <c r="B7266" s="888" t="s">
        <v>1201</v>
      </c>
      <c r="C7266" s="888" t="s">
        <v>2310</v>
      </c>
      <c r="D7266" s="889">
        <v>46034</v>
      </c>
      <c r="E7266" s="888" t="s">
        <v>310</v>
      </c>
      <c r="F7266" s="888" t="s">
        <v>310</v>
      </c>
    </row>
    <row r="7267" spans="1:6">
      <c r="A7267" s="888">
        <v>371</v>
      </c>
      <c r="B7267" s="888" t="s">
        <v>1201</v>
      </c>
      <c r="C7267" s="888" t="s">
        <v>2310</v>
      </c>
      <c r="D7267" s="889">
        <v>46035</v>
      </c>
      <c r="E7267" s="888" t="s">
        <v>310</v>
      </c>
      <c r="F7267" s="888" t="s">
        <v>310</v>
      </c>
    </row>
    <row r="7268" spans="1:6">
      <c r="A7268" s="888">
        <v>371</v>
      </c>
      <c r="B7268" s="888" t="s">
        <v>1201</v>
      </c>
      <c r="C7268" s="888" t="s">
        <v>2310</v>
      </c>
      <c r="D7268" s="889">
        <v>46036</v>
      </c>
      <c r="E7268" s="888" t="s">
        <v>310</v>
      </c>
      <c r="F7268" s="888" t="s">
        <v>310</v>
      </c>
    </row>
    <row r="7269" spans="1:6">
      <c r="A7269" s="888">
        <v>371</v>
      </c>
      <c r="B7269" s="888" t="s">
        <v>1201</v>
      </c>
      <c r="C7269" s="888" t="s">
        <v>2310</v>
      </c>
      <c r="D7269" s="889">
        <v>46037</v>
      </c>
      <c r="E7269" s="888" t="s">
        <v>310</v>
      </c>
      <c r="F7269" s="888" t="s">
        <v>310</v>
      </c>
    </row>
    <row r="7270" spans="1:6">
      <c r="A7270" s="888">
        <v>371</v>
      </c>
      <c r="B7270" s="888" t="s">
        <v>1201</v>
      </c>
      <c r="C7270" s="888" t="s">
        <v>2310</v>
      </c>
      <c r="D7270" s="889">
        <v>46038</v>
      </c>
      <c r="E7270" s="888" t="s">
        <v>310</v>
      </c>
      <c r="F7270" s="888" t="s">
        <v>310</v>
      </c>
    </row>
    <row r="7271" spans="1:6">
      <c r="A7271" s="888">
        <v>371</v>
      </c>
      <c r="B7271" s="888" t="s">
        <v>1201</v>
      </c>
      <c r="C7271" s="888" t="s">
        <v>2310</v>
      </c>
      <c r="D7271" s="889">
        <v>46039</v>
      </c>
      <c r="E7271" s="888" t="s">
        <v>310</v>
      </c>
      <c r="F7271" s="888" t="s">
        <v>310</v>
      </c>
    </row>
    <row r="7272" spans="1:6">
      <c r="A7272" s="888">
        <v>371</v>
      </c>
      <c r="B7272" s="888" t="s">
        <v>1201</v>
      </c>
      <c r="C7272" s="888" t="s">
        <v>2310</v>
      </c>
      <c r="D7272" s="889">
        <v>46040</v>
      </c>
      <c r="E7272" s="888" t="s">
        <v>310</v>
      </c>
      <c r="F7272" s="888" t="s">
        <v>310</v>
      </c>
    </row>
    <row r="7273" spans="1:6">
      <c r="A7273" s="888">
        <v>371</v>
      </c>
      <c r="B7273" s="888" t="s">
        <v>1201</v>
      </c>
      <c r="C7273" s="888" t="s">
        <v>2310</v>
      </c>
      <c r="D7273" s="889">
        <v>46041</v>
      </c>
      <c r="E7273" s="888" t="s">
        <v>310</v>
      </c>
      <c r="F7273" s="888" t="s">
        <v>310</v>
      </c>
    </row>
    <row r="7274" spans="1:6">
      <c r="A7274" s="888">
        <v>371</v>
      </c>
      <c r="B7274" s="888" t="s">
        <v>1201</v>
      </c>
      <c r="C7274" s="888" t="s">
        <v>2310</v>
      </c>
      <c r="D7274" s="889">
        <v>46042</v>
      </c>
      <c r="E7274" s="888" t="s">
        <v>310</v>
      </c>
      <c r="F7274" s="888" t="s">
        <v>310</v>
      </c>
    </row>
    <row r="7275" spans="1:6">
      <c r="A7275" s="888">
        <v>371</v>
      </c>
      <c r="B7275" s="888" t="s">
        <v>1201</v>
      </c>
      <c r="C7275" s="888" t="s">
        <v>2310</v>
      </c>
      <c r="D7275" s="889">
        <v>46043</v>
      </c>
      <c r="E7275" s="888" t="s">
        <v>310</v>
      </c>
      <c r="F7275" s="888" t="s">
        <v>310</v>
      </c>
    </row>
    <row r="7276" spans="1:6">
      <c r="A7276" s="888">
        <v>371</v>
      </c>
      <c r="B7276" s="888" t="s">
        <v>1201</v>
      </c>
      <c r="C7276" s="888" t="s">
        <v>2310</v>
      </c>
      <c r="D7276" s="889">
        <v>46044</v>
      </c>
      <c r="E7276" s="888" t="s">
        <v>310</v>
      </c>
      <c r="F7276" s="888" t="s">
        <v>310</v>
      </c>
    </row>
    <row r="7277" spans="1:6">
      <c r="A7277" s="888">
        <v>371</v>
      </c>
      <c r="B7277" s="888" t="s">
        <v>1201</v>
      </c>
      <c r="C7277" s="888" t="s">
        <v>2310</v>
      </c>
      <c r="D7277" s="889">
        <v>46045</v>
      </c>
      <c r="E7277" s="888" t="s">
        <v>310</v>
      </c>
      <c r="F7277" s="888" t="s">
        <v>310</v>
      </c>
    </row>
    <row r="7278" spans="1:6">
      <c r="A7278" s="888">
        <v>371</v>
      </c>
      <c r="B7278" s="888" t="s">
        <v>1201</v>
      </c>
      <c r="C7278" s="888" t="s">
        <v>2310</v>
      </c>
      <c r="D7278" s="889">
        <v>46046</v>
      </c>
      <c r="E7278" s="888" t="s">
        <v>310</v>
      </c>
      <c r="F7278" s="888" t="s">
        <v>310</v>
      </c>
    </row>
    <row r="7279" spans="1:6">
      <c r="A7279" s="888">
        <v>371</v>
      </c>
      <c r="B7279" s="888" t="s">
        <v>1201</v>
      </c>
      <c r="C7279" s="888" t="s">
        <v>2310</v>
      </c>
      <c r="D7279" s="889">
        <v>46047</v>
      </c>
      <c r="E7279" s="888" t="s">
        <v>310</v>
      </c>
      <c r="F7279" s="888" t="s">
        <v>310</v>
      </c>
    </row>
    <row r="7280" spans="1:6">
      <c r="A7280" s="888">
        <v>371</v>
      </c>
      <c r="B7280" s="888" t="s">
        <v>1201</v>
      </c>
      <c r="C7280" s="888" t="s">
        <v>2310</v>
      </c>
      <c r="D7280" s="889">
        <v>46048</v>
      </c>
      <c r="E7280" s="888" t="s">
        <v>310</v>
      </c>
      <c r="F7280" s="888" t="s">
        <v>310</v>
      </c>
    </row>
    <row r="7281" spans="1:6">
      <c r="A7281" s="888">
        <v>371</v>
      </c>
      <c r="B7281" s="888" t="s">
        <v>1201</v>
      </c>
      <c r="C7281" s="888" t="s">
        <v>2310</v>
      </c>
      <c r="D7281" s="889">
        <v>46049</v>
      </c>
      <c r="E7281" s="888" t="s">
        <v>310</v>
      </c>
      <c r="F7281" s="888" t="s">
        <v>310</v>
      </c>
    </row>
    <row r="7282" spans="1:6">
      <c r="A7282" s="888">
        <v>371</v>
      </c>
      <c r="B7282" s="888" t="s">
        <v>1201</v>
      </c>
      <c r="C7282" s="888" t="s">
        <v>2310</v>
      </c>
      <c r="D7282" s="889">
        <v>46050</v>
      </c>
      <c r="E7282" s="888" t="s">
        <v>310</v>
      </c>
      <c r="F7282" s="888" t="s">
        <v>310</v>
      </c>
    </row>
    <row r="7283" spans="1:6">
      <c r="A7283" s="888">
        <v>371</v>
      </c>
      <c r="B7283" s="888" t="s">
        <v>1201</v>
      </c>
      <c r="C7283" s="888" t="s">
        <v>2310</v>
      </c>
      <c r="D7283" s="889">
        <v>46051</v>
      </c>
      <c r="E7283" s="888" t="s">
        <v>310</v>
      </c>
      <c r="F7283" s="888" t="s">
        <v>310</v>
      </c>
    </row>
    <row r="7284" spans="1:6">
      <c r="A7284" s="888">
        <v>371</v>
      </c>
      <c r="B7284" s="888" t="s">
        <v>1201</v>
      </c>
      <c r="C7284" s="888" t="s">
        <v>2310</v>
      </c>
      <c r="D7284" s="889">
        <v>46052</v>
      </c>
      <c r="E7284" s="888" t="s">
        <v>310</v>
      </c>
      <c r="F7284" s="888" t="s">
        <v>310</v>
      </c>
    </row>
    <row r="7285" spans="1:6">
      <c r="A7285" s="888">
        <v>371</v>
      </c>
      <c r="B7285" s="888" t="s">
        <v>1201</v>
      </c>
      <c r="C7285" s="888" t="s">
        <v>2310</v>
      </c>
      <c r="D7285" s="889">
        <v>46053</v>
      </c>
      <c r="E7285" s="888" t="s">
        <v>310</v>
      </c>
      <c r="F7285" s="888" t="s">
        <v>310</v>
      </c>
    </row>
    <row r="7286" spans="1:6">
      <c r="A7286" s="888">
        <v>371</v>
      </c>
      <c r="B7286" s="888" t="s">
        <v>1201</v>
      </c>
      <c r="C7286" s="888" t="s">
        <v>2310</v>
      </c>
      <c r="D7286" s="889">
        <v>46054</v>
      </c>
      <c r="E7286" s="888" t="s">
        <v>310</v>
      </c>
      <c r="F7286" s="888" t="s">
        <v>310</v>
      </c>
    </row>
    <row r="7287" spans="1:6">
      <c r="A7287" s="888">
        <v>372</v>
      </c>
      <c r="B7287" s="888" t="s">
        <v>1202</v>
      </c>
      <c r="C7287" s="888" t="s">
        <v>2310</v>
      </c>
      <c r="D7287" s="889">
        <v>46023</v>
      </c>
      <c r="E7287" s="888" t="s">
        <v>310</v>
      </c>
      <c r="F7287" s="888" t="s">
        <v>310</v>
      </c>
    </row>
    <row r="7288" spans="1:6">
      <c r="A7288" s="888">
        <v>372</v>
      </c>
      <c r="B7288" s="888" t="s">
        <v>1202</v>
      </c>
      <c r="C7288" s="888" t="s">
        <v>2310</v>
      </c>
      <c r="D7288" s="889">
        <v>46024</v>
      </c>
      <c r="E7288" s="888" t="s">
        <v>310</v>
      </c>
      <c r="F7288" s="888" t="s">
        <v>310</v>
      </c>
    </row>
    <row r="7289" spans="1:6">
      <c r="A7289" s="888">
        <v>372</v>
      </c>
      <c r="B7289" s="888" t="s">
        <v>1202</v>
      </c>
      <c r="C7289" s="888" t="s">
        <v>2310</v>
      </c>
      <c r="D7289" s="889">
        <v>46025</v>
      </c>
      <c r="E7289" s="888" t="s">
        <v>310</v>
      </c>
      <c r="F7289" s="888" t="s">
        <v>310</v>
      </c>
    </row>
    <row r="7290" spans="1:6">
      <c r="A7290" s="888">
        <v>372</v>
      </c>
      <c r="B7290" s="888" t="s">
        <v>1202</v>
      </c>
      <c r="C7290" s="888" t="s">
        <v>2310</v>
      </c>
      <c r="D7290" s="889">
        <v>46026</v>
      </c>
      <c r="E7290" s="888" t="s">
        <v>310</v>
      </c>
      <c r="F7290" s="888" t="s">
        <v>310</v>
      </c>
    </row>
    <row r="7291" spans="1:6">
      <c r="A7291" s="888">
        <v>372</v>
      </c>
      <c r="B7291" s="888" t="s">
        <v>1202</v>
      </c>
      <c r="C7291" s="888" t="s">
        <v>2310</v>
      </c>
      <c r="D7291" s="889">
        <v>46027</v>
      </c>
      <c r="E7291" s="888" t="s">
        <v>310</v>
      </c>
      <c r="F7291" s="888" t="s">
        <v>310</v>
      </c>
    </row>
    <row r="7292" spans="1:6">
      <c r="A7292" s="888">
        <v>372</v>
      </c>
      <c r="B7292" s="888" t="s">
        <v>1202</v>
      </c>
      <c r="C7292" s="888" t="s">
        <v>2310</v>
      </c>
      <c r="D7292" s="889">
        <v>46028</v>
      </c>
      <c r="E7292" s="888" t="s">
        <v>310</v>
      </c>
      <c r="F7292" s="888" t="s">
        <v>310</v>
      </c>
    </row>
    <row r="7293" spans="1:6">
      <c r="A7293" s="888">
        <v>372</v>
      </c>
      <c r="B7293" s="888" t="s">
        <v>1202</v>
      </c>
      <c r="C7293" s="888" t="s">
        <v>2310</v>
      </c>
      <c r="D7293" s="889">
        <v>46029</v>
      </c>
      <c r="E7293" s="888" t="s">
        <v>310</v>
      </c>
      <c r="F7293" s="888" t="s">
        <v>310</v>
      </c>
    </row>
    <row r="7294" spans="1:6">
      <c r="A7294" s="888">
        <v>372</v>
      </c>
      <c r="B7294" s="888" t="s">
        <v>1202</v>
      </c>
      <c r="C7294" s="888" t="s">
        <v>2310</v>
      </c>
      <c r="D7294" s="889">
        <v>46030</v>
      </c>
      <c r="E7294" s="888" t="s">
        <v>310</v>
      </c>
      <c r="F7294" s="888" t="s">
        <v>310</v>
      </c>
    </row>
    <row r="7295" spans="1:6">
      <c r="A7295" s="888">
        <v>372</v>
      </c>
      <c r="B7295" s="888" t="s">
        <v>1202</v>
      </c>
      <c r="C7295" s="888" t="s">
        <v>2310</v>
      </c>
      <c r="D7295" s="889">
        <v>46031</v>
      </c>
      <c r="E7295" s="888" t="s">
        <v>310</v>
      </c>
      <c r="F7295" s="888" t="s">
        <v>310</v>
      </c>
    </row>
    <row r="7296" spans="1:6">
      <c r="A7296" s="888">
        <v>372</v>
      </c>
      <c r="B7296" s="888" t="s">
        <v>1202</v>
      </c>
      <c r="C7296" s="888" t="s">
        <v>2310</v>
      </c>
      <c r="D7296" s="889">
        <v>46032</v>
      </c>
      <c r="E7296" s="888" t="s">
        <v>310</v>
      </c>
      <c r="F7296" s="888" t="s">
        <v>310</v>
      </c>
    </row>
    <row r="7297" spans="1:6">
      <c r="A7297" s="888">
        <v>372</v>
      </c>
      <c r="B7297" s="888" t="s">
        <v>1202</v>
      </c>
      <c r="C7297" s="888" t="s">
        <v>2310</v>
      </c>
      <c r="D7297" s="889">
        <v>46033</v>
      </c>
      <c r="E7297" s="890">
        <v>0.4992476851851852</v>
      </c>
      <c r="F7297" s="890">
        <v>0.49934027777777779</v>
      </c>
    </row>
    <row r="7298" spans="1:6">
      <c r="A7298" s="888" t="s">
        <v>5465</v>
      </c>
      <c r="B7298" s="888" t="s">
        <v>5466</v>
      </c>
      <c r="C7298" s="888" t="s">
        <v>1259</v>
      </c>
    </row>
    <row r="7299" spans="1:6">
      <c r="A7299" s="888">
        <v>372</v>
      </c>
      <c r="B7299" s="888" t="s">
        <v>1202</v>
      </c>
      <c r="C7299" s="888" t="s">
        <v>2310</v>
      </c>
      <c r="D7299" s="889">
        <v>46034</v>
      </c>
      <c r="E7299" s="890">
        <v>0.95438657407407412</v>
      </c>
      <c r="F7299" s="888" t="s">
        <v>310</v>
      </c>
    </row>
    <row r="7300" spans="1:6">
      <c r="A7300" s="888" t="s">
        <v>5467</v>
      </c>
      <c r="B7300" s="888" t="s">
        <v>1258</v>
      </c>
      <c r="C7300" s="888" t="s">
        <v>1259</v>
      </c>
    </row>
    <row r="7301" spans="1:6">
      <c r="A7301" s="888">
        <v>372</v>
      </c>
      <c r="B7301" s="888" t="s">
        <v>1202</v>
      </c>
      <c r="C7301" s="888" t="s">
        <v>2310</v>
      </c>
      <c r="D7301" s="889">
        <v>46035</v>
      </c>
      <c r="E7301" s="888" t="s">
        <v>310</v>
      </c>
      <c r="F7301" s="888" t="s">
        <v>310</v>
      </c>
    </row>
    <row r="7302" spans="1:6">
      <c r="A7302" s="888">
        <v>372</v>
      </c>
      <c r="B7302" s="888" t="s">
        <v>1202</v>
      </c>
      <c r="C7302" s="888" t="s">
        <v>2310</v>
      </c>
      <c r="D7302" s="889">
        <v>46036</v>
      </c>
      <c r="E7302" s="888" t="s">
        <v>310</v>
      </c>
      <c r="F7302" s="888" t="s">
        <v>310</v>
      </c>
    </row>
    <row r="7303" spans="1:6">
      <c r="A7303" s="888">
        <v>372</v>
      </c>
      <c r="B7303" s="888" t="s">
        <v>1202</v>
      </c>
      <c r="C7303" s="888" t="s">
        <v>2310</v>
      </c>
      <c r="D7303" s="889">
        <v>46037</v>
      </c>
      <c r="E7303" s="888" t="s">
        <v>310</v>
      </c>
      <c r="F7303" s="888" t="s">
        <v>310</v>
      </c>
    </row>
    <row r="7304" spans="1:6">
      <c r="A7304" s="888">
        <v>372</v>
      </c>
      <c r="B7304" s="888" t="s">
        <v>1202</v>
      </c>
      <c r="C7304" s="888" t="s">
        <v>2310</v>
      </c>
      <c r="D7304" s="889">
        <v>46038</v>
      </c>
      <c r="E7304" s="888" t="s">
        <v>310</v>
      </c>
      <c r="F7304" s="888" t="s">
        <v>310</v>
      </c>
    </row>
    <row r="7305" spans="1:6">
      <c r="A7305" s="888">
        <v>372</v>
      </c>
      <c r="B7305" s="888" t="s">
        <v>1202</v>
      </c>
      <c r="C7305" s="888" t="s">
        <v>2310</v>
      </c>
      <c r="D7305" s="889">
        <v>46039</v>
      </c>
      <c r="E7305" s="890">
        <v>0.95953703703703708</v>
      </c>
      <c r="F7305" s="890">
        <v>0.95964120370370365</v>
      </c>
    </row>
    <row r="7306" spans="1:6">
      <c r="A7306" s="888" t="s">
        <v>5468</v>
      </c>
      <c r="B7306" s="888" t="s">
        <v>5469</v>
      </c>
      <c r="C7306" s="888" t="s">
        <v>1259</v>
      </c>
    </row>
    <row r="7307" spans="1:6">
      <c r="A7307" s="888">
        <v>372</v>
      </c>
      <c r="B7307" s="888" t="s">
        <v>1202</v>
      </c>
      <c r="C7307" s="888" t="s">
        <v>2310</v>
      </c>
      <c r="D7307" s="889">
        <v>46040</v>
      </c>
      <c r="E7307" s="888" t="s">
        <v>310</v>
      </c>
      <c r="F7307" s="888" t="s">
        <v>310</v>
      </c>
    </row>
    <row r="7308" spans="1:6">
      <c r="A7308" s="888">
        <v>372</v>
      </c>
      <c r="B7308" s="888" t="s">
        <v>1202</v>
      </c>
      <c r="C7308" s="888" t="s">
        <v>2310</v>
      </c>
      <c r="D7308" s="889">
        <v>46041</v>
      </c>
      <c r="E7308" s="888" t="s">
        <v>310</v>
      </c>
      <c r="F7308" s="888" t="s">
        <v>310</v>
      </c>
    </row>
    <row r="7309" spans="1:6">
      <c r="A7309" s="888">
        <v>372</v>
      </c>
      <c r="B7309" s="888" t="s">
        <v>1202</v>
      </c>
      <c r="C7309" s="888" t="s">
        <v>2310</v>
      </c>
      <c r="D7309" s="889">
        <v>46042</v>
      </c>
      <c r="E7309" s="888" t="s">
        <v>310</v>
      </c>
      <c r="F7309" s="888" t="s">
        <v>310</v>
      </c>
    </row>
    <row r="7310" spans="1:6">
      <c r="A7310" s="888">
        <v>372</v>
      </c>
      <c r="B7310" s="888" t="s">
        <v>1202</v>
      </c>
      <c r="C7310" s="888" t="s">
        <v>2310</v>
      </c>
      <c r="D7310" s="889">
        <v>46043</v>
      </c>
      <c r="E7310" s="888" t="s">
        <v>310</v>
      </c>
      <c r="F7310" s="888" t="s">
        <v>310</v>
      </c>
    </row>
    <row r="7311" spans="1:6">
      <c r="A7311" s="888">
        <v>372</v>
      </c>
      <c r="B7311" s="888" t="s">
        <v>1202</v>
      </c>
      <c r="C7311" s="888" t="s">
        <v>2310</v>
      </c>
      <c r="D7311" s="889">
        <v>46044</v>
      </c>
      <c r="E7311" s="888" t="s">
        <v>310</v>
      </c>
      <c r="F7311" s="888" t="s">
        <v>310</v>
      </c>
    </row>
    <row r="7312" spans="1:6">
      <c r="A7312" s="888">
        <v>372</v>
      </c>
      <c r="B7312" s="888" t="s">
        <v>1202</v>
      </c>
      <c r="C7312" s="888" t="s">
        <v>2310</v>
      </c>
      <c r="D7312" s="889">
        <v>46045</v>
      </c>
      <c r="E7312" s="888" t="s">
        <v>310</v>
      </c>
      <c r="F7312" s="888" t="s">
        <v>310</v>
      </c>
    </row>
    <row r="7313" spans="1:6">
      <c r="A7313" s="888">
        <v>372</v>
      </c>
      <c r="B7313" s="888" t="s">
        <v>1202</v>
      </c>
      <c r="C7313" s="888" t="s">
        <v>2310</v>
      </c>
      <c r="D7313" s="889">
        <v>46046</v>
      </c>
      <c r="E7313" s="888" t="s">
        <v>310</v>
      </c>
      <c r="F7313" s="888" t="s">
        <v>310</v>
      </c>
    </row>
    <row r="7314" spans="1:6">
      <c r="A7314" s="888">
        <v>372</v>
      </c>
      <c r="B7314" s="888" t="s">
        <v>1202</v>
      </c>
      <c r="C7314" s="888" t="s">
        <v>2310</v>
      </c>
      <c r="D7314" s="889">
        <v>46047</v>
      </c>
      <c r="E7314" s="888" t="s">
        <v>310</v>
      </c>
      <c r="F7314" s="888" t="s">
        <v>310</v>
      </c>
    </row>
    <row r="7315" spans="1:6">
      <c r="A7315" s="888">
        <v>372</v>
      </c>
      <c r="B7315" s="888" t="s">
        <v>1202</v>
      </c>
      <c r="C7315" s="888" t="s">
        <v>2310</v>
      </c>
      <c r="D7315" s="889">
        <v>46048</v>
      </c>
      <c r="E7315" s="888" t="s">
        <v>310</v>
      </c>
      <c r="F7315" s="888" t="s">
        <v>310</v>
      </c>
    </row>
    <row r="7316" spans="1:6">
      <c r="A7316" s="888">
        <v>372</v>
      </c>
      <c r="B7316" s="888" t="s">
        <v>1202</v>
      </c>
      <c r="C7316" s="888" t="s">
        <v>2310</v>
      </c>
      <c r="D7316" s="889">
        <v>46049</v>
      </c>
      <c r="E7316" s="888" t="s">
        <v>310</v>
      </c>
      <c r="F7316" s="888" t="s">
        <v>310</v>
      </c>
    </row>
    <row r="7317" spans="1:6">
      <c r="A7317" s="888">
        <v>372</v>
      </c>
      <c r="B7317" s="888" t="s">
        <v>1202</v>
      </c>
      <c r="C7317" s="888" t="s">
        <v>2310</v>
      </c>
      <c r="D7317" s="889">
        <v>46050</v>
      </c>
      <c r="E7317" s="890">
        <v>0.82961805555555557</v>
      </c>
      <c r="F7317" s="888" t="s">
        <v>310</v>
      </c>
    </row>
    <row r="7318" spans="1:6">
      <c r="A7318" s="888" t="s">
        <v>5470</v>
      </c>
      <c r="B7318" s="888" t="s">
        <v>1258</v>
      </c>
      <c r="C7318" s="888" t="s">
        <v>1259</v>
      </c>
    </row>
    <row r="7319" spans="1:6">
      <c r="A7319" s="888">
        <v>372</v>
      </c>
      <c r="B7319" s="888" t="s">
        <v>1202</v>
      </c>
      <c r="C7319" s="888" t="s">
        <v>2310</v>
      </c>
      <c r="D7319" s="889">
        <v>46051</v>
      </c>
      <c r="E7319" s="888" t="s">
        <v>310</v>
      </c>
      <c r="F7319" s="888" t="s">
        <v>310</v>
      </c>
    </row>
    <row r="7320" spans="1:6">
      <c r="A7320" s="888">
        <v>372</v>
      </c>
      <c r="B7320" s="888" t="s">
        <v>1202</v>
      </c>
      <c r="C7320" s="888" t="s">
        <v>2310</v>
      </c>
      <c r="D7320" s="889">
        <v>46052</v>
      </c>
      <c r="E7320" s="890">
        <v>0.46221064814814816</v>
      </c>
      <c r="F7320" s="890">
        <v>0.46225694444444443</v>
      </c>
    </row>
    <row r="7321" spans="1:6">
      <c r="A7321" s="888" t="s">
        <v>5471</v>
      </c>
      <c r="B7321" s="888" t="s">
        <v>5472</v>
      </c>
      <c r="C7321" s="888" t="s">
        <v>1259</v>
      </c>
    </row>
    <row r="7322" spans="1:6">
      <c r="A7322" s="888">
        <v>372</v>
      </c>
      <c r="B7322" s="888" t="s">
        <v>1202</v>
      </c>
      <c r="C7322" s="888" t="s">
        <v>2310</v>
      </c>
      <c r="D7322" s="889">
        <v>46053</v>
      </c>
      <c r="E7322" s="888" t="s">
        <v>310</v>
      </c>
      <c r="F7322" s="888" t="s">
        <v>310</v>
      </c>
    </row>
    <row r="7323" spans="1:6">
      <c r="A7323" s="888">
        <v>372</v>
      </c>
      <c r="B7323" s="888" t="s">
        <v>1202</v>
      </c>
      <c r="C7323" s="888" t="s">
        <v>2310</v>
      </c>
      <c r="D7323" s="889">
        <v>46054</v>
      </c>
      <c r="E7323" s="888" t="s">
        <v>310</v>
      </c>
      <c r="F7323" s="888" t="s">
        <v>310</v>
      </c>
    </row>
    <row r="7324" spans="1:6">
      <c r="A7324" s="888">
        <v>373</v>
      </c>
      <c r="B7324" s="888" t="s">
        <v>1203</v>
      </c>
      <c r="C7324" s="888" t="s">
        <v>2310</v>
      </c>
      <c r="D7324" s="889">
        <v>46023</v>
      </c>
      <c r="E7324" s="888" t="s">
        <v>310</v>
      </c>
      <c r="F7324" s="888" t="s">
        <v>310</v>
      </c>
    </row>
    <row r="7325" spans="1:6">
      <c r="A7325" s="888">
        <v>373</v>
      </c>
      <c r="B7325" s="888" t="s">
        <v>1203</v>
      </c>
      <c r="C7325" s="888" t="s">
        <v>2310</v>
      </c>
      <c r="D7325" s="889">
        <v>46024</v>
      </c>
      <c r="E7325" s="888" t="s">
        <v>310</v>
      </c>
      <c r="F7325" s="888" t="s">
        <v>310</v>
      </c>
    </row>
    <row r="7326" spans="1:6">
      <c r="A7326" s="888">
        <v>373</v>
      </c>
      <c r="B7326" s="888" t="s">
        <v>1203</v>
      </c>
      <c r="C7326" s="888" t="s">
        <v>2310</v>
      </c>
      <c r="D7326" s="889">
        <v>46025</v>
      </c>
      <c r="E7326" s="888" t="s">
        <v>310</v>
      </c>
      <c r="F7326" s="888" t="s">
        <v>310</v>
      </c>
    </row>
    <row r="7327" spans="1:6">
      <c r="A7327" s="888">
        <v>373</v>
      </c>
      <c r="B7327" s="888" t="s">
        <v>1203</v>
      </c>
      <c r="C7327" s="888" t="s">
        <v>2310</v>
      </c>
      <c r="D7327" s="889">
        <v>46026</v>
      </c>
      <c r="E7327" s="888" t="s">
        <v>310</v>
      </c>
      <c r="F7327" s="888" t="s">
        <v>310</v>
      </c>
    </row>
    <row r="7328" spans="1:6">
      <c r="A7328" s="888">
        <v>373</v>
      </c>
      <c r="B7328" s="888" t="s">
        <v>1203</v>
      </c>
      <c r="C7328" s="888" t="s">
        <v>2310</v>
      </c>
      <c r="D7328" s="889">
        <v>46027</v>
      </c>
      <c r="E7328" s="888" t="s">
        <v>310</v>
      </c>
      <c r="F7328" s="888" t="s">
        <v>310</v>
      </c>
    </row>
    <row r="7329" spans="1:6">
      <c r="A7329" s="888">
        <v>373</v>
      </c>
      <c r="B7329" s="888" t="s">
        <v>1203</v>
      </c>
      <c r="C7329" s="888" t="s">
        <v>2310</v>
      </c>
      <c r="D7329" s="889">
        <v>46028</v>
      </c>
      <c r="E7329" s="888" t="s">
        <v>310</v>
      </c>
      <c r="F7329" s="888" t="s">
        <v>310</v>
      </c>
    </row>
    <row r="7330" spans="1:6">
      <c r="A7330" s="888">
        <v>373</v>
      </c>
      <c r="B7330" s="888" t="s">
        <v>1203</v>
      </c>
      <c r="C7330" s="888" t="s">
        <v>2310</v>
      </c>
      <c r="D7330" s="889">
        <v>46029</v>
      </c>
      <c r="E7330" s="888" t="s">
        <v>310</v>
      </c>
      <c r="F7330" s="888" t="s">
        <v>310</v>
      </c>
    </row>
    <row r="7331" spans="1:6">
      <c r="A7331" s="888">
        <v>373</v>
      </c>
      <c r="B7331" s="888" t="s">
        <v>1203</v>
      </c>
      <c r="C7331" s="888" t="s">
        <v>2310</v>
      </c>
      <c r="D7331" s="889">
        <v>46030</v>
      </c>
      <c r="E7331" s="888" t="s">
        <v>310</v>
      </c>
      <c r="F7331" s="888" t="s">
        <v>310</v>
      </c>
    </row>
    <row r="7332" spans="1:6">
      <c r="A7332" s="888">
        <v>373</v>
      </c>
      <c r="B7332" s="888" t="s">
        <v>1203</v>
      </c>
      <c r="C7332" s="888" t="s">
        <v>2310</v>
      </c>
      <c r="D7332" s="889">
        <v>46031</v>
      </c>
      <c r="E7332" s="888" t="s">
        <v>310</v>
      </c>
      <c r="F7332" s="888" t="s">
        <v>310</v>
      </c>
    </row>
    <row r="7333" spans="1:6">
      <c r="A7333" s="888">
        <v>373</v>
      </c>
      <c r="B7333" s="888" t="s">
        <v>1203</v>
      </c>
      <c r="C7333" s="888" t="s">
        <v>2310</v>
      </c>
      <c r="D7333" s="889">
        <v>46032</v>
      </c>
      <c r="E7333" s="888" t="s">
        <v>310</v>
      </c>
      <c r="F7333" s="888" t="s">
        <v>310</v>
      </c>
    </row>
    <row r="7334" spans="1:6">
      <c r="A7334" s="888">
        <v>373</v>
      </c>
      <c r="B7334" s="888" t="s">
        <v>1203</v>
      </c>
      <c r="C7334" s="888" t="s">
        <v>2310</v>
      </c>
      <c r="D7334" s="889">
        <v>46033</v>
      </c>
      <c r="E7334" s="888" t="s">
        <v>310</v>
      </c>
      <c r="F7334" s="888" t="s">
        <v>310</v>
      </c>
    </row>
    <row r="7335" spans="1:6">
      <c r="A7335" s="888">
        <v>373</v>
      </c>
      <c r="B7335" s="888" t="s">
        <v>1203</v>
      </c>
      <c r="C7335" s="888" t="s">
        <v>2310</v>
      </c>
      <c r="D7335" s="889">
        <v>46034</v>
      </c>
      <c r="E7335" s="890">
        <v>0.43100694444444443</v>
      </c>
      <c r="F7335" s="890">
        <v>0.43109953703703702</v>
      </c>
    </row>
    <row r="7336" spans="1:6">
      <c r="A7336" s="888" t="s">
        <v>5473</v>
      </c>
      <c r="B7336" s="888" t="s">
        <v>5474</v>
      </c>
      <c r="C7336" s="888" t="s">
        <v>1259</v>
      </c>
    </row>
    <row r="7337" spans="1:6">
      <c r="A7337" s="888">
        <v>373</v>
      </c>
      <c r="B7337" s="888" t="s">
        <v>1203</v>
      </c>
      <c r="C7337" s="888" t="s">
        <v>2310</v>
      </c>
      <c r="D7337" s="889">
        <v>46035</v>
      </c>
      <c r="E7337" s="890">
        <v>0.42969907407407409</v>
      </c>
      <c r="F7337" s="890">
        <v>0.43042824074074076</v>
      </c>
    </row>
    <row r="7338" spans="1:6">
      <c r="A7338" s="888" t="s">
        <v>5475</v>
      </c>
      <c r="B7338" s="888" t="s">
        <v>5476</v>
      </c>
      <c r="C7338" s="888" t="s">
        <v>1570</v>
      </c>
    </row>
    <row r="7339" spans="1:6">
      <c r="A7339" s="888">
        <v>373</v>
      </c>
      <c r="B7339" s="888" t="s">
        <v>1203</v>
      </c>
      <c r="C7339" s="888" t="s">
        <v>2310</v>
      </c>
      <c r="D7339" s="889">
        <v>46036</v>
      </c>
      <c r="E7339" s="888" t="s">
        <v>310</v>
      </c>
      <c r="F7339" s="888" t="s">
        <v>310</v>
      </c>
    </row>
    <row r="7340" spans="1:6">
      <c r="A7340" s="888">
        <v>373</v>
      </c>
      <c r="B7340" s="888" t="s">
        <v>1203</v>
      </c>
      <c r="C7340" s="888" t="s">
        <v>2310</v>
      </c>
      <c r="D7340" s="889">
        <v>46037</v>
      </c>
      <c r="E7340" s="890">
        <v>0.68069444444444449</v>
      </c>
      <c r="F7340" s="890">
        <v>0.98484953703703704</v>
      </c>
    </row>
    <row r="7341" spans="1:6">
      <c r="A7341" s="888" t="s">
        <v>5477</v>
      </c>
      <c r="B7341" s="888" t="s">
        <v>5478</v>
      </c>
      <c r="C7341" s="888" t="s">
        <v>2741</v>
      </c>
    </row>
    <row r="7342" spans="1:6">
      <c r="A7342" s="888">
        <v>373</v>
      </c>
      <c r="B7342" s="888" t="s">
        <v>1203</v>
      </c>
      <c r="C7342" s="888" t="s">
        <v>2310</v>
      </c>
      <c r="D7342" s="889">
        <v>46038</v>
      </c>
      <c r="E7342" s="890">
        <v>0.13021990740740741</v>
      </c>
      <c r="F7342" s="888" t="s">
        <v>310</v>
      </c>
    </row>
    <row r="7343" spans="1:6">
      <c r="A7343" s="888" t="s">
        <v>5479</v>
      </c>
      <c r="B7343" s="888" t="s">
        <v>1258</v>
      </c>
      <c r="C7343" s="888" t="s">
        <v>1259</v>
      </c>
    </row>
    <row r="7344" spans="1:6">
      <c r="A7344" s="888">
        <v>373</v>
      </c>
      <c r="B7344" s="888" t="s">
        <v>1203</v>
      </c>
      <c r="C7344" s="888" t="s">
        <v>2310</v>
      </c>
      <c r="D7344" s="889">
        <v>46039</v>
      </c>
      <c r="E7344" s="888" t="s">
        <v>310</v>
      </c>
      <c r="F7344" s="888" t="s">
        <v>310</v>
      </c>
    </row>
    <row r="7345" spans="1:6">
      <c r="A7345" s="888">
        <v>373</v>
      </c>
      <c r="B7345" s="888" t="s">
        <v>1203</v>
      </c>
      <c r="C7345" s="888" t="s">
        <v>2310</v>
      </c>
      <c r="D7345" s="889">
        <v>46040</v>
      </c>
      <c r="E7345" s="890">
        <v>0.74495370370370373</v>
      </c>
      <c r="F7345" s="888" t="s">
        <v>310</v>
      </c>
    </row>
    <row r="7346" spans="1:6">
      <c r="A7346" s="888" t="s">
        <v>5480</v>
      </c>
      <c r="B7346" s="888" t="s">
        <v>1258</v>
      </c>
      <c r="C7346" s="888" t="s">
        <v>1259</v>
      </c>
    </row>
    <row r="7347" spans="1:6">
      <c r="A7347" s="888">
        <v>373</v>
      </c>
      <c r="B7347" s="888" t="s">
        <v>1203</v>
      </c>
      <c r="C7347" s="888" t="s">
        <v>2310</v>
      </c>
      <c r="D7347" s="889">
        <v>46041</v>
      </c>
      <c r="E7347" s="890">
        <v>0.42930555555555555</v>
      </c>
      <c r="F7347" s="888" t="s">
        <v>310</v>
      </c>
    </row>
    <row r="7348" spans="1:6">
      <c r="A7348" s="888" t="s">
        <v>5481</v>
      </c>
      <c r="B7348" s="888" t="s">
        <v>1258</v>
      </c>
      <c r="C7348" s="888" t="s">
        <v>1259</v>
      </c>
    </row>
    <row r="7349" spans="1:6">
      <c r="A7349" s="888">
        <v>373</v>
      </c>
      <c r="B7349" s="888" t="s">
        <v>1203</v>
      </c>
      <c r="C7349" s="888" t="s">
        <v>2310</v>
      </c>
      <c r="D7349" s="889">
        <v>46042</v>
      </c>
      <c r="E7349" s="890">
        <v>0.47240740740740739</v>
      </c>
      <c r="F7349" s="888" t="s">
        <v>310</v>
      </c>
    </row>
    <row r="7350" spans="1:6">
      <c r="A7350" s="888" t="s">
        <v>5482</v>
      </c>
      <c r="B7350" s="888" t="s">
        <v>1258</v>
      </c>
      <c r="C7350" s="888" t="s">
        <v>1259</v>
      </c>
    </row>
    <row r="7351" spans="1:6">
      <c r="A7351" s="888">
        <v>373</v>
      </c>
      <c r="B7351" s="888" t="s">
        <v>1203</v>
      </c>
      <c r="C7351" s="888" t="s">
        <v>2310</v>
      </c>
      <c r="D7351" s="889">
        <v>46043</v>
      </c>
      <c r="E7351" s="888" t="s">
        <v>310</v>
      </c>
      <c r="F7351" s="888" t="s">
        <v>310</v>
      </c>
    </row>
    <row r="7352" spans="1:6">
      <c r="A7352" s="888">
        <v>373</v>
      </c>
      <c r="B7352" s="888" t="s">
        <v>1203</v>
      </c>
      <c r="C7352" s="888" t="s">
        <v>2310</v>
      </c>
      <c r="D7352" s="889">
        <v>46044</v>
      </c>
      <c r="E7352" s="888" t="s">
        <v>310</v>
      </c>
      <c r="F7352" s="888" t="s">
        <v>310</v>
      </c>
    </row>
    <row r="7353" spans="1:6">
      <c r="A7353" s="888">
        <v>373</v>
      </c>
      <c r="B7353" s="888" t="s">
        <v>1203</v>
      </c>
      <c r="C7353" s="888" t="s">
        <v>2310</v>
      </c>
      <c r="D7353" s="889">
        <v>46045</v>
      </c>
      <c r="E7353" s="888" t="s">
        <v>310</v>
      </c>
      <c r="F7353" s="888" t="s">
        <v>310</v>
      </c>
    </row>
    <row r="7354" spans="1:6">
      <c r="A7354" s="888">
        <v>373</v>
      </c>
      <c r="B7354" s="888" t="s">
        <v>1203</v>
      </c>
      <c r="C7354" s="888" t="s">
        <v>2310</v>
      </c>
      <c r="D7354" s="889">
        <v>46046</v>
      </c>
      <c r="E7354" s="888" t="s">
        <v>310</v>
      </c>
      <c r="F7354" s="888" t="s">
        <v>310</v>
      </c>
    </row>
    <row r="7355" spans="1:6">
      <c r="A7355" s="888">
        <v>373</v>
      </c>
      <c r="B7355" s="888" t="s">
        <v>1203</v>
      </c>
      <c r="C7355" s="888" t="s">
        <v>2310</v>
      </c>
      <c r="D7355" s="889">
        <v>46047</v>
      </c>
      <c r="E7355" s="888" t="s">
        <v>310</v>
      </c>
      <c r="F7355" s="888" t="s">
        <v>310</v>
      </c>
    </row>
    <row r="7356" spans="1:6">
      <c r="A7356" s="888">
        <v>373</v>
      </c>
      <c r="B7356" s="888" t="s">
        <v>1203</v>
      </c>
      <c r="C7356" s="888" t="s">
        <v>2310</v>
      </c>
      <c r="D7356" s="889">
        <v>46048</v>
      </c>
      <c r="E7356" s="888" t="s">
        <v>310</v>
      </c>
      <c r="F7356" s="888" t="s">
        <v>310</v>
      </c>
    </row>
    <row r="7357" spans="1:6">
      <c r="A7357" s="888">
        <v>373</v>
      </c>
      <c r="B7357" s="888" t="s">
        <v>1203</v>
      </c>
      <c r="C7357" s="888" t="s">
        <v>2310</v>
      </c>
      <c r="D7357" s="889">
        <v>46049</v>
      </c>
      <c r="E7357" s="890">
        <v>0.33124999999999999</v>
      </c>
      <c r="F7357" s="890">
        <v>0.33156249999999998</v>
      </c>
    </row>
    <row r="7358" spans="1:6">
      <c r="A7358" s="888" t="s">
        <v>5483</v>
      </c>
      <c r="B7358" s="888" t="s">
        <v>5484</v>
      </c>
      <c r="C7358" s="888" t="s">
        <v>1259</v>
      </c>
    </row>
    <row r="7359" spans="1:6">
      <c r="A7359" s="888">
        <v>373</v>
      </c>
      <c r="B7359" s="888" t="s">
        <v>1203</v>
      </c>
      <c r="C7359" s="888" t="s">
        <v>2310</v>
      </c>
      <c r="D7359" s="889">
        <v>46050</v>
      </c>
      <c r="E7359" s="888" t="s">
        <v>310</v>
      </c>
      <c r="F7359" s="888" t="s">
        <v>310</v>
      </c>
    </row>
    <row r="7360" spans="1:6">
      <c r="A7360" s="888">
        <v>373</v>
      </c>
      <c r="B7360" s="888" t="s">
        <v>1203</v>
      </c>
      <c r="C7360" s="888" t="s">
        <v>2310</v>
      </c>
      <c r="D7360" s="889">
        <v>46051</v>
      </c>
      <c r="E7360" s="888" t="s">
        <v>310</v>
      </c>
      <c r="F7360" s="888" t="s">
        <v>310</v>
      </c>
    </row>
    <row r="7361" spans="1:6">
      <c r="A7361" s="888">
        <v>373</v>
      </c>
      <c r="B7361" s="888" t="s">
        <v>1203</v>
      </c>
      <c r="C7361" s="888" t="s">
        <v>2310</v>
      </c>
      <c r="D7361" s="889">
        <v>46052</v>
      </c>
      <c r="E7361" s="888" t="s">
        <v>310</v>
      </c>
      <c r="F7361" s="888" t="s">
        <v>310</v>
      </c>
    </row>
    <row r="7362" spans="1:6">
      <c r="A7362" s="888">
        <v>373</v>
      </c>
      <c r="B7362" s="888" t="s">
        <v>1203</v>
      </c>
      <c r="C7362" s="888" t="s">
        <v>2310</v>
      </c>
      <c r="D7362" s="889">
        <v>46053</v>
      </c>
      <c r="E7362" s="888" t="s">
        <v>310</v>
      </c>
      <c r="F7362" s="888" t="s">
        <v>310</v>
      </c>
    </row>
    <row r="7363" spans="1:6">
      <c r="A7363" s="888">
        <v>373</v>
      </c>
      <c r="B7363" s="888" t="s">
        <v>1203</v>
      </c>
      <c r="C7363" s="888" t="s">
        <v>2310</v>
      </c>
      <c r="D7363" s="889">
        <v>46054</v>
      </c>
      <c r="E7363" s="890">
        <v>0.87041666666666662</v>
      </c>
      <c r="F7363" s="888" t="s">
        <v>310</v>
      </c>
    </row>
    <row r="7364" spans="1:6">
      <c r="A7364" s="888" t="s">
        <v>5485</v>
      </c>
      <c r="B7364" s="888" t="s">
        <v>1258</v>
      </c>
      <c r="C7364" s="888" t="s">
        <v>1259</v>
      </c>
    </row>
    <row r="7365" spans="1:6">
      <c r="A7365" s="888">
        <v>374</v>
      </c>
      <c r="B7365" s="888" t="s">
        <v>5486</v>
      </c>
      <c r="C7365" s="888" t="s">
        <v>3429</v>
      </c>
      <c r="D7365" s="889">
        <v>46023</v>
      </c>
      <c r="E7365" s="888" t="s">
        <v>310</v>
      </c>
      <c r="F7365" s="888" t="s">
        <v>310</v>
      </c>
    </row>
    <row r="7366" spans="1:6">
      <c r="A7366" s="888">
        <v>374</v>
      </c>
      <c r="B7366" s="888" t="s">
        <v>5486</v>
      </c>
      <c r="C7366" s="888" t="s">
        <v>3429</v>
      </c>
      <c r="D7366" s="889">
        <v>46024</v>
      </c>
      <c r="E7366" s="888" t="s">
        <v>310</v>
      </c>
      <c r="F7366" s="888" t="s">
        <v>310</v>
      </c>
    </row>
    <row r="7367" spans="1:6">
      <c r="A7367" s="888">
        <v>374</v>
      </c>
      <c r="B7367" s="888" t="s">
        <v>5486</v>
      </c>
      <c r="C7367" s="888" t="s">
        <v>3429</v>
      </c>
      <c r="D7367" s="889">
        <v>46025</v>
      </c>
      <c r="E7367" s="888" t="s">
        <v>310</v>
      </c>
      <c r="F7367" s="888" t="s">
        <v>310</v>
      </c>
    </row>
    <row r="7368" spans="1:6">
      <c r="A7368" s="888">
        <v>374</v>
      </c>
      <c r="B7368" s="888" t="s">
        <v>5486</v>
      </c>
      <c r="C7368" s="888" t="s">
        <v>3429</v>
      </c>
      <c r="D7368" s="889">
        <v>46026</v>
      </c>
      <c r="E7368" s="888" t="s">
        <v>310</v>
      </c>
      <c r="F7368" s="888" t="s">
        <v>310</v>
      </c>
    </row>
    <row r="7369" spans="1:6">
      <c r="A7369" s="888">
        <v>374</v>
      </c>
      <c r="B7369" s="888" t="s">
        <v>5486</v>
      </c>
      <c r="C7369" s="888" t="s">
        <v>3429</v>
      </c>
      <c r="D7369" s="889">
        <v>46027</v>
      </c>
      <c r="E7369" s="888" t="s">
        <v>310</v>
      </c>
      <c r="F7369" s="888" t="s">
        <v>310</v>
      </c>
    </row>
    <row r="7370" spans="1:6">
      <c r="A7370" s="888">
        <v>374</v>
      </c>
      <c r="B7370" s="888" t="s">
        <v>5486</v>
      </c>
      <c r="C7370" s="888" t="s">
        <v>3429</v>
      </c>
      <c r="D7370" s="889">
        <v>46028</v>
      </c>
      <c r="E7370" s="888" t="s">
        <v>310</v>
      </c>
      <c r="F7370" s="888" t="s">
        <v>310</v>
      </c>
    </row>
    <row r="7371" spans="1:6">
      <c r="A7371" s="888">
        <v>374</v>
      </c>
      <c r="B7371" s="888" t="s">
        <v>5486</v>
      </c>
      <c r="C7371" s="888" t="s">
        <v>3429</v>
      </c>
      <c r="D7371" s="889">
        <v>46029</v>
      </c>
      <c r="E7371" s="888" t="s">
        <v>310</v>
      </c>
      <c r="F7371" s="888" t="s">
        <v>310</v>
      </c>
    </row>
    <row r="7372" spans="1:6">
      <c r="A7372" s="888">
        <v>374</v>
      </c>
      <c r="B7372" s="888" t="s">
        <v>5486</v>
      </c>
      <c r="C7372" s="888" t="s">
        <v>3429</v>
      </c>
      <c r="D7372" s="889">
        <v>46030</v>
      </c>
      <c r="E7372" s="888" t="s">
        <v>310</v>
      </c>
      <c r="F7372" s="888" t="s">
        <v>310</v>
      </c>
    </row>
    <row r="7373" spans="1:6">
      <c r="A7373" s="888">
        <v>374</v>
      </c>
      <c r="B7373" s="888" t="s">
        <v>5486</v>
      </c>
      <c r="C7373" s="888" t="s">
        <v>3429</v>
      </c>
      <c r="D7373" s="889">
        <v>46031</v>
      </c>
      <c r="E7373" s="888" t="s">
        <v>310</v>
      </c>
      <c r="F7373" s="888" t="s">
        <v>310</v>
      </c>
    </row>
    <row r="7374" spans="1:6">
      <c r="A7374" s="888">
        <v>374</v>
      </c>
      <c r="B7374" s="888" t="s">
        <v>5486</v>
      </c>
      <c r="C7374" s="888" t="s">
        <v>3429</v>
      </c>
      <c r="D7374" s="889">
        <v>46032</v>
      </c>
      <c r="E7374" s="888" t="s">
        <v>310</v>
      </c>
      <c r="F7374" s="888" t="s">
        <v>310</v>
      </c>
    </row>
    <row r="7375" spans="1:6">
      <c r="A7375" s="888">
        <v>374</v>
      </c>
      <c r="B7375" s="888" t="s">
        <v>5486</v>
      </c>
      <c r="C7375" s="888" t="s">
        <v>3429</v>
      </c>
      <c r="D7375" s="889">
        <v>46033</v>
      </c>
      <c r="E7375" s="888" t="s">
        <v>310</v>
      </c>
      <c r="F7375" s="888" t="s">
        <v>310</v>
      </c>
    </row>
    <row r="7376" spans="1:6">
      <c r="A7376" s="888">
        <v>374</v>
      </c>
      <c r="B7376" s="888" t="s">
        <v>5486</v>
      </c>
      <c r="C7376" s="888" t="s">
        <v>3429</v>
      </c>
      <c r="D7376" s="889">
        <v>46034</v>
      </c>
      <c r="E7376" s="888" t="s">
        <v>310</v>
      </c>
      <c r="F7376" s="888" t="s">
        <v>310</v>
      </c>
    </row>
    <row r="7377" spans="1:6">
      <c r="A7377" s="888">
        <v>374</v>
      </c>
      <c r="B7377" s="888" t="s">
        <v>5486</v>
      </c>
      <c r="C7377" s="888" t="s">
        <v>3429</v>
      </c>
      <c r="D7377" s="889">
        <v>46035</v>
      </c>
      <c r="E7377" s="888" t="s">
        <v>310</v>
      </c>
      <c r="F7377" s="888" t="s">
        <v>310</v>
      </c>
    </row>
    <row r="7378" spans="1:6">
      <c r="A7378" s="888">
        <v>374</v>
      </c>
      <c r="B7378" s="888" t="s">
        <v>5486</v>
      </c>
      <c r="C7378" s="888" t="s">
        <v>3429</v>
      </c>
      <c r="D7378" s="889">
        <v>46036</v>
      </c>
      <c r="E7378" s="888" t="s">
        <v>310</v>
      </c>
      <c r="F7378" s="888" t="s">
        <v>310</v>
      </c>
    </row>
    <row r="7379" spans="1:6">
      <c r="A7379" s="888">
        <v>374</v>
      </c>
      <c r="B7379" s="888" t="s">
        <v>5486</v>
      </c>
      <c r="C7379" s="888" t="s">
        <v>3429</v>
      </c>
      <c r="D7379" s="889">
        <v>46037</v>
      </c>
      <c r="E7379" s="888" t="s">
        <v>310</v>
      </c>
      <c r="F7379" s="888" t="s">
        <v>310</v>
      </c>
    </row>
    <row r="7380" spans="1:6">
      <c r="A7380" s="888">
        <v>374</v>
      </c>
      <c r="B7380" s="888" t="s">
        <v>5486</v>
      </c>
      <c r="C7380" s="888" t="s">
        <v>3429</v>
      </c>
      <c r="D7380" s="889">
        <v>46038</v>
      </c>
      <c r="E7380" s="888" t="s">
        <v>310</v>
      </c>
      <c r="F7380" s="888" t="s">
        <v>310</v>
      </c>
    </row>
    <row r="7381" spans="1:6">
      <c r="A7381" s="888">
        <v>374</v>
      </c>
      <c r="B7381" s="888" t="s">
        <v>5486</v>
      </c>
      <c r="C7381" s="888" t="s">
        <v>3429</v>
      </c>
      <c r="D7381" s="889">
        <v>46039</v>
      </c>
      <c r="E7381" s="888" t="s">
        <v>310</v>
      </c>
      <c r="F7381" s="888" t="s">
        <v>310</v>
      </c>
    </row>
    <row r="7382" spans="1:6">
      <c r="A7382" s="888">
        <v>374</v>
      </c>
      <c r="B7382" s="888" t="s">
        <v>5486</v>
      </c>
      <c r="C7382" s="888" t="s">
        <v>3429</v>
      </c>
      <c r="D7382" s="889">
        <v>46040</v>
      </c>
      <c r="E7382" s="888" t="s">
        <v>310</v>
      </c>
      <c r="F7382" s="888" t="s">
        <v>310</v>
      </c>
    </row>
    <row r="7383" spans="1:6">
      <c r="A7383" s="888">
        <v>374</v>
      </c>
      <c r="B7383" s="888" t="s">
        <v>5486</v>
      </c>
      <c r="C7383" s="888" t="s">
        <v>3429</v>
      </c>
      <c r="D7383" s="889">
        <v>46041</v>
      </c>
      <c r="E7383" s="888" t="s">
        <v>310</v>
      </c>
      <c r="F7383" s="888" t="s">
        <v>310</v>
      </c>
    </row>
    <row r="7384" spans="1:6">
      <c r="A7384" s="888">
        <v>374</v>
      </c>
      <c r="B7384" s="888" t="s">
        <v>5486</v>
      </c>
      <c r="C7384" s="888" t="s">
        <v>3429</v>
      </c>
      <c r="D7384" s="889">
        <v>46042</v>
      </c>
      <c r="E7384" s="888" t="s">
        <v>310</v>
      </c>
      <c r="F7384" s="888" t="s">
        <v>310</v>
      </c>
    </row>
    <row r="7385" spans="1:6">
      <c r="A7385" s="888">
        <v>374</v>
      </c>
      <c r="B7385" s="888" t="s">
        <v>5486</v>
      </c>
      <c r="C7385" s="888" t="s">
        <v>3429</v>
      </c>
      <c r="D7385" s="889">
        <v>46043</v>
      </c>
      <c r="E7385" s="888" t="s">
        <v>310</v>
      </c>
      <c r="F7385" s="888" t="s">
        <v>310</v>
      </c>
    </row>
    <row r="7386" spans="1:6">
      <c r="A7386" s="888">
        <v>374</v>
      </c>
      <c r="B7386" s="888" t="s">
        <v>5486</v>
      </c>
      <c r="C7386" s="888" t="s">
        <v>3429</v>
      </c>
      <c r="D7386" s="889">
        <v>46044</v>
      </c>
      <c r="E7386" s="888" t="s">
        <v>310</v>
      </c>
      <c r="F7386" s="888" t="s">
        <v>310</v>
      </c>
    </row>
    <row r="7387" spans="1:6">
      <c r="A7387" s="888">
        <v>374</v>
      </c>
      <c r="B7387" s="888" t="s">
        <v>5486</v>
      </c>
      <c r="C7387" s="888" t="s">
        <v>3429</v>
      </c>
      <c r="D7387" s="889">
        <v>46045</v>
      </c>
      <c r="E7387" s="888" t="s">
        <v>310</v>
      </c>
      <c r="F7387" s="888" t="s">
        <v>310</v>
      </c>
    </row>
    <row r="7388" spans="1:6">
      <c r="A7388" s="888">
        <v>374</v>
      </c>
      <c r="B7388" s="888" t="s">
        <v>5486</v>
      </c>
      <c r="C7388" s="888" t="s">
        <v>3429</v>
      </c>
      <c r="D7388" s="889">
        <v>46046</v>
      </c>
      <c r="E7388" s="888" t="s">
        <v>310</v>
      </c>
      <c r="F7388" s="888" t="s">
        <v>310</v>
      </c>
    </row>
    <row r="7389" spans="1:6">
      <c r="A7389" s="888">
        <v>374</v>
      </c>
      <c r="B7389" s="888" t="s">
        <v>5486</v>
      </c>
      <c r="C7389" s="888" t="s">
        <v>3429</v>
      </c>
      <c r="D7389" s="889">
        <v>46047</v>
      </c>
      <c r="E7389" s="888" t="s">
        <v>310</v>
      </c>
      <c r="F7389" s="888" t="s">
        <v>310</v>
      </c>
    </row>
    <row r="7390" spans="1:6">
      <c r="A7390" s="888">
        <v>374</v>
      </c>
      <c r="B7390" s="888" t="s">
        <v>5486</v>
      </c>
      <c r="C7390" s="888" t="s">
        <v>3429</v>
      </c>
      <c r="D7390" s="889">
        <v>46048</v>
      </c>
      <c r="E7390" s="888" t="s">
        <v>310</v>
      </c>
      <c r="F7390" s="888" t="s">
        <v>310</v>
      </c>
    </row>
    <row r="7391" spans="1:6">
      <c r="A7391" s="888">
        <v>374</v>
      </c>
      <c r="B7391" s="888" t="s">
        <v>5486</v>
      </c>
      <c r="C7391" s="888" t="s">
        <v>3429</v>
      </c>
      <c r="D7391" s="889">
        <v>46049</v>
      </c>
      <c r="E7391" s="888" t="s">
        <v>310</v>
      </c>
      <c r="F7391" s="888" t="s">
        <v>310</v>
      </c>
    </row>
    <row r="7392" spans="1:6">
      <c r="A7392" s="888">
        <v>374</v>
      </c>
      <c r="B7392" s="888" t="s">
        <v>5486</v>
      </c>
      <c r="C7392" s="888" t="s">
        <v>3429</v>
      </c>
      <c r="D7392" s="889">
        <v>46050</v>
      </c>
      <c r="E7392" s="888" t="s">
        <v>310</v>
      </c>
      <c r="F7392" s="888" t="s">
        <v>310</v>
      </c>
    </row>
    <row r="7393" spans="1:6">
      <c r="A7393" s="888">
        <v>374</v>
      </c>
      <c r="B7393" s="888" t="s">
        <v>5486</v>
      </c>
      <c r="C7393" s="888" t="s">
        <v>3429</v>
      </c>
      <c r="D7393" s="889">
        <v>46051</v>
      </c>
      <c r="E7393" s="888" t="s">
        <v>310</v>
      </c>
      <c r="F7393" s="888" t="s">
        <v>310</v>
      </c>
    </row>
    <row r="7394" spans="1:6">
      <c r="A7394" s="888">
        <v>374</v>
      </c>
      <c r="B7394" s="888" t="s">
        <v>5486</v>
      </c>
      <c r="C7394" s="888" t="s">
        <v>3429</v>
      </c>
      <c r="D7394" s="889">
        <v>46052</v>
      </c>
      <c r="E7394" s="888" t="s">
        <v>310</v>
      </c>
      <c r="F7394" s="888" t="s">
        <v>310</v>
      </c>
    </row>
    <row r="7395" spans="1:6">
      <c r="A7395" s="888">
        <v>374</v>
      </c>
      <c r="B7395" s="888" t="s">
        <v>5486</v>
      </c>
      <c r="C7395" s="888" t="s">
        <v>3429</v>
      </c>
      <c r="D7395" s="889">
        <v>46053</v>
      </c>
      <c r="E7395" s="888" t="s">
        <v>310</v>
      </c>
      <c r="F7395" s="888" t="s">
        <v>310</v>
      </c>
    </row>
    <row r="7396" spans="1:6">
      <c r="A7396" s="888">
        <v>374</v>
      </c>
      <c r="B7396" s="888" t="s">
        <v>5486</v>
      </c>
      <c r="C7396" s="888" t="s">
        <v>3429</v>
      </c>
      <c r="D7396" s="889">
        <v>46054</v>
      </c>
      <c r="E7396" s="888" t="s">
        <v>310</v>
      </c>
      <c r="F7396" s="888" t="s">
        <v>310</v>
      </c>
    </row>
    <row r="7397" spans="1:6">
      <c r="A7397" s="888">
        <v>375</v>
      </c>
      <c r="B7397" s="888" t="s">
        <v>5487</v>
      </c>
      <c r="C7397" s="888" t="s">
        <v>3429</v>
      </c>
      <c r="D7397" s="889">
        <v>46023</v>
      </c>
      <c r="E7397" s="888" t="s">
        <v>310</v>
      </c>
      <c r="F7397" s="888" t="s">
        <v>310</v>
      </c>
    </row>
    <row r="7398" spans="1:6">
      <c r="A7398" s="888">
        <v>375</v>
      </c>
      <c r="B7398" s="888" t="s">
        <v>5487</v>
      </c>
      <c r="C7398" s="888" t="s">
        <v>3429</v>
      </c>
      <c r="D7398" s="889">
        <v>46024</v>
      </c>
      <c r="E7398" s="888" t="s">
        <v>310</v>
      </c>
      <c r="F7398" s="888" t="s">
        <v>310</v>
      </c>
    </row>
    <row r="7399" spans="1:6">
      <c r="A7399" s="888">
        <v>375</v>
      </c>
      <c r="B7399" s="888" t="s">
        <v>5487</v>
      </c>
      <c r="C7399" s="888" t="s">
        <v>3429</v>
      </c>
      <c r="D7399" s="889">
        <v>46025</v>
      </c>
      <c r="E7399" s="888" t="s">
        <v>310</v>
      </c>
      <c r="F7399" s="888" t="s">
        <v>310</v>
      </c>
    </row>
    <row r="7400" spans="1:6">
      <c r="A7400" s="888">
        <v>375</v>
      </c>
      <c r="B7400" s="888" t="s">
        <v>5487</v>
      </c>
      <c r="C7400" s="888" t="s">
        <v>3429</v>
      </c>
      <c r="D7400" s="889">
        <v>46026</v>
      </c>
      <c r="E7400" s="888" t="s">
        <v>310</v>
      </c>
      <c r="F7400" s="888" t="s">
        <v>310</v>
      </c>
    </row>
    <row r="7401" spans="1:6">
      <c r="A7401" s="888">
        <v>375</v>
      </c>
      <c r="B7401" s="888" t="s">
        <v>5487</v>
      </c>
      <c r="C7401" s="888" t="s">
        <v>3429</v>
      </c>
      <c r="D7401" s="889">
        <v>46027</v>
      </c>
      <c r="E7401" s="888" t="s">
        <v>310</v>
      </c>
      <c r="F7401" s="888" t="s">
        <v>310</v>
      </c>
    </row>
    <row r="7402" spans="1:6">
      <c r="A7402" s="888">
        <v>375</v>
      </c>
      <c r="B7402" s="888" t="s">
        <v>5487</v>
      </c>
      <c r="C7402" s="888" t="s">
        <v>3429</v>
      </c>
      <c r="D7402" s="889">
        <v>46028</v>
      </c>
      <c r="E7402" s="888" t="s">
        <v>310</v>
      </c>
      <c r="F7402" s="888" t="s">
        <v>310</v>
      </c>
    </row>
    <row r="7403" spans="1:6">
      <c r="A7403" s="888">
        <v>375</v>
      </c>
      <c r="B7403" s="888" t="s">
        <v>5487</v>
      </c>
      <c r="C7403" s="888" t="s">
        <v>3429</v>
      </c>
      <c r="D7403" s="889">
        <v>46029</v>
      </c>
      <c r="E7403" s="888" t="s">
        <v>310</v>
      </c>
      <c r="F7403" s="888" t="s">
        <v>310</v>
      </c>
    </row>
    <row r="7404" spans="1:6">
      <c r="A7404" s="888">
        <v>375</v>
      </c>
      <c r="B7404" s="888" t="s">
        <v>5487</v>
      </c>
      <c r="C7404" s="888" t="s">
        <v>3429</v>
      </c>
      <c r="D7404" s="889">
        <v>46030</v>
      </c>
      <c r="E7404" s="888" t="s">
        <v>310</v>
      </c>
      <c r="F7404" s="888" t="s">
        <v>310</v>
      </c>
    </row>
    <row r="7405" spans="1:6">
      <c r="A7405" s="888">
        <v>375</v>
      </c>
      <c r="B7405" s="888" t="s">
        <v>5487</v>
      </c>
      <c r="C7405" s="888" t="s">
        <v>3429</v>
      </c>
      <c r="D7405" s="889">
        <v>46031</v>
      </c>
      <c r="E7405" s="888" t="s">
        <v>310</v>
      </c>
      <c r="F7405" s="888" t="s">
        <v>310</v>
      </c>
    </row>
    <row r="7406" spans="1:6">
      <c r="A7406" s="888">
        <v>375</v>
      </c>
      <c r="B7406" s="888" t="s">
        <v>5487</v>
      </c>
      <c r="C7406" s="888" t="s">
        <v>3429</v>
      </c>
      <c r="D7406" s="889">
        <v>46032</v>
      </c>
      <c r="E7406" s="888" t="s">
        <v>310</v>
      </c>
      <c r="F7406" s="888" t="s">
        <v>310</v>
      </c>
    </row>
    <row r="7407" spans="1:6">
      <c r="A7407" s="888">
        <v>375</v>
      </c>
      <c r="B7407" s="888" t="s">
        <v>5487</v>
      </c>
      <c r="C7407" s="888" t="s">
        <v>3429</v>
      </c>
      <c r="D7407" s="889">
        <v>46033</v>
      </c>
      <c r="E7407" s="888" t="s">
        <v>310</v>
      </c>
      <c r="F7407" s="888" t="s">
        <v>310</v>
      </c>
    </row>
    <row r="7408" spans="1:6">
      <c r="A7408" s="888">
        <v>375</v>
      </c>
      <c r="B7408" s="888" t="s">
        <v>5487</v>
      </c>
      <c r="C7408" s="888" t="s">
        <v>3429</v>
      </c>
      <c r="D7408" s="889">
        <v>46034</v>
      </c>
      <c r="E7408" s="888" t="s">
        <v>310</v>
      </c>
      <c r="F7408" s="888" t="s">
        <v>310</v>
      </c>
    </row>
    <row r="7409" spans="1:6">
      <c r="A7409" s="888">
        <v>375</v>
      </c>
      <c r="B7409" s="888" t="s">
        <v>5487</v>
      </c>
      <c r="C7409" s="888" t="s">
        <v>3429</v>
      </c>
      <c r="D7409" s="889">
        <v>46035</v>
      </c>
      <c r="E7409" s="888" t="s">
        <v>310</v>
      </c>
      <c r="F7409" s="888" t="s">
        <v>310</v>
      </c>
    </row>
    <row r="7410" spans="1:6">
      <c r="A7410" s="888">
        <v>375</v>
      </c>
      <c r="B7410" s="888" t="s">
        <v>5487</v>
      </c>
      <c r="C7410" s="888" t="s">
        <v>3429</v>
      </c>
      <c r="D7410" s="889">
        <v>46036</v>
      </c>
      <c r="E7410" s="888" t="s">
        <v>310</v>
      </c>
      <c r="F7410" s="888" t="s">
        <v>310</v>
      </c>
    </row>
    <row r="7411" spans="1:6">
      <c r="A7411" s="888">
        <v>375</v>
      </c>
      <c r="B7411" s="888" t="s">
        <v>5487</v>
      </c>
      <c r="C7411" s="888" t="s">
        <v>3429</v>
      </c>
      <c r="D7411" s="889">
        <v>46037</v>
      </c>
      <c r="E7411" s="888" t="s">
        <v>310</v>
      </c>
      <c r="F7411" s="888" t="s">
        <v>310</v>
      </c>
    </row>
    <row r="7412" spans="1:6">
      <c r="A7412" s="888">
        <v>375</v>
      </c>
      <c r="B7412" s="888" t="s">
        <v>5487</v>
      </c>
      <c r="C7412" s="888" t="s">
        <v>3429</v>
      </c>
      <c r="D7412" s="889">
        <v>46038</v>
      </c>
      <c r="E7412" s="888" t="s">
        <v>310</v>
      </c>
      <c r="F7412" s="888" t="s">
        <v>310</v>
      </c>
    </row>
    <row r="7413" spans="1:6">
      <c r="A7413" s="888">
        <v>375</v>
      </c>
      <c r="B7413" s="888" t="s">
        <v>5487</v>
      </c>
      <c r="C7413" s="888" t="s">
        <v>3429</v>
      </c>
      <c r="D7413" s="889">
        <v>46039</v>
      </c>
      <c r="E7413" s="888" t="s">
        <v>310</v>
      </c>
      <c r="F7413" s="888" t="s">
        <v>310</v>
      </c>
    </row>
    <row r="7414" spans="1:6">
      <c r="A7414" s="888">
        <v>375</v>
      </c>
      <c r="B7414" s="888" t="s">
        <v>5487</v>
      </c>
      <c r="C7414" s="888" t="s">
        <v>3429</v>
      </c>
      <c r="D7414" s="889">
        <v>46040</v>
      </c>
      <c r="E7414" s="888" t="s">
        <v>310</v>
      </c>
      <c r="F7414" s="888" t="s">
        <v>310</v>
      </c>
    </row>
    <row r="7415" spans="1:6">
      <c r="A7415" s="888">
        <v>375</v>
      </c>
      <c r="B7415" s="888" t="s">
        <v>5487</v>
      </c>
      <c r="C7415" s="888" t="s">
        <v>3429</v>
      </c>
      <c r="D7415" s="889">
        <v>46041</v>
      </c>
      <c r="E7415" s="888" t="s">
        <v>310</v>
      </c>
      <c r="F7415" s="888" t="s">
        <v>310</v>
      </c>
    </row>
    <row r="7416" spans="1:6">
      <c r="A7416" s="888">
        <v>375</v>
      </c>
      <c r="B7416" s="888" t="s">
        <v>5487</v>
      </c>
      <c r="C7416" s="888" t="s">
        <v>3429</v>
      </c>
      <c r="D7416" s="889">
        <v>46042</v>
      </c>
      <c r="E7416" s="888" t="s">
        <v>310</v>
      </c>
      <c r="F7416" s="888" t="s">
        <v>310</v>
      </c>
    </row>
    <row r="7417" spans="1:6">
      <c r="A7417" s="888">
        <v>375</v>
      </c>
      <c r="B7417" s="888" t="s">
        <v>5487</v>
      </c>
      <c r="C7417" s="888" t="s">
        <v>3429</v>
      </c>
      <c r="D7417" s="889">
        <v>46043</v>
      </c>
      <c r="E7417" s="888" t="s">
        <v>310</v>
      </c>
      <c r="F7417" s="888" t="s">
        <v>310</v>
      </c>
    </row>
    <row r="7418" spans="1:6">
      <c r="A7418" s="888">
        <v>375</v>
      </c>
      <c r="B7418" s="888" t="s">
        <v>5487</v>
      </c>
      <c r="C7418" s="888" t="s">
        <v>3429</v>
      </c>
      <c r="D7418" s="889">
        <v>46044</v>
      </c>
      <c r="E7418" s="888" t="s">
        <v>310</v>
      </c>
      <c r="F7418" s="888" t="s">
        <v>310</v>
      </c>
    </row>
    <row r="7419" spans="1:6">
      <c r="A7419" s="888">
        <v>375</v>
      </c>
      <c r="B7419" s="888" t="s">
        <v>5487</v>
      </c>
      <c r="C7419" s="888" t="s">
        <v>3429</v>
      </c>
      <c r="D7419" s="889">
        <v>46045</v>
      </c>
      <c r="E7419" s="888" t="s">
        <v>310</v>
      </c>
      <c r="F7419" s="888" t="s">
        <v>310</v>
      </c>
    </row>
    <row r="7420" spans="1:6">
      <c r="A7420" s="888">
        <v>375</v>
      </c>
      <c r="B7420" s="888" t="s">
        <v>5487</v>
      </c>
      <c r="C7420" s="888" t="s">
        <v>3429</v>
      </c>
      <c r="D7420" s="889">
        <v>46046</v>
      </c>
      <c r="E7420" s="888" t="s">
        <v>310</v>
      </c>
      <c r="F7420" s="888" t="s">
        <v>310</v>
      </c>
    </row>
    <row r="7421" spans="1:6">
      <c r="A7421" s="888">
        <v>375</v>
      </c>
      <c r="B7421" s="888" t="s">
        <v>5487</v>
      </c>
      <c r="C7421" s="888" t="s">
        <v>3429</v>
      </c>
      <c r="D7421" s="889">
        <v>46047</v>
      </c>
      <c r="E7421" s="888" t="s">
        <v>310</v>
      </c>
      <c r="F7421" s="888" t="s">
        <v>310</v>
      </c>
    </row>
    <row r="7422" spans="1:6">
      <c r="A7422" s="888">
        <v>375</v>
      </c>
      <c r="B7422" s="888" t="s">
        <v>5487</v>
      </c>
      <c r="C7422" s="888" t="s">
        <v>3429</v>
      </c>
      <c r="D7422" s="889">
        <v>46048</v>
      </c>
      <c r="E7422" s="888" t="s">
        <v>310</v>
      </c>
      <c r="F7422" s="888" t="s">
        <v>310</v>
      </c>
    </row>
    <row r="7423" spans="1:6">
      <c r="A7423" s="888">
        <v>375</v>
      </c>
      <c r="B7423" s="888" t="s">
        <v>5487</v>
      </c>
      <c r="C7423" s="888" t="s">
        <v>3429</v>
      </c>
      <c r="D7423" s="889">
        <v>46049</v>
      </c>
      <c r="E7423" s="888" t="s">
        <v>310</v>
      </c>
      <c r="F7423" s="888" t="s">
        <v>310</v>
      </c>
    </row>
    <row r="7424" spans="1:6">
      <c r="A7424" s="888">
        <v>375</v>
      </c>
      <c r="B7424" s="888" t="s">
        <v>5487</v>
      </c>
      <c r="C7424" s="888" t="s">
        <v>3429</v>
      </c>
      <c r="D7424" s="889">
        <v>46050</v>
      </c>
      <c r="E7424" s="888" t="s">
        <v>310</v>
      </c>
      <c r="F7424" s="888" t="s">
        <v>310</v>
      </c>
    </row>
    <row r="7425" spans="1:6">
      <c r="A7425" s="888">
        <v>375</v>
      </c>
      <c r="B7425" s="888" t="s">
        <v>5487</v>
      </c>
      <c r="C7425" s="888" t="s">
        <v>3429</v>
      </c>
      <c r="D7425" s="889">
        <v>46051</v>
      </c>
      <c r="E7425" s="888" t="s">
        <v>310</v>
      </c>
      <c r="F7425" s="888" t="s">
        <v>310</v>
      </c>
    </row>
    <row r="7426" spans="1:6">
      <c r="A7426" s="888">
        <v>375</v>
      </c>
      <c r="B7426" s="888" t="s">
        <v>5487</v>
      </c>
      <c r="C7426" s="888" t="s">
        <v>3429</v>
      </c>
      <c r="D7426" s="889">
        <v>46052</v>
      </c>
      <c r="E7426" s="888" t="s">
        <v>310</v>
      </c>
      <c r="F7426" s="888" t="s">
        <v>310</v>
      </c>
    </row>
    <row r="7427" spans="1:6">
      <c r="A7427" s="888">
        <v>375</v>
      </c>
      <c r="B7427" s="888" t="s">
        <v>5487</v>
      </c>
      <c r="C7427" s="888" t="s">
        <v>3429</v>
      </c>
      <c r="D7427" s="889">
        <v>46053</v>
      </c>
      <c r="E7427" s="888" t="s">
        <v>310</v>
      </c>
      <c r="F7427" s="888" t="s">
        <v>310</v>
      </c>
    </row>
    <row r="7428" spans="1:6">
      <c r="A7428" s="888">
        <v>375</v>
      </c>
      <c r="B7428" s="888" t="s">
        <v>5487</v>
      </c>
      <c r="C7428" s="888" t="s">
        <v>3429</v>
      </c>
      <c r="D7428" s="889">
        <v>46054</v>
      </c>
      <c r="E7428" s="888" t="s">
        <v>310</v>
      </c>
      <c r="F7428" s="888" t="s">
        <v>310</v>
      </c>
    </row>
    <row r="7429" spans="1:6">
      <c r="A7429" s="888">
        <v>376</v>
      </c>
      <c r="B7429" s="888" t="s">
        <v>1204</v>
      </c>
      <c r="C7429" s="888" t="s">
        <v>1652</v>
      </c>
      <c r="D7429" s="889">
        <v>46023</v>
      </c>
      <c r="E7429" s="888" t="s">
        <v>310</v>
      </c>
      <c r="F7429" s="888" t="s">
        <v>310</v>
      </c>
    </row>
    <row r="7430" spans="1:6">
      <c r="A7430" s="888">
        <v>376</v>
      </c>
      <c r="B7430" s="888" t="s">
        <v>1204</v>
      </c>
      <c r="C7430" s="888" t="s">
        <v>1652</v>
      </c>
      <c r="D7430" s="889">
        <v>46024</v>
      </c>
      <c r="E7430" s="888" t="s">
        <v>310</v>
      </c>
      <c r="F7430" s="888" t="s">
        <v>310</v>
      </c>
    </row>
    <row r="7431" spans="1:6">
      <c r="A7431" s="888">
        <v>376</v>
      </c>
      <c r="B7431" s="888" t="s">
        <v>1204</v>
      </c>
      <c r="C7431" s="888" t="s">
        <v>1652</v>
      </c>
      <c r="D7431" s="889">
        <v>46025</v>
      </c>
      <c r="E7431" s="888" t="s">
        <v>310</v>
      </c>
      <c r="F7431" s="888" t="s">
        <v>310</v>
      </c>
    </row>
    <row r="7432" spans="1:6">
      <c r="A7432" s="888">
        <v>376</v>
      </c>
      <c r="B7432" s="888" t="s">
        <v>1204</v>
      </c>
      <c r="C7432" s="888" t="s">
        <v>1652</v>
      </c>
      <c r="D7432" s="889">
        <v>46026</v>
      </c>
      <c r="E7432" s="888" t="s">
        <v>310</v>
      </c>
      <c r="F7432" s="888" t="s">
        <v>310</v>
      </c>
    </row>
    <row r="7433" spans="1:6">
      <c r="A7433" s="888">
        <v>376</v>
      </c>
      <c r="B7433" s="888" t="s">
        <v>1204</v>
      </c>
      <c r="C7433" s="888" t="s">
        <v>1652</v>
      </c>
      <c r="D7433" s="889">
        <v>46027</v>
      </c>
      <c r="E7433" s="888" t="s">
        <v>310</v>
      </c>
      <c r="F7433" s="888" t="s">
        <v>310</v>
      </c>
    </row>
    <row r="7434" spans="1:6">
      <c r="A7434" s="888">
        <v>376</v>
      </c>
      <c r="B7434" s="888" t="s">
        <v>1204</v>
      </c>
      <c r="C7434" s="888" t="s">
        <v>1652</v>
      </c>
      <c r="D7434" s="889">
        <v>46028</v>
      </c>
      <c r="E7434" s="888" t="s">
        <v>310</v>
      </c>
      <c r="F7434" s="888" t="s">
        <v>310</v>
      </c>
    </row>
    <row r="7435" spans="1:6">
      <c r="A7435" s="888">
        <v>376</v>
      </c>
      <c r="B7435" s="888" t="s">
        <v>1204</v>
      </c>
      <c r="C7435" s="888" t="s">
        <v>1652</v>
      </c>
      <c r="D7435" s="889">
        <v>46029</v>
      </c>
      <c r="E7435" s="888" t="s">
        <v>310</v>
      </c>
      <c r="F7435" s="888" t="s">
        <v>310</v>
      </c>
    </row>
    <row r="7436" spans="1:6">
      <c r="A7436" s="888">
        <v>376</v>
      </c>
      <c r="B7436" s="888" t="s">
        <v>1204</v>
      </c>
      <c r="C7436" s="888" t="s">
        <v>1652</v>
      </c>
      <c r="D7436" s="889">
        <v>46030</v>
      </c>
      <c r="E7436" s="888" t="s">
        <v>310</v>
      </c>
      <c r="F7436" s="888" t="s">
        <v>310</v>
      </c>
    </row>
    <row r="7437" spans="1:6">
      <c r="A7437" s="888">
        <v>376</v>
      </c>
      <c r="B7437" s="888" t="s">
        <v>1204</v>
      </c>
      <c r="C7437" s="888" t="s">
        <v>1652</v>
      </c>
      <c r="D7437" s="889">
        <v>46031</v>
      </c>
      <c r="E7437" s="888" t="s">
        <v>310</v>
      </c>
      <c r="F7437" s="888" t="s">
        <v>310</v>
      </c>
    </row>
    <row r="7438" spans="1:6">
      <c r="A7438" s="888">
        <v>376</v>
      </c>
      <c r="B7438" s="888" t="s">
        <v>1204</v>
      </c>
      <c r="C7438" s="888" t="s">
        <v>1652</v>
      </c>
      <c r="D7438" s="889">
        <v>46032</v>
      </c>
      <c r="E7438" s="888" t="s">
        <v>310</v>
      </c>
      <c r="F7438" s="888" t="s">
        <v>310</v>
      </c>
    </row>
    <row r="7439" spans="1:6">
      <c r="A7439" s="888">
        <v>376</v>
      </c>
      <c r="B7439" s="888" t="s">
        <v>1204</v>
      </c>
      <c r="C7439" s="888" t="s">
        <v>1652</v>
      </c>
      <c r="D7439" s="889">
        <v>46033</v>
      </c>
      <c r="E7439" s="888" t="s">
        <v>310</v>
      </c>
      <c r="F7439" s="888" t="s">
        <v>310</v>
      </c>
    </row>
    <row r="7440" spans="1:6">
      <c r="A7440" s="888">
        <v>376</v>
      </c>
      <c r="B7440" s="888" t="s">
        <v>1204</v>
      </c>
      <c r="C7440" s="888" t="s">
        <v>1652</v>
      </c>
      <c r="D7440" s="889">
        <v>46034</v>
      </c>
      <c r="E7440" s="888" t="s">
        <v>310</v>
      </c>
      <c r="F7440" s="888" t="s">
        <v>310</v>
      </c>
    </row>
    <row r="7441" spans="1:6">
      <c r="A7441" s="888">
        <v>376</v>
      </c>
      <c r="B7441" s="888" t="s">
        <v>1204</v>
      </c>
      <c r="C7441" s="888" t="s">
        <v>1652</v>
      </c>
      <c r="D7441" s="889">
        <v>46035</v>
      </c>
      <c r="E7441" s="888" t="s">
        <v>310</v>
      </c>
      <c r="F7441" s="888" t="s">
        <v>310</v>
      </c>
    </row>
    <row r="7442" spans="1:6">
      <c r="A7442" s="888">
        <v>376</v>
      </c>
      <c r="B7442" s="888" t="s">
        <v>1204</v>
      </c>
      <c r="C7442" s="888" t="s">
        <v>1652</v>
      </c>
      <c r="D7442" s="889">
        <v>46036</v>
      </c>
      <c r="E7442" s="888" t="s">
        <v>310</v>
      </c>
      <c r="F7442" s="888" t="s">
        <v>310</v>
      </c>
    </row>
    <row r="7443" spans="1:6">
      <c r="A7443" s="888">
        <v>376</v>
      </c>
      <c r="B7443" s="888" t="s">
        <v>1204</v>
      </c>
      <c r="C7443" s="888" t="s">
        <v>1652</v>
      </c>
      <c r="D7443" s="889">
        <v>46037</v>
      </c>
      <c r="E7443" s="888" t="s">
        <v>310</v>
      </c>
      <c r="F7443" s="888" t="s">
        <v>310</v>
      </c>
    </row>
    <row r="7444" spans="1:6">
      <c r="A7444" s="888">
        <v>376</v>
      </c>
      <c r="B7444" s="888" t="s">
        <v>1204</v>
      </c>
      <c r="C7444" s="888" t="s">
        <v>1652</v>
      </c>
      <c r="D7444" s="889">
        <v>46038</v>
      </c>
      <c r="E7444" s="888" t="s">
        <v>310</v>
      </c>
      <c r="F7444" s="888" t="s">
        <v>310</v>
      </c>
    </row>
    <row r="7445" spans="1:6">
      <c r="A7445" s="888">
        <v>376</v>
      </c>
      <c r="B7445" s="888" t="s">
        <v>1204</v>
      </c>
      <c r="C7445" s="888" t="s">
        <v>1652</v>
      </c>
      <c r="D7445" s="889">
        <v>46039</v>
      </c>
      <c r="E7445" s="888" t="s">
        <v>310</v>
      </c>
      <c r="F7445" s="888" t="s">
        <v>310</v>
      </c>
    </row>
    <row r="7446" spans="1:6">
      <c r="A7446" s="888">
        <v>376</v>
      </c>
      <c r="B7446" s="888" t="s">
        <v>1204</v>
      </c>
      <c r="C7446" s="888" t="s">
        <v>1652</v>
      </c>
      <c r="D7446" s="889">
        <v>46040</v>
      </c>
      <c r="E7446" s="888" t="s">
        <v>310</v>
      </c>
      <c r="F7446" s="888" t="s">
        <v>310</v>
      </c>
    </row>
    <row r="7447" spans="1:6">
      <c r="A7447" s="888">
        <v>376</v>
      </c>
      <c r="B7447" s="888" t="s">
        <v>1204</v>
      </c>
      <c r="C7447" s="888" t="s">
        <v>1652</v>
      </c>
      <c r="D7447" s="889">
        <v>46041</v>
      </c>
      <c r="E7447" s="888" t="s">
        <v>310</v>
      </c>
      <c r="F7447" s="888" t="s">
        <v>310</v>
      </c>
    </row>
    <row r="7448" spans="1:6">
      <c r="A7448" s="888">
        <v>376</v>
      </c>
      <c r="B7448" s="888" t="s">
        <v>1204</v>
      </c>
      <c r="C7448" s="888" t="s">
        <v>1652</v>
      </c>
      <c r="D7448" s="889">
        <v>46042</v>
      </c>
      <c r="E7448" s="888" t="s">
        <v>310</v>
      </c>
      <c r="F7448" s="888" t="s">
        <v>310</v>
      </c>
    </row>
    <row r="7449" spans="1:6">
      <c r="A7449" s="888">
        <v>376</v>
      </c>
      <c r="B7449" s="888" t="s">
        <v>1204</v>
      </c>
      <c r="C7449" s="888" t="s">
        <v>1652</v>
      </c>
      <c r="D7449" s="889">
        <v>46043</v>
      </c>
      <c r="E7449" s="888" t="s">
        <v>310</v>
      </c>
      <c r="F7449" s="888" t="s">
        <v>310</v>
      </c>
    </row>
    <row r="7450" spans="1:6">
      <c r="A7450" s="888">
        <v>376</v>
      </c>
      <c r="B7450" s="888" t="s">
        <v>1204</v>
      </c>
      <c r="C7450" s="888" t="s">
        <v>1652</v>
      </c>
      <c r="D7450" s="889">
        <v>46044</v>
      </c>
      <c r="E7450" s="888" t="s">
        <v>310</v>
      </c>
      <c r="F7450" s="888" t="s">
        <v>310</v>
      </c>
    </row>
    <row r="7451" spans="1:6">
      <c r="A7451" s="888">
        <v>376</v>
      </c>
      <c r="B7451" s="888" t="s">
        <v>1204</v>
      </c>
      <c r="C7451" s="888" t="s">
        <v>1652</v>
      </c>
      <c r="D7451" s="889">
        <v>46045</v>
      </c>
      <c r="E7451" s="888" t="s">
        <v>310</v>
      </c>
      <c r="F7451" s="888" t="s">
        <v>310</v>
      </c>
    </row>
    <row r="7452" spans="1:6">
      <c r="A7452" s="888">
        <v>376</v>
      </c>
      <c r="B7452" s="888" t="s">
        <v>1204</v>
      </c>
      <c r="C7452" s="888" t="s">
        <v>1652</v>
      </c>
      <c r="D7452" s="889">
        <v>46046</v>
      </c>
      <c r="E7452" s="888" t="s">
        <v>310</v>
      </c>
      <c r="F7452" s="888" t="s">
        <v>310</v>
      </c>
    </row>
    <row r="7453" spans="1:6">
      <c r="A7453" s="888">
        <v>376</v>
      </c>
      <c r="B7453" s="888" t="s">
        <v>1204</v>
      </c>
      <c r="C7453" s="888" t="s">
        <v>1652</v>
      </c>
      <c r="D7453" s="889">
        <v>46047</v>
      </c>
      <c r="E7453" s="888" t="s">
        <v>310</v>
      </c>
      <c r="F7453" s="888" t="s">
        <v>310</v>
      </c>
    </row>
    <row r="7454" spans="1:6">
      <c r="A7454" s="888">
        <v>376</v>
      </c>
      <c r="B7454" s="888" t="s">
        <v>1204</v>
      </c>
      <c r="C7454" s="888" t="s">
        <v>1652</v>
      </c>
      <c r="D7454" s="889">
        <v>46048</v>
      </c>
      <c r="E7454" s="888" t="s">
        <v>310</v>
      </c>
      <c r="F7454" s="888" t="s">
        <v>310</v>
      </c>
    </row>
    <row r="7455" spans="1:6">
      <c r="A7455" s="888">
        <v>376</v>
      </c>
      <c r="B7455" s="888" t="s">
        <v>1204</v>
      </c>
      <c r="C7455" s="888" t="s">
        <v>1652</v>
      </c>
      <c r="D7455" s="889">
        <v>46049</v>
      </c>
      <c r="E7455" s="888" t="s">
        <v>310</v>
      </c>
      <c r="F7455" s="888" t="s">
        <v>310</v>
      </c>
    </row>
    <row r="7456" spans="1:6">
      <c r="A7456" s="888">
        <v>376</v>
      </c>
      <c r="B7456" s="888" t="s">
        <v>1204</v>
      </c>
      <c r="C7456" s="888" t="s">
        <v>1652</v>
      </c>
      <c r="D7456" s="889">
        <v>46050</v>
      </c>
      <c r="E7456" s="888" t="s">
        <v>310</v>
      </c>
      <c r="F7456" s="888" t="s">
        <v>310</v>
      </c>
    </row>
    <row r="7457" spans="1:6">
      <c r="A7457" s="888">
        <v>376</v>
      </c>
      <c r="B7457" s="888" t="s">
        <v>1204</v>
      </c>
      <c r="C7457" s="888" t="s">
        <v>1652</v>
      </c>
      <c r="D7457" s="889">
        <v>46051</v>
      </c>
      <c r="E7457" s="888" t="s">
        <v>310</v>
      </c>
      <c r="F7457" s="888" t="s">
        <v>310</v>
      </c>
    </row>
    <row r="7458" spans="1:6">
      <c r="A7458" s="888">
        <v>376</v>
      </c>
      <c r="B7458" s="888" t="s">
        <v>1204</v>
      </c>
      <c r="C7458" s="888" t="s">
        <v>1652</v>
      </c>
      <c r="D7458" s="889">
        <v>46052</v>
      </c>
      <c r="E7458" s="888" t="s">
        <v>310</v>
      </c>
      <c r="F7458" s="888" t="s">
        <v>310</v>
      </c>
    </row>
    <row r="7459" spans="1:6">
      <c r="A7459" s="888">
        <v>376</v>
      </c>
      <c r="B7459" s="888" t="s">
        <v>1204</v>
      </c>
      <c r="C7459" s="888" t="s">
        <v>1652</v>
      </c>
      <c r="D7459" s="889">
        <v>46053</v>
      </c>
      <c r="E7459" s="888" t="s">
        <v>310</v>
      </c>
      <c r="F7459" s="888" t="s">
        <v>310</v>
      </c>
    </row>
    <row r="7460" spans="1:6">
      <c r="A7460" s="888">
        <v>376</v>
      </c>
      <c r="B7460" s="888" t="s">
        <v>1204</v>
      </c>
      <c r="C7460" s="888" t="s">
        <v>1652</v>
      </c>
      <c r="D7460" s="889">
        <v>46054</v>
      </c>
      <c r="E7460" s="888" t="s">
        <v>310</v>
      </c>
      <c r="F7460" s="888" t="s">
        <v>310</v>
      </c>
    </row>
    <row r="7461" spans="1:6">
      <c r="A7461" s="888">
        <v>377</v>
      </c>
      <c r="B7461" s="888" t="s">
        <v>5488</v>
      </c>
      <c r="C7461" s="888" t="s">
        <v>3429</v>
      </c>
      <c r="D7461" s="889">
        <v>46023</v>
      </c>
      <c r="E7461" s="888" t="s">
        <v>310</v>
      </c>
      <c r="F7461" s="888" t="s">
        <v>310</v>
      </c>
    </row>
    <row r="7462" spans="1:6">
      <c r="A7462" s="888">
        <v>377</v>
      </c>
      <c r="B7462" s="888" t="s">
        <v>5488</v>
      </c>
      <c r="C7462" s="888" t="s">
        <v>3429</v>
      </c>
      <c r="D7462" s="889">
        <v>46024</v>
      </c>
      <c r="E7462" s="888" t="s">
        <v>310</v>
      </c>
      <c r="F7462" s="888" t="s">
        <v>310</v>
      </c>
    </row>
    <row r="7463" spans="1:6">
      <c r="A7463" s="888">
        <v>377</v>
      </c>
      <c r="B7463" s="888" t="s">
        <v>5488</v>
      </c>
      <c r="C7463" s="888" t="s">
        <v>3429</v>
      </c>
      <c r="D7463" s="889">
        <v>46025</v>
      </c>
      <c r="E7463" s="888" t="s">
        <v>310</v>
      </c>
      <c r="F7463" s="888" t="s">
        <v>310</v>
      </c>
    </row>
    <row r="7464" spans="1:6">
      <c r="A7464" s="888">
        <v>377</v>
      </c>
      <c r="B7464" s="888" t="s">
        <v>5488</v>
      </c>
      <c r="C7464" s="888" t="s">
        <v>3429</v>
      </c>
      <c r="D7464" s="889">
        <v>46026</v>
      </c>
      <c r="E7464" s="888" t="s">
        <v>310</v>
      </c>
      <c r="F7464" s="888" t="s">
        <v>310</v>
      </c>
    </row>
    <row r="7465" spans="1:6">
      <c r="A7465" s="888">
        <v>377</v>
      </c>
      <c r="B7465" s="888" t="s">
        <v>5488</v>
      </c>
      <c r="C7465" s="888" t="s">
        <v>3429</v>
      </c>
      <c r="D7465" s="889">
        <v>46027</v>
      </c>
      <c r="E7465" s="888" t="s">
        <v>310</v>
      </c>
      <c r="F7465" s="888" t="s">
        <v>310</v>
      </c>
    </row>
    <row r="7466" spans="1:6">
      <c r="A7466" s="888">
        <v>377</v>
      </c>
      <c r="B7466" s="888" t="s">
        <v>5488</v>
      </c>
      <c r="C7466" s="888" t="s">
        <v>3429</v>
      </c>
      <c r="D7466" s="889">
        <v>46028</v>
      </c>
      <c r="E7466" s="888" t="s">
        <v>310</v>
      </c>
      <c r="F7466" s="888" t="s">
        <v>310</v>
      </c>
    </row>
    <row r="7467" spans="1:6">
      <c r="A7467" s="888">
        <v>377</v>
      </c>
      <c r="B7467" s="888" t="s">
        <v>5488</v>
      </c>
      <c r="C7467" s="888" t="s">
        <v>3429</v>
      </c>
      <c r="D7467" s="889">
        <v>46029</v>
      </c>
      <c r="E7467" s="888" t="s">
        <v>310</v>
      </c>
      <c r="F7467" s="888" t="s">
        <v>310</v>
      </c>
    </row>
    <row r="7468" spans="1:6">
      <c r="A7468" s="888">
        <v>377</v>
      </c>
      <c r="B7468" s="888" t="s">
        <v>5488</v>
      </c>
      <c r="C7468" s="888" t="s">
        <v>3429</v>
      </c>
      <c r="D7468" s="889">
        <v>46030</v>
      </c>
      <c r="E7468" s="888" t="s">
        <v>310</v>
      </c>
      <c r="F7468" s="888" t="s">
        <v>310</v>
      </c>
    </row>
    <row r="7469" spans="1:6">
      <c r="A7469" s="888">
        <v>377</v>
      </c>
      <c r="B7469" s="888" t="s">
        <v>5488</v>
      </c>
      <c r="C7469" s="888" t="s">
        <v>3429</v>
      </c>
      <c r="D7469" s="889">
        <v>46031</v>
      </c>
      <c r="E7469" s="888" t="s">
        <v>310</v>
      </c>
      <c r="F7469" s="888" t="s">
        <v>310</v>
      </c>
    </row>
    <row r="7470" spans="1:6">
      <c r="A7470" s="888">
        <v>377</v>
      </c>
      <c r="B7470" s="888" t="s">
        <v>5488</v>
      </c>
      <c r="C7470" s="888" t="s">
        <v>3429</v>
      </c>
      <c r="D7470" s="889">
        <v>46032</v>
      </c>
      <c r="E7470" s="888" t="s">
        <v>310</v>
      </c>
      <c r="F7470" s="888" t="s">
        <v>310</v>
      </c>
    </row>
    <row r="7471" spans="1:6">
      <c r="A7471" s="888">
        <v>377</v>
      </c>
      <c r="B7471" s="888" t="s">
        <v>5488</v>
      </c>
      <c r="C7471" s="888" t="s">
        <v>3429</v>
      </c>
      <c r="D7471" s="889">
        <v>46033</v>
      </c>
      <c r="E7471" s="888" t="s">
        <v>310</v>
      </c>
      <c r="F7471" s="888" t="s">
        <v>310</v>
      </c>
    </row>
    <row r="7472" spans="1:6">
      <c r="A7472" s="888">
        <v>377</v>
      </c>
      <c r="B7472" s="888" t="s">
        <v>5488</v>
      </c>
      <c r="C7472" s="888" t="s">
        <v>3429</v>
      </c>
      <c r="D7472" s="889">
        <v>46034</v>
      </c>
      <c r="E7472" s="888" t="s">
        <v>310</v>
      </c>
      <c r="F7472" s="888" t="s">
        <v>310</v>
      </c>
    </row>
    <row r="7473" spans="1:6">
      <c r="A7473" s="888">
        <v>377</v>
      </c>
      <c r="B7473" s="888" t="s">
        <v>5488</v>
      </c>
      <c r="C7473" s="888" t="s">
        <v>3429</v>
      </c>
      <c r="D7473" s="889">
        <v>46035</v>
      </c>
      <c r="E7473" s="888" t="s">
        <v>310</v>
      </c>
      <c r="F7473" s="888" t="s">
        <v>310</v>
      </c>
    </row>
    <row r="7474" spans="1:6">
      <c r="A7474" s="888">
        <v>377</v>
      </c>
      <c r="B7474" s="888" t="s">
        <v>5488</v>
      </c>
      <c r="C7474" s="888" t="s">
        <v>3429</v>
      </c>
      <c r="D7474" s="889">
        <v>46036</v>
      </c>
      <c r="E7474" s="888" t="s">
        <v>310</v>
      </c>
      <c r="F7474" s="888" t="s">
        <v>310</v>
      </c>
    </row>
    <row r="7475" spans="1:6">
      <c r="A7475" s="888">
        <v>377</v>
      </c>
      <c r="B7475" s="888" t="s">
        <v>5488</v>
      </c>
      <c r="C7475" s="888" t="s">
        <v>3429</v>
      </c>
      <c r="D7475" s="889">
        <v>46037</v>
      </c>
      <c r="E7475" s="888" t="s">
        <v>310</v>
      </c>
      <c r="F7475" s="888" t="s">
        <v>310</v>
      </c>
    </row>
    <row r="7476" spans="1:6">
      <c r="A7476" s="888">
        <v>377</v>
      </c>
      <c r="B7476" s="888" t="s">
        <v>5488</v>
      </c>
      <c r="C7476" s="888" t="s">
        <v>3429</v>
      </c>
      <c r="D7476" s="889">
        <v>46038</v>
      </c>
      <c r="E7476" s="888" t="s">
        <v>310</v>
      </c>
      <c r="F7476" s="888" t="s">
        <v>310</v>
      </c>
    </row>
    <row r="7477" spans="1:6">
      <c r="A7477" s="888">
        <v>377</v>
      </c>
      <c r="B7477" s="888" t="s">
        <v>5488</v>
      </c>
      <c r="C7477" s="888" t="s">
        <v>3429</v>
      </c>
      <c r="D7477" s="889">
        <v>46039</v>
      </c>
      <c r="E7477" s="888" t="s">
        <v>310</v>
      </c>
      <c r="F7477" s="888" t="s">
        <v>310</v>
      </c>
    </row>
    <row r="7478" spans="1:6">
      <c r="A7478" s="888">
        <v>377</v>
      </c>
      <c r="B7478" s="888" t="s">
        <v>5488</v>
      </c>
      <c r="C7478" s="888" t="s">
        <v>3429</v>
      </c>
      <c r="D7478" s="889">
        <v>46040</v>
      </c>
      <c r="E7478" s="888" t="s">
        <v>310</v>
      </c>
      <c r="F7478" s="888" t="s">
        <v>310</v>
      </c>
    </row>
    <row r="7479" spans="1:6">
      <c r="A7479" s="888">
        <v>377</v>
      </c>
      <c r="B7479" s="888" t="s">
        <v>5488</v>
      </c>
      <c r="C7479" s="888" t="s">
        <v>3429</v>
      </c>
      <c r="D7479" s="889">
        <v>46041</v>
      </c>
      <c r="E7479" s="888" t="s">
        <v>310</v>
      </c>
      <c r="F7479" s="888" t="s">
        <v>310</v>
      </c>
    </row>
    <row r="7480" spans="1:6">
      <c r="A7480" s="888">
        <v>377</v>
      </c>
      <c r="B7480" s="888" t="s">
        <v>5488</v>
      </c>
      <c r="C7480" s="888" t="s">
        <v>3429</v>
      </c>
      <c r="D7480" s="889">
        <v>46042</v>
      </c>
      <c r="E7480" s="888" t="s">
        <v>310</v>
      </c>
      <c r="F7480" s="888" t="s">
        <v>310</v>
      </c>
    </row>
    <row r="7481" spans="1:6">
      <c r="A7481" s="888">
        <v>377</v>
      </c>
      <c r="B7481" s="888" t="s">
        <v>5488</v>
      </c>
      <c r="C7481" s="888" t="s">
        <v>3429</v>
      </c>
      <c r="D7481" s="889">
        <v>46043</v>
      </c>
      <c r="E7481" s="888" t="s">
        <v>310</v>
      </c>
      <c r="F7481" s="888" t="s">
        <v>310</v>
      </c>
    </row>
    <row r="7482" spans="1:6">
      <c r="A7482" s="888">
        <v>377</v>
      </c>
      <c r="B7482" s="888" t="s">
        <v>5488</v>
      </c>
      <c r="C7482" s="888" t="s">
        <v>3429</v>
      </c>
      <c r="D7482" s="889">
        <v>46044</v>
      </c>
      <c r="E7482" s="888" t="s">
        <v>310</v>
      </c>
      <c r="F7482" s="888" t="s">
        <v>310</v>
      </c>
    </row>
    <row r="7483" spans="1:6">
      <c r="A7483" s="888">
        <v>377</v>
      </c>
      <c r="B7483" s="888" t="s">
        <v>5488</v>
      </c>
      <c r="C7483" s="888" t="s">
        <v>3429</v>
      </c>
      <c r="D7483" s="889">
        <v>46045</v>
      </c>
      <c r="E7483" s="888" t="s">
        <v>310</v>
      </c>
      <c r="F7483" s="888" t="s">
        <v>310</v>
      </c>
    </row>
    <row r="7484" spans="1:6">
      <c r="A7484" s="888">
        <v>377</v>
      </c>
      <c r="B7484" s="888" t="s">
        <v>5488</v>
      </c>
      <c r="C7484" s="888" t="s">
        <v>3429</v>
      </c>
      <c r="D7484" s="889">
        <v>46046</v>
      </c>
      <c r="E7484" s="888" t="s">
        <v>310</v>
      </c>
      <c r="F7484" s="888" t="s">
        <v>310</v>
      </c>
    </row>
    <row r="7485" spans="1:6">
      <c r="A7485" s="888">
        <v>377</v>
      </c>
      <c r="B7485" s="888" t="s">
        <v>5488</v>
      </c>
      <c r="C7485" s="888" t="s">
        <v>3429</v>
      </c>
      <c r="D7485" s="889">
        <v>46047</v>
      </c>
      <c r="E7485" s="888" t="s">
        <v>310</v>
      </c>
      <c r="F7485" s="888" t="s">
        <v>310</v>
      </c>
    </row>
    <row r="7486" spans="1:6">
      <c r="A7486" s="888">
        <v>377</v>
      </c>
      <c r="B7486" s="888" t="s">
        <v>5488</v>
      </c>
      <c r="C7486" s="888" t="s">
        <v>3429</v>
      </c>
      <c r="D7486" s="889">
        <v>46048</v>
      </c>
      <c r="E7486" s="888" t="s">
        <v>310</v>
      </c>
      <c r="F7486" s="888" t="s">
        <v>310</v>
      </c>
    </row>
    <row r="7487" spans="1:6">
      <c r="A7487" s="888">
        <v>377</v>
      </c>
      <c r="B7487" s="888" t="s">
        <v>5488</v>
      </c>
      <c r="C7487" s="888" t="s">
        <v>3429</v>
      </c>
      <c r="D7487" s="889">
        <v>46049</v>
      </c>
      <c r="E7487" s="888" t="s">
        <v>310</v>
      </c>
      <c r="F7487" s="888" t="s">
        <v>310</v>
      </c>
    </row>
    <row r="7488" spans="1:6">
      <c r="A7488" s="888">
        <v>377</v>
      </c>
      <c r="B7488" s="888" t="s">
        <v>5488</v>
      </c>
      <c r="C7488" s="888" t="s">
        <v>3429</v>
      </c>
      <c r="D7488" s="889">
        <v>46050</v>
      </c>
      <c r="E7488" s="888" t="s">
        <v>310</v>
      </c>
      <c r="F7488" s="888" t="s">
        <v>310</v>
      </c>
    </row>
    <row r="7489" spans="1:6">
      <c r="A7489" s="888">
        <v>377</v>
      </c>
      <c r="B7489" s="888" t="s">
        <v>5488</v>
      </c>
      <c r="C7489" s="888" t="s">
        <v>3429</v>
      </c>
      <c r="D7489" s="889">
        <v>46051</v>
      </c>
      <c r="E7489" s="888" t="s">
        <v>310</v>
      </c>
      <c r="F7489" s="888" t="s">
        <v>310</v>
      </c>
    </row>
    <row r="7490" spans="1:6">
      <c r="A7490" s="888">
        <v>377</v>
      </c>
      <c r="B7490" s="888" t="s">
        <v>5488</v>
      </c>
      <c r="C7490" s="888" t="s">
        <v>3429</v>
      </c>
      <c r="D7490" s="889">
        <v>46052</v>
      </c>
      <c r="E7490" s="888" t="s">
        <v>310</v>
      </c>
      <c r="F7490" s="888" t="s">
        <v>310</v>
      </c>
    </row>
    <row r="7491" spans="1:6">
      <c r="A7491" s="888">
        <v>377</v>
      </c>
      <c r="B7491" s="888" t="s">
        <v>5488</v>
      </c>
      <c r="C7491" s="888" t="s">
        <v>3429</v>
      </c>
      <c r="D7491" s="889">
        <v>46053</v>
      </c>
      <c r="E7491" s="888" t="s">
        <v>310</v>
      </c>
      <c r="F7491" s="888" t="s">
        <v>310</v>
      </c>
    </row>
    <row r="7492" spans="1:6">
      <c r="A7492" s="888">
        <v>377</v>
      </c>
      <c r="B7492" s="888" t="s">
        <v>5488</v>
      </c>
      <c r="C7492" s="888" t="s">
        <v>3429</v>
      </c>
      <c r="D7492" s="889">
        <v>46054</v>
      </c>
      <c r="E7492" s="888" t="s">
        <v>310</v>
      </c>
      <c r="F7492" s="888" t="s">
        <v>310</v>
      </c>
    </row>
    <row r="7493" spans="1:6">
      <c r="A7493" s="888">
        <v>378</v>
      </c>
      <c r="B7493" s="888" t="s">
        <v>1205</v>
      </c>
      <c r="C7493" s="888" t="s">
        <v>3429</v>
      </c>
      <c r="D7493" s="889">
        <v>46023</v>
      </c>
      <c r="E7493" s="888" t="s">
        <v>310</v>
      </c>
      <c r="F7493" s="888" t="s">
        <v>310</v>
      </c>
    </row>
    <row r="7494" spans="1:6">
      <c r="A7494" s="888">
        <v>378</v>
      </c>
      <c r="B7494" s="888" t="s">
        <v>1205</v>
      </c>
      <c r="C7494" s="888" t="s">
        <v>3429</v>
      </c>
      <c r="D7494" s="889">
        <v>46024</v>
      </c>
      <c r="E7494" s="888" t="s">
        <v>310</v>
      </c>
      <c r="F7494" s="888" t="s">
        <v>310</v>
      </c>
    </row>
    <row r="7495" spans="1:6">
      <c r="A7495" s="888">
        <v>378</v>
      </c>
      <c r="B7495" s="888" t="s">
        <v>1205</v>
      </c>
      <c r="C7495" s="888" t="s">
        <v>3429</v>
      </c>
      <c r="D7495" s="889">
        <v>46025</v>
      </c>
      <c r="E7495" s="888" t="s">
        <v>310</v>
      </c>
      <c r="F7495" s="888" t="s">
        <v>310</v>
      </c>
    </row>
    <row r="7496" spans="1:6">
      <c r="A7496" s="888">
        <v>378</v>
      </c>
      <c r="B7496" s="888" t="s">
        <v>1205</v>
      </c>
      <c r="C7496" s="888" t="s">
        <v>3429</v>
      </c>
      <c r="D7496" s="889">
        <v>46026</v>
      </c>
      <c r="E7496" s="888" t="s">
        <v>310</v>
      </c>
      <c r="F7496" s="888" t="s">
        <v>310</v>
      </c>
    </row>
    <row r="7497" spans="1:6">
      <c r="A7497" s="888">
        <v>378</v>
      </c>
      <c r="B7497" s="888" t="s">
        <v>1205</v>
      </c>
      <c r="C7497" s="888" t="s">
        <v>3429</v>
      </c>
      <c r="D7497" s="889">
        <v>46027</v>
      </c>
      <c r="E7497" s="888" t="s">
        <v>310</v>
      </c>
      <c r="F7497" s="888" t="s">
        <v>310</v>
      </c>
    </row>
    <row r="7498" spans="1:6">
      <c r="A7498" s="888">
        <v>378</v>
      </c>
      <c r="B7498" s="888" t="s">
        <v>1205</v>
      </c>
      <c r="C7498" s="888" t="s">
        <v>3429</v>
      </c>
      <c r="D7498" s="889">
        <v>46028</v>
      </c>
      <c r="E7498" s="888" t="s">
        <v>310</v>
      </c>
      <c r="F7498" s="888" t="s">
        <v>310</v>
      </c>
    </row>
    <row r="7499" spans="1:6">
      <c r="A7499" s="888">
        <v>378</v>
      </c>
      <c r="B7499" s="888" t="s">
        <v>1205</v>
      </c>
      <c r="C7499" s="888" t="s">
        <v>3429</v>
      </c>
      <c r="D7499" s="889">
        <v>46029</v>
      </c>
      <c r="E7499" s="888" t="s">
        <v>310</v>
      </c>
      <c r="F7499" s="888" t="s">
        <v>310</v>
      </c>
    </row>
    <row r="7500" spans="1:6">
      <c r="A7500" s="888">
        <v>378</v>
      </c>
      <c r="B7500" s="888" t="s">
        <v>1205</v>
      </c>
      <c r="C7500" s="888" t="s">
        <v>3429</v>
      </c>
      <c r="D7500" s="889">
        <v>46030</v>
      </c>
      <c r="E7500" s="888" t="s">
        <v>310</v>
      </c>
      <c r="F7500" s="888" t="s">
        <v>310</v>
      </c>
    </row>
    <row r="7501" spans="1:6">
      <c r="A7501" s="888">
        <v>378</v>
      </c>
      <c r="B7501" s="888" t="s">
        <v>1205</v>
      </c>
      <c r="C7501" s="888" t="s">
        <v>3429</v>
      </c>
      <c r="D7501" s="889">
        <v>46031</v>
      </c>
      <c r="E7501" s="888" t="s">
        <v>310</v>
      </c>
      <c r="F7501" s="888" t="s">
        <v>310</v>
      </c>
    </row>
    <row r="7502" spans="1:6">
      <c r="A7502" s="888">
        <v>378</v>
      </c>
      <c r="B7502" s="888" t="s">
        <v>1205</v>
      </c>
      <c r="C7502" s="888" t="s">
        <v>3429</v>
      </c>
      <c r="D7502" s="889">
        <v>46032</v>
      </c>
      <c r="E7502" s="888" t="s">
        <v>310</v>
      </c>
      <c r="F7502" s="888" t="s">
        <v>310</v>
      </c>
    </row>
    <row r="7503" spans="1:6">
      <c r="A7503" s="888">
        <v>378</v>
      </c>
      <c r="B7503" s="888" t="s">
        <v>1205</v>
      </c>
      <c r="C7503" s="888" t="s">
        <v>3429</v>
      </c>
      <c r="D7503" s="889">
        <v>46033</v>
      </c>
      <c r="E7503" s="888" t="s">
        <v>310</v>
      </c>
      <c r="F7503" s="888" t="s">
        <v>310</v>
      </c>
    </row>
    <row r="7504" spans="1:6">
      <c r="A7504" s="888">
        <v>378</v>
      </c>
      <c r="B7504" s="888" t="s">
        <v>1205</v>
      </c>
      <c r="C7504" s="888" t="s">
        <v>3429</v>
      </c>
      <c r="D7504" s="889">
        <v>46034</v>
      </c>
      <c r="E7504" s="888" t="s">
        <v>310</v>
      </c>
      <c r="F7504" s="888" t="s">
        <v>310</v>
      </c>
    </row>
    <row r="7505" spans="1:6">
      <c r="A7505" s="888">
        <v>378</v>
      </c>
      <c r="B7505" s="888" t="s">
        <v>1205</v>
      </c>
      <c r="C7505" s="888" t="s">
        <v>3429</v>
      </c>
      <c r="D7505" s="889">
        <v>46035</v>
      </c>
      <c r="E7505" s="888" t="s">
        <v>310</v>
      </c>
      <c r="F7505" s="888" t="s">
        <v>310</v>
      </c>
    </row>
    <row r="7506" spans="1:6">
      <c r="A7506" s="888">
        <v>378</v>
      </c>
      <c r="B7506" s="888" t="s">
        <v>1205</v>
      </c>
      <c r="C7506" s="888" t="s">
        <v>3429</v>
      </c>
      <c r="D7506" s="889">
        <v>46036</v>
      </c>
      <c r="E7506" s="888" t="s">
        <v>310</v>
      </c>
      <c r="F7506" s="888" t="s">
        <v>310</v>
      </c>
    </row>
    <row r="7507" spans="1:6">
      <c r="A7507" s="888">
        <v>378</v>
      </c>
      <c r="B7507" s="888" t="s">
        <v>1205</v>
      </c>
      <c r="C7507" s="888" t="s">
        <v>3429</v>
      </c>
      <c r="D7507" s="889">
        <v>46037</v>
      </c>
      <c r="E7507" s="888" t="s">
        <v>310</v>
      </c>
      <c r="F7507" s="888" t="s">
        <v>310</v>
      </c>
    </row>
    <row r="7508" spans="1:6">
      <c r="A7508" s="888">
        <v>378</v>
      </c>
      <c r="B7508" s="888" t="s">
        <v>1205</v>
      </c>
      <c r="C7508" s="888" t="s">
        <v>3429</v>
      </c>
      <c r="D7508" s="889">
        <v>46038</v>
      </c>
      <c r="E7508" s="888" t="s">
        <v>310</v>
      </c>
      <c r="F7508" s="888" t="s">
        <v>310</v>
      </c>
    </row>
    <row r="7509" spans="1:6">
      <c r="A7509" s="888">
        <v>378</v>
      </c>
      <c r="B7509" s="888" t="s">
        <v>1205</v>
      </c>
      <c r="C7509" s="888" t="s">
        <v>3429</v>
      </c>
      <c r="D7509" s="889">
        <v>46039</v>
      </c>
      <c r="E7509" s="888" t="s">
        <v>310</v>
      </c>
      <c r="F7509" s="888" t="s">
        <v>310</v>
      </c>
    </row>
    <row r="7510" spans="1:6">
      <c r="A7510" s="888">
        <v>378</v>
      </c>
      <c r="B7510" s="888" t="s">
        <v>1205</v>
      </c>
      <c r="C7510" s="888" t="s">
        <v>3429</v>
      </c>
      <c r="D7510" s="889">
        <v>46040</v>
      </c>
      <c r="E7510" s="888" t="s">
        <v>310</v>
      </c>
      <c r="F7510" s="888" t="s">
        <v>310</v>
      </c>
    </row>
    <row r="7511" spans="1:6">
      <c r="A7511" s="888">
        <v>378</v>
      </c>
      <c r="B7511" s="888" t="s">
        <v>1205</v>
      </c>
      <c r="C7511" s="888" t="s">
        <v>3429</v>
      </c>
      <c r="D7511" s="889">
        <v>46041</v>
      </c>
      <c r="E7511" s="888" t="s">
        <v>310</v>
      </c>
      <c r="F7511" s="888" t="s">
        <v>310</v>
      </c>
    </row>
    <row r="7512" spans="1:6">
      <c r="A7512" s="888">
        <v>378</v>
      </c>
      <c r="B7512" s="888" t="s">
        <v>1205</v>
      </c>
      <c r="C7512" s="888" t="s">
        <v>3429</v>
      </c>
      <c r="D7512" s="889">
        <v>46042</v>
      </c>
      <c r="E7512" s="888" t="s">
        <v>310</v>
      </c>
      <c r="F7512" s="888" t="s">
        <v>310</v>
      </c>
    </row>
    <row r="7513" spans="1:6">
      <c r="A7513" s="888">
        <v>378</v>
      </c>
      <c r="B7513" s="888" t="s">
        <v>1205</v>
      </c>
      <c r="C7513" s="888" t="s">
        <v>3429</v>
      </c>
      <c r="D7513" s="889">
        <v>46043</v>
      </c>
      <c r="E7513" s="888" t="s">
        <v>310</v>
      </c>
      <c r="F7513" s="888" t="s">
        <v>310</v>
      </c>
    </row>
    <row r="7514" spans="1:6">
      <c r="A7514" s="888">
        <v>378</v>
      </c>
      <c r="B7514" s="888" t="s">
        <v>1205</v>
      </c>
      <c r="C7514" s="888" t="s">
        <v>3429</v>
      </c>
      <c r="D7514" s="889">
        <v>46044</v>
      </c>
      <c r="E7514" s="888" t="s">
        <v>310</v>
      </c>
      <c r="F7514" s="888" t="s">
        <v>310</v>
      </c>
    </row>
    <row r="7515" spans="1:6">
      <c r="A7515" s="888">
        <v>378</v>
      </c>
      <c r="B7515" s="888" t="s">
        <v>1205</v>
      </c>
      <c r="C7515" s="888" t="s">
        <v>3429</v>
      </c>
      <c r="D7515" s="889">
        <v>46045</v>
      </c>
      <c r="E7515" s="888" t="s">
        <v>310</v>
      </c>
      <c r="F7515" s="888" t="s">
        <v>310</v>
      </c>
    </row>
    <row r="7516" spans="1:6">
      <c r="A7516" s="888">
        <v>378</v>
      </c>
      <c r="B7516" s="888" t="s">
        <v>1205</v>
      </c>
      <c r="C7516" s="888" t="s">
        <v>3429</v>
      </c>
      <c r="D7516" s="889">
        <v>46046</v>
      </c>
      <c r="E7516" s="888" t="s">
        <v>310</v>
      </c>
      <c r="F7516" s="888" t="s">
        <v>310</v>
      </c>
    </row>
    <row r="7517" spans="1:6">
      <c r="A7517" s="888">
        <v>378</v>
      </c>
      <c r="B7517" s="888" t="s">
        <v>1205</v>
      </c>
      <c r="C7517" s="888" t="s">
        <v>3429</v>
      </c>
      <c r="D7517" s="889">
        <v>46047</v>
      </c>
      <c r="E7517" s="888" t="s">
        <v>310</v>
      </c>
      <c r="F7517" s="888" t="s">
        <v>310</v>
      </c>
    </row>
    <row r="7518" spans="1:6">
      <c r="A7518" s="888">
        <v>378</v>
      </c>
      <c r="B7518" s="888" t="s">
        <v>1205</v>
      </c>
      <c r="C7518" s="888" t="s">
        <v>3429</v>
      </c>
      <c r="D7518" s="889">
        <v>46048</v>
      </c>
      <c r="E7518" s="888" t="s">
        <v>310</v>
      </c>
      <c r="F7518" s="888" t="s">
        <v>310</v>
      </c>
    </row>
    <row r="7519" spans="1:6">
      <c r="A7519" s="888">
        <v>378</v>
      </c>
      <c r="B7519" s="888" t="s">
        <v>1205</v>
      </c>
      <c r="C7519" s="888" t="s">
        <v>3429</v>
      </c>
      <c r="D7519" s="889">
        <v>46049</v>
      </c>
      <c r="E7519" s="888" t="s">
        <v>310</v>
      </c>
      <c r="F7519" s="888" t="s">
        <v>310</v>
      </c>
    </row>
    <row r="7520" spans="1:6">
      <c r="A7520" s="888">
        <v>378</v>
      </c>
      <c r="B7520" s="888" t="s">
        <v>1205</v>
      </c>
      <c r="C7520" s="888" t="s">
        <v>3429</v>
      </c>
      <c r="D7520" s="889">
        <v>46050</v>
      </c>
      <c r="E7520" s="888" t="s">
        <v>310</v>
      </c>
      <c r="F7520" s="888" t="s">
        <v>310</v>
      </c>
    </row>
    <row r="7521" spans="1:6">
      <c r="A7521" s="888">
        <v>378</v>
      </c>
      <c r="B7521" s="888" t="s">
        <v>1205</v>
      </c>
      <c r="C7521" s="888" t="s">
        <v>3429</v>
      </c>
      <c r="D7521" s="889">
        <v>46051</v>
      </c>
      <c r="E7521" s="888" t="s">
        <v>310</v>
      </c>
      <c r="F7521" s="888" t="s">
        <v>310</v>
      </c>
    </row>
    <row r="7522" spans="1:6">
      <c r="A7522" s="888">
        <v>378</v>
      </c>
      <c r="B7522" s="888" t="s">
        <v>1205</v>
      </c>
      <c r="C7522" s="888" t="s">
        <v>3429</v>
      </c>
      <c r="D7522" s="889">
        <v>46052</v>
      </c>
      <c r="E7522" s="888" t="s">
        <v>310</v>
      </c>
      <c r="F7522" s="888" t="s">
        <v>310</v>
      </c>
    </row>
    <row r="7523" spans="1:6">
      <c r="A7523" s="888">
        <v>378</v>
      </c>
      <c r="B7523" s="888" t="s">
        <v>1205</v>
      </c>
      <c r="C7523" s="888" t="s">
        <v>3429</v>
      </c>
      <c r="D7523" s="889">
        <v>46053</v>
      </c>
      <c r="E7523" s="888" t="s">
        <v>310</v>
      </c>
      <c r="F7523" s="888" t="s">
        <v>310</v>
      </c>
    </row>
    <row r="7524" spans="1:6">
      <c r="A7524" s="888">
        <v>378</v>
      </c>
      <c r="B7524" s="888" t="s">
        <v>1205</v>
      </c>
      <c r="C7524" s="888" t="s">
        <v>3429</v>
      </c>
      <c r="D7524" s="889">
        <v>46054</v>
      </c>
      <c r="E7524" s="888" t="s">
        <v>310</v>
      </c>
      <c r="F7524" s="888" t="s">
        <v>310</v>
      </c>
    </row>
    <row r="7525" spans="1:6">
      <c r="A7525" s="888">
        <v>379</v>
      </c>
      <c r="B7525" s="888" t="s">
        <v>1206</v>
      </c>
      <c r="C7525" s="888" t="s">
        <v>1717</v>
      </c>
      <c r="D7525" s="889">
        <v>46023</v>
      </c>
      <c r="E7525" s="888" t="s">
        <v>310</v>
      </c>
      <c r="F7525" s="888" t="s">
        <v>310</v>
      </c>
    </row>
    <row r="7526" spans="1:6">
      <c r="A7526" s="888">
        <v>379</v>
      </c>
      <c r="B7526" s="888" t="s">
        <v>1206</v>
      </c>
      <c r="C7526" s="888" t="s">
        <v>1717</v>
      </c>
      <c r="D7526" s="889">
        <v>46024</v>
      </c>
      <c r="E7526" s="888" t="s">
        <v>310</v>
      </c>
      <c r="F7526" s="888" t="s">
        <v>310</v>
      </c>
    </row>
    <row r="7527" spans="1:6">
      <c r="A7527" s="888">
        <v>379</v>
      </c>
      <c r="B7527" s="888" t="s">
        <v>1206</v>
      </c>
      <c r="C7527" s="888" t="s">
        <v>1717</v>
      </c>
      <c r="D7527" s="889">
        <v>46025</v>
      </c>
      <c r="E7527" s="888" t="s">
        <v>310</v>
      </c>
      <c r="F7527" s="888" t="s">
        <v>310</v>
      </c>
    </row>
    <row r="7528" spans="1:6">
      <c r="A7528" s="888">
        <v>379</v>
      </c>
      <c r="B7528" s="888" t="s">
        <v>1206</v>
      </c>
      <c r="C7528" s="888" t="s">
        <v>1717</v>
      </c>
      <c r="D7528" s="889">
        <v>46026</v>
      </c>
      <c r="E7528" s="888" t="s">
        <v>310</v>
      </c>
      <c r="F7528" s="888" t="s">
        <v>310</v>
      </c>
    </row>
    <row r="7529" spans="1:6">
      <c r="A7529" s="888">
        <v>379</v>
      </c>
      <c r="B7529" s="888" t="s">
        <v>1206</v>
      </c>
      <c r="C7529" s="888" t="s">
        <v>1717</v>
      </c>
      <c r="D7529" s="889">
        <v>46027</v>
      </c>
      <c r="E7529" s="890">
        <v>0.36326388888888889</v>
      </c>
      <c r="F7529" s="890">
        <v>0.76188657407407412</v>
      </c>
    </row>
    <row r="7530" spans="1:6">
      <c r="A7530" s="888" t="s">
        <v>5489</v>
      </c>
      <c r="B7530" s="888" t="s">
        <v>5490</v>
      </c>
      <c r="C7530" s="888" t="s">
        <v>1383</v>
      </c>
    </row>
    <row r="7531" spans="1:6">
      <c r="A7531" s="888">
        <v>379</v>
      </c>
      <c r="B7531" s="888" t="s">
        <v>1206</v>
      </c>
      <c r="C7531" s="888" t="s">
        <v>1717</v>
      </c>
      <c r="D7531" s="889">
        <v>46028</v>
      </c>
      <c r="E7531" s="890">
        <v>0.35832175925925924</v>
      </c>
      <c r="F7531" s="890">
        <v>0.75905092592592593</v>
      </c>
    </row>
    <row r="7532" spans="1:6">
      <c r="A7532" s="888" t="s">
        <v>5491</v>
      </c>
      <c r="B7532" s="888" t="s">
        <v>5492</v>
      </c>
      <c r="C7532" s="888" t="s">
        <v>1378</v>
      </c>
    </row>
    <row r="7533" spans="1:6">
      <c r="A7533" s="888">
        <v>379</v>
      </c>
      <c r="B7533" s="888" t="s">
        <v>1206</v>
      </c>
      <c r="C7533" s="888" t="s">
        <v>1717</v>
      </c>
      <c r="D7533" s="889">
        <v>46029</v>
      </c>
      <c r="E7533" s="890">
        <v>0.35681712962962964</v>
      </c>
      <c r="F7533" s="890">
        <v>0.75660879629629629</v>
      </c>
    </row>
    <row r="7534" spans="1:6">
      <c r="A7534" s="888" t="s">
        <v>5493</v>
      </c>
      <c r="B7534" s="888" t="s">
        <v>5494</v>
      </c>
      <c r="C7534" s="888" t="s">
        <v>1526</v>
      </c>
    </row>
    <row r="7535" spans="1:6">
      <c r="A7535" s="888">
        <v>379</v>
      </c>
      <c r="B7535" s="888" t="s">
        <v>1206</v>
      </c>
      <c r="C7535" s="888" t="s">
        <v>1717</v>
      </c>
      <c r="D7535" s="889">
        <v>46030</v>
      </c>
      <c r="E7535" s="890">
        <v>0.33603009259259259</v>
      </c>
      <c r="F7535" s="890">
        <v>0.76238425925925923</v>
      </c>
    </row>
    <row r="7536" spans="1:6">
      <c r="A7536" s="888" t="s">
        <v>5495</v>
      </c>
      <c r="B7536" s="888" t="s">
        <v>5496</v>
      </c>
      <c r="C7536" s="888" t="s">
        <v>2288</v>
      </c>
    </row>
    <row r="7537" spans="1:6">
      <c r="A7537" s="888">
        <v>379</v>
      </c>
      <c r="B7537" s="888" t="s">
        <v>1206</v>
      </c>
      <c r="C7537" s="888" t="s">
        <v>1717</v>
      </c>
      <c r="D7537" s="889">
        <v>46031</v>
      </c>
      <c r="E7537" s="890">
        <v>0.34894675925925928</v>
      </c>
      <c r="F7537" s="890">
        <v>0.78395833333333331</v>
      </c>
    </row>
    <row r="7538" spans="1:6">
      <c r="A7538" s="888" t="s">
        <v>5497</v>
      </c>
      <c r="B7538" s="888" t="s">
        <v>5498</v>
      </c>
      <c r="C7538" s="888" t="s">
        <v>1895</v>
      </c>
    </row>
    <row r="7539" spans="1:6">
      <c r="A7539" s="888">
        <v>379</v>
      </c>
      <c r="B7539" s="888" t="s">
        <v>1206</v>
      </c>
      <c r="C7539" s="888" t="s">
        <v>1717</v>
      </c>
      <c r="D7539" s="889">
        <v>46032</v>
      </c>
      <c r="E7539" s="890">
        <v>0.36325231481481479</v>
      </c>
      <c r="F7539" s="890">
        <v>0.75178240740740743</v>
      </c>
    </row>
    <row r="7540" spans="1:6">
      <c r="A7540" s="888" t="s">
        <v>5499</v>
      </c>
      <c r="B7540" s="888" t="s">
        <v>5500</v>
      </c>
      <c r="C7540" s="888" t="s">
        <v>1484</v>
      </c>
    </row>
    <row r="7541" spans="1:6">
      <c r="A7541" s="888">
        <v>379</v>
      </c>
      <c r="B7541" s="888" t="s">
        <v>1206</v>
      </c>
      <c r="C7541" s="888" t="s">
        <v>1717</v>
      </c>
      <c r="D7541" s="889">
        <v>46033</v>
      </c>
      <c r="E7541" s="888" t="s">
        <v>310</v>
      </c>
      <c r="F7541" s="888" t="s">
        <v>310</v>
      </c>
    </row>
    <row r="7542" spans="1:6">
      <c r="A7542" s="888">
        <v>379</v>
      </c>
      <c r="B7542" s="888" t="s">
        <v>1206</v>
      </c>
      <c r="C7542" s="888" t="s">
        <v>1717</v>
      </c>
      <c r="D7542" s="889">
        <v>46034</v>
      </c>
      <c r="E7542" s="890">
        <v>0.35237268518518516</v>
      </c>
      <c r="F7542" s="890">
        <v>0.83218749999999997</v>
      </c>
    </row>
    <row r="7543" spans="1:6">
      <c r="A7543" s="888" t="s">
        <v>5501</v>
      </c>
      <c r="B7543" s="888" t="s">
        <v>5502</v>
      </c>
      <c r="C7543" s="888" t="s">
        <v>4783</v>
      </c>
    </row>
    <row r="7544" spans="1:6">
      <c r="A7544" s="888">
        <v>379</v>
      </c>
      <c r="B7544" s="888" t="s">
        <v>1206</v>
      </c>
      <c r="C7544" s="888" t="s">
        <v>1717</v>
      </c>
      <c r="D7544" s="889">
        <v>46035</v>
      </c>
      <c r="E7544" s="890">
        <v>0.35844907407407406</v>
      </c>
      <c r="F7544" s="890">
        <v>0.75605324074074076</v>
      </c>
    </row>
    <row r="7545" spans="1:6">
      <c r="A7545" s="888" t="s">
        <v>5503</v>
      </c>
      <c r="B7545" s="888" t="s">
        <v>5504</v>
      </c>
      <c r="C7545" s="888" t="s">
        <v>1457</v>
      </c>
    </row>
    <row r="7546" spans="1:6">
      <c r="A7546" s="888">
        <v>379</v>
      </c>
      <c r="B7546" s="888" t="s">
        <v>1206</v>
      </c>
      <c r="C7546" s="888" t="s">
        <v>1717</v>
      </c>
      <c r="D7546" s="889">
        <v>46036</v>
      </c>
      <c r="E7546" s="890">
        <v>0.36651620370370369</v>
      </c>
      <c r="F7546" s="890">
        <v>0.75506944444444446</v>
      </c>
    </row>
    <row r="7547" spans="1:6">
      <c r="A7547" s="888" t="s">
        <v>5505</v>
      </c>
      <c r="B7547" s="888" t="s">
        <v>5506</v>
      </c>
      <c r="C7547" s="888" t="s">
        <v>2232</v>
      </c>
    </row>
    <row r="7548" spans="1:6">
      <c r="A7548" s="888">
        <v>379</v>
      </c>
      <c r="B7548" s="888" t="s">
        <v>1206</v>
      </c>
      <c r="C7548" s="888" t="s">
        <v>1717</v>
      </c>
      <c r="D7548" s="889">
        <v>46037</v>
      </c>
      <c r="E7548" s="890">
        <v>0.34680555555555553</v>
      </c>
      <c r="F7548" s="890">
        <v>0.75300925925925921</v>
      </c>
    </row>
    <row r="7549" spans="1:6">
      <c r="A7549" s="888" t="s">
        <v>5507</v>
      </c>
      <c r="B7549" s="888" t="s">
        <v>5508</v>
      </c>
      <c r="C7549" s="888" t="s">
        <v>1375</v>
      </c>
    </row>
    <row r="7550" spans="1:6">
      <c r="A7550" s="888">
        <v>379</v>
      </c>
      <c r="B7550" s="888" t="s">
        <v>1206</v>
      </c>
      <c r="C7550" s="888" t="s">
        <v>1717</v>
      </c>
      <c r="D7550" s="889">
        <v>46038</v>
      </c>
      <c r="E7550" s="890">
        <v>0.35289351851851852</v>
      </c>
      <c r="F7550" s="890">
        <v>0.76675925925925925</v>
      </c>
    </row>
    <row r="7551" spans="1:6">
      <c r="A7551" s="888" t="s">
        <v>5509</v>
      </c>
      <c r="B7551" s="888" t="s">
        <v>5510</v>
      </c>
      <c r="C7551" s="888" t="s">
        <v>1407</v>
      </c>
    </row>
    <row r="7552" spans="1:6">
      <c r="A7552" s="888">
        <v>379</v>
      </c>
      <c r="B7552" s="888" t="s">
        <v>1206</v>
      </c>
      <c r="C7552" s="888" t="s">
        <v>1717</v>
      </c>
      <c r="D7552" s="889">
        <v>46039</v>
      </c>
      <c r="E7552" s="888" t="s">
        <v>310</v>
      </c>
      <c r="F7552" s="888" t="s">
        <v>310</v>
      </c>
    </row>
    <row r="7553" spans="1:6">
      <c r="A7553" s="888">
        <v>379</v>
      </c>
      <c r="B7553" s="888" t="s">
        <v>1206</v>
      </c>
      <c r="C7553" s="888" t="s">
        <v>1717</v>
      </c>
      <c r="D7553" s="889">
        <v>46040</v>
      </c>
      <c r="E7553" s="888" t="s">
        <v>310</v>
      </c>
      <c r="F7553" s="888" t="s">
        <v>310</v>
      </c>
    </row>
    <row r="7554" spans="1:6">
      <c r="A7554" s="888">
        <v>379</v>
      </c>
      <c r="B7554" s="888" t="s">
        <v>1206</v>
      </c>
      <c r="C7554" s="888" t="s">
        <v>1717</v>
      </c>
      <c r="D7554" s="889">
        <v>46041</v>
      </c>
      <c r="E7554" s="890">
        <v>0.33406249999999998</v>
      </c>
      <c r="F7554" s="890">
        <v>0.76432870370370365</v>
      </c>
    </row>
    <row r="7555" spans="1:6">
      <c r="A7555" s="888" t="s">
        <v>5511</v>
      </c>
      <c r="B7555" s="888" t="s">
        <v>5512</v>
      </c>
      <c r="C7555" s="888" t="s">
        <v>3007</v>
      </c>
    </row>
    <row r="7556" spans="1:6">
      <c r="A7556" s="888">
        <v>379</v>
      </c>
      <c r="B7556" s="888" t="s">
        <v>1206</v>
      </c>
      <c r="C7556" s="888" t="s">
        <v>1717</v>
      </c>
      <c r="D7556" s="889">
        <v>46042</v>
      </c>
      <c r="E7556" s="890">
        <v>0.3590740740740741</v>
      </c>
      <c r="F7556" s="890">
        <v>0.75322916666666662</v>
      </c>
    </row>
    <row r="7557" spans="1:6">
      <c r="A7557" s="888" t="s">
        <v>5513</v>
      </c>
      <c r="B7557" s="888" t="s">
        <v>5514</v>
      </c>
      <c r="C7557" s="888" t="s">
        <v>1285</v>
      </c>
    </row>
    <row r="7558" spans="1:6">
      <c r="A7558" s="888">
        <v>379</v>
      </c>
      <c r="B7558" s="888" t="s">
        <v>1206</v>
      </c>
      <c r="C7558" s="888" t="s">
        <v>1717</v>
      </c>
      <c r="D7558" s="889">
        <v>46043</v>
      </c>
      <c r="E7558" s="890">
        <v>0.34234953703703702</v>
      </c>
      <c r="F7558" s="890">
        <v>0.75241898148148145</v>
      </c>
    </row>
    <row r="7559" spans="1:6">
      <c r="A7559" s="888" t="s">
        <v>5515</v>
      </c>
      <c r="B7559" s="888" t="s">
        <v>5516</v>
      </c>
      <c r="C7559" s="888" t="s">
        <v>2003</v>
      </c>
    </row>
    <row r="7560" spans="1:6">
      <c r="A7560" s="888">
        <v>379</v>
      </c>
      <c r="B7560" s="888" t="s">
        <v>1206</v>
      </c>
      <c r="C7560" s="888" t="s">
        <v>1717</v>
      </c>
      <c r="D7560" s="889">
        <v>46044</v>
      </c>
      <c r="E7560" s="890">
        <v>0.35453703703703704</v>
      </c>
      <c r="F7560" s="890">
        <v>0.75424768518518515</v>
      </c>
    </row>
    <row r="7561" spans="1:6">
      <c r="A7561" s="888" t="s">
        <v>5517</v>
      </c>
      <c r="B7561" s="888" t="s">
        <v>5518</v>
      </c>
      <c r="C7561" s="888" t="s">
        <v>1526</v>
      </c>
    </row>
    <row r="7562" spans="1:6">
      <c r="A7562" s="888">
        <v>379</v>
      </c>
      <c r="B7562" s="888" t="s">
        <v>1206</v>
      </c>
      <c r="C7562" s="888" t="s">
        <v>1717</v>
      </c>
      <c r="D7562" s="889">
        <v>46045</v>
      </c>
      <c r="E7562" s="890">
        <v>0.34674768518518517</v>
      </c>
      <c r="F7562" s="890">
        <v>0.75726851851851851</v>
      </c>
    </row>
    <row r="7563" spans="1:6">
      <c r="A7563" s="888" t="s">
        <v>5519</v>
      </c>
      <c r="B7563" s="888" t="s">
        <v>5520</v>
      </c>
      <c r="C7563" s="888" t="s">
        <v>2003</v>
      </c>
    </row>
    <row r="7564" spans="1:6">
      <c r="A7564" s="888">
        <v>379</v>
      </c>
      <c r="B7564" s="888" t="s">
        <v>1206</v>
      </c>
      <c r="C7564" s="888" t="s">
        <v>1717</v>
      </c>
      <c r="D7564" s="889">
        <v>46046</v>
      </c>
      <c r="E7564" s="888" t="s">
        <v>310</v>
      </c>
      <c r="F7564" s="888" t="s">
        <v>310</v>
      </c>
    </row>
    <row r="7565" spans="1:6">
      <c r="A7565" s="888">
        <v>379</v>
      </c>
      <c r="B7565" s="888" t="s">
        <v>1206</v>
      </c>
      <c r="C7565" s="888" t="s">
        <v>1717</v>
      </c>
      <c r="D7565" s="889">
        <v>46047</v>
      </c>
      <c r="E7565" s="888" t="s">
        <v>310</v>
      </c>
      <c r="F7565" s="888" t="s">
        <v>310</v>
      </c>
    </row>
    <row r="7566" spans="1:6">
      <c r="A7566" s="888">
        <v>379</v>
      </c>
      <c r="B7566" s="888" t="s">
        <v>1206</v>
      </c>
      <c r="C7566" s="888" t="s">
        <v>1717</v>
      </c>
      <c r="D7566" s="889">
        <v>46048</v>
      </c>
      <c r="E7566" s="890">
        <v>0.25284722222222222</v>
      </c>
      <c r="F7566" s="890">
        <v>0.83077546296296301</v>
      </c>
    </row>
    <row r="7567" spans="1:6">
      <c r="A7567" s="888" t="s">
        <v>5521</v>
      </c>
      <c r="B7567" s="888" t="s">
        <v>5522</v>
      </c>
      <c r="C7567" s="888" t="s">
        <v>5523</v>
      </c>
    </row>
    <row r="7568" spans="1:6">
      <c r="A7568" s="888">
        <v>379</v>
      </c>
      <c r="B7568" s="888" t="s">
        <v>1206</v>
      </c>
      <c r="C7568" s="888" t="s">
        <v>1717</v>
      </c>
      <c r="D7568" s="889">
        <v>46049</v>
      </c>
      <c r="E7568" s="890">
        <v>0.3532986111111111</v>
      </c>
      <c r="F7568" s="890">
        <v>0.66923611111111114</v>
      </c>
    </row>
    <row r="7569" spans="1:6">
      <c r="A7569" s="888" t="s">
        <v>5524</v>
      </c>
      <c r="B7569" s="888" t="s">
        <v>5525</v>
      </c>
      <c r="C7569" s="888" t="s">
        <v>4917</v>
      </c>
    </row>
    <row r="7570" spans="1:6">
      <c r="A7570" s="888">
        <v>379</v>
      </c>
      <c r="B7570" s="888" t="s">
        <v>1206</v>
      </c>
      <c r="C7570" s="888" t="s">
        <v>1717</v>
      </c>
      <c r="D7570" s="889">
        <v>46050</v>
      </c>
      <c r="E7570" s="890">
        <v>0.35215277777777776</v>
      </c>
      <c r="F7570" s="890">
        <v>0.7619097222222222</v>
      </c>
    </row>
    <row r="7571" spans="1:6">
      <c r="A7571" s="888" t="s">
        <v>5526</v>
      </c>
      <c r="B7571" s="888" t="s">
        <v>5527</v>
      </c>
      <c r="C7571" s="888" t="s">
        <v>1874</v>
      </c>
    </row>
    <row r="7572" spans="1:6">
      <c r="A7572" s="888">
        <v>379</v>
      </c>
      <c r="B7572" s="888" t="s">
        <v>1206</v>
      </c>
      <c r="C7572" s="888" t="s">
        <v>1717</v>
      </c>
      <c r="D7572" s="889">
        <v>46051</v>
      </c>
      <c r="E7572" s="890">
        <v>0.35878472222222224</v>
      </c>
      <c r="F7572" s="890">
        <v>0.78533564814814816</v>
      </c>
    </row>
    <row r="7573" spans="1:6">
      <c r="A7573" s="888" t="s">
        <v>5528</v>
      </c>
      <c r="B7573" s="888" t="s">
        <v>5529</v>
      </c>
      <c r="C7573" s="888" t="s">
        <v>2288</v>
      </c>
    </row>
    <row r="7574" spans="1:6">
      <c r="A7574" s="888">
        <v>379</v>
      </c>
      <c r="B7574" s="888" t="s">
        <v>1206</v>
      </c>
      <c r="C7574" s="888" t="s">
        <v>1717</v>
      </c>
      <c r="D7574" s="889">
        <v>46052</v>
      </c>
      <c r="E7574" s="890">
        <v>0.35275462962962961</v>
      </c>
      <c r="F7574" s="890">
        <v>0.75209490740740736</v>
      </c>
    </row>
    <row r="7575" spans="1:6">
      <c r="A7575" s="888" t="s">
        <v>5530</v>
      </c>
      <c r="B7575" s="888" t="s">
        <v>5531</v>
      </c>
      <c r="C7575" s="888" t="s">
        <v>1288</v>
      </c>
    </row>
    <row r="7576" spans="1:6">
      <c r="A7576" s="888">
        <v>379</v>
      </c>
      <c r="B7576" s="888" t="s">
        <v>1206</v>
      </c>
      <c r="C7576" s="888" t="s">
        <v>1717</v>
      </c>
      <c r="D7576" s="889">
        <v>46053</v>
      </c>
      <c r="E7576" s="890">
        <v>0.35912037037037037</v>
      </c>
      <c r="F7576" s="888" t="s">
        <v>310</v>
      </c>
    </row>
    <row r="7577" spans="1:6">
      <c r="A7577" s="888" t="s">
        <v>5532</v>
      </c>
      <c r="B7577" s="888" t="s">
        <v>1258</v>
      </c>
      <c r="C7577" s="888" t="s">
        <v>1259</v>
      </c>
    </row>
    <row r="7578" spans="1:6">
      <c r="A7578" s="888">
        <v>379</v>
      </c>
      <c r="B7578" s="888" t="s">
        <v>1206</v>
      </c>
      <c r="C7578" s="888" t="s">
        <v>1717</v>
      </c>
      <c r="D7578" s="889">
        <v>46054</v>
      </c>
      <c r="E7578" s="888" t="s">
        <v>310</v>
      </c>
      <c r="F7578" s="888" t="s">
        <v>310</v>
      </c>
    </row>
    <row r="7579" spans="1:6">
      <c r="A7579" s="888">
        <v>380</v>
      </c>
      <c r="B7579" s="888" t="s">
        <v>5533</v>
      </c>
      <c r="C7579" s="888" t="s">
        <v>1107</v>
      </c>
      <c r="D7579" s="889">
        <v>46023</v>
      </c>
      <c r="E7579" s="888" t="s">
        <v>310</v>
      </c>
      <c r="F7579" s="888" t="s">
        <v>310</v>
      </c>
    </row>
    <row r="7580" spans="1:6">
      <c r="A7580" s="888">
        <v>380</v>
      </c>
      <c r="B7580" s="888" t="s">
        <v>5533</v>
      </c>
      <c r="C7580" s="888" t="s">
        <v>1107</v>
      </c>
      <c r="D7580" s="889">
        <v>46024</v>
      </c>
      <c r="E7580" s="888" t="s">
        <v>310</v>
      </c>
      <c r="F7580" s="888" t="s">
        <v>310</v>
      </c>
    </row>
    <row r="7581" spans="1:6">
      <c r="A7581" s="888">
        <v>380</v>
      </c>
      <c r="B7581" s="888" t="s">
        <v>5533</v>
      </c>
      <c r="C7581" s="888" t="s">
        <v>1107</v>
      </c>
      <c r="D7581" s="889">
        <v>46025</v>
      </c>
      <c r="E7581" s="888" t="s">
        <v>310</v>
      </c>
      <c r="F7581" s="888" t="s">
        <v>310</v>
      </c>
    </row>
    <row r="7582" spans="1:6">
      <c r="A7582" s="888">
        <v>380</v>
      </c>
      <c r="B7582" s="888" t="s">
        <v>5533</v>
      </c>
      <c r="C7582" s="888" t="s">
        <v>1107</v>
      </c>
      <c r="D7582" s="889">
        <v>46026</v>
      </c>
      <c r="E7582" s="888" t="s">
        <v>310</v>
      </c>
      <c r="F7582" s="888" t="s">
        <v>310</v>
      </c>
    </row>
    <row r="7583" spans="1:6">
      <c r="A7583" s="888">
        <v>380</v>
      </c>
      <c r="B7583" s="888" t="s">
        <v>5533</v>
      </c>
      <c r="C7583" s="888" t="s">
        <v>1107</v>
      </c>
      <c r="D7583" s="889">
        <v>46027</v>
      </c>
      <c r="E7583" s="888" t="s">
        <v>310</v>
      </c>
      <c r="F7583" s="888" t="s">
        <v>310</v>
      </c>
    </row>
    <row r="7584" spans="1:6">
      <c r="A7584" s="888">
        <v>380</v>
      </c>
      <c r="B7584" s="888" t="s">
        <v>5533</v>
      </c>
      <c r="C7584" s="888" t="s">
        <v>1107</v>
      </c>
      <c r="D7584" s="889">
        <v>46028</v>
      </c>
      <c r="E7584" s="888" t="s">
        <v>310</v>
      </c>
      <c r="F7584" s="888" t="s">
        <v>310</v>
      </c>
    </row>
    <row r="7585" spans="1:6">
      <c r="A7585" s="888">
        <v>380</v>
      </c>
      <c r="B7585" s="888" t="s">
        <v>5533</v>
      </c>
      <c r="C7585" s="888" t="s">
        <v>1107</v>
      </c>
      <c r="D7585" s="889">
        <v>46029</v>
      </c>
      <c r="E7585" s="888" t="s">
        <v>310</v>
      </c>
      <c r="F7585" s="888" t="s">
        <v>310</v>
      </c>
    </row>
    <row r="7586" spans="1:6">
      <c r="A7586" s="888">
        <v>380</v>
      </c>
      <c r="B7586" s="888" t="s">
        <v>5533</v>
      </c>
      <c r="C7586" s="888" t="s">
        <v>1107</v>
      </c>
      <c r="D7586" s="889">
        <v>46030</v>
      </c>
      <c r="E7586" s="888" t="s">
        <v>310</v>
      </c>
      <c r="F7586" s="888" t="s">
        <v>310</v>
      </c>
    </row>
    <row r="7587" spans="1:6">
      <c r="A7587" s="888">
        <v>380</v>
      </c>
      <c r="B7587" s="888" t="s">
        <v>5533</v>
      </c>
      <c r="C7587" s="888" t="s">
        <v>1107</v>
      </c>
      <c r="D7587" s="889">
        <v>46031</v>
      </c>
      <c r="E7587" s="888" t="s">
        <v>310</v>
      </c>
      <c r="F7587" s="888" t="s">
        <v>310</v>
      </c>
    </row>
    <row r="7588" spans="1:6">
      <c r="A7588" s="888">
        <v>380</v>
      </c>
      <c r="B7588" s="888" t="s">
        <v>5533</v>
      </c>
      <c r="C7588" s="888" t="s">
        <v>1107</v>
      </c>
      <c r="D7588" s="889">
        <v>46032</v>
      </c>
      <c r="E7588" s="888" t="s">
        <v>310</v>
      </c>
      <c r="F7588" s="888" t="s">
        <v>310</v>
      </c>
    </row>
    <row r="7589" spans="1:6">
      <c r="A7589" s="888">
        <v>380</v>
      </c>
      <c r="B7589" s="888" t="s">
        <v>5533</v>
      </c>
      <c r="C7589" s="888" t="s">
        <v>1107</v>
      </c>
      <c r="D7589" s="889">
        <v>46033</v>
      </c>
      <c r="E7589" s="888" t="s">
        <v>310</v>
      </c>
      <c r="F7589" s="888" t="s">
        <v>310</v>
      </c>
    </row>
    <row r="7590" spans="1:6">
      <c r="A7590" s="888">
        <v>380</v>
      </c>
      <c r="B7590" s="888" t="s">
        <v>5533</v>
      </c>
      <c r="C7590" s="888" t="s">
        <v>1107</v>
      </c>
      <c r="D7590" s="889">
        <v>46034</v>
      </c>
      <c r="E7590" s="888" t="s">
        <v>310</v>
      </c>
      <c r="F7590" s="888" t="s">
        <v>310</v>
      </c>
    </row>
    <row r="7591" spans="1:6">
      <c r="A7591" s="888">
        <v>380</v>
      </c>
      <c r="B7591" s="888" t="s">
        <v>5533</v>
      </c>
      <c r="C7591" s="888" t="s">
        <v>1107</v>
      </c>
      <c r="D7591" s="889">
        <v>46035</v>
      </c>
      <c r="E7591" s="888" t="s">
        <v>310</v>
      </c>
      <c r="F7591" s="888" t="s">
        <v>310</v>
      </c>
    </row>
    <row r="7592" spans="1:6">
      <c r="A7592" s="888">
        <v>380</v>
      </c>
      <c r="B7592" s="888" t="s">
        <v>5533</v>
      </c>
      <c r="C7592" s="888" t="s">
        <v>1107</v>
      </c>
      <c r="D7592" s="889">
        <v>46036</v>
      </c>
      <c r="E7592" s="888" t="s">
        <v>310</v>
      </c>
      <c r="F7592" s="888" t="s">
        <v>310</v>
      </c>
    </row>
    <row r="7593" spans="1:6">
      <c r="A7593" s="888">
        <v>380</v>
      </c>
      <c r="B7593" s="888" t="s">
        <v>5533</v>
      </c>
      <c r="C7593" s="888" t="s">
        <v>1107</v>
      </c>
      <c r="D7593" s="889">
        <v>46037</v>
      </c>
      <c r="E7593" s="888" t="s">
        <v>310</v>
      </c>
      <c r="F7593" s="888" t="s">
        <v>310</v>
      </c>
    </row>
    <row r="7594" spans="1:6">
      <c r="A7594" s="888">
        <v>380</v>
      </c>
      <c r="B7594" s="888" t="s">
        <v>5533</v>
      </c>
      <c r="C7594" s="888" t="s">
        <v>1107</v>
      </c>
      <c r="D7594" s="889">
        <v>46038</v>
      </c>
      <c r="E7594" s="888" t="s">
        <v>310</v>
      </c>
      <c r="F7594" s="888" t="s">
        <v>310</v>
      </c>
    </row>
    <row r="7595" spans="1:6">
      <c r="A7595" s="888">
        <v>380</v>
      </c>
      <c r="B7595" s="888" t="s">
        <v>5533</v>
      </c>
      <c r="C7595" s="888" t="s">
        <v>1107</v>
      </c>
      <c r="D7595" s="889">
        <v>46039</v>
      </c>
      <c r="E7595" s="888" t="s">
        <v>310</v>
      </c>
      <c r="F7595" s="888" t="s">
        <v>310</v>
      </c>
    </row>
    <row r="7596" spans="1:6">
      <c r="A7596" s="888">
        <v>380</v>
      </c>
      <c r="B7596" s="888" t="s">
        <v>5533</v>
      </c>
      <c r="C7596" s="888" t="s">
        <v>1107</v>
      </c>
      <c r="D7596" s="889">
        <v>46040</v>
      </c>
      <c r="E7596" s="888" t="s">
        <v>310</v>
      </c>
      <c r="F7596" s="888" t="s">
        <v>310</v>
      </c>
    </row>
    <row r="7597" spans="1:6">
      <c r="A7597" s="888">
        <v>380</v>
      </c>
      <c r="B7597" s="888" t="s">
        <v>5533</v>
      </c>
      <c r="C7597" s="888" t="s">
        <v>1107</v>
      </c>
      <c r="D7597" s="889">
        <v>46041</v>
      </c>
      <c r="E7597" s="888" t="s">
        <v>310</v>
      </c>
      <c r="F7597" s="888" t="s">
        <v>310</v>
      </c>
    </row>
    <row r="7598" spans="1:6">
      <c r="A7598" s="888">
        <v>380</v>
      </c>
      <c r="B7598" s="888" t="s">
        <v>5533</v>
      </c>
      <c r="C7598" s="888" t="s">
        <v>1107</v>
      </c>
      <c r="D7598" s="889">
        <v>46042</v>
      </c>
      <c r="E7598" s="888" t="s">
        <v>310</v>
      </c>
      <c r="F7598" s="888" t="s">
        <v>310</v>
      </c>
    </row>
    <row r="7599" spans="1:6">
      <c r="A7599" s="888">
        <v>380</v>
      </c>
      <c r="B7599" s="888" t="s">
        <v>5533</v>
      </c>
      <c r="C7599" s="888" t="s">
        <v>1107</v>
      </c>
      <c r="D7599" s="889">
        <v>46043</v>
      </c>
      <c r="E7599" s="888" t="s">
        <v>310</v>
      </c>
      <c r="F7599" s="888" t="s">
        <v>310</v>
      </c>
    </row>
    <row r="7600" spans="1:6">
      <c r="A7600" s="888">
        <v>380</v>
      </c>
      <c r="B7600" s="888" t="s">
        <v>5533</v>
      </c>
      <c r="C7600" s="888" t="s">
        <v>1107</v>
      </c>
      <c r="D7600" s="889">
        <v>46044</v>
      </c>
      <c r="E7600" s="888" t="s">
        <v>310</v>
      </c>
      <c r="F7600" s="888" t="s">
        <v>310</v>
      </c>
    </row>
    <row r="7601" spans="1:6">
      <c r="A7601" s="888">
        <v>380</v>
      </c>
      <c r="B7601" s="888" t="s">
        <v>5533</v>
      </c>
      <c r="C7601" s="888" t="s">
        <v>1107</v>
      </c>
      <c r="D7601" s="889">
        <v>46045</v>
      </c>
      <c r="E7601" s="888" t="s">
        <v>310</v>
      </c>
      <c r="F7601" s="888" t="s">
        <v>310</v>
      </c>
    </row>
    <row r="7602" spans="1:6">
      <c r="A7602" s="888">
        <v>380</v>
      </c>
      <c r="B7602" s="888" t="s">
        <v>5533</v>
      </c>
      <c r="C7602" s="888" t="s">
        <v>1107</v>
      </c>
      <c r="D7602" s="889">
        <v>46046</v>
      </c>
      <c r="E7602" s="888" t="s">
        <v>310</v>
      </c>
      <c r="F7602" s="888" t="s">
        <v>310</v>
      </c>
    </row>
    <row r="7603" spans="1:6">
      <c r="A7603" s="888">
        <v>380</v>
      </c>
      <c r="B7603" s="888" t="s">
        <v>5533</v>
      </c>
      <c r="C7603" s="888" t="s">
        <v>1107</v>
      </c>
      <c r="D7603" s="889">
        <v>46047</v>
      </c>
      <c r="E7603" s="888" t="s">
        <v>310</v>
      </c>
      <c r="F7603" s="888" t="s">
        <v>310</v>
      </c>
    </row>
    <row r="7604" spans="1:6">
      <c r="A7604" s="888">
        <v>380</v>
      </c>
      <c r="B7604" s="888" t="s">
        <v>5533</v>
      </c>
      <c r="C7604" s="888" t="s">
        <v>1107</v>
      </c>
      <c r="D7604" s="889">
        <v>46048</v>
      </c>
      <c r="E7604" s="888" t="s">
        <v>310</v>
      </c>
      <c r="F7604" s="888" t="s">
        <v>310</v>
      </c>
    </row>
    <row r="7605" spans="1:6">
      <c r="A7605" s="888">
        <v>380</v>
      </c>
      <c r="B7605" s="888" t="s">
        <v>5533</v>
      </c>
      <c r="C7605" s="888" t="s">
        <v>1107</v>
      </c>
      <c r="D7605" s="889">
        <v>46049</v>
      </c>
      <c r="E7605" s="888" t="s">
        <v>310</v>
      </c>
      <c r="F7605" s="888" t="s">
        <v>310</v>
      </c>
    </row>
    <row r="7606" spans="1:6">
      <c r="A7606" s="888">
        <v>380</v>
      </c>
      <c r="B7606" s="888" t="s">
        <v>5533</v>
      </c>
      <c r="C7606" s="888" t="s">
        <v>1107</v>
      </c>
      <c r="D7606" s="889">
        <v>46050</v>
      </c>
      <c r="E7606" s="888" t="s">
        <v>310</v>
      </c>
      <c r="F7606" s="888" t="s">
        <v>310</v>
      </c>
    </row>
    <row r="7607" spans="1:6">
      <c r="A7607" s="888">
        <v>380</v>
      </c>
      <c r="B7607" s="888" t="s">
        <v>5533</v>
      </c>
      <c r="C7607" s="888" t="s">
        <v>1107</v>
      </c>
      <c r="D7607" s="889">
        <v>46051</v>
      </c>
      <c r="E7607" s="888" t="s">
        <v>310</v>
      </c>
      <c r="F7607" s="888" t="s">
        <v>310</v>
      </c>
    </row>
    <row r="7608" spans="1:6">
      <c r="A7608" s="888">
        <v>380</v>
      </c>
      <c r="B7608" s="888" t="s">
        <v>5533</v>
      </c>
      <c r="C7608" s="888" t="s">
        <v>1107</v>
      </c>
      <c r="D7608" s="889">
        <v>46052</v>
      </c>
      <c r="E7608" s="888" t="s">
        <v>310</v>
      </c>
      <c r="F7608" s="888" t="s">
        <v>310</v>
      </c>
    </row>
    <row r="7609" spans="1:6">
      <c r="A7609" s="888">
        <v>380</v>
      </c>
      <c r="B7609" s="888" t="s">
        <v>5533</v>
      </c>
      <c r="C7609" s="888" t="s">
        <v>1107</v>
      </c>
      <c r="D7609" s="889">
        <v>46053</v>
      </c>
      <c r="E7609" s="888" t="s">
        <v>310</v>
      </c>
      <c r="F7609" s="888" t="s">
        <v>310</v>
      </c>
    </row>
    <row r="7610" spans="1:6">
      <c r="A7610" s="888">
        <v>380</v>
      </c>
      <c r="B7610" s="888" t="s">
        <v>5533</v>
      </c>
      <c r="C7610" s="888" t="s">
        <v>1107</v>
      </c>
      <c r="D7610" s="889">
        <v>46054</v>
      </c>
      <c r="E7610" s="888" t="s">
        <v>310</v>
      </c>
      <c r="F7610" s="888" t="s">
        <v>310</v>
      </c>
    </row>
    <row r="7611" spans="1:6">
      <c r="A7611" s="888">
        <v>381</v>
      </c>
      <c r="B7611" s="888" t="s">
        <v>1092</v>
      </c>
      <c r="C7611" s="888" t="s">
        <v>1253</v>
      </c>
      <c r="D7611" s="889">
        <v>46023</v>
      </c>
      <c r="E7611" s="888" t="s">
        <v>310</v>
      </c>
      <c r="F7611" s="888" t="s">
        <v>310</v>
      </c>
    </row>
    <row r="7612" spans="1:6">
      <c r="A7612" s="888">
        <v>381</v>
      </c>
      <c r="B7612" s="888" t="s">
        <v>1092</v>
      </c>
      <c r="C7612" s="888" t="s">
        <v>1253</v>
      </c>
      <c r="D7612" s="889">
        <v>46024</v>
      </c>
      <c r="E7612" s="888" t="s">
        <v>310</v>
      </c>
      <c r="F7612" s="888" t="s">
        <v>310</v>
      </c>
    </row>
    <row r="7613" spans="1:6">
      <c r="A7613" s="888">
        <v>381</v>
      </c>
      <c r="B7613" s="888" t="s">
        <v>1092</v>
      </c>
      <c r="C7613" s="888" t="s">
        <v>1253</v>
      </c>
      <c r="D7613" s="889">
        <v>46025</v>
      </c>
      <c r="E7613" s="888" t="s">
        <v>310</v>
      </c>
      <c r="F7613" s="888" t="s">
        <v>310</v>
      </c>
    </row>
    <row r="7614" spans="1:6">
      <c r="A7614" s="888">
        <v>381</v>
      </c>
      <c r="B7614" s="888" t="s">
        <v>1092</v>
      </c>
      <c r="C7614" s="888" t="s">
        <v>1253</v>
      </c>
      <c r="D7614" s="889">
        <v>46026</v>
      </c>
      <c r="E7614" s="888" t="s">
        <v>310</v>
      </c>
      <c r="F7614" s="888" t="s">
        <v>310</v>
      </c>
    </row>
    <row r="7615" spans="1:6">
      <c r="A7615" s="888">
        <v>381</v>
      </c>
      <c r="B7615" s="888" t="s">
        <v>1092</v>
      </c>
      <c r="C7615" s="888" t="s">
        <v>1253</v>
      </c>
      <c r="D7615" s="889">
        <v>46027</v>
      </c>
      <c r="E7615" s="890">
        <v>0.37399305555555556</v>
      </c>
      <c r="F7615" s="890">
        <v>0.77035879629629633</v>
      </c>
    </row>
    <row r="7616" spans="1:6">
      <c r="A7616" s="888" t="s">
        <v>5534</v>
      </c>
      <c r="B7616" s="888" t="s">
        <v>5535</v>
      </c>
      <c r="C7616" s="888" t="s">
        <v>1452</v>
      </c>
    </row>
    <row r="7617" spans="1:6">
      <c r="A7617" s="888">
        <v>381</v>
      </c>
      <c r="B7617" s="888" t="s">
        <v>1092</v>
      </c>
      <c r="C7617" s="888" t="s">
        <v>1253</v>
      </c>
      <c r="D7617" s="889">
        <v>46028</v>
      </c>
      <c r="E7617" s="890">
        <v>0.35793981481481479</v>
      </c>
      <c r="F7617" s="890">
        <v>0.77673611111111107</v>
      </c>
    </row>
    <row r="7618" spans="1:6">
      <c r="A7618" s="888" t="s">
        <v>5536</v>
      </c>
      <c r="B7618" s="888" t="s">
        <v>5537</v>
      </c>
      <c r="C7618" s="888" t="s">
        <v>2030</v>
      </c>
    </row>
    <row r="7619" spans="1:6">
      <c r="A7619" s="888">
        <v>381</v>
      </c>
      <c r="B7619" s="888" t="s">
        <v>1092</v>
      </c>
      <c r="C7619" s="888" t="s">
        <v>1253</v>
      </c>
      <c r="D7619" s="889">
        <v>46029</v>
      </c>
      <c r="E7619" s="890">
        <v>0.36399305555555556</v>
      </c>
      <c r="F7619" s="890">
        <v>0.76453703703703701</v>
      </c>
    </row>
    <row r="7620" spans="1:6">
      <c r="A7620" s="888" t="s">
        <v>5538</v>
      </c>
      <c r="B7620" s="888" t="s">
        <v>5539</v>
      </c>
      <c r="C7620" s="888" t="s">
        <v>1378</v>
      </c>
    </row>
    <row r="7621" spans="1:6">
      <c r="A7621" s="888">
        <v>381</v>
      </c>
      <c r="B7621" s="888" t="s">
        <v>1092</v>
      </c>
      <c r="C7621" s="888" t="s">
        <v>1253</v>
      </c>
      <c r="D7621" s="889">
        <v>46030</v>
      </c>
      <c r="E7621" s="890">
        <v>0.36221064814814813</v>
      </c>
      <c r="F7621" s="890">
        <v>0.78667824074074078</v>
      </c>
    </row>
    <row r="7622" spans="1:6">
      <c r="A7622" s="888" t="s">
        <v>5540</v>
      </c>
      <c r="B7622" s="888" t="s">
        <v>5541</v>
      </c>
      <c r="C7622" s="888" t="s">
        <v>1393</v>
      </c>
    </row>
    <row r="7623" spans="1:6">
      <c r="A7623" s="888">
        <v>381</v>
      </c>
      <c r="B7623" s="888" t="s">
        <v>1092</v>
      </c>
      <c r="C7623" s="888" t="s">
        <v>1253</v>
      </c>
      <c r="D7623" s="889">
        <v>46031</v>
      </c>
      <c r="E7623" s="890">
        <v>0.56592592592592594</v>
      </c>
      <c r="F7623" s="890">
        <v>0.77047453703703705</v>
      </c>
    </row>
    <row r="7624" spans="1:6">
      <c r="A7624" s="888" t="s">
        <v>5542</v>
      </c>
      <c r="B7624" s="888" t="s">
        <v>5543</v>
      </c>
      <c r="C7624" s="888" t="s">
        <v>5544</v>
      </c>
    </row>
    <row r="7625" spans="1:6">
      <c r="A7625" s="888">
        <v>381</v>
      </c>
      <c r="B7625" s="888" t="s">
        <v>1092</v>
      </c>
      <c r="C7625" s="888" t="s">
        <v>1253</v>
      </c>
      <c r="D7625" s="889">
        <v>46032</v>
      </c>
      <c r="E7625" s="888" t="s">
        <v>310</v>
      </c>
      <c r="F7625" s="888" t="s">
        <v>310</v>
      </c>
    </row>
    <row r="7626" spans="1:6">
      <c r="A7626" s="888">
        <v>381</v>
      </c>
      <c r="B7626" s="888" t="s">
        <v>1092</v>
      </c>
      <c r="C7626" s="888" t="s">
        <v>1253</v>
      </c>
      <c r="D7626" s="889">
        <v>46033</v>
      </c>
      <c r="E7626" s="888" t="s">
        <v>310</v>
      </c>
      <c r="F7626" s="888" t="s">
        <v>310</v>
      </c>
    </row>
    <row r="7627" spans="1:6">
      <c r="A7627" s="888">
        <v>381</v>
      </c>
      <c r="B7627" s="888" t="s">
        <v>1092</v>
      </c>
      <c r="C7627" s="888" t="s">
        <v>1253</v>
      </c>
      <c r="D7627" s="889">
        <v>46034</v>
      </c>
      <c r="E7627" s="890">
        <v>0.36344907407407406</v>
      </c>
      <c r="F7627" s="890">
        <v>0.78024305555555551</v>
      </c>
    </row>
    <row r="7628" spans="1:6">
      <c r="A7628" s="888" t="s">
        <v>5545</v>
      </c>
      <c r="B7628" s="888" t="s">
        <v>5546</v>
      </c>
      <c r="C7628" s="888" t="s">
        <v>1303</v>
      </c>
    </row>
    <row r="7629" spans="1:6">
      <c r="A7629" s="888">
        <v>381</v>
      </c>
      <c r="B7629" s="888" t="s">
        <v>1092</v>
      </c>
      <c r="C7629" s="888" t="s">
        <v>1253</v>
      </c>
      <c r="D7629" s="889">
        <v>46035</v>
      </c>
      <c r="E7629" s="890">
        <v>0.36631944444444442</v>
      </c>
      <c r="F7629" s="890">
        <v>0.7603819444444444</v>
      </c>
    </row>
    <row r="7630" spans="1:6">
      <c r="A7630" s="888" t="s">
        <v>5547</v>
      </c>
      <c r="B7630" s="888" t="s">
        <v>5548</v>
      </c>
      <c r="C7630" s="888" t="s">
        <v>1291</v>
      </c>
    </row>
    <row r="7631" spans="1:6">
      <c r="A7631" s="888">
        <v>381</v>
      </c>
      <c r="B7631" s="888" t="s">
        <v>1092</v>
      </c>
      <c r="C7631" s="888" t="s">
        <v>1253</v>
      </c>
      <c r="D7631" s="889">
        <v>46036</v>
      </c>
      <c r="E7631" s="890">
        <v>0.37771990740740741</v>
      </c>
      <c r="F7631" s="890">
        <v>0.78461805555555553</v>
      </c>
    </row>
    <row r="7632" spans="1:6">
      <c r="A7632" s="888" t="s">
        <v>5549</v>
      </c>
      <c r="B7632" s="888" t="s">
        <v>5550</v>
      </c>
      <c r="C7632" s="888" t="s">
        <v>1868</v>
      </c>
    </row>
    <row r="7633" spans="1:6">
      <c r="A7633" s="888">
        <v>381</v>
      </c>
      <c r="B7633" s="888" t="s">
        <v>1092</v>
      </c>
      <c r="C7633" s="888" t="s">
        <v>1253</v>
      </c>
      <c r="D7633" s="889">
        <v>46037</v>
      </c>
      <c r="E7633" s="890">
        <v>0.36531249999999998</v>
      </c>
      <c r="F7633" s="890">
        <v>0.75640046296296293</v>
      </c>
    </row>
    <row r="7634" spans="1:6">
      <c r="A7634" s="888" t="s">
        <v>5551</v>
      </c>
      <c r="B7634" s="888" t="s">
        <v>5552</v>
      </c>
      <c r="C7634" s="888" t="s">
        <v>1437</v>
      </c>
    </row>
    <row r="7635" spans="1:6">
      <c r="A7635" s="888">
        <v>381</v>
      </c>
      <c r="B7635" s="888" t="s">
        <v>1092</v>
      </c>
      <c r="C7635" s="888" t="s">
        <v>1253</v>
      </c>
      <c r="D7635" s="889">
        <v>46038</v>
      </c>
      <c r="E7635" s="890">
        <v>0.56563657407407408</v>
      </c>
      <c r="F7635" s="890">
        <v>0.76033564814814814</v>
      </c>
    </row>
    <row r="7636" spans="1:6">
      <c r="A7636" s="888" t="s">
        <v>5553</v>
      </c>
      <c r="B7636" s="888" t="s">
        <v>5554</v>
      </c>
      <c r="C7636" s="888" t="s">
        <v>4451</v>
      </c>
    </row>
    <row r="7637" spans="1:6">
      <c r="A7637" s="888">
        <v>381</v>
      </c>
      <c r="B7637" s="888" t="s">
        <v>1092</v>
      </c>
      <c r="C7637" s="888" t="s">
        <v>1253</v>
      </c>
      <c r="D7637" s="889">
        <v>46039</v>
      </c>
      <c r="E7637" s="888" t="s">
        <v>310</v>
      </c>
      <c r="F7637" s="888" t="s">
        <v>310</v>
      </c>
    </row>
    <row r="7638" spans="1:6">
      <c r="A7638" s="888">
        <v>381</v>
      </c>
      <c r="B7638" s="888" t="s">
        <v>1092</v>
      </c>
      <c r="C7638" s="888" t="s">
        <v>1253</v>
      </c>
      <c r="D7638" s="889">
        <v>46040</v>
      </c>
      <c r="E7638" s="888" t="s">
        <v>310</v>
      </c>
      <c r="F7638" s="888" t="s">
        <v>310</v>
      </c>
    </row>
    <row r="7639" spans="1:6">
      <c r="A7639" s="888">
        <v>381</v>
      </c>
      <c r="B7639" s="888" t="s">
        <v>1092</v>
      </c>
      <c r="C7639" s="888" t="s">
        <v>1253</v>
      </c>
      <c r="D7639" s="889">
        <v>46041</v>
      </c>
      <c r="E7639" s="890">
        <v>0.72203703703703703</v>
      </c>
      <c r="F7639" s="888" t="s">
        <v>310</v>
      </c>
    </row>
    <row r="7640" spans="1:6">
      <c r="A7640" s="888" t="s">
        <v>5555</v>
      </c>
      <c r="B7640" s="888" t="s">
        <v>1258</v>
      </c>
      <c r="C7640" s="888" t="s">
        <v>1259</v>
      </c>
    </row>
    <row r="7641" spans="1:6">
      <c r="A7641" s="888">
        <v>381</v>
      </c>
      <c r="B7641" s="888" t="s">
        <v>1092</v>
      </c>
      <c r="C7641" s="888" t="s">
        <v>1253</v>
      </c>
      <c r="D7641" s="889">
        <v>46042</v>
      </c>
      <c r="E7641" s="890">
        <v>0.36635416666666665</v>
      </c>
      <c r="F7641" s="890">
        <v>0.78673611111111108</v>
      </c>
    </row>
    <row r="7642" spans="1:6">
      <c r="A7642" s="888" t="s">
        <v>5556</v>
      </c>
      <c r="B7642" s="888" t="s">
        <v>5557</v>
      </c>
      <c r="C7642" s="888" t="s">
        <v>2639</v>
      </c>
    </row>
    <row r="7643" spans="1:6">
      <c r="A7643" s="888">
        <v>381</v>
      </c>
      <c r="B7643" s="888" t="s">
        <v>1092</v>
      </c>
      <c r="C7643" s="888" t="s">
        <v>1253</v>
      </c>
      <c r="D7643" s="889">
        <v>46043</v>
      </c>
      <c r="E7643" s="890">
        <v>0.36478009259259259</v>
      </c>
      <c r="F7643" s="890">
        <v>0.78746527777777775</v>
      </c>
    </row>
    <row r="7644" spans="1:6">
      <c r="A7644" s="888" t="s">
        <v>5558</v>
      </c>
      <c r="B7644" s="888" t="s">
        <v>5559</v>
      </c>
      <c r="C7644" s="888" t="s">
        <v>1729</v>
      </c>
    </row>
    <row r="7645" spans="1:6">
      <c r="A7645" s="888">
        <v>381</v>
      </c>
      <c r="B7645" s="888" t="s">
        <v>1092</v>
      </c>
      <c r="C7645" s="888" t="s">
        <v>1253</v>
      </c>
      <c r="D7645" s="889">
        <v>46044</v>
      </c>
      <c r="E7645" s="890">
        <v>0.37399305555555556</v>
      </c>
      <c r="F7645" s="890">
        <v>0.78605324074074079</v>
      </c>
    </row>
    <row r="7646" spans="1:6">
      <c r="A7646" s="888" t="s">
        <v>5560</v>
      </c>
      <c r="B7646" s="888" t="s">
        <v>5561</v>
      </c>
      <c r="C7646" s="888" t="s">
        <v>1369</v>
      </c>
    </row>
    <row r="7647" spans="1:6">
      <c r="A7647" s="888">
        <v>381</v>
      </c>
      <c r="B7647" s="888" t="s">
        <v>1092</v>
      </c>
      <c r="C7647" s="888" t="s">
        <v>1253</v>
      </c>
      <c r="D7647" s="889">
        <v>46045</v>
      </c>
      <c r="E7647" s="890">
        <v>0.38731481481481483</v>
      </c>
      <c r="F7647" s="890">
        <v>0.77144675925925921</v>
      </c>
    </row>
    <row r="7648" spans="1:6">
      <c r="A7648" s="888" t="s">
        <v>5562</v>
      </c>
      <c r="B7648" s="888" t="s">
        <v>5563</v>
      </c>
      <c r="C7648" s="888" t="s">
        <v>1742</v>
      </c>
    </row>
    <row r="7649" spans="1:6">
      <c r="A7649" s="888">
        <v>381</v>
      </c>
      <c r="B7649" s="888" t="s">
        <v>1092</v>
      </c>
      <c r="C7649" s="888" t="s">
        <v>1253</v>
      </c>
      <c r="D7649" s="889">
        <v>46046</v>
      </c>
      <c r="E7649" s="888" t="s">
        <v>310</v>
      </c>
      <c r="F7649" s="888" t="s">
        <v>310</v>
      </c>
    </row>
    <row r="7650" spans="1:6">
      <c r="A7650" s="888">
        <v>381</v>
      </c>
      <c r="B7650" s="888" t="s">
        <v>1092</v>
      </c>
      <c r="C7650" s="888" t="s">
        <v>1253</v>
      </c>
      <c r="D7650" s="889">
        <v>46047</v>
      </c>
      <c r="E7650" s="888" t="s">
        <v>310</v>
      </c>
      <c r="F7650" s="888" t="s">
        <v>310</v>
      </c>
    </row>
    <row r="7651" spans="1:6">
      <c r="A7651" s="888">
        <v>381</v>
      </c>
      <c r="B7651" s="888" t="s">
        <v>1092</v>
      </c>
      <c r="C7651" s="888" t="s">
        <v>1253</v>
      </c>
      <c r="D7651" s="889">
        <v>46048</v>
      </c>
      <c r="E7651" s="890">
        <v>0.37646990740740743</v>
      </c>
      <c r="F7651" s="890">
        <v>0.76025462962962964</v>
      </c>
    </row>
    <row r="7652" spans="1:6">
      <c r="A7652" s="888" t="s">
        <v>5564</v>
      </c>
      <c r="B7652" s="888" t="s">
        <v>5565</v>
      </c>
      <c r="C7652" s="888" t="s">
        <v>1742</v>
      </c>
    </row>
    <row r="7653" spans="1:6">
      <c r="A7653" s="888">
        <v>381</v>
      </c>
      <c r="B7653" s="888" t="s">
        <v>1092</v>
      </c>
      <c r="C7653" s="888" t="s">
        <v>1253</v>
      </c>
      <c r="D7653" s="889">
        <v>46049</v>
      </c>
      <c r="E7653" s="890">
        <v>0.3697685185185185</v>
      </c>
      <c r="F7653" s="890">
        <v>0.76591435185185186</v>
      </c>
    </row>
    <row r="7654" spans="1:6">
      <c r="A7654" s="888" t="s">
        <v>5566</v>
      </c>
      <c r="B7654" s="888" t="s">
        <v>5567</v>
      </c>
      <c r="C7654" s="888" t="s">
        <v>1404</v>
      </c>
    </row>
    <row r="7655" spans="1:6">
      <c r="A7655" s="888">
        <v>381</v>
      </c>
      <c r="B7655" s="888" t="s">
        <v>1092</v>
      </c>
      <c r="C7655" s="888" t="s">
        <v>1253</v>
      </c>
      <c r="D7655" s="889">
        <v>46050</v>
      </c>
      <c r="E7655" s="890">
        <v>0.37416666666666665</v>
      </c>
      <c r="F7655" s="890">
        <v>0.78651620370370368</v>
      </c>
    </row>
    <row r="7656" spans="1:6">
      <c r="A7656" s="888" t="s">
        <v>5568</v>
      </c>
      <c r="B7656" s="888" t="s">
        <v>5569</v>
      </c>
      <c r="C7656" s="888" t="s">
        <v>1816</v>
      </c>
    </row>
    <row r="7657" spans="1:6">
      <c r="A7657" s="888">
        <v>381</v>
      </c>
      <c r="B7657" s="888" t="s">
        <v>1092</v>
      </c>
      <c r="C7657" s="888" t="s">
        <v>1253</v>
      </c>
      <c r="D7657" s="889">
        <v>46051</v>
      </c>
      <c r="E7657" s="890">
        <v>0.78763888888888889</v>
      </c>
      <c r="F7657" s="888" t="s">
        <v>310</v>
      </c>
    </row>
    <row r="7658" spans="1:6">
      <c r="A7658" s="888" t="s">
        <v>5570</v>
      </c>
      <c r="B7658" s="888" t="s">
        <v>1258</v>
      </c>
      <c r="C7658" s="888" t="s">
        <v>1259</v>
      </c>
    </row>
    <row r="7659" spans="1:6">
      <c r="A7659" s="888">
        <v>381</v>
      </c>
      <c r="B7659" s="888" t="s">
        <v>1092</v>
      </c>
      <c r="C7659" s="888" t="s">
        <v>1253</v>
      </c>
      <c r="D7659" s="889">
        <v>46052</v>
      </c>
      <c r="E7659" s="890">
        <v>0.38094907407407408</v>
      </c>
      <c r="F7659" s="890">
        <v>0.78696759259259264</v>
      </c>
    </row>
    <row r="7660" spans="1:6">
      <c r="A7660" s="888" t="s">
        <v>5571</v>
      </c>
      <c r="B7660" s="888" t="s">
        <v>5572</v>
      </c>
      <c r="C7660" s="888" t="s">
        <v>1375</v>
      </c>
    </row>
    <row r="7661" spans="1:6">
      <c r="A7661" s="888">
        <v>381</v>
      </c>
      <c r="B7661" s="888" t="s">
        <v>1092</v>
      </c>
      <c r="C7661" s="888" t="s">
        <v>1253</v>
      </c>
      <c r="D7661" s="889">
        <v>46053</v>
      </c>
      <c r="E7661" s="888" t="s">
        <v>310</v>
      </c>
      <c r="F7661" s="888" t="s">
        <v>310</v>
      </c>
    </row>
    <row r="7662" spans="1:6">
      <c r="A7662" s="888">
        <v>381</v>
      </c>
      <c r="B7662" s="888" t="s">
        <v>1092</v>
      </c>
      <c r="C7662" s="888" t="s">
        <v>1253</v>
      </c>
      <c r="D7662" s="889">
        <v>46054</v>
      </c>
      <c r="E7662" s="888" t="s">
        <v>310</v>
      </c>
      <c r="F7662" s="888" t="s">
        <v>310</v>
      </c>
    </row>
    <row r="7663" spans="1:6">
      <c r="A7663" s="888">
        <v>382</v>
      </c>
      <c r="B7663" s="888" t="s">
        <v>1207</v>
      </c>
      <c r="C7663" s="888" t="s">
        <v>1468</v>
      </c>
      <c r="D7663" s="889">
        <v>46023</v>
      </c>
      <c r="E7663" s="888" t="s">
        <v>310</v>
      </c>
      <c r="F7663" s="888" t="s">
        <v>310</v>
      </c>
    </row>
    <row r="7664" spans="1:6">
      <c r="A7664" s="888">
        <v>382</v>
      </c>
      <c r="B7664" s="888" t="s">
        <v>1207</v>
      </c>
      <c r="C7664" s="888" t="s">
        <v>1468</v>
      </c>
      <c r="D7664" s="889">
        <v>46024</v>
      </c>
      <c r="E7664" s="888" t="s">
        <v>310</v>
      </c>
      <c r="F7664" s="888" t="s">
        <v>310</v>
      </c>
    </row>
    <row r="7665" spans="1:6">
      <c r="A7665" s="888">
        <v>382</v>
      </c>
      <c r="B7665" s="888" t="s">
        <v>1207</v>
      </c>
      <c r="C7665" s="888" t="s">
        <v>1468</v>
      </c>
      <c r="D7665" s="889">
        <v>46025</v>
      </c>
      <c r="E7665" s="888" t="s">
        <v>310</v>
      </c>
      <c r="F7665" s="888" t="s">
        <v>310</v>
      </c>
    </row>
    <row r="7666" spans="1:6">
      <c r="A7666" s="888">
        <v>382</v>
      </c>
      <c r="B7666" s="888" t="s">
        <v>1207</v>
      </c>
      <c r="C7666" s="888" t="s">
        <v>1468</v>
      </c>
      <c r="D7666" s="889">
        <v>46026</v>
      </c>
      <c r="E7666" s="888" t="s">
        <v>310</v>
      </c>
      <c r="F7666" s="888" t="s">
        <v>310</v>
      </c>
    </row>
    <row r="7667" spans="1:6">
      <c r="A7667" s="888">
        <v>382</v>
      </c>
      <c r="B7667" s="888" t="s">
        <v>1207</v>
      </c>
      <c r="C7667" s="888" t="s">
        <v>1468</v>
      </c>
      <c r="D7667" s="889">
        <v>46027</v>
      </c>
      <c r="E7667" s="890">
        <v>0.75124999999999997</v>
      </c>
      <c r="F7667" s="890">
        <v>0.75137731481481485</v>
      </c>
    </row>
    <row r="7668" spans="1:6">
      <c r="A7668" s="888" t="s">
        <v>5573</v>
      </c>
      <c r="B7668" s="888" t="s">
        <v>5574</v>
      </c>
      <c r="C7668" s="888" t="s">
        <v>1259</v>
      </c>
    </row>
    <row r="7669" spans="1:6">
      <c r="A7669" s="888">
        <v>382</v>
      </c>
      <c r="B7669" s="888" t="s">
        <v>1207</v>
      </c>
      <c r="C7669" s="888" t="s">
        <v>1468</v>
      </c>
      <c r="D7669" s="889">
        <v>46028</v>
      </c>
      <c r="E7669" s="888" t="s">
        <v>310</v>
      </c>
      <c r="F7669" s="888" t="s">
        <v>310</v>
      </c>
    </row>
    <row r="7670" spans="1:6">
      <c r="A7670" s="888">
        <v>382</v>
      </c>
      <c r="B7670" s="888" t="s">
        <v>1207</v>
      </c>
      <c r="C7670" s="888" t="s">
        <v>1468</v>
      </c>
      <c r="D7670" s="889">
        <v>46029</v>
      </c>
      <c r="E7670" s="890">
        <v>0.57635416666666661</v>
      </c>
      <c r="F7670" s="888" t="s">
        <v>310</v>
      </c>
    </row>
    <row r="7671" spans="1:6">
      <c r="A7671" s="888" t="s">
        <v>5575</v>
      </c>
      <c r="B7671" s="888" t="s">
        <v>1258</v>
      </c>
      <c r="C7671" s="888" t="s">
        <v>1259</v>
      </c>
    </row>
    <row r="7672" spans="1:6">
      <c r="A7672" s="888">
        <v>382</v>
      </c>
      <c r="B7672" s="888" t="s">
        <v>1207</v>
      </c>
      <c r="C7672" s="888" t="s">
        <v>1468</v>
      </c>
      <c r="D7672" s="889">
        <v>46030</v>
      </c>
      <c r="E7672" s="890">
        <v>0.67947916666666663</v>
      </c>
      <c r="F7672" s="890">
        <v>0.78616898148148151</v>
      </c>
    </row>
    <row r="7673" spans="1:6">
      <c r="A7673" s="888" t="s">
        <v>5576</v>
      </c>
      <c r="B7673" s="888" t="s">
        <v>5577</v>
      </c>
      <c r="C7673" s="888" t="s">
        <v>2444</v>
      </c>
    </row>
    <row r="7674" spans="1:6">
      <c r="A7674" s="888">
        <v>382</v>
      </c>
      <c r="B7674" s="888" t="s">
        <v>1207</v>
      </c>
      <c r="C7674" s="888" t="s">
        <v>1468</v>
      </c>
      <c r="D7674" s="889">
        <v>46031</v>
      </c>
      <c r="E7674" s="890">
        <v>0.73878472222222225</v>
      </c>
      <c r="F7674" s="890">
        <v>0.73884259259259255</v>
      </c>
    </row>
    <row r="7675" spans="1:6">
      <c r="A7675" s="888" t="s">
        <v>5578</v>
      </c>
      <c r="B7675" s="888" t="s">
        <v>5579</v>
      </c>
      <c r="C7675" s="888" t="s">
        <v>1259</v>
      </c>
    </row>
    <row r="7676" spans="1:6">
      <c r="A7676" s="888">
        <v>382</v>
      </c>
      <c r="B7676" s="888" t="s">
        <v>1207</v>
      </c>
      <c r="C7676" s="888" t="s">
        <v>1468</v>
      </c>
      <c r="D7676" s="889">
        <v>46032</v>
      </c>
      <c r="E7676" s="890">
        <v>0.59261574074074075</v>
      </c>
      <c r="F7676" s="890">
        <v>0.59277777777777774</v>
      </c>
    </row>
    <row r="7677" spans="1:6">
      <c r="A7677" s="888" t="s">
        <v>5580</v>
      </c>
      <c r="B7677" s="888" t="s">
        <v>5581</v>
      </c>
      <c r="C7677" s="888" t="s">
        <v>1259</v>
      </c>
    </row>
    <row r="7678" spans="1:6">
      <c r="A7678" s="888">
        <v>382</v>
      </c>
      <c r="B7678" s="888" t="s">
        <v>1207</v>
      </c>
      <c r="C7678" s="888" t="s">
        <v>1468</v>
      </c>
      <c r="D7678" s="889">
        <v>46033</v>
      </c>
      <c r="E7678" s="888" t="s">
        <v>310</v>
      </c>
      <c r="F7678" s="888" t="s">
        <v>310</v>
      </c>
    </row>
    <row r="7679" spans="1:6">
      <c r="A7679" s="888">
        <v>382</v>
      </c>
      <c r="B7679" s="888" t="s">
        <v>1207</v>
      </c>
      <c r="C7679" s="888" t="s">
        <v>1468</v>
      </c>
      <c r="D7679" s="889">
        <v>46034</v>
      </c>
      <c r="E7679" s="888" t="s">
        <v>310</v>
      </c>
      <c r="F7679" s="888" t="s">
        <v>310</v>
      </c>
    </row>
    <row r="7680" spans="1:6">
      <c r="A7680" s="888">
        <v>382</v>
      </c>
      <c r="B7680" s="888" t="s">
        <v>1207</v>
      </c>
      <c r="C7680" s="888" t="s">
        <v>1468</v>
      </c>
      <c r="D7680" s="889">
        <v>46035</v>
      </c>
      <c r="E7680" s="890">
        <v>0.34851851851851851</v>
      </c>
      <c r="F7680" s="890">
        <v>0.79557870370370365</v>
      </c>
    </row>
    <row r="7681" spans="1:6">
      <c r="A7681" s="888" t="s">
        <v>5582</v>
      </c>
      <c r="B7681" s="888" t="s">
        <v>5583</v>
      </c>
      <c r="C7681" s="888" t="s">
        <v>5584</v>
      </c>
    </row>
    <row r="7682" spans="1:6">
      <c r="A7682" s="888">
        <v>382</v>
      </c>
      <c r="B7682" s="888" t="s">
        <v>1207</v>
      </c>
      <c r="C7682" s="888" t="s">
        <v>1468</v>
      </c>
      <c r="D7682" s="889">
        <v>46036</v>
      </c>
      <c r="E7682" s="890">
        <v>0.36401620370370369</v>
      </c>
      <c r="F7682" s="890">
        <v>0.70839120370370368</v>
      </c>
    </row>
    <row r="7683" spans="1:6">
      <c r="A7683" s="888" t="s">
        <v>5585</v>
      </c>
      <c r="B7683" s="888" t="s">
        <v>5586</v>
      </c>
      <c r="C7683" s="888" t="s">
        <v>2418</v>
      </c>
    </row>
    <row r="7684" spans="1:6">
      <c r="A7684" s="888">
        <v>382</v>
      </c>
      <c r="B7684" s="888" t="s">
        <v>1207</v>
      </c>
      <c r="C7684" s="888" t="s">
        <v>1468</v>
      </c>
      <c r="D7684" s="889">
        <v>46037</v>
      </c>
      <c r="E7684" s="890">
        <v>0.31942129629629629</v>
      </c>
      <c r="F7684" s="890">
        <v>0.49233796296296295</v>
      </c>
    </row>
    <row r="7685" spans="1:6">
      <c r="A7685" s="888" t="s">
        <v>5587</v>
      </c>
      <c r="B7685" s="888" t="s">
        <v>5588</v>
      </c>
      <c r="C7685" s="888" t="s">
        <v>2327</v>
      </c>
    </row>
    <row r="7686" spans="1:6">
      <c r="A7686" s="888">
        <v>382</v>
      </c>
      <c r="B7686" s="888" t="s">
        <v>1207</v>
      </c>
      <c r="C7686" s="888" t="s">
        <v>1468</v>
      </c>
      <c r="D7686" s="889">
        <v>46038</v>
      </c>
      <c r="E7686" s="890">
        <v>0.47953703703703704</v>
      </c>
      <c r="F7686" s="890">
        <v>0.47974537037037035</v>
      </c>
    </row>
    <row r="7687" spans="1:6">
      <c r="A7687" s="888" t="s">
        <v>5589</v>
      </c>
      <c r="B7687" s="888" t="s">
        <v>5590</v>
      </c>
      <c r="C7687" s="888" t="s">
        <v>1259</v>
      </c>
    </row>
    <row r="7688" spans="1:6">
      <c r="A7688" s="888">
        <v>382</v>
      </c>
      <c r="B7688" s="888" t="s">
        <v>1207</v>
      </c>
      <c r="C7688" s="888" t="s">
        <v>1468</v>
      </c>
      <c r="D7688" s="889">
        <v>46039</v>
      </c>
      <c r="E7688" s="888" t="s">
        <v>310</v>
      </c>
      <c r="F7688" s="888" t="s">
        <v>310</v>
      </c>
    </row>
    <row r="7689" spans="1:6">
      <c r="A7689" s="888">
        <v>382</v>
      </c>
      <c r="B7689" s="888" t="s">
        <v>1207</v>
      </c>
      <c r="C7689" s="888" t="s">
        <v>1468</v>
      </c>
      <c r="D7689" s="889">
        <v>46040</v>
      </c>
      <c r="E7689" s="888" t="s">
        <v>310</v>
      </c>
      <c r="F7689" s="888" t="s">
        <v>310</v>
      </c>
    </row>
    <row r="7690" spans="1:6">
      <c r="A7690" s="888">
        <v>382</v>
      </c>
      <c r="B7690" s="888" t="s">
        <v>1207</v>
      </c>
      <c r="C7690" s="888" t="s">
        <v>1468</v>
      </c>
      <c r="D7690" s="889">
        <v>46041</v>
      </c>
      <c r="E7690" s="890">
        <v>0.55945601851851856</v>
      </c>
      <c r="F7690" s="890">
        <v>0.65042824074074079</v>
      </c>
    </row>
    <row r="7691" spans="1:6">
      <c r="A7691" s="888" t="s">
        <v>5591</v>
      </c>
      <c r="B7691" s="888" t="s">
        <v>5592</v>
      </c>
      <c r="C7691" s="888" t="s">
        <v>5593</v>
      </c>
    </row>
    <row r="7692" spans="1:6">
      <c r="A7692" s="888">
        <v>382</v>
      </c>
      <c r="B7692" s="888" t="s">
        <v>1207</v>
      </c>
      <c r="C7692" s="888" t="s">
        <v>1468</v>
      </c>
      <c r="D7692" s="889">
        <v>46042</v>
      </c>
      <c r="E7692" s="890">
        <v>0.51950231481481479</v>
      </c>
      <c r="F7692" s="888" t="s">
        <v>310</v>
      </c>
    </row>
    <row r="7693" spans="1:6">
      <c r="A7693" s="888" t="s">
        <v>5594</v>
      </c>
      <c r="B7693" s="888" t="s">
        <v>1258</v>
      </c>
      <c r="C7693" s="888" t="s">
        <v>1259</v>
      </c>
    </row>
    <row r="7694" spans="1:6">
      <c r="A7694" s="888">
        <v>382</v>
      </c>
      <c r="B7694" s="888" t="s">
        <v>1207</v>
      </c>
      <c r="C7694" s="888" t="s">
        <v>1468</v>
      </c>
      <c r="D7694" s="889">
        <v>46043</v>
      </c>
      <c r="E7694" s="890">
        <v>0.5759143518518518</v>
      </c>
      <c r="F7694" s="890">
        <v>0.57770833333333338</v>
      </c>
    </row>
    <row r="7695" spans="1:6">
      <c r="A7695" s="888" t="s">
        <v>5595</v>
      </c>
      <c r="B7695" s="888" t="s">
        <v>5596</v>
      </c>
      <c r="C7695" s="888" t="s">
        <v>5597</v>
      </c>
    </row>
    <row r="7696" spans="1:6">
      <c r="A7696" s="888">
        <v>382</v>
      </c>
      <c r="B7696" s="888" t="s">
        <v>1207</v>
      </c>
      <c r="C7696" s="888" t="s">
        <v>1468</v>
      </c>
      <c r="D7696" s="889">
        <v>46044</v>
      </c>
      <c r="E7696" s="888" t="s">
        <v>310</v>
      </c>
      <c r="F7696" s="888" t="s">
        <v>310</v>
      </c>
    </row>
    <row r="7697" spans="1:6">
      <c r="A7697" s="888">
        <v>382</v>
      </c>
      <c r="B7697" s="888" t="s">
        <v>1207</v>
      </c>
      <c r="C7697" s="888" t="s">
        <v>1468</v>
      </c>
      <c r="D7697" s="889">
        <v>46045</v>
      </c>
      <c r="E7697" s="888" t="s">
        <v>310</v>
      </c>
      <c r="F7697" s="888" t="s">
        <v>310</v>
      </c>
    </row>
    <row r="7698" spans="1:6">
      <c r="A7698" s="888">
        <v>382</v>
      </c>
      <c r="B7698" s="888" t="s">
        <v>1207</v>
      </c>
      <c r="C7698" s="888" t="s">
        <v>1468</v>
      </c>
      <c r="D7698" s="889">
        <v>46046</v>
      </c>
      <c r="E7698" s="888" t="s">
        <v>310</v>
      </c>
      <c r="F7698" s="888" t="s">
        <v>310</v>
      </c>
    </row>
    <row r="7699" spans="1:6">
      <c r="A7699" s="888">
        <v>382</v>
      </c>
      <c r="B7699" s="888" t="s">
        <v>1207</v>
      </c>
      <c r="C7699" s="888" t="s">
        <v>1468</v>
      </c>
      <c r="D7699" s="889">
        <v>46047</v>
      </c>
      <c r="E7699" s="888" t="s">
        <v>310</v>
      </c>
      <c r="F7699" s="888" t="s">
        <v>310</v>
      </c>
    </row>
    <row r="7700" spans="1:6">
      <c r="A7700" s="888">
        <v>382</v>
      </c>
      <c r="B7700" s="888" t="s">
        <v>1207</v>
      </c>
      <c r="C7700" s="888" t="s">
        <v>1468</v>
      </c>
      <c r="D7700" s="889">
        <v>46048</v>
      </c>
      <c r="E7700" s="890">
        <v>0.76459490740740743</v>
      </c>
      <c r="F7700" s="888" t="s">
        <v>310</v>
      </c>
    </row>
    <row r="7701" spans="1:6">
      <c r="A7701" s="888" t="s">
        <v>5598</v>
      </c>
      <c r="B7701" s="888" t="s">
        <v>1258</v>
      </c>
      <c r="C7701" s="888" t="s">
        <v>1259</v>
      </c>
    </row>
    <row r="7702" spans="1:6">
      <c r="A7702" s="888">
        <v>382</v>
      </c>
      <c r="B7702" s="888" t="s">
        <v>1207</v>
      </c>
      <c r="C7702" s="888" t="s">
        <v>1468</v>
      </c>
      <c r="D7702" s="889">
        <v>46049</v>
      </c>
      <c r="E7702" s="888" t="s">
        <v>310</v>
      </c>
      <c r="F7702" s="888" t="s">
        <v>310</v>
      </c>
    </row>
    <row r="7703" spans="1:6">
      <c r="A7703" s="888">
        <v>382</v>
      </c>
      <c r="B7703" s="888" t="s">
        <v>1207</v>
      </c>
      <c r="C7703" s="888" t="s">
        <v>1468</v>
      </c>
      <c r="D7703" s="889">
        <v>46050</v>
      </c>
      <c r="E7703" s="888" t="s">
        <v>310</v>
      </c>
      <c r="F7703" s="888" t="s">
        <v>310</v>
      </c>
    </row>
    <row r="7704" spans="1:6">
      <c r="A7704" s="888">
        <v>382</v>
      </c>
      <c r="B7704" s="888" t="s">
        <v>1207</v>
      </c>
      <c r="C7704" s="888" t="s">
        <v>1468</v>
      </c>
      <c r="D7704" s="889">
        <v>46051</v>
      </c>
      <c r="E7704" s="890">
        <v>0.74964120370370368</v>
      </c>
      <c r="F7704" s="890">
        <v>0.84054398148148146</v>
      </c>
    </row>
    <row r="7705" spans="1:6">
      <c r="A7705" s="888" t="s">
        <v>5599</v>
      </c>
      <c r="B7705" s="888" t="s">
        <v>5600</v>
      </c>
      <c r="C7705" s="888" t="s">
        <v>5593</v>
      </c>
    </row>
    <row r="7706" spans="1:6">
      <c r="A7706" s="888">
        <v>382</v>
      </c>
      <c r="B7706" s="888" t="s">
        <v>1207</v>
      </c>
      <c r="C7706" s="888" t="s">
        <v>1468</v>
      </c>
      <c r="D7706" s="889">
        <v>46052</v>
      </c>
      <c r="E7706" s="888" t="s">
        <v>310</v>
      </c>
      <c r="F7706" s="888" t="s">
        <v>310</v>
      </c>
    </row>
    <row r="7707" spans="1:6">
      <c r="A7707" s="888">
        <v>382</v>
      </c>
      <c r="B7707" s="888" t="s">
        <v>1207</v>
      </c>
      <c r="C7707" s="888" t="s">
        <v>1468</v>
      </c>
      <c r="D7707" s="889">
        <v>46053</v>
      </c>
      <c r="E7707" s="888" t="s">
        <v>310</v>
      </c>
      <c r="F7707" s="888" t="s">
        <v>310</v>
      </c>
    </row>
    <row r="7708" spans="1:6">
      <c r="A7708" s="888">
        <v>382</v>
      </c>
      <c r="B7708" s="888" t="s">
        <v>1207</v>
      </c>
      <c r="C7708" s="888" t="s">
        <v>1468</v>
      </c>
      <c r="D7708" s="889">
        <v>46054</v>
      </c>
      <c r="E7708" s="888" t="s">
        <v>310</v>
      </c>
      <c r="F7708" s="888" t="s">
        <v>310</v>
      </c>
    </row>
    <row r="7709" spans="1:6">
      <c r="A7709" s="888">
        <v>384</v>
      </c>
      <c r="B7709" s="888" t="s">
        <v>1136</v>
      </c>
      <c r="C7709" s="888" t="s">
        <v>2310</v>
      </c>
      <c r="D7709" s="889">
        <v>46023</v>
      </c>
      <c r="E7709" s="888" t="s">
        <v>310</v>
      </c>
      <c r="F7709" s="888" t="s">
        <v>310</v>
      </c>
    </row>
    <row r="7710" spans="1:6">
      <c r="A7710" s="888">
        <v>384</v>
      </c>
      <c r="B7710" s="888" t="s">
        <v>1136</v>
      </c>
      <c r="C7710" s="888" t="s">
        <v>2310</v>
      </c>
      <c r="D7710" s="889">
        <v>46024</v>
      </c>
      <c r="E7710" s="888" t="s">
        <v>310</v>
      </c>
      <c r="F7710" s="888" t="s">
        <v>310</v>
      </c>
    </row>
    <row r="7711" spans="1:6">
      <c r="A7711" s="888">
        <v>384</v>
      </c>
      <c r="B7711" s="888" t="s">
        <v>1136</v>
      </c>
      <c r="C7711" s="888" t="s">
        <v>2310</v>
      </c>
      <c r="D7711" s="889">
        <v>46025</v>
      </c>
      <c r="E7711" s="888" t="s">
        <v>310</v>
      </c>
      <c r="F7711" s="888" t="s">
        <v>310</v>
      </c>
    </row>
    <row r="7712" spans="1:6">
      <c r="A7712" s="888">
        <v>384</v>
      </c>
      <c r="B7712" s="888" t="s">
        <v>1136</v>
      </c>
      <c r="C7712" s="888" t="s">
        <v>2310</v>
      </c>
      <c r="D7712" s="889">
        <v>46026</v>
      </c>
      <c r="E7712" s="888" t="s">
        <v>310</v>
      </c>
      <c r="F7712" s="888" t="s">
        <v>310</v>
      </c>
    </row>
    <row r="7713" spans="1:6">
      <c r="A7713" s="888">
        <v>384</v>
      </c>
      <c r="B7713" s="888" t="s">
        <v>1136</v>
      </c>
      <c r="C7713" s="888" t="s">
        <v>2310</v>
      </c>
      <c r="D7713" s="889">
        <v>46027</v>
      </c>
      <c r="E7713" s="890">
        <v>0.35393518518518519</v>
      </c>
      <c r="F7713" s="890">
        <v>0.76277777777777778</v>
      </c>
    </row>
    <row r="7714" spans="1:6">
      <c r="A7714" s="888" t="s">
        <v>5601</v>
      </c>
      <c r="B7714" s="888" t="s">
        <v>5602</v>
      </c>
      <c r="C7714" s="888" t="s">
        <v>1372</v>
      </c>
    </row>
    <row r="7715" spans="1:6">
      <c r="A7715" s="888">
        <v>384</v>
      </c>
      <c r="B7715" s="888" t="s">
        <v>1136</v>
      </c>
      <c r="C7715" s="888" t="s">
        <v>2310</v>
      </c>
      <c r="D7715" s="889">
        <v>46028</v>
      </c>
      <c r="E7715" s="890">
        <v>0.40988425925925925</v>
      </c>
      <c r="F7715" s="890">
        <v>0.76228009259259255</v>
      </c>
    </row>
    <row r="7716" spans="1:6">
      <c r="A7716" s="888" t="s">
        <v>5603</v>
      </c>
      <c r="B7716" s="888" t="s">
        <v>5604</v>
      </c>
      <c r="C7716" s="888" t="s">
        <v>5605</v>
      </c>
    </row>
    <row r="7717" spans="1:6">
      <c r="A7717" s="888">
        <v>384</v>
      </c>
      <c r="B7717" s="888" t="s">
        <v>1136</v>
      </c>
      <c r="C7717" s="888" t="s">
        <v>2310</v>
      </c>
      <c r="D7717" s="889">
        <v>46029</v>
      </c>
      <c r="E7717" s="890">
        <v>0.36129629629629628</v>
      </c>
      <c r="F7717" s="890">
        <v>0.76495370370370375</v>
      </c>
    </row>
    <row r="7718" spans="1:6">
      <c r="A7718" s="888" t="s">
        <v>5606</v>
      </c>
      <c r="B7718" s="888" t="s">
        <v>5607</v>
      </c>
      <c r="C7718" s="888" t="s">
        <v>1363</v>
      </c>
    </row>
    <row r="7719" spans="1:6">
      <c r="A7719" s="888">
        <v>384</v>
      </c>
      <c r="B7719" s="888" t="s">
        <v>1136</v>
      </c>
      <c r="C7719" s="888" t="s">
        <v>2310</v>
      </c>
      <c r="D7719" s="889">
        <v>46030</v>
      </c>
      <c r="E7719" s="890">
        <v>0.36189814814814814</v>
      </c>
      <c r="F7719" s="890">
        <v>0.4956712962962963</v>
      </c>
    </row>
    <row r="7720" spans="1:6">
      <c r="A7720" s="888" t="s">
        <v>5608</v>
      </c>
      <c r="B7720" s="888" t="s">
        <v>5609</v>
      </c>
      <c r="C7720" s="888" t="s">
        <v>5610</v>
      </c>
    </row>
    <row r="7721" spans="1:6">
      <c r="A7721" s="888">
        <v>384</v>
      </c>
      <c r="B7721" s="888" t="s">
        <v>1136</v>
      </c>
      <c r="C7721" s="888" t="s">
        <v>2310</v>
      </c>
      <c r="D7721" s="889">
        <v>46031</v>
      </c>
      <c r="E7721" s="888" t="s">
        <v>310</v>
      </c>
      <c r="F7721" s="888" t="s">
        <v>310</v>
      </c>
    </row>
    <row r="7722" spans="1:6">
      <c r="A7722" s="888">
        <v>384</v>
      </c>
      <c r="B7722" s="888" t="s">
        <v>1136</v>
      </c>
      <c r="C7722" s="888" t="s">
        <v>2310</v>
      </c>
      <c r="D7722" s="889">
        <v>46032</v>
      </c>
      <c r="E7722" s="888" t="s">
        <v>310</v>
      </c>
      <c r="F7722" s="888" t="s">
        <v>310</v>
      </c>
    </row>
    <row r="7723" spans="1:6">
      <c r="A7723" s="888">
        <v>384</v>
      </c>
      <c r="B7723" s="888" t="s">
        <v>1136</v>
      </c>
      <c r="C7723" s="888" t="s">
        <v>2310</v>
      </c>
      <c r="D7723" s="889">
        <v>46033</v>
      </c>
      <c r="E7723" s="888" t="s">
        <v>310</v>
      </c>
      <c r="F7723" s="888" t="s">
        <v>310</v>
      </c>
    </row>
    <row r="7724" spans="1:6">
      <c r="A7724" s="888">
        <v>384</v>
      </c>
      <c r="B7724" s="888" t="s">
        <v>1136</v>
      </c>
      <c r="C7724" s="888" t="s">
        <v>2310</v>
      </c>
      <c r="D7724" s="889">
        <v>46034</v>
      </c>
      <c r="E7724" s="888" t="s">
        <v>310</v>
      </c>
      <c r="F7724" s="888" t="s">
        <v>310</v>
      </c>
    </row>
    <row r="7725" spans="1:6">
      <c r="A7725" s="888">
        <v>384</v>
      </c>
      <c r="B7725" s="888" t="s">
        <v>1136</v>
      </c>
      <c r="C7725" s="888" t="s">
        <v>2310</v>
      </c>
      <c r="D7725" s="889">
        <v>46035</v>
      </c>
      <c r="E7725" s="888" t="s">
        <v>310</v>
      </c>
      <c r="F7725" s="888" t="s">
        <v>310</v>
      </c>
    </row>
    <row r="7726" spans="1:6">
      <c r="A7726" s="888">
        <v>384</v>
      </c>
      <c r="B7726" s="888" t="s">
        <v>1136</v>
      </c>
      <c r="C7726" s="888" t="s">
        <v>2310</v>
      </c>
      <c r="D7726" s="889">
        <v>46036</v>
      </c>
      <c r="E7726" s="888" t="s">
        <v>310</v>
      </c>
      <c r="F7726" s="888" t="s">
        <v>310</v>
      </c>
    </row>
    <row r="7727" spans="1:6">
      <c r="A7727" s="888">
        <v>384</v>
      </c>
      <c r="B7727" s="888" t="s">
        <v>1136</v>
      </c>
      <c r="C7727" s="888" t="s">
        <v>2310</v>
      </c>
      <c r="D7727" s="889">
        <v>46037</v>
      </c>
      <c r="E7727" s="888" t="s">
        <v>310</v>
      </c>
      <c r="F7727" s="888" t="s">
        <v>310</v>
      </c>
    </row>
    <row r="7728" spans="1:6">
      <c r="A7728" s="888">
        <v>384</v>
      </c>
      <c r="B7728" s="888" t="s">
        <v>1136</v>
      </c>
      <c r="C7728" s="888" t="s">
        <v>2310</v>
      </c>
      <c r="D7728" s="889">
        <v>46038</v>
      </c>
      <c r="E7728" s="888" t="s">
        <v>310</v>
      </c>
      <c r="F7728" s="888" t="s">
        <v>310</v>
      </c>
    </row>
    <row r="7729" spans="1:6">
      <c r="A7729" s="888">
        <v>384</v>
      </c>
      <c r="B7729" s="888" t="s">
        <v>1136</v>
      </c>
      <c r="C7729" s="888" t="s">
        <v>2310</v>
      </c>
      <c r="D7729" s="889">
        <v>46039</v>
      </c>
      <c r="E7729" s="888" t="s">
        <v>310</v>
      </c>
      <c r="F7729" s="888" t="s">
        <v>310</v>
      </c>
    </row>
    <row r="7730" spans="1:6">
      <c r="A7730" s="888">
        <v>384</v>
      </c>
      <c r="B7730" s="888" t="s">
        <v>1136</v>
      </c>
      <c r="C7730" s="888" t="s">
        <v>2310</v>
      </c>
      <c r="D7730" s="889">
        <v>46040</v>
      </c>
      <c r="E7730" s="888" t="s">
        <v>310</v>
      </c>
      <c r="F7730" s="888" t="s">
        <v>310</v>
      </c>
    </row>
    <row r="7731" spans="1:6">
      <c r="A7731" s="888">
        <v>384</v>
      </c>
      <c r="B7731" s="888" t="s">
        <v>1136</v>
      </c>
      <c r="C7731" s="888" t="s">
        <v>2310</v>
      </c>
      <c r="D7731" s="889">
        <v>46041</v>
      </c>
      <c r="E7731" s="888" t="s">
        <v>310</v>
      </c>
      <c r="F7731" s="888" t="s">
        <v>310</v>
      </c>
    </row>
    <row r="7732" spans="1:6">
      <c r="A7732" s="888">
        <v>384</v>
      </c>
      <c r="B7732" s="888" t="s">
        <v>1136</v>
      </c>
      <c r="C7732" s="888" t="s">
        <v>2310</v>
      </c>
      <c r="D7732" s="889">
        <v>46042</v>
      </c>
      <c r="E7732" s="888" t="s">
        <v>310</v>
      </c>
      <c r="F7732" s="888" t="s">
        <v>310</v>
      </c>
    </row>
    <row r="7733" spans="1:6">
      <c r="A7733" s="888">
        <v>384</v>
      </c>
      <c r="B7733" s="888" t="s">
        <v>1136</v>
      </c>
      <c r="C7733" s="888" t="s">
        <v>2310</v>
      </c>
      <c r="D7733" s="889">
        <v>46043</v>
      </c>
      <c r="E7733" s="888" t="s">
        <v>310</v>
      </c>
      <c r="F7733" s="888" t="s">
        <v>310</v>
      </c>
    </row>
    <row r="7734" spans="1:6">
      <c r="A7734" s="888">
        <v>384</v>
      </c>
      <c r="B7734" s="888" t="s">
        <v>1136</v>
      </c>
      <c r="C7734" s="888" t="s">
        <v>2310</v>
      </c>
      <c r="D7734" s="889">
        <v>46044</v>
      </c>
      <c r="E7734" s="888" t="s">
        <v>310</v>
      </c>
      <c r="F7734" s="888" t="s">
        <v>310</v>
      </c>
    </row>
    <row r="7735" spans="1:6">
      <c r="A7735" s="888">
        <v>384</v>
      </c>
      <c r="B7735" s="888" t="s">
        <v>1136</v>
      </c>
      <c r="C7735" s="888" t="s">
        <v>2310</v>
      </c>
      <c r="D7735" s="889">
        <v>46045</v>
      </c>
      <c r="E7735" s="888" t="s">
        <v>310</v>
      </c>
      <c r="F7735" s="888" t="s">
        <v>310</v>
      </c>
    </row>
    <row r="7736" spans="1:6">
      <c r="A7736" s="888">
        <v>384</v>
      </c>
      <c r="B7736" s="888" t="s">
        <v>1136</v>
      </c>
      <c r="C7736" s="888" t="s">
        <v>2310</v>
      </c>
      <c r="D7736" s="889">
        <v>46046</v>
      </c>
      <c r="E7736" s="888" t="s">
        <v>310</v>
      </c>
      <c r="F7736" s="888" t="s">
        <v>310</v>
      </c>
    </row>
    <row r="7737" spans="1:6">
      <c r="A7737" s="888">
        <v>384</v>
      </c>
      <c r="B7737" s="888" t="s">
        <v>1136</v>
      </c>
      <c r="C7737" s="888" t="s">
        <v>2310</v>
      </c>
      <c r="D7737" s="889">
        <v>46047</v>
      </c>
      <c r="E7737" s="888" t="s">
        <v>310</v>
      </c>
      <c r="F7737" s="888" t="s">
        <v>310</v>
      </c>
    </row>
    <row r="7738" spans="1:6">
      <c r="A7738" s="888">
        <v>384</v>
      </c>
      <c r="B7738" s="888" t="s">
        <v>1136</v>
      </c>
      <c r="C7738" s="888" t="s">
        <v>2310</v>
      </c>
      <c r="D7738" s="889">
        <v>46048</v>
      </c>
      <c r="E7738" s="888" t="s">
        <v>310</v>
      </c>
      <c r="F7738" s="888" t="s">
        <v>310</v>
      </c>
    </row>
    <row r="7739" spans="1:6">
      <c r="A7739" s="888">
        <v>384</v>
      </c>
      <c r="B7739" s="888" t="s">
        <v>1136</v>
      </c>
      <c r="C7739" s="888" t="s">
        <v>2310</v>
      </c>
      <c r="D7739" s="889">
        <v>46049</v>
      </c>
      <c r="E7739" s="888" t="s">
        <v>310</v>
      </c>
      <c r="F7739" s="888" t="s">
        <v>310</v>
      </c>
    </row>
    <row r="7740" spans="1:6">
      <c r="A7740" s="888">
        <v>384</v>
      </c>
      <c r="B7740" s="888" t="s">
        <v>1136</v>
      </c>
      <c r="C7740" s="888" t="s">
        <v>2310</v>
      </c>
      <c r="D7740" s="889">
        <v>46050</v>
      </c>
      <c r="E7740" s="888" t="s">
        <v>310</v>
      </c>
      <c r="F7740" s="888" t="s">
        <v>310</v>
      </c>
    </row>
    <row r="7741" spans="1:6">
      <c r="A7741" s="888">
        <v>384</v>
      </c>
      <c r="B7741" s="888" t="s">
        <v>1136</v>
      </c>
      <c r="C7741" s="888" t="s">
        <v>2310</v>
      </c>
      <c r="D7741" s="889">
        <v>46051</v>
      </c>
      <c r="E7741" s="888" t="s">
        <v>310</v>
      </c>
      <c r="F7741" s="888" t="s">
        <v>310</v>
      </c>
    </row>
    <row r="7742" spans="1:6">
      <c r="A7742" s="888">
        <v>384</v>
      </c>
      <c r="B7742" s="888" t="s">
        <v>1136</v>
      </c>
      <c r="C7742" s="888" t="s">
        <v>2310</v>
      </c>
      <c r="D7742" s="889">
        <v>46052</v>
      </c>
      <c r="E7742" s="888" t="s">
        <v>310</v>
      </c>
      <c r="F7742" s="888" t="s">
        <v>310</v>
      </c>
    </row>
    <row r="7743" spans="1:6">
      <c r="A7743" s="888">
        <v>384</v>
      </c>
      <c r="B7743" s="888" t="s">
        <v>1136</v>
      </c>
      <c r="C7743" s="888" t="s">
        <v>2310</v>
      </c>
      <c r="D7743" s="889">
        <v>46053</v>
      </c>
      <c r="E7743" s="888" t="s">
        <v>310</v>
      </c>
      <c r="F7743" s="888" t="s">
        <v>310</v>
      </c>
    </row>
    <row r="7744" spans="1:6">
      <c r="A7744" s="888">
        <v>384</v>
      </c>
      <c r="B7744" s="888" t="s">
        <v>1136</v>
      </c>
      <c r="C7744" s="888" t="s">
        <v>2310</v>
      </c>
      <c r="D7744" s="889">
        <v>46054</v>
      </c>
      <c r="E7744" s="888" t="s">
        <v>310</v>
      </c>
      <c r="F7744" s="888" t="s">
        <v>310</v>
      </c>
    </row>
    <row r="7745" spans="1:6">
      <c r="A7745" s="888">
        <v>385</v>
      </c>
      <c r="B7745" s="888" t="s">
        <v>1208</v>
      </c>
      <c r="C7745" s="888" t="s">
        <v>1107</v>
      </c>
      <c r="D7745" s="889">
        <v>46023</v>
      </c>
      <c r="E7745" s="888" t="s">
        <v>310</v>
      </c>
      <c r="F7745" s="888" t="s">
        <v>310</v>
      </c>
    </row>
    <row r="7746" spans="1:6">
      <c r="A7746" s="888">
        <v>385</v>
      </c>
      <c r="B7746" s="888" t="s">
        <v>1208</v>
      </c>
      <c r="C7746" s="888" t="s">
        <v>1107</v>
      </c>
      <c r="D7746" s="889">
        <v>46024</v>
      </c>
      <c r="E7746" s="888" t="s">
        <v>310</v>
      </c>
      <c r="F7746" s="888" t="s">
        <v>310</v>
      </c>
    </row>
    <row r="7747" spans="1:6">
      <c r="A7747" s="888">
        <v>385</v>
      </c>
      <c r="B7747" s="888" t="s">
        <v>1208</v>
      </c>
      <c r="C7747" s="888" t="s">
        <v>1107</v>
      </c>
      <c r="D7747" s="889">
        <v>46025</v>
      </c>
      <c r="E7747" s="888" t="s">
        <v>310</v>
      </c>
      <c r="F7747" s="888" t="s">
        <v>310</v>
      </c>
    </row>
    <row r="7748" spans="1:6">
      <c r="A7748" s="888">
        <v>385</v>
      </c>
      <c r="B7748" s="888" t="s">
        <v>1208</v>
      </c>
      <c r="C7748" s="888" t="s">
        <v>1107</v>
      </c>
      <c r="D7748" s="889">
        <v>46026</v>
      </c>
      <c r="E7748" s="888" t="s">
        <v>310</v>
      </c>
      <c r="F7748" s="888" t="s">
        <v>310</v>
      </c>
    </row>
    <row r="7749" spans="1:6">
      <c r="A7749" s="888">
        <v>385</v>
      </c>
      <c r="B7749" s="888" t="s">
        <v>1208</v>
      </c>
      <c r="C7749" s="888" t="s">
        <v>1107</v>
      </c>
      <c r="D7749" s="889">
        <v>46027</v>
      </c>
      <c r="E7749" s="888" t="s">
        <v>310</v>
      </c>
      <c r="F7749" s="888" t="s">
        <v>310</v>
      </c>
    </row>
    <row r="7750" spans="1:6">
      <c r="A7750" s="888">
        <v>385</v>
      </c>
      <c r="B7750" s="888" t="s">
        <v>1208</v>
      </c>
      <c r="C7750" s="888" t="s">
        <v>1107</v>
      </c>
      <c r="D7750" s="889">
        <v>46028</v>
      </c>
      <c r="E7750" s="888" t="s">
        <v>310</v>
      </c>
      <c r="F7750" s="888" t="s">
        <v>310</v>
      </c>
    </row>
    <row r="7751" spans="1:6">
      <c r="A7751" s="888">
        <v>385</v>
      </c>
      <c r="B7751" s="888" t="s">
        <v>1208</v>
      </c>
      <c r="C7751" s="888" t="s">
        <v>1107</v>
      </c>
      <c r="D7751" s="889">
        <v>46029</v>
      </c>
      <c r="E7751" s="888" t="s">
        <v>310</v>
      </c>
      <c r="F7751" s="888" t="s">
        <v>310</v>
      </c>
    </row>
    <row r="7752" spans="1:6">
      <c r="A7752" s="888">
        <v>385</v>
      </c>
      <c r="B7752" s="888" t="s">
        <v>1208</v>
      </c>
      <c r="C7752" s="888" t="s">
        <v>1107</v>
      </c>
      <c r="D7752" s="889">
        <v>46030</v>
      </c>
      <c r="E7752" s="888" t="s">
        <v>310</v>
      </c>
      <c r="F7752" s="888" t="s">
        <v>310</v>
      </c>
    </row>
    <row r="7753" spans="1:6">
      <c r="A7753" s="888">
        <v>385</v>
      </c>
      <c r="B7753" s="888" t="s">
        <v>1208</v>
      </c>
      <c r="C7753" s="888" t="s">
        <v>1107</v>
      </c>
      <c r="D7753" s="889">
        <v>46031</v>
      </c>
      <c r="E7753" s="888" t="s">
        <v>310</v>
      </c>
      <c r="F7753" s="888" t="s">
        <v>310</v>
      </c>
    </row>
    <row r="7754" spans="1:6">
      <c r="A7754" s="888">
        <v>385</v>
      </c>
      <c r="B7754" s="888" t="s">
        <v>1208</v>
      </c>
      <c r="C7754" s="888" t="s">
        <v>1107</v>
      </c>
      <c r="D7754" s="889">
        <v>46032</v>
      </c>
      <c r="E7754" s="888" t="s">
        <v>310</v>
      </c>
      <c r="F7754" s="888" t="s">
        <v>310</v>
      </c>
    </row>
    <row r="7755" spans="1:6">
      <c r="A7755" s="888">
        <v>385</v>
      </c>
      <c r="B7755" s="888" t="s">
        <v>1208</v>
      </c>
      <c r="C7755" s="888" t="s">
        <v>1107</v>
      </c>
      <c r="D7755" s="889">
        <v>46033</v>
      </c>
      <c r="E7755" s="888" t="s">
        <v>310</v>
      </c>
      <c r="F7755" s="888" t="s">
        <v>310</v>
      </c>
    </row>
    <row r="7756" spans="1:6">
      <c r="A7756" s="888">
        <v>385</v>
      </c>
      <c r="B7756" s="888" t="s">
        <v>1208</v>
      </c>
      <c r="C7756" s="888" t="s">
        <v>1107</v>
      </c>
      <c r="D7756" s="889">
        <v>46034</v>
      </c>
      <c r="E7756" s="888" t="s">
        <v>310</v>
      </c>
      <c r="F7756" s="888" t="s">
        <v>310</v>
      </c>
    </row>
    <row r="7757" spans="1:6">
      <c r="A7757" s="888">
        <v>385</v>
      </c>
      <c r="B7757" s="888" t="s">
        <v>1208</v>
      </c>
      <c r="C7757" s="888" t="s">
        <v>1107</v>
      </c>
      <c r="D7757" s="889">
        <v>46035</v>
      </c>
      <c r="E7757" s="888" t="s">
        <v>310</v>
      </c>
      <c r="F7757" s="888" t="s">
        <v>310</v>
      </c>
    </row>
    <row r="7758" spans="1:6">
      <c r="A7758" s="888">
        <v>385</v>
      </c>
      <c r="B7758" s="888" t="s">
        <v>1208</v>
      </c>
      <c r="C7758" s="888" t="s">
        <v>1107</v>
      </c>
      <c r="D7758" s="889">
        <v>46036</v>
      </c>
      <c r="E7758" s="888" t="s">
        <v>310</v>
      </c>
      <c r="F7758" s="888" t="s">
        <v>310</v>
      </c>
    </row>
    <row r="7759" spans="1:6">
      <c r="A7759" s="888">
        <v>385</v>
      </c>
      <c r="B7759" s="888" t="s">
        <v>1208</v>
      </c>
      <c r="C7759" s="888" t="s">
        <v>1107</v>
      </c>
      <c r="D7759" s="889">
        <v>46037</v>
      </c>
      <c r="E7759" s="888" t="s">
        <v>310</v>
      </c>
      <c r="F7759" s="888" t="s">
        <v>310</v>
      </c>
    </row>
    <row r="7760" spans="1:6">
      <c r="A7760" s="888">
        <v>385</v>
      </c>
      <c r="B7760" s="888" t="s">
        <v>1208</v>
      </c>
      <c r="C7760" s="888" t="s">
        <v>1107</v>
      </c>
      <c r="D7760" s="889">
        <v>46038</v>
      </c>
      <c r="E7760" s="888" t="s">
        <v>310</v>
      </c>
      <c r="F7760" s="888" t="s">
        <v>310</v>
      </c>
    </row>
    <row r="7761" spans="1:6">
      <c r="A7761" s="888">
        <v>385</v>
      </c>
      <c r="B7761" s="888" t="s">
        <v>1208</v>
      </c>
      <c r="C7761" s="888" t="s">
        <v>1107</v>
      </c>
      <c r="D7761" s="889">
        <v>46039</v>
      </c>
      <c r="E7761" s="888" t="s">
        <v>310</v>
      </c>
      <c r="F7761" s="888" t="s">
        <v>310</v>
      </c>
    </row>
    <row r="7762" spans="1:6">
      <c r="A7762" s="888">
        <v>385</v>
      </c>
      <c r="B7762" s="888" t="s">
        <v>1208</v>
      </c>
      <c r="C7762" s="888" t="s">
        <v>1107</v>
      </c>
      <c r="D7762" s="889">
        <v>46040</v>
      </c>
      <c r="E7762" s="888" t="s">
        <v>310</v>
      </c>
      <c r="F7762" s="888" t="s">
        <v>310</v>
      </c>
    </row>
    <row r="7763" spans="1:6">
      <c r="A7763" s="888">
        <v>385</v>
      </c>
      <c r="B7763" s="888" t="s">
        <v>1208</v>
      </c>
      <c r="C7763" s="888" t="s">
        <v>1107</v>
      </c>
      <c r="D7763" s="889">
        <v>46041</v>
      </c>
      <c r="E7763" s="888" t="s">
        <v>310</v>
      </c>
      <c r="F7763" s="888" t="s">
        <v>310</v>
      </c>
    </row>
    <row r="7764" spans="1:6">
      <c r="A7764" s="888">
        <v>385</v>
      </c>
      <c r="B7764" s="888" t="s">
        <v>1208</v>
      </c>
      <c r="C7764" s="888" t="s">
        <v>1107</v>
      </c>
      <c r="D7764" s="889">
        <v>46042</v>
      </c>
      <c r="E7764" s="888" t="s">
        <v>310</v>
      </c>
      <c r="F7764" s="888" t="s">
        <v>310</v>
      </c>
    </row>
    <row r="7765" spans="1:6">
      <c r="A7765" s="888">
        <v>385</v>
      </c>
      <c r="B7765" s="888" t="s">
        <v>1208</v>
      </c>
      <c r="C7765" s="888" t="s">
        <v>1107</v>
      </c>
      <c r="D7765" s="889">
        <v>46043</v>
      </c>
      <c r="E7765" s="888" t="s">
        <v>310</v>
      </c>
      <c r="F7765" s="888" t="s">
        <v>310</v>
      </c>
    </row>
    <row r="7766" spans="1:6">
      <c r="A7766" s="888">
        <v>385</v>
      </c>
      <c r="B7766" s="888" t="s">
        <v>1208</v>
      </c>
      <c r="C7766" s="888" t="s">
        <v>1107</v>
      </c>
      <c r="D7766" s="889">
        <v>46044</v>
      </c>
      <c r="E7766" s="888" t="s">
        <v>310</v>
      </c>
      <c r="F7766" s="888" t="s">
        <v>310</v>
      </c>
    </row>
    <row r="7767" spans="1:6">
      <c r="A7767" s="888">
        <v>385</v>
      </c>
      <c r="B7767" s="888" t="s">
        <v>1208</v>
      </c>
      <c r="C7767" s="888" t="s">
        <v>1107</v>
      </c>
      <c r="D7767" s="889">
        <v>46045</v>
      </c>
      <c r="E7767" s="888" t="s">
        <v>310</v>
      </c>
      <c r="F7767" s="888" t="s">
        <v>310</v>
      </c>
    </row>
    <row r="7768" spans="1:6">
      <c r="A7768" s="888">
        <v>385</v>
      </c>
      <c r="B7768" s="888" t="s">
        <v>1208</v>
      </c>
      <c r="C7768" s="888" t="s">
        <v>1107</v>
      </c>
      <c r="D7768" s="889">
        <v>46046</v>
      </c>
      <c r="E7768" s="888" t="s">
        <v>310</v>
      </c>
      <c r="F7768" s="888" t="s">
        <v>310</v>
      </c>
    </row>
    <row r="7769" spans="1:6">
      <c r="A7769" s="888">
        <v>385</v>
      </c>
      <c r="B7769" s="888" t="s">
        <v>1208</v>
      </c>
      <c r="C7769" s="888" t="s">
        <v>1107</v>
      </c>
      <c r="D7769" s="889">
        <v>46047</v>
      </c>
      <c r="E7769" s="888" t="s">
        <v>310</v>
      </c>
      <c r="F7769" s="888" t="s">
        <v>310</v>
      </c>
    </row>
    <row r="7770" spans="1:6">
      <c r="A7770" s="888">
        <v>385</v>
      </c>
      <c r="B7770" s="888" t="s">
        <v>1208</v>
      </c>
      <c r="C7770" s="888" t="s">
        <v>1107</v>
      </c>
      <c r="D7770" s="889">
        <v>46048</v>
      </c>
      <c r="E7770" s="888" t="s">
        <v>310</v>
      </c>
      <c r="F7770" s="888" t="s">
        <v>310</v>
      </c>
    </row>
    <row r="7771" spans="1:6">
      <c r="A7771" s="888">
        <v>385</v>
      </c>
      <c r="B7771" s="888" t="s">
        <v>1208</v>
      </c>
      <c r="C7771" s="888" t="s">
        <v>1107</v>
      </c>
      <c r="D7771" s="889">
        <v>46049</v>
      </c>
      <c r="E7771" s="888" t="s">
        <v>310</v>
      </c>
      <c r="F7771" s="888" t="s">
        <v>310</v>
      </c>
    </row>
    <row r="7772" spans="1:6">
      <c r="A7772" s="888">
        <v>385</v>
      </c>
      <c r="B7772" s="888" t="s">
        <v>1208</v>
      </c>
      <c r="C7772" s="888" t="s">
        <v>1107</v>
      </c>
      <c r="D7772" s="889">
        <v>46050</v>
      </c>
      <c r="E7772" s="888" t="s">
        <v>310</v>
      </c>
      <c r="F7772" s="888" t="s">
        <v>310</v>
      </c>
    </row>
    <row r="7773" spans="1:6">
      <c r="A7773" s="888">
        <v>385</v>
      </c>
      <c r="B7773" s="888" t="s">
        <v>1208</v>
      </c>
      <c r="C7773" s="888" t="s">
        <v>1107</v>
      </c>
      <c r="D7773" s="889">
        <v>46051</v>
      </c>
      <c r="E7773" s="888" t="s">
        <v>310</v>
      </c>
      <c r="F7773" s="888" t="s">
        <v>310</v>
      </c>
    </row>
    <row r="7774" spans="1:6">
      <c r="A7774" s="888">
        <v>385</v>
      </c>
      <c r="B7774" s="888" t="s">
        <v>1208</v>
      </c>
      <c r="C7774" s="888" t="s">
        <v>1107</v>
      </c>
      <c r="D7774" s="889">
        <v>46052</v>
      </c>
      <c r="E7774" s="888" t="s">
        <v>310</v>
      </c>
      <c r="F7774" s="888" t="s">
        <v>310</v>
      </c>
    </row>
    <row r="7775" spans="1:6">
      <c r="A7775" s="888">
        <v>385</v>
      </c>
      <c r="B7775" s="888" t="s">
        <v>1208</v>
      </c>
      <c r="C7775" s="888" t="s">
        <v>1107</v>
      </c>
      <c r="D7775" s="889">
        <v>46053</v>
      </c>
      <c r="E7775" s="888" t="s">
        <v>310</v>
      </c>
      <c r="F7775" s="888" t="s">
        <v>310</v>
      </c>
    </row>
    <row r="7776" spans="1:6">
      <c r="A7776" s="888">
        <v>385</v>
      </c>
      <c r="B7776" s="888" t="s">
        <v>1208</v>
      </c>
      <c r="C7776" s="888" t="s">
        <v>1107</v>
      </c>
      <c r="D7776" s="889">
        <v>46054</v>
      </c>
      <c r="E7776" s="888" t="s">
        <v>310</v>
      </c>
      <c r="F7776" s="888" t="s">
        <v>310</v>
      </c>
    </row>
    <row r="7777" spans="1:6">
      <c r="A7777" s="888">
        <v>386</v>
      </c>
      <c r="B7777" s="888" t="s">
        <v>5611</v>
      </c>
      <c r="C7777" s="888" t="s">
        <v>3429</v>
      </c>
      <c r="D7777" s="889">
        <v>46023</v>
      </c>
      <c r="E7777" s="888" t="s">
        <v>310</v>
      </c>
      <c r="F7777" s="888" t="s">
        <v>310</v>
      </c>
    </row>
    <row r="7778" spans="1:6">
      <c r="A7778" s="888">
        <v>386</v>
      </c>
      <c r="B7778" s="888" t="s">
        <v>5611</v>
      </c>
      <c r="C7778" s="888" t="s">
        <v>3429</v>
      </c>
      <c r="D7778" s="889">
        <v>46024</v>
      </c>
      <c r="E7778" s="888" t="s">
        <v>310</v>
      </c>
      <c r="F7778" s="888" t="s">
        <v>310</v>
      </c>
    </row>
    <row r="7779" spans="1:6">
      <c r="A7779" s="888">
        <v>386</v>
      </c>
      <c r="B7779" s="888" t="s">
        <v>5611</v>
      </c>
      <c r="C7779" s="888" t="s">
        <v>3429</v>
      </c>
      <c r="D7779" s="889">
        <v>46025</v>
      </c>
      <c r="E7779" s="888" t="s">
        <v>310</v>
      </c>
      <c r="F7779" s="888" t="s">
        <v>310</v>
      </c>
    </row>
    <row r="7780" spans="1:6">
      <c r="A7780" s="888">
        <v>386</v>
      </c>
      <c r="B7780" s="888" t="s">
        <v>5611</v>
      </c>
      <c r="C7780" s="888" t="s">
        <v>3429</v>
      </c>
      <c r="D7780" s="889">
        <v>46026</v>
      </c>
      <c r="E7780" s="888" t="s">
        <v>310</v>
      </c>
      <c r="F7780" s="888" t="s">
        <v>310</v>
      </c>
    </row>
    <row r="7781" spans="1:6">
      <c r="A7781" s="888">
        <v>386</v>
      </c>
      <c r="B7781" s="888" t="s">
        <v>5611</v>
      </c>
      <c r="C7781" s="888" t="s">
        <v>3429</v>
      </c>
      <c r="D7781" s="889">
        <v>46027</v>
      </c>
      <c r="E7781" s="888" t="s">
        <v>310</v>
      </c>
      <c r="F7781" s="888" t="s">
        <v>310</v>
      </c>
    </row>
    <row r="7782" spans="1:6">
      <c r="A7782" s="888">
        <v>386</v>
      </c>
      <c r="B7782" s="888" t="s">
        <v>5611</v>
      </c>
      <c r="C7782" s="888" t="s">
        <v>3429</v>
      </c>
      <c r="D7782" s="889">
        <v>46028</v>
      </c>
      <c r="E7782" s="888" t="s">
        <v>310</v>
      </c>
      <c r="F7782" s="888" t="s">
        <v>310</v>
      </c>
    </row>
    <row r="7783" spans="1:6">
      <c r="A7783" s="888">
        <v>386</v>
      </c>
      <c r="B7783" s="888" t="s">
        <v>5611</v>
      </c>
      <c r="C7783" s="888" t="s">
        <v>3429</v>
      </c>
      <c r="D7783" s="889">
        <v>46029</v>
      </c>
      <c r="E7783" s="888" t="s">
        <v>310</v>
      </c>
      <c r="F7783" s="888" t="s">
        <v>310</v>
      </c>
    </row>
    <row r="7784" spans="1:6">
      <c r="A7784" s="888">
        <v>386</v>
      </c>
      <c r="B7784" s="888" t="s">
        <v>5611</v>
      </c>
      <c r="C7784" s="888" t="s">
        <v>3429</v>
      </c>
      <c r="D7784" s="889">
        <v>46030</v>
      </c>
      <c r="E7784" s="888" t="s">
        <v>310</v>
      </c>
      <c r="F7784" s="888" t="s">
        <v>310</v>
      </c>
    </row>
    <row r="7785" spans="1:6">
      <c r="A7785" s="888">
        <v>386</v>
      </c>
      <c r="B7785" s="888" t="s">
        <v>5611</v>
      </c>
      <c r="C7785" s="888" t="s">
        <v>3429</v>
      </c>
      <c r="D7785" s="889">
        <v>46031</v>
      </c>
      <c r="E7785" s="888" t="s">
        <v>310</v>
      </c>
      <c r="F7785" s="888" t="s">
        <v>310</v>
      </c>
    </row>
    <row r="7786" spans="1:6">
      <c r="A7786" s="888">
        <v>386</v>
      </c>
      <c r="B7786" s="888" t="s">
        <v>5611</v>
      </c>
      <c r="C7786" s="888" t="s">
        <v>3429</v>
      </c>
      <c r="D7786" s="889">
        <v>46032</v>
      </c>
      <c r="E7786" s="888" t="s">
        <v>310</v>
      </c>
      <c r="F7786" s="888" t="s">
        <v>310</v>
      </c>
    </row>
    <row r="7787" spans="1:6">
      <c r="A7787" s="888">
        <v>386</v>
      </c>
      <c r="B7787" s="888" t="s">
        <v>5611</v>
      </c>
      <c r="C7787" s="888" t="s">
        <v>3429</v>
      </c>
      <c r="D7787" s="889">
        <v>46033</v>
      </c>
      <c r="E7787" s="888" t="s">
        <v>310</v>
      </c>
      <c r="F7787" s="888" t="s">
        <v>310</v>
      </c>
    </row>
    <row r="7788" spans="1:6">
      <c r="A7788" s="888">
        <v>386</v>
      </c>
      <c r="B7788" s="888" t="s">
        <v>5611</v>
      </c>
      <c r="C7788" s="888" t="s">
        <v>3429</v>
      </c>
      <c r="D7788" s="889">
        <v>46034</v>
      </c>
      <c r="E7788" s="888" t="s">
        <v>310</v>
      </c>
      <c r="F7788" s="888" t="s">
        <v>310</v>
      </c>
    </row>
    <row r="7789" spans="1:6">
      <c r="A7789" s="888">
        <v>386</v>
      </c>
      <c r="B7789" s="888" t="s">
        <v>5611</v>
      </c>
      <c r="C7789" s="888" t="s">
        <v>3429</v>
      </c>
      <c r="D7789" s="889">
        <v>46035</v>
      </c>
      <c r="E7789" s="888" t="s">
        <v>310</v>
      </c>
      <c r="F7789" s="888" t="s">
        <v>310</v>
      </c>
    </row>
    <row r="7790" spans="1:6">
      <c r="A7790" s="888">
        <v>386</v>
      </c>
      <c r="B7790" s="888" t="s">
        <v>5611</v>
      </c>
      <c r="C7790" s="888" t="s">
        <v>3429</v>
      </c>
      <c r="D7790" s="889">
        <v>46036</v>
      </c>
      <c r="E7790" s="888" t="s">
        <v>310</v>
      </c>
      <c r="F7790" s="888" t="s">
        <v>310</v>
      </c>
    </row>
    <row r="7791" spans="1:6">
      <c r="A7791" s="888">
        <v>386</v>
      </c>
      <c r="B7791" s="888" t="s">
        <v>5611</v>
      </c>
      <c r="C7791" s="888" t="s">
        <v>3429</v>
      </c>
      <c r="D7791" s="889">
        <v>46037</v>
      </c>
      <c r="E7791" s="888" t="s">
        <v>310</v>
      </c>
      <c r="F7791" s="888" t="s">
        <v>310</v>
      </c>
    </row>
    <row r="7792" spans="1:6">
      <c r="A7792" s="888">
        <v>386</v>
      </c>
      <c r="B7792" s="888" t="s">
        <v>5611</v>
      </c>
      <c r="C7792" s="888" t="s">
        <v>3429</v>
      </c>
      <c r="D7792" s="889">
        <v>46038</v>
      </c>
      <c r="E7792" s="888" t="s">
        <v>310</v>
      </c>
      <c r="F7792" s="888" t="s">
        <v>310</v>
      </c>
    </row>
    <row r="7793" spans="1:6">
      <c r="A7793" s="888">
        <v>386</v>
      </c>
      <c r="B7793" s="888" t="s">
        <v>5611</v>
      </c>
      <c r="C7793" s="888" t="s">
        <v>3429</v>
      </c>
      <c r="D7793" s="889">
        <v>46039</v>
      </c>
      <c r="E7793" s="888" t="s">
        <v>310</v>
      </c>
      <c r="F7793" s="888" t="s">
        <v>310</v>
      </c>
    </row>
    <row r="7794" spans="1:6">
      <c r="A7794" s="888">
        <v>386</v>
      </c>
      <c r="B7794" s="888" t="s">
        <v>5611</v>
      </c>
      <c r="C7794" s="888" t="s">
        <v>3429</v>
      </c>
      <c r="D7794" s="889">
        <v>46040</v>
      </c>
      <c r="E7794" s="888" t="s">
        <v>310</v>
      </c>
      <c r="F7794" s="888" t="s">
        <v>310</v>
      </c>
    </row>
    <row r="7795" spans="1:6">
      <c r="A7795" s="888">
        <v>386</v>
      </c>
      <c r="B7795" s="888" t="s">
        <v>5611</v>
      </c>
      <c r="C7795" s="888" t="s">
        <v>3429</v>
      </c>
      <c r="D7795" s="889">
        <v>46041</v>
      </c>
      <c r="E7795" s="888" t="s">
        <v>310</v>
      </c>
      <c r="F7795" s="888" t="s">
        <v>310</v>
      </c>
    </row>
    <row r="7796" spans="1:6">
      <c r="A7796" s="888">
        <v>386</v>
      </c>
      <c r="B7796" s="888" t="s">
        <v>5611</v>
      </c>
      <c r="C7796" s="888" t="s">
        <v>3429</v>
      </c>
      <c r="D7796" s="889">
        <v>46042</v>
      </c>
      <c r="E7796" s="888" t="s">
        <v>310</v>
      </c>
      <c r="F7796" s="888" t="s">
        <v>310</v>
      </c>
    </row>
    <row r="7797" spans="1:6">
      <c r="A7797" s="888">
        <v>386</v>
      </c>
      <c r="B7797" s="888" t="s">
        <v>5611</v>
      </c>
      <c r="C7797" s="888" t="s">
        <v>3429</v>
      </c>
      <c r="D7797" s="889">
        <v>46043</v>
      </c>
      <c r="E7797" s="888" t="s">
        <v>310</v>
      </c>
      <c r="F7797" s="888" t="s">
        <v>310</v>
      </c>
    </row>
    <row r="7798" spans="1:6">
      <c r="A7798" s="888">
        <v>386</v>
      </c>
      <c r="B7798" s="888" t="s">
        <v>5611</v>
      </c>
      <c r="C7798" s="888" t="s">
        <v>3429</v>
      </c>
      <c r="D7798" s="889">
        <v>46044</v>
      </c>
      <c r="E7798" s="888" t="s">
        <v>310</v>
      </c>
      <c r="F7798" s="888" t="s">
        <v>310</v>
      </c>
    </row>
    <row r="7799" spans="1:6">
      <c r="A7799" s="888">
        <v>386</v>
      </c>
      <c r="B7799" s="888" t="s">
        <v>5611</v>
      </c>
      <c r="C7799" s="888" t="s">
        <v>3429</v>
      </c>
      <c r="D7799" s="889">
        <v>46045</v>
      </c>
      <c r="E7799" s="888" t="s">
        <v>310</v>
      </c>
      <c r="F7799" s="888" t="s">
        <v>310</v>
      </c>
    </row>
    <row r="7800" spans="1:6">
      <c r="A7800" s="888">
        <v>386</v>
      </c>
      <c r="B7800" s="888" t="s">
        <v>5611</v>
      </c>
      <c r="C7800" s="888" t="s">
        <v>3429</v>
      </c>
      <c r="D7800" s="889">
        <v>46046</v>
      </c>
      <c r="E7800" s="888" t="s">
        <v>310</v>
      </c>
      <c r="F7800" s="888" t="s">
        <v>310</v>
      </c>
    </row>
    <row r="7801" spans="1:6">
      <c r="A7801" s="888">
        <v>386</v>
      </c>
      <c r="B7801" s="888" t="s">
        <v>5611</v>
      </c>
      <c r="C7801" s="888" t="s">
        <v>3429</v>
      </c>
      <c r="D7801" s="889">
        <v>46047</v>
      </c>
      <c r="E7801" s="888" t="s">
        <v>310</v>
      </c>
      <c r="F7801" s="888" t="s">
        <v>310</v>
      </c>
    </row>
    <row r="7802" spans="1:6">
      <c r="A7802" s="888">
        <v>386</v>
      </c>
      <c r="B7802" s="888" t="s">
        <v>5611</v>
      </c>
      <c r="C7802" s="888" t="s">
        <v>3429</v>
      </c>
      <c r="D7802" s="889">
        <v>46048</v>
      </c>
      <c r="E7802" s="888" t="s">
        <v>310</v>
      </c>
      <c r="F7802" s="888" t="s">
        <v>310</v>
      </c>
    </row>
    <row r="7803" spans="1:6">
      <c r="A7803" s="888">
        <v>386</v>
      </c>
      <c r="B7803" s="888" t="s">
        <v>5611</v>
      </c>
      <c r="C7803" s="888" t="s">
        <v>3429</v>
      </c>
      <c r="D7803" s="889">
        <v>46049</v>
      </c>
      <c r="E7803" s="888" t="s">
        <v>310</v>
      </c>
      <c r="F7803" s="888" t="s">
        <v>310</v>
      </c>
    </row>
    <row r="7804" spans="1:6">
      <c r="A7804" s="888">
        <v>386</v>
      </c>
      <c r="B7804" s="888" t="s">
        <v>5611</v>
      </c>
      <c r="C7804" s="888" t="s">
        <v>3429</v>
      </c>
      <c r="D7804" s="889">
        <v>46050</v>
      </c>
      <c r="E7804" s="888" t="s">
        <v>310</v>
      </c>
      <c r="F7804" s="888" t="s">
        <v>310</v>
      </c>
    </row>
    <row r="7805" spans="1:6">
      <c r="A7805" s="888">
        <v>386</v>
      </c>
      <c r="B7805" s="888" t="s">
        <v>5611</v>
      </c>
      <c r="C7805" s="888" t="s">
        <v>3429</v>
      </c>
      <c r="D7805" s="889">
        <v>46051</v>
      </c>
      <c r="E7805" s="888" t="s">
        <v>310</v>
      </c>
      <c r="F7805" s="888" t="s">
        <v>310</v>
      </c>
    </row>
    <row r="7806" spans="1:6">
      <c r="A7806" s="888">
        <v>386</v>
      </c>
      <c r="B7806" s="888" t="s">
        <v>5611</v>
      </c>
      <c r="C7806" s="888" t="s">
        <v>3429</v>
      </c>
      <c r="D7806" s="889">
        <v>46052</v>
      </c>
      <c r="E7806" s="888" t="s">
        <v>310</v>
      </c>
      <c r="F7806" s="888" t="s">
        <v>310</v>
      </c>
    </row>
    <row r="7807" spans="1:6">
      <c r="A7807" s="888">
        <v>386</v>
      </c>
      <c r="B7807" s="888" t="s">
        <v>5611</v>
      </c>
      <c r="C7807" s="888" t="s">
        <v>3429</v>
      </c>
      <c r="D7807" s="889">
        <v>46053</v>
      </c>
      <c r="E7807" s="888" t="s">
        <v>310</v>
      </c>
      <c r="F7807" s="888" t="s">
        <v>310</v>
      </c>
    </row>
    <row r="7808" spans="1:6">
      <c r="A7808" s="888">
        <v>386</v>
      </c>
      <c r="B7808" s="888" t="s">
        <v>5611</v>
      </c>
      <c r="C7808" s="888" t="s">
        <v>3429</v>
      </c>
      <c r="D7808" s="889">
        <v>46054</v>
      </c>
      <c r="E7808" s="888" t="s">
        <v>310</v>
      </c>
      <c r="F7808" s="888" t="s">
        <v>310</v>
      </c>
    </row>
    <row r="7809" spans="1:6">
      <c r="A7809" s="888">
        <v>387</v>
      </c>
      <c r="B7809" s="888" t="s">
        <v>1209</v>
      </c>
      <c r="C7809" s="888" t="s">
        <v>3429</v>
      </c>
      <c r="D7809" s="889">
        <v>46023</v>
      </c>
      <c r="E7809" s="888" t="s">
        <v>310</v>
      </c>
      <c r="F7809" s="888" t="s">
        <v>310</v>
      </c>
    </row>
    <row r="7810" spans="1:6">
      <c r="A7810" s="888">
        <v>387</v>
      </c>
      <c r="B7810" s="888" t="s">
        <v>1209</v>
      </c>
      <c r="C7810" s="888" t="s">
        <v>3429</v>
      </c>
      <c r="D7810" s="889">
        <v>46024</v>
      </c>
      <c r="E7810" s="888" t="s">
        <v>310</v>
      </c>
      <c r="F7810" s="888" t="s">
        <v>310</v>
      </c>
    </row>
    <row r="7811" spans="1:6">
      <c r="A7811" s="888">
        <v>387</v>
      </c>
      <c r="B7811" s="888" t="s">
        <v>1209</v>
      </c>
      <c r="C7811" s="888" t="s">
        <v>3429</v>
      </c>
      <c r="D7811" s="889">
        <v>46025</v>
      </c>
      <c r="E7811" s="888" t="s">
        <v>310</v>
      </c>
      <c r="F7811" s="888" t="s">
        <v>310</v>
      </c>
    </row>
    <row r="7812" spans="1:6">
      <c r="A7812" s="888">
        <v>387</v>
      </c>
      <c r="B7812" s="888" t="s">
        <v>1209</v>
      </c>
      <c r="C7812" s="888" t="s">
        <v>3429</v>
      </c>
      <c r="D7812" s="889">
        <v>46026</v>
      </c>
      <c r="E7812" s="888" t="s">
        <v>310</v>
      </c>
      <c r="F7812" s="888" t="s">
        <v>310</v>
      </c>
    </row>
    <row r="7813" spans="1:6">
      <c r="A7813" s="888">
        <v>387</v>
      </c>
      <c r="B7813" s="888" t="s">
        <v>1209</v>
      </c>
      <c r="C7813" s="888" t="s">
        <v>3429</v>
      </c>
      <c r="D7813" s="889">
        <v>46027</v>
      </c>
      <c r="E7813" s="890">
        <v>0.61799768518518516</v>
      </c>
      <c r="F7813" s="888" t="s">
        <v>310</v>
      </c>
    </row>
    <row r="7814" spans="1:6">
      <c r="A7814" s="888" t="s">
        <v>5612</v>
      </c>
      <c r="B7814" s="888" t="s">
        <v>1258</v>
      </c>
      <c r="C7814" s="888" t="s">
        <v>1259</v>
      </c>
    </row>
    <row r="7815" spans="1:6">
      <c r="A7815" s="888">
        <v>387</v>
      </c>
      <c r="B7815" s="888" t="s">
        <v>1209</v>
      </c>
      <c r="C7815" s="888" t="s">
        <v>3429</v>
      </c>
      <c r="D7815" s="889">
        <v>46028</v>
      </c>
      <c r="E7815" s="888" t="s">
        <v>310</v>
      </c>
      <c r="F7815" s="888" t="s">
        <v>310</v>
      </c>
    </row>
    <row r="7816" spans="1:6">
      <c r="A7816" s="888">
        <v>387</v>
      </c>
      <c r="B7816" s="888" t="s">
        <v>1209</v>
      </c>
      <c r="C7816" s="888" t="s">
        <v>3429</v>
      </c>
      <c r="D7816" s="889">
        <v>46029</v>
      </c>
      <c r="E7816" s="888" t="s">
        <v>310</v>
      </c>
      <c r="F7816" s="888" t="s">
        <v>310</v>
      </c>
    </row>
    <row r="7817" spans="1:6">
      <c r="A7817" s="888">
        <v>387</v>
      </c>
      <c r="B7817" s="888" t="s">
        <v>1209</v>
      </c>
      <c r="C7817" s="888" t="s">
        <v>3429</v>
      </c>
      <c r="D7817" s="889">
        <v>46030</v>
      </c>
      <c r="E7817" s="888" t="s">
        <v>310</v>
      </c>
      <c r="F7817" s="888" t="s">
        <v>310</v>
      </c>
    </row>
    <row r="7818" spans="1:6">
      <c r="A7818" s="888">
        <v>387</v>
      </c>
      <c r="B7818" s="888" t="s">
        <v>1209</v>
      </c>
      <c r="C7818" s="888" t="s">
        <v>3429</v>
      </c>
      <c r="D7818" s="889">
        <v>46031</v>
      </c>
      <c r="E7818" s="888" t="s">
        <v>310</v>
      </c>
      <c r="F7818" s="888" t="s">
        <v>310</v>
      </c>
    </row>
    <row r="7819" spans="1:6">
      <c r="A7819" s="888">
        <v>387</v>
      </c>
      <c r="B7819" s="888" t="s">
        <v>1209</v>
      </c>
      <c r="C7819" s="888" t="s">
        <v>3429</v>
      </c>
      <c r="D7819" s="889">
        <v>46032</v>
      </c>
      <c r="E7819" s="888" t="s">
        <v>310</v>
      </c>
      <c r="F7819" s="888" t="s">
        <v>310</v>
      </c>
    </row>
    <row r="7820" spans="1:6">
      <c r="A7820" s="888">
        <v>387</v>
      </c>
      <c r="B7820" s="888" t="s">
        <v>1209</v>
      </c>
      <c r="C7820" s="888" t="s">
        <v>3429</v>
      </c>
      <c r="D7820" s="889">
        <v>46033</v>
      </c>
      <c r="E7820" s="888" t="s">
        <v>310</v>
      </c>
      <c r="F7820" s="888" t="s">
        <v>310</v>
      </c>
    </row>
    <row r="7821" spans="1:6">
      <c r="A7821" s="888">
        <v>387</v>
      </c>
      <c r="B7821" s="888" t="s">
        <v>1209</v>
      </c>
      <c r="C7821" s="888" t="s">
        <v>3429</v>
      </c>
      <c r="D7821" s="889">
        <v>46034</v>
      </c>
      <c r="E7821" s="888" t="s">
        <v>310</v>
      </c>
      <c r="F7821" s="888" t="s">
        <v>310</v>
      </c>
    </row>
    <row r="7822" spans="1:6">
      <c r="A7822" s="888">
        <v>387</v>
      </c>
      <c r="B7822" s="888" t="s">
        <v>1209</v>
      </c>
      <c r="C7822" s="888" t="s">
        <v>3429</v>
      </c>
      <c r="D7822" s="889">
        <v>46035</v>
      </c>
      <c r="E7822" s="888" t="s">
        <v>310</v>
      </c>
      <c r="F7822" s="888" t="s">
        <v>310</v>
      </c>
    </row>
    <row r="7823" spans="1:6">
      <c r="A7823" s="888">
        <v>387</v>
      </c>
      <c r="B7823" s="888" t="s">
        <v>1209</v>
      </c>
      <c r="C7823" s="888" t="s">
        <v>3429</v>
      </c>
      <c r="D7823" s="889">
        <v>46036</v>
      </c>
      <c r="E7823" s="888" t="s">
        <v>310</v>
      </c>
      <c r="F7823" s="888" t="s">
        <v>310</v>
      </c>
    </row>
    <row r="7824" spans="1:6">
      <c r="A7824" s="888">
        <v>387</v>
      </c>
      <c r="B7824" s="888" t="s">
        <v>1209</v>
      </c>
      <c r="C7824" s="888" t="s">
        <v>3429</v>
      </c>
      <c r="D7824" s="889">
        <v>46037</v>
      </c>
      <c r="E7824" s="888" t="s">
        <v>310</v>
      </c>
      <c r="F7824" s="888" t="s">
        <v>310</v>
      </c>
    </row>
    <row r="7825" spans="1:6">
      <c r="A7825" s="888">
        <v>387</v>
      </c>
      <c r="B7825" s="888" t="s">
        <v>1209</v>
      </c>
      <c r="C7825" s="888" t="s">
        <v>3429</v>
      </c>
      <c r="D7825" s="889">
        <v>46038</v>
      </c>
      <c r="E7825" s="888" t="s">
        <v>310</v>
      </c>
      <c r="F7825" s="888" t="s">
        <v>310</v>
      </c>
    </row>
    <row r="7826" spans="1:6">
      <c r="A7826" s="888">
        <v>387</v>
      </c>
      <c r="B7826" s="888" t="s">
        <v>1209</v>
      </c>
      <c r="C7826" s="888" t="s">
        <v>3429</v>
      </c>
      <c r="D7826" s="889">
        <v>46039</v>
      </c>
      <c r="E7826" s="888" t="s">
        <v>310</v>
      </c>
      <c r="F7826" s="888" t="s">
        <v>310</v>
      </c>
    </row>
    <row r="7827" spans="1:6">
      <c r="A7827" s="888">
        <v>387</v>
      </c>
      <c r="B7827" s="888" t="s">
        <v>1209</v>
      </c>
      <c r="C7827" s="888" t="s">
        <v>3429</v>
      </c>
      <c r="D7827" s="889">
        <v>46040</v>
      </c>
      <c r="E7827" s="888" t="s">
        <v>310</v>
      </c>
      <c r="F7827" s="888" t="s">
        <v>310</v>
      </c>
    </row>
    <row r="7828" spans="1:6">
      <c r="A7828" s="888">
        <v>387</v>
      </c>
      <c r="B7828" s="888" t="s">
        <v>1209</v>
      </c>
      <c r="C7828" s="888" t="s">
        <v>3429</v>
      </c>
      <c r="D7828" s="889">
        <v>46041</v>
      </c>
      <c r="E7828" s="888" t="s">
        <v>310</v>
      </c>
      <c r="F7828" s="888" t="s">
        <v>310</v>
      </c>
    </row>
    <row r="7829" spans="1:6">
      <c r="A7829" s="888">
        <v>387</v>
      </c>
      <c r="B7829" s="888" t="s">
        <v>1209</v>
      </c>
      <c r="C7829" s="888" t="s">
        <v>3429</v>
      </c>
      <c r="D7829" s="889">
        <v>46042</v>
      </c>
      <c r="E7829" s="888" t="s">
        <v>310</v>
      </c>
      <c r="F7829" s="888" t="s">
        <v>310</v>
      </c>
    </row>
    <row r="7830" spans="1:6">
      <c r="A7830" s="888">
        <v>387</v>
      </c>
      <c r="B7830" s="888" t="s">
        <v>1209</v>
      </c>
      <c r="C7830" s="888" t="s">
        <v>3429</v>
      </c>
      <c r="D7830" s="889">
        <v>46043</v>
      </c>
      <c r="E7830" s="888" t="s">
        <v>310</v>
      </c>
      <c r="F7830" s="888" t="s">
        <v>310</v>
      </c>
    </row>
    <row r="7831" spans="1:6">
      <c r="A7831" s="888">
        <v>387</v>
      </c>
      <c r="B7831" s="888" t="s">
        <v>1209</v>
      </c>
      <c r="C7831" s="888" t="s">
        <v>3429</v>
      </c>
      <c r="D7831" s="889">
        <v>46044</v>
      </c>
      <c r="E7831" s="888" t="s">
        <v>310</v>
      </c>
      <c r="F7831" s="888" t="s">
        <v>310</v>
      </c>
    </row>
    <row r="7832" spans="1:6">
      <c r="A7832" s="888">
        <v>387</v>
      </c>
      <c r="B7832" s="888" t="s">
        <v>1209</v>
      </c>
      <c r="C7832" s="888" t="s">
        <v>3429</v>
      </c>
      <c r="D7832" s="889">
        <v>46045</v>
      </c>
      <c r="E7832" s="888" t="s">
        <v>310</v>
      </c>
      <c r="F7832" s="888" t="s">
        <v>310</v>
      </c>
    </row>
    <row r="7833" spans="1:6">
      <c r="A7833" s="888">
        <v>387</v>
      </c>
      <c r="B7833" s="888" t="s">
        <v>1209</v>
      </c>
      <c r="C7833" s="888" t="s">
        <v>3429</v>
      </c>
      <c r="D7833" s="889">
        <v>46046</v>
      </c>
      <c r="E7833" s="888" t="s">
        <v>310</v>
      </c>
      <c r="F7833" s="888" t="s">
        <v>310</v>
      </c>
    </row>
    <row r="7834" spans="1:6">
      <c r="A7834" s="888">
        <v>387</v>
      </c>
      <c r="B7834" s="888" t="s">
        <v>1209</v>
      </c>
      <c r="C7834" s="888" t="s">
        <v>3429</v>
      </c>
      <c r="D7834" s="889">
        <v>46047</v>
      </c>
      <c r="E7834" s="888" t="s">
        <v>310</v>
      </c>
      <c r="F7834" s="888" t="s">
        <v>310</v>
      </c>
    </row>
    <row r="7835" spans="1:6">
      <c r="A7835" s="888">
        <v>387</v>
      </c>
      <c r="B7835" s="888" t="s">
        <v>1209</v>
      </c>
      <c r="C7835" s="888" t="s">
        <v>3429</v>
      </c>
      <c r="D7835" s="889">
        <v>46048</v>
      </c>
      <c r="E7835" s="888" t="s">
        <v>310</v>
      </c>
      <c r="F7835" s="888" t="s">
        <v>310</v>
      </c>
    </row>
    <row r="7836" spans="1:6">
      <c r="A7836" s="888">
        <v>387</v>
      </c>
      <c r="B7836" s="888" t="s">
        <v>1209</v>
      </c>
      <c r="C7836" s="888" t="s">
        <v>3429</v>
      </c>
      <c r="D7836" s="889">
        <v>46049</v>
      </c>
      <c r="E7836" s="888" t="s">
        <v>310</v>
      </c>
      <c r="F7836" s="888" t="s">
        <v>310</v>
      </c>
    </row>
    <row r="7837" spans="1:6">
      <c r="A7837" s="888">
        <v>387</v>
      </c>
      <c r="B7837" s="888" t="s">
        <v>1209</v>
      </c>
      <c r="C7837" s="888" t="s">
        <v>3429</v>
      </c>
      <c r="D7837" s="889">
        <v>46050</v>
      </c>
      <c r="E7837" s="888" t="s">
        <v>310</v>
      </c>
      <c r="F7837" s="888" t="s">
        <v>310</v>
      </c>
    </row>
    <row r="7838" spans="1:6">
      <c r="A7838" s="888">
        <v>387</v>
      </c>
      <c r="B7838" s="888" t="s">
        <v>1209</v>
      </c>
      <c r="C7838" s="888" t="s">
        <v>3429</v>
      </c>
      <c r="D7838" s="889">
        <v>46051</v>
      </c>
      <c r="E7838" s="888" t="s">
        <v>310</v>
      </c>
      <c r="F7838" s="888" t="s">
        <v>310</v>
      </c>
    </row>
    <row r="7839" spans="1:6">
      <c r="A7839" s="888">
        <v>387</v>
      </c>
      <c r="B7839" s="888" t="s">
        <v>1209</v>
      </c>
      <c r="C7839" s="888" t="s">
        <v>3429</v>
      </c>
      <c r="D7839" s="889">
        <v>46052</v>
      </c>
      <c r="E7839" s="888" t="s">
        <v>310</v>
      </c>
      <c r="F7839" s="888" t="s">
        <v>310</v>
      </c>
    </row>
    <row r="7840" spans="1:6">
      <c r="A7840" s="888">
        <v>387</v>
      </c>
      <c r="B7840" s="888" t="s">
        <v>1209</v>
      </c>
      <c r="C7840" s="888" t="s">
        <v>3429</v>
      </c>
      <c r="D7840" s="889">
        <v>46053</v>
      </c>
      <c r="E7840" s="888" t="s">
        <v>310</v>
      </c>
      <c r="F7840" s="888" t="s">
        <v>310</v>
      </c>
    </row>
    <row r="7841" spans="1:6">
      <c r="A7841" s="888">
        <v>387</v>
      </c>
      <c r="B7841" s="888" t="s">
        <v>1209</v>
      </c>
      <c r="C7841" s="888" t="s">
        <v>3429</v>
      </c>
      <c r="D7841" s="889">
        <v>46054</v>
      </c>
      <c r="E7841" s="888" t="s">
        <v>310</v>
      </c>
      <c r="F7841" s="888" t="s">
        <v>310</v>
      </c>
    </row>
    <row r="7842" spans="1:6">
      <c r="A7842" s="888">
        <v>388</v>
      </c>
      <c r="B7842" s="888" t="s">
        <v>1210</v>
      </c>
      <c r="C7842" s="888" t="s">
        <v>3429</v>
      </c>
      <c r="D7842" s="889">
        <v>46023</v>
      </c>
      <c r="E7842" s="888" t="s">
        <v>310</v>
      </c>
      <c r="F7842" s="888" t="s">
        <v>310</v>
      </c>
    </row>
    <row r="7843" spans="1:6">
      <c r="A7843" s="888">
        <v>388</v>
      </c>
      <c r="B7843" s="888" t="s">
        <v>1210</v>
      </c>
      <c r="C7843" s="888" t="s">
        <v>3429</v>
      </c>
      <c r="D7843" s="889">
        <v>46024</v>
      </c>
      <c r="E7843" s="888" t="s">
        <v>310</v>
      </c>
      <c r="F7843" s="888" t="s">
        <v>310</v>
      </c>
    </row>
    <row r="7844" spans="1:6">
      <c r="A7844" s="888">
        <v>388</v>
      </c>
      <c r="B7844" s="888" t="s">
        <v>1210</v>
      </c>
      <c r="C7844" s="888" t="s">
        <v>3429</v>
      </c>
      <c r="D7844" s="889">
        <v>46025</v>
      </c>
      <c r="E7844" s="888" t="s">
        <v>310</v>
      </c>
      <c r="F7844" s="888" t="s">
        <v>310</v>
      </c>
    </row>
    <row r="7845" spans="1:6">
      <c r="A7845" s="888">
        <v>388</v>
      </c>
      <c r="B7845" s="888" t="s">
        <v>1210</v>
      </c>
      <c r="C7845" s="888" t="s">
        <v>3429</v>
      </c>
      <c r="D7845" s="889">
        <v>46026</v>
      </c>
      <c r="E7845" s="888" t="s">
        <v>310</v>
      </c>
      <c r="F7845" s="888" t="s">
        <v>310</v>
      </c>
    </row>
    <row r="7846" spans="1:6">
      <c r="A7846" s="888">
        <v>388</v>
      </c>
      <c r="B7846" s="888" t="s">
        <v>1210</v>
      </c>
      <c r="C7846" s="888" t="s">
        <v>3429</v>
      </c>
      <c r="D7846" s="889">
        <v>46027</v>
      </c>
      <c r="E7846" s="890">
        <v>0.49351851851851852</v>
      </c>
      <c r="F7846" s="890">
        <v>0.6799884259259259</v>
      </c>
    </row>
    <row r="7847" spans="1:6">
      <c r="A7847" s="888" t="s">
        <v>5613</v>
      </c>
      <c r="B7847" s="888" t="s">
        <v>5614</v>
      </c>
      <c r="C7847" s="888" t="s">
        <v>2689</v>
      </c>
    </row>
    <row r="7848" spans="1:6">
      <c r="A7848" s="888">
        <v>388</v>
      </c>
      <c r="B7848" s="888" t="s">
        <v>1210</v>
      </c>
      <c r="C7848" s="888" t="s">
        <v>3429</v>
      </c>
      <c r="D7848" s="889">
        <v>46028</v>
      </c>
      <c r="E7848" s="888" t="s">
        <v>310</v>
      </c>
      <c r="F7848" s="888" t="s">
        <v>310</v>
      </c>
    </row>
    <row r="7849" spans="1:6">
      <c r="A7849" s="888">
        <v>388</v>
      </c>
      <c r="B7849" s="888" t="s">
        <v>1210</v>
      </c>
      <c r="C7849" s="888" t="s">
        <v>3429</v>
      </c>
      <c r="D7849" s="889">
        <v>46029</v>
      </c>
      <c r="E7849" s="888" t="s">
        <v>310</v>
      </c>
      <c r="F7849" s="888" t="s">
        <v>310</v>
      </c>
    </row>
    <row r="7850" spans="1:6">
      <c r="A7850" s="888">
        <v>388</v>
      </c>
      <c r="B7850" s="888" t="s">
        <v>1210</v>
      </c>
      <c r="C7850" s="888" t="s">
        <v>3429</v>
      </c>
      <c r="D7850" s="889">
        <v>46030</v>
      </c>
      <c r="E7850" s="888" t="s">
        <v>310</v>
      </c>
      <c r="F7850" s="888" t="s">
        <v>310</v>
      </c>
    </row>
    <row r="7851" spans="1:6">
      <c r="A7851" s="888">
        <v>388</v>
      </c>
      <c r="B7851" s="888" t="s">
        <v>1210</v>
      </c>
      <c r="C7851" s="888" t="s">
        <v>3429</v>
      </c>
      <c r="D7851" s="889">
        <v>46031</v>
      </c>
      <c r="E7851" s="888" t="s">
        <v>310</v>
      </c>
      <c r="F7851" s="888" t="s">
        <v>310</v>
      </c>
    </row>
    <row r="7852" spans="1:6">
      <c r="A7852" s="888">
        <v>388</v>
      </c>
      <c r="B7852" s="888" t="s">
        <v>1210</v>
      </c>
      <c r="C7852" s="888" t="s">
        <v>3429</v>
      </c>
      <c r="D7852" s="889">
        <v>46032</v>
      </c>
      <c r="E7852" s="888" t="s">
        <v>310</v>
      </c>
      <c r="F7852" s="888" t="s">
        <v>310</v>
      </c>
    </row>
    <row r="7853" spans="1:6">
      <c r="A7853" s="888">
        <v>388</v>
      </c>
      <c r="B7853" s="888" t="s">
        <v>1210</v>
      </c>
      <c r="C7853" s="888" t="s">
        <v>3429</v>
      </c>
      <c r="D7853" s="889">
        <v>46033</v>
      </c>
      <c r="E7853" s="888" t="s">
        <v>310</v>
      </c>
      <c r="F7853" s="888" t="s">
        <v>310</v>
      </c>
    </row>
    <row r="7854" spans="1:6">
      <c r="A7854" s="888">
        <v>388</v>
      </c>
      <c r="B7854" s="888" t="s">
        <v>1210</v>
      </c>
      <c r="C7854" s="888" t="s">
        <v>3429</v>
      </c>
      <c r="D7854" s="889">
        <v>46034</v>
      </c>
      <c r="E7854" s="890">
        <v>0.71163194444444444</v>
      </c>
      <c r="F7854" s="888" t="s">
        <v>310</v>
      </c>
    </row>
    <row r="7855" spans="1:6">
      <c r="A7855" s="888" t="s">
        <v>5615</v>
      </c>
      <c r="B7855" s="888" t="s">
        <v>1258</v>
      </c>
      <c r="C7855" s="888" t="s">
        <v>1259</v>
      </c>
    </row>
    <row r="7856" spans="1:6">
      <c r="A7856" s="888">
        <v>388</v>
      </c>
      <c r="B7856" s="888" t="s">
        <v>1210</v>
      </c>
      <c r="C7856" s="888" t="s">
        <v>3429</v>
      </c>
      <c r="D7856" s="889">
        <v>46035</v>
      </c>
      <c r="E7856" s="888" t="s">
        <v>310</v>
      </c>
      <c r="F7856" s="888" t="s">
        <v>310</v>
      </c>
    </row>
    <row r="7857" spans="1:6">
      <c r="A7857" s="888">
        <v>388</v>
      </c>
      <c r="B7857" s="888" t="s">
        <v>1210</v>
      </c>
      <c r="C7857" s="888" t="s">
        <v>3429</v>
      </c>
      <c r="D7857" s="889">
        <v>46036</v>
      </c>
      <c r="E7857" s="888" t="s">
        <v>310</v>
      </c>
      <c r="F7857" s="888" t="s">
        <v>310</v>
      </c>
    </row>
    <row r="7858" spans="1:6">
      <c r="A7858" s="888">
        <v>388</v>
      </c>
      <c r="B7858" s="888" t="s">
        <v>1210</v>
      </c>
      <c r="C7858" s="888" t="s">
        <v>3429</v>
      </c>
      <c r="D7858" s="889">
        <v>46037</v>
      </c>
      <c r="E7858" s="888" t="s">
        <v>310</v>
      </c>
      <c r="F7858" s="888" t="s">
        <v>310</v>
      </c>
    </row>
    <row r="7859" spans="1:6">
      <c r="A7859" s="888">
        <v>388</v>
      </c>
      <c r="B7859" s="888" t="s">
        <v>1210</v>
      </c>
      <c r="C7859" s="888" t="s">
        <v>3429</v>
      </c>
      <c r="D7859" s="889">
        <v>46038</v>
      </c>
      <c r="E7859" s="888" t="s">
        <v>310</v>
      </c>
      <c r="F7859" s="888" t="s">
        <v>310</v>
      </c>
    </row>
    <row r="7860" spans="1:6">
      <c r="A7860" s="888">
        <v>388</v>
      </c>
      <c r="B7860" s="888" t="s">
        <v>1210</v>
      </c>
      <c r="C7860" s="888" t="s">
        <v>3429</v>
      </c>
      <c r="D7860" s="889">
        <v>46039</v>
      </c>
      <c r="E7860" s="888" t="s">
        <v>310</v>
      </c>
      <c r="F7860" s="888" t="s">
        <v>310</v>
      </c>
    </row>
    <row r="7861" spans="1:6">
      <c r="A7861" s="888">
        <v>388</v>
      </c>
      <c r="B7861" s="888" t="s">
        <v>1210</v>
      </c>
      <c r="C7861" s="888" t="s">
        <v>3429</v>
      </c>
      <c r="D7861" s="889">
        <v>46040</v>
      </c>
      <c r="E7861" s="888" t="s">
        <v>310</v>
      </c>
      <c r="F7861" s="888" t="s">
        <v>310</v>
      </c>
    </row>
    <row r="7862" spans="1:6">
      <c r="A7862" s="888">
        <v>388</v>
      </c>
      <c r="B7862" s="888" t="s">
        <v>1210</v>
      </c>
      <c r="C7862" s="888" t="s">
        <v>3429</v>
      </c>
      <c r="D7862" s="889">
        <v>46041</v>
      </c>
      <c r="E7862" s="888" t="s">
        <v>310</v>
      </c>
      <c r="F7862" s="888" t="s">
        <v>310</v>
      </c>
    </row>
    <row r="7863" spans="1:6">
      <c r="A7863" s="888">
        <v>388</v>
      </c>
      <c r="B7863" s="888" t="s">
        <v>1210</v>
      </c>
      <c r="C7863" s="888" t="s">
        <v>3429</v>
      </c>
      <c r="D7863" s="889">
        <v>46042</v>
      </c>
      <c r="E7863" s="888" t="s">
        <v>310</v>
      </c>
      <c r="F7863" s="888" t="s">
        <v>310</v>
      </c>
    </row>
    <row r="7864" spans="1:6">
      <c r="A7864" s="888">
        <v>388</v>
      </c>
      <c r="B7864" s="888" t="s">
        <v>1210</v>
      </c>
      <c r="C7864" s="888" t="s">
        <v>3429</v>
      </c>
      <c r="D7864" s="889">
        <v>46043</v>
      </c>
      <c r="E7864" s="888" t="s">
        <v>310</v>
      </c>
      <c r="F7864" s="888" t="s">
        <v>310</v>
      </c>
    </row>
    <row r="7865" spans="1:6">
      <c r="A7865" s="888">
        <v>388</v>
      </c>
      <c r="B7865" s="888" t="s">
        <v>1210</v>
      </c>
      <c r="C7865" s="888" t="s">
        <v>3429</v>
      </c>
      <c r="D7865" s="889">
        <v>46044</v>
      </c>
      <c r="E7865" s="888" t="s">
        <v>310</v>
      </c>
      <c r="F7865" s="888" t="s">
        <v>310</v>
      </c>
    </row>
    <row r="7866" spans="1:6">
      <c r="A7866" s="888">
        <v>388</v>
      </c>
      <c r="B7866" s="888" t="s">
        <v>1210</v>
      </c>
      <c r="C7866" s="888" t="s">
        <v>3429</v>
      </c>
      <c r="D7866" s="889">
        <v>46045</v>
      </c>
      <c r="E7866" s="888" t="s">
        <v>310</v>
      </c>
      <c r="F7866" s="888" t="s">
        <v>310</v>
      </c>
    </row>
    <row r="7867" spans="1:6">
      <c r="A7867" s="888">
        <v>388</v>
      </c>
      <c r="B7867" s="888" t="s">
        <v>1210</v>
      </c>
      <c r="C7867" s="888" t="s">
        <v>3429</v>
      </c>
      <c r="D7867" s="889">
        <v>46046</v>
      </c>
      <c r="E7867" s="888" t="s">
        <v>310</v>
      </c>
      <c r="F7867" s="888" t="s">
        <v>310</v>
      </c>
    </row>
    <row r="7868" spans="1:6">
      <c r="A7868" s="888">
        <v>388</v>
      </c>
      <c r="B7868" s="888" t="s">
        <v>1210</v>
      </c>
      <c r="C7868" s="888" t="s">
        <v>3429</v>
      </c>
      <c r="D7868" s="889">
        <v>46047</v>
      </c>
      <c r="E7868" s="888" t="s">
        <v>310</v>
      </c>
      <c r="F7868" s="888" t="s">
        <v>310</v>
      </c>
    </row>
    <row r="7869" spans="1:6">
      <c r="A7869" s="888">
        <v>388</v>
      </c>
      <c r="B7869" s="888" t="s">
        <v>1210</v>
      </c>
      <c r="C7869" s="888" t="s">
        <v>3429</v>
      </c>
      <c r="D7869" s="889">
        <v>46048</v>
      </c>
      <c r="E7869" s="888" t="s">
        <v>310</v>
      </c>
      <c r="F7869" s="888" t="s">
        <v>310</v>
      </c>
    </row>
    <row r="7870" spans="1:6">
      <c r="A7870" s="888">
        <v>388</v>
      </c>
      <c r="B7870" s="888" t="s">
        <v>1210</v>
      </c>
      <c r="C7870" s="888" t="s">
        <v>3429</v>
      </c>
      <c r="D7870" s="889">
        <v>46049</v>
      </c>
      <c r="E7870" s="888" t="s">
        <v>310</v>
      </c>
      <c r="F7870" s="888" t="s">
        <v>310</v>
      </c>
    </row>
    <row r="7871" spans="1:6">
      <c r="A7871" s="888">
        <v>388</v>
      </c>
      <c r="B7871" s="888" t="s">
        <v>1210</v>
      </c>
      <c r="C7871" s="888" t="s">
        <v>3429</v>
      </c>
      <c r="D7871" s="889">
        <v>46050</v>
      </c>
      <c r="E7871" s="888" t="s">
        <v>310</v>
      </c>
      <c r="F7871" s="888" t="s">
        <v>310</v>
      </c>
    </row>
    <row r="7872" spans="1:6">
      <c r="A7872" s="888">
        <v>388</v>
      </c>
      <c r="B7872" s="888" t="s">
        <v>1210</v>
      </c>
      <c r="C7872" s="888" t="s">
        <v>3429</v>
      </c>
      <c r="D7872" s="889">
        <v>46051</v>
      </c>
      <c r="E7872" s="888" t="s">
        <v>310</v>
      </c>
      <c r="F7872" s="888" t="s">
        <v>310</v>
      </c>
    </row>
    <row r="7873" spans="1:6">
      <c r="A7873" s="888">
        <v>388</v>
      </c>
      <c r="B7873" s="888" t="s">
        <v>1210</v>
      </c>
      <c r="C7873" s="888" t="s">
        <v>3429</v>
      </c>
      <c r="D7873" s="889">
        <v>46052</v>
      </c>
      <c r="E7873" s="888" t="s">
        <v>310</v>
      </c>
      <c r="F7873" s="888" t="s">
        <v>310</v>
      </c>
    </row>
    <row r="7874" spans="1:6">
      <c r="A7874" s="888">
        <v>388</v>
      </c>
      <c r="B7874" s="888" t="s">
        <v>1210</v>
      </c>
      <c r="C7874" s="888" t="s">
        <v>3429</v>
      </c>
      <c r="D7874" s="889">
        <v>46053</v>
      </c>
      <c r="E7874" s="888" t="s">
        <v>310</v>
      </c>
      <c r="F7874" s="888" t="s">
        <v>310</v>
      </c>
    </row>
    <row r="7875" spans="1:6">
      <c r="A7875" s="888">
        <v>388</v>
      </c>
      <c r="B7875" s="888" t="s">
        <v>1210</v>
      </c>
      <c r="C7875" s="888" t="s">
        <v>3429</v>
      </c>
      <c r="D7875" s="889">
        <v>46054</v>
      </c>
      <c r="E7875" s="888" t="s">
        <v>310</v>
      </c>
      <c r="F7875" s="888" t="s">
        <v>310</v>
      </c>
    </row>
    <row r="7876" spans="1:6">
      <c r="A7876" s="888">
        <v>389</v>
      </c>
      <c r="B7876" s="888" t="s">
        <v>1211</v>
      </c>
      <c r="C7876" s="888" t="s">
        <v>3429</v>
      </c>
      <c r="D7876" s="889">
        <v>46023</v>
      </c>
      <c r="E7876" s="888" t="s">
        <v>310</v>
      </c>
      <c r="F7876" s="888" t="s">
        <v>310</v>
      </c>
    </row>
    <row r="7877" spans="1:6">
      <c r="A7877" s="888">
        <v>389</v>
      </c>
      <c r="B7877" s="888" t="s">
        <v>1211</v>
      </c>
      <c r="C7877" s="888" t="s">
        <v>3429</v>
      </c>
      <c r="D7877" s="889">
        <v>46024</v>
      </c>
      <c r="E7877" s="888" t="s">
        <v>310</v>
      </c>
      <c r="F7877" s="888" t="s">
        <v>310</v>
      </c>
    </row>
    <row r="7878" spans="1:6">
      <c r="A7878" s="888">
        <v>389</v>
      </c>
      <c r="B7878" s="888" t="s">
        <v>1211</v>
      </c>
      <c r="C7878" s="888" t="s">
        <v>3429</v>
      </c>
      <c r="D7878" s="889">
        <v>46025</v>
      </c>
      <c r="E7878" s="888" t="s">
        <v>310</v>
      </c>
      <c r="F7878" s="888" t="s">
        <v>310</v>
      </c>
    </row>
    <row r="7879" spans="1:6">
      <c r="A7879" s="888">
        <v>389</v>
      </c>
      <c r="B7879" s="888" t="s">
        <v>1211</v>
      </c>
      <c r="C7879" s="888" t="s">
        <v>3429</v>
      </c>
      <c r="D7879" s="889">
        <v>46026</v>
      </c>
      <c r="E7879" s="888" t="s">
        <v>310</v>
      </c>
      <c r="F7879" s="888" t="s">
        <v>310</v>
      </c>
    </row>
    <row r="7880" spans="1:6">
      <c r="A7880" s="888">
        <v>389</v>
      </c>
      <c r="B7880" s="888" t="s">
        <v>1211</v>
      </c>
      <c r="C7880" s="888" t="s">
        <v>3429</v>
      </c>
      <c r="D7880" s="889">
        <v>46027</v>
      </c>
      <c r="E7880" s="888" t="s">
        <v>310</v>
      </c>
      <c r="F7880" s="888" t="s">
        <v>310</v>
      </c>
    </row>
    <row r="7881" spans="1:6">
      <c r="A7881" s="888">
        <v>389</v>
      </c>
      <c r="B7881" s="888" t="s">
        <v>1211</v>
      </c>
      <c r="C7881" s="888" t="s">
        <v>3429</v>
      </c>
      <c r="D7881" s="889">
        <v>46028</v>
      </c>
      <c r="E7881" s="888" t="s">
        <v>310</v>
      </c>
      <c r="F7881" s="888" t="s">
        <v>310</v>
      </c>
    </row>
    <row r="7882" spans="1:6">
      <c r="A7882" s="888">
        <v>389</v>
      </c>
      <c r="B7882" s="888" t="s">
        <v>1211</v>
      </c>
      <c r="C7882" s="888" t="s">
        <v>3429</v>
      </c>
      <c r="D7882" s="889">
        <v>46029</v>
      </c>
      <c r="E7882" s="888" t="s">
        <v>310</v>
      </c>
      <c r="F7882" s="888" t="s">
        <v>310</v>
      </c>
    </row>
    <row r="7883" spans="1:6">
      <c r="A7883" s="888">
        <v>389</v>
      </c>
      <c r="B7883" s="888" t="s">
        <v>1211</v>
      </c>
      <c r="C7883" s="888" t="s">
        <v>3429</v>
      </c>
      <c r="D7883" s="889">
        <v>46030</v>
      </c>
      <c r="E7883" s="888" t="s">
        <v>310</v>
      </c>
      <c r="F7883" s="888" t="s">
        <v>310</v>
      </c>
    </row>
    <row r="7884" spans="1:6">
      <c r="A7884" s="888">
        <v>389</v>
      </c>
      <c r="B7884" s="888" t="s">
        <v>1211</v>
      </c>
      <c r="C7884" s="888" t="s">
        <v>3429</v>
      </c>
      <c r="D7884" s="889">
        <v>46031</v>
      </c>
      <c r="E7884" s="888" t="s">
        <v>310</v>
      </c>
      <c r="F7884" s="888" t="s">
        <v>310</v>
      </c>
    </row>
    <row r="7885" spans="1:6">
      <c r="A7885" s="888">
        <v>389</v>
      </c>
      <c r="B7885" s="888" t="s">
        <v>1211</v>
      </c>
      <c r="C7885" s="888" t="s">
        <v>3429</v>
      </c>
      <c r="D7885" s="889">
        <v>46032</v>
      </c>
      <c r="E7885" s="888" t="s">
        <v>310</v>
      </c>
      <c r="F7885" s="888" t="s">
        <v>310</v>
      </c>
    </row>
    <row r="7886" spans="1:6">
      <c r="A7886" s="888">
        <v>389</v>
      </c>
      <c r="B7886" s="888" t="s">
        <v>1211</v>
      </c>
      <c r="C7886" s="888" t="s">
        <v>3429</v>
      </c>
      <c r="D7886" s="889">
        <v>46033</v>
      </c>
      <c r="E7886" s="888" t="s">
        <v>310</v>
      </c>
      <c r="F7886" s="888" t="s">
        <v>310</v>
      </c>
    </row>
    <row r="7887" spans="1:6">
      <c r="A7887" s="888">
        <v>389</v>
      </c>
      <c r="B7887" s="888" t="s">
        <v>1211</v>
      </c>
      <c r="C7887" s="888" t="s">
        <v>3429</v>
      </c>
      <c r="D7887" s="889">
        <v>46034</v>
      </c>
      <c r="E7887" s="888" t="s">
        <v>310</v>
      </c>
      <c r="F7887" s="888" t="s">
        <v>310</v>
      </c>
    </row>
    <row r="7888" spans="1:6">
      <c r="A7888" s="888">
        <v>389</v>
      </c>
      <c r="B7888" s="888" t="s">
        <v>1211</v>
      </c>
      <c r="C7888" s="888" t="s">
        <v>3429</v>
      </c>
      <c r="D7888" s="889">
        <v>46035</v>
      </c>
      <c r="E7888" s="888" t="s">
        <v>310</v>
      </c>
      <c r="F7888" s="888" t="s">
        <v>310</v>
      </c>
    </row>
    <row r="7889" spans="1:6">
      <c r="A7889" s="888">
        <v>389</v>
      </c>
      <c r="B7889" s="888" t="s">
        <v>1211</v>
      </c>
      <c r="C7889" s="888" t="s">
        <v>3429</v>
      </c>
      <c r="D7889" s="889">
        <v>46036</v>
      </c>
      <c r="E7889" s="888" t="s">
        <v>310</v>
      </c>
      <c r="F7889" s="888" t="s">
        <v>310</v>
      </c>
    </row>
    <row r="7890" spans="1:6">
      <c r="A7890" s="888">
        <v>389</v>
      </c>
      <c r="B7890" s="888" t="s">
        <v>1211</v>
      </c>
      <c r="C7890" s="888" t="s">
        <v>3429</v>
      </c>
      <c r="D7890" s="889">
        <v>46037</v>
      </c>
      <c r="E7890" s="888" t="s">
        <v>310</v>
      </c>
      <c r="F7890" s="888" t="s">
        <v>310</v>
      </c>
    </row>
    <row r="7891" spans="1:6">
      <c r="A7891" s="888">
        <v>389</v>
      </c>
      <c r="B7891" s="888" t="s">
        <v>1211</v>
      </c>
      <c r="C7891" s="888" t="s">
        <v>3429</v>
      </c>
      <c r="D7891" s="889">
        <v>46038</v>
      </c>
      <c r="E7891" s="888" t="s">
        <v>310</v>
      </c>
      <c r="F7891" s="888" t="s">
        <v>310</v>
      </c>
    </row>
    <row r="7892" spans="1:6">
      <c r="A7892" s="888">
        <v>389</v>
      </c>
      <c r="B7892" s="888" t="s">
        <v>1211</v>
      </c>
      <c r="C7892" s="888" t="s">
        <v>3429</v>
      </c>
      <c r="D7892" s="889">
        <v>46039</v>
      </c>
      <c r="E7892" s="888" t="s">
        <v>310</v>
      </c>
      <c r="F7892" s="888" t="s">
        <v>310</v>
      </c>
    </row>
    <row r="7893" spans="1:6">
      <c r="A7893" s="888">
        <v>389</v>
      </c>
      <c r="B7893" s="888" t="s">
        <v>1211</v>
      </c>
      <c r="C7893" s="888" t="s">
        <v>3429</v>
      </c>
      <c r="D7893" s="889">
        <v>46040</v>
      </c>
      <c r="E7893" s="888" t="s">
        <v>310</v>
      </c>
      <c r="F7893" s="888" t="s">
        <v>310</v>
      </c>
    </row>
    <row r="7894" spans="1:6">
      <c r="A7894" s="888">
        <v>389</v>
      </c>
      <c r="B7894" s="888" t="s">
        <v>1211</v>
      </c>
      <c r="C7894" s="888" t="s">
        <v>3429</v>
      </c>
      <c r="D7894" s="889">
        <v>46041</v>
      </c>
      <c r="E7894" s="888" t="s">
        <v>310</v>
      </c>
      <c r="F7894" s="888" t="s">
        <v>310</v>
      </c>
    </row>
    <row r="7895" spans="1:6">
      <c r="A7895" s="888">
        <v>389</v>
      </c>
      <c r="B7895" s="888" t="s">
        <v>1211</v>
      </c>
      <c r="C7895" s="888" t="s">
        <v>3429</v>
      </c>
      <c r="D7895" s="889">
        <v>46042</v>
      </c>
      <c r="E7895" s="888" t="s">
        <v>310</v>
      </c>
      <c r="F7895" s="888" t="s">
        <v>310</v>
      </c>
    </row>
    <row r="7896" spans="1:6">
      <c r="A7896" s="888">
        <v>389</v>
      </c>
      <c r="B7896" s="888" t="s">
        <v>1211</v>
      </c>
      <c r="C7896" s="888" t="s">
        <v>3429</v>
      </c>
      <c r="D7896" s="889">
        <v>46043</v>
      </c>
      <c r="E7896" s="888" t="s">
        <v>310</v>
      </c>
      <c r="F7896" s="888" t="s">
        <v>310</v>
      </c>
    </row>
    <row r="7897" spans="1:6">
      <c r="A7897" s="888">
        <v>389</v>
      </c>
      <c r="B7897" s="888" t="s">
        <v>1211</v>
      </c>
      <c r="C7897" s="888" t="s">
        <v>3429</v>
      </c>
      <c r="D7897" s="889">
        <v>46044</v>
      </c>
      <c r="E7897" s="888" t="s">
        <v>310</v>
      </c>
      <c r="F7897" s="888" t="s">
        <v>310</v>
      </c>
    </row>
    <row r="7898" spans="1:6">
      <c r="A7898" s="888">
        <v>389</v>
      </c>
      <c r="B7898" s="888" t="s">
        <v>1211</v>
      </c>
      <c r="C7898" s="888" t="s">
        <v>3429</v>
      </c>
      <c r="D7898" s="889">
        <v>46045</v>
      </c>
      <c r="E7898" s="888" t="s">
        <v>310</v>
      </c>
      <c r="F7898" s="888" t="s">
        <v>310</v>
      </c>
    </row>
    <row r="7899" spans="1:6">
      <c r="A7899" s="888">
        <v>389</v>
      </c>
      <c r="B7899" s="888" t="s">
        <v>1211</v>
      </c>
      <c r="C7899" s="888" t="s">
        <v>3429</v>
      </c>
      <c r="D7899" s="889">
        <v>46046</v>
      </c>
      <c r="E7899" s="888" t="s">
        <v>310</v>
      </c>
      <c r="F7899" s="888" t="s">
        <v>310</v>
      </c>
    </row>
    <row r="7900" spans="1:6">
      <c r="A7900" s="888">
        <v>389</v>
      </c>
      <c r="B7900" s="888" t="s">
        <v>1211</v>
      </c>
      <c r="C7900" s="888" t="s">
        <v>3429</v>
      </c>
      <c r="D7900" s="889">
        <v>46047</v>
      </c>
      <c r="E7900" s="888" t="s">
        <v>310</v>
      </c>
      <c r="F7900" s="888" t="s">
        <v>310</v>
      </c>
    </row>
    <row r="7901" spans="1:6">
      <c r="A7901" s="888">
        <v>389</v>
      </c>
      <c r="B7901" s="888" t="s">
        <v>1211</v>
      </c>
      <c r="C7901" s="888" t="s">
        <v>3429</v>
      </c>
      <c r="D7901" s="889">
        <v>46048</v>
      </c>
      <c r="E7901" s="888" t="s">
        <v>310</v>
      </c>
      <c r="F7901" s="888" t="s">
        <v>310</v>
      </c>
    </row>
    <row r="7902" spans="1:6">
      <c r="A7902" s="888">
        <v>389</v>
      </c>
      <c r="B7902" s="888" t="s">
        <v>1211</v>
      </c>
      <c r="C7902" s="888" t="s">
        <v>3429</v>
      </c>
      <c r="D7902" s="889">
        <v>46049</v>
      </c>
      <c r="E7902" s="888" t="s">
        <v>310</v>
      </c>
      <c r="F7902" s="888" t="s">
        <v>310</v>
      </c>
    </row>
    <row r="7903" spans="1:6">
      <c r="A7903" s="888">
        <v>389</v>
      </c>
      <c r="B7903" s="888" t="s">
        <v>1211</v>
      </c>
      <c r="C7903" s="888" t="s">
        <v>3429</v>
      </c>
      <c r="D7903" s="889">
        <v>46050</v>
      </c>
      <c r="E7903" s="888" t="s">
        <v>310</v>
      </c>
      <c r="F7903" s="888" t="s">
        <v>310</v>
      </c>
    </row>
    <row r="7904" spans="1:6">
      <c r="A7904" s="888">
        <v>389</v>
      </c>
      <c r="B7904" s="888" t="s">
        <v>1211</v>
      </c>
      <c r="C7904" s="888" t="s">
        <v>3429</v>
      </c>
      <c r="D7904" s="889">
        <v>46051</v>
      </c>
      <c r="E7904" s="888" t="s">
        <v>310</v>
      </c>
      <c r="F7904" s="888" t="s">
        <v>310</v>
      </c>
    </row>
    <row r="7905" spans="1:6">
      <c r="A7905" s="888">
        <v>389</v>
      </c>
      <c r="B7905" s="888" t="s">
        <v>1211</v>
      </c>
      <c r="C7905" s="888" t="s">
        <v>3429</v>
      </c>
      <c r="D7905" s="889">
        <v>46052</v>
      </c>
      <c r="E7905" s="888" t="s">
        <v>310</v>
      </c>
      <c r="F7905" s="888" t="s">
        <v>310</v>
      </c>
    </row>
    <row r="7906" spans="1:6">
      <c r="A7906" s="888">
        <v>389</v>
      </c>
      <c r="B7906" s="888" t="s">
        <v>1211</v>
      </c>
      <c r="C7906" s="888" t="s">
        <v>3429</v>
      </c>
      <c r="D7906" s="889">
        <v>46053</v>
      </c>
      <c r="E7906" s="888" t="s">
        <v>310</v>
      </c>
      <c r="F7906" s="888" t="s">
        <v>310</v>
      </c>
    </row>
    <row r="7907" spans="1:6">
      <c r="A7907" s="888">
        <v>389</v>
      </c>
      <c r="B7907" s="888" t="s">
        <v>1211</v>
      </c>
      <c r="C7907" s="888" t="s">
        <v>3429</v>
      </c>
      <c r="D7907" s="889">
        <v>46054</v>
      </c>
      <c r="E7907" s="888" t="s">
        <v>310</v>
      </c>
      <c r="F7907" s="888" t="s">
        <v>310</v>
      </c>
    </row>
    <row r="7908" spans="1:6">
      <c r="A7908" s="888">
        <v>390</v>
      </c>
      <c r="B7908" s="888" t="s">
        <v>1093</v>
      </c>
      <c r="C7908" s="888" t="s">
        <v>1253</v>
      </c>
      <c r="D7908" s="889">
        <v>46023</v>
      </c>
      <c r="E7908" s="888" t="s">
        <v>310</v>
      </c>
      <c r="F7908" s="888" t="s">
        <v>310</v>
      </c>
    </row>
    <row r="7909" spans="1:6">
      <c r="A7909" s="888">
        <v>390</v>
      </c>
      <c r="B7909" s="888" t="s">
        <v>1093</v>
      </c>
      <c r="C7909" s="888" t="s">
        <v>1253</v>
      </c>
      <c r="D7909" s="889">
        <v>46024</v>
      </c>
      <c r="E7909" s="890">
        <v>0.35006944444444443</v>
      </c>
      <c r="F7909" s="890">
        <v>0.75665509259259256</v>
      </c>
    </row>
    <row r="7910" spans="1:6">
      <c r="A7910" s="888" t="s">
        <v>5616</v>
      </c>
      <c r="B7910" s="888" t="s">
        <v>5617</v>
      </c>
      <c r="C7910" s="888" t="s">
        <v>1375</v>
      </c>
    </row>
    <row r="7911" spans="1:6">
      <c r="A7911" s="888">
        <v>390</v>
      </c>
      <c r="B7911" s="888" t="s">
        <v>1093</v>
      </c>
      <c r="C7911" s="888" t="s">
        <v>1253</v>
      </c>
      <c r="D7911" s="889">
        <v>46025</v>
      </c>
      <c r="E7911" s="888" t="s">
        <v>310</v>
      </c>
      <c r="F7911" s="888" t="s">
        <v>310</v>
      </c>
    </row>
    <row r="7912" spans="1:6">
      <c r="A7912" s="888">
        <v>390</v>
      </c>
      <c r="B7912" s="888" t="s">
        <v>1093</v>
      </c>
      <c r="C7912" s="888" t="s">
        <v>1253</v>
      </c>
      <c r="D7912" s="889">
        <v>46026</v>
      </c>
      <c r="E7912" s="888" t="s">
        <v>310</v>
      </c>
      <c r="F7912" s="888" t="s">
        <v>310</v>
      </c>
    </row>
    <row r="7913" spans="1:6">
      <c r="A7913" s="888">
        <v>390</v>
      </c>
      <c r="B7913" s="888" t="s">
        <v>1093</v>
      </c>
      <c r="C7913" s="888" t="s">
        <v>1253</v>
      </c>
      <c r="D7913" s="889">
        <v>46027</v>
      </c>
      <c r="E7913" s="890">
        <v>0.34516203703703702</v>
      </c>
      <c r="F7913" s="890">
        <v>0.76416666666666666</v>
      </c>
    </row>
    <row r="7914" spans="1:6">
      <c r="A7914" s="888" t="s">
        <v>5618</v>
      </c>
      <c r="B7914" s="888" t="s">
        <v>5619</v>
      </c>
      <c r="C7914" s="888" t="s">
        <v>2030</v>
      </c>
    </row>
    <row r="7915" spans="1:6">
      <c r="A7915" s="888">
        <v>390</v>
      </c>
      <c r="B7915" s="888" t="s">
        <v>1093</v>
      </c>
      <c r="C7915" s="888" t="s">
        <v>1253</v>
      </c>
      <c r="D7915" s="889">
        <v>46028</v>
      </c>
      <c r="E7915" s="890">
        <v>0.36364583333333333</v>
      </c>
      <c r="F7915" s="890">
        <v>0.76655092592592589</v>
      </c>
    </row>
    <row r="7916" spans="1:6">
      <c r="A7916" s="888" t="s">
        <v>5620</v>
      </c>
      <c r="B7916" s="888" t="s">
        <v>5621</v>
      </c>
      <c r="C7916" s="888" t="s">
        <v>1624</v>
      </c>
    </row>
    <row r="7917" spans="1:6">
      <c r="A7917" s="888">
        <v>390</v>
      </c>
      <c r="B7917" s="888" t="s">
        <v>1093</v>
      </c>
      <c r="C7917" s="888" t="s">
        <v>1253</v>
      </c>
      <c r="D7917" s="889">
        <v>46029</v>
      </c>
      <c r="E7917" s="890">
        <v>0.35410879629629627</v>
      </c>
      <c r="F7917" s="890">
        <v>0.76780092592592597</v>
      </c>
    </row>
    <row r="7918" spans="1:6">
      <c r="A7918" s="888" t="s">
        <v>5622</v>
      </c>
      <c r="B7918" s="888" t="s">
        <v>5623</v>
      </c>
      <c r="C7918" s="888" t="s">
        <v>1407</v>
      </c>
    </row>
    <row r="7919" spans="1:6">
      <c r="A7919" s="888">
        <v>390</v>
      </c>
      <c r="B7919" s="888" t="s">
        <v>1093</v>
      </c>
      <c r="C7919" s="888" t="s">
        <v>1253</v>
      </c>
      <c r="D7919" s="889">
        <v>46030</v>
      </c>
      <c r="E7919" s="890">
        <v>0.35071759259259261</v>
      </c>
      <c r="F7919" s="890">
        <v>0.75945601851851852</v>
      </c>
    </row>
    <row r="7920" spans="1:6">
      <c r="A7920" s="888" t="s">
        <v>5624</v>
      </c>
      <c r="B7920" s="888" t="s">
        <v>5625</v>
      </c>
      <c r="C7920" s="888" t="s">
        <v>1372</v>
      </c>
    </row>
    <row r="7921" spans="1:6">
      <c r="A7921" s="888">
        <v>390</v>
      </c>
      <c r="B7921" s="888" t="s">
        <v>1093</v>
      </c>
      <c r="C7921" s="888" t="s">
        <v>1253</v>
      </c>
      <c r="D7921" s="889">
        <v>46031</v>
      </c>
      <c r="E7921" s="890">
        <v>0.76162037037037034</v>
      </c>
      <c r="F7921" s="888" t="s">
        <v>310</v>
      </c>
    </row>
    <row r="7922" spans="1:6">
      <c r="A7922" s="888" t="s">
        <v>5626</v>
      </c>
      <c r="B7922" s="888" t="s">
        <v>1258</v>
      </c>
      <c r="C7922" s="888" t="s">
        <v>1259</v>
      </c>
    </row>
    <row r="7923" spans="1:6">
      <c r="A7923" s="888">
        <v>390</v>
      </c>
      <c r="B7923" s="888" t="s">
        <v>1093</v>
      </c>
      <c r="C7923" s="888" t="s">
        <v>1253</v>
      </c>
      <c r="D7923" s="889">
        <v>46032</v>
      </c>
      <c r="E7923" s="888" t="s">
        <v>310</v>
      </c>
      <c r="F7923" s="888" t="s">
        <v>310</v>
      </c>
    </row>
    <row r="7924" spans="1:6">
      <c r="A7924" s="888">
        <v>390</v>
      </c>
      <c r="B7924" s="888" t="s">
        <v>1093</v>
      </c>
      <c r="C7924" s="888" t="s">
        <v>1253</v>
      </c>
      <c r="D7924" s="889">
        <v>46033</v>
      </c>
      <c r="E7924" s="888" t="s">
        <v>310</v>
      </c>
      <c r="F7924" s="888" t="s">
        <v>310</v>
      </c>
    </row>
    <row r="7925" spans="1:6">
      <c r="A7925" s="888">
        <v>390</v>
      </c>
      <c r="B7925" s="888" t="s">
        <v>1093</v>
      </c>
      <c r="C7925" s="888" t="s">
        <v>1253</v>
      </c>
      <c r="D7925" s="889">
        <v>46034</v>
      </c>
      <c r="E7925" s="890">
        <v>0.35513888888888889</v>
      </c>
      <c r="F7925" s="890">
        <v>0.78156250000000005</v>
      </c>
    </row>
    <row r="7926" spans="1:6">
      <c r="A7926" s="888" t="s">
        <v>5627</v>
      </c>
      <c r="B7926" s="888" t="s">
        <v>5628</v>
      </c>
      <c r="C7926" s="888" t="s">
        <v>2288</v>
      </c>
    </row>
    <row r="7927" spans="1:6">
      <c r="A7927" s="888">
        <v>390</v>
      </c>
      <c r="B7927" s="888" t="s">
        <v>1093</v>
      </c>
      <c r="C7927" s="888" t="s">
        <v>1253</v>
      </c>
      <c r="D7927" s="889">
        <v>46035</v>
      </c>
      <c r="E7927" s="890">
        <v>0.3488310185185185</v>
      </c>
      <c r="F7927" s="890">
        <v>0.75480324074074079</v>
      </c>
    </row>
    <row r="7928" spans="1:6">
      <c r="A7928" s="888" t="s">
        <v>5629</v>
      </c>
      <c r="B7928" s="888" t="s">
        <v>5630</v>
      </c>
      <c r="C7928" s="888" t="s">
        <v>1375</v>
      </c>
    </row>
    <row r="7929" spans="1:6">
      <c r="A7929" s="888">
        <v>390</v>
      </c>
      <c r="B7929" s="888" t="s">
        <v>1093</v>
      </c>
      <c r="C7929" s="888" t="s">
        <v>1253</v>
      </c>
      <c r="D7929" s="889">
        <v>46036</v>
      </c>
      <c r="E7929" s="890">
        <v>0.34859953703703705</v>
      </c>
      <c r="F7929" s="890">
        <v>0.75876157407407407</v>
      </c>
    </row>
    <row r="7930" spans="1:6">
      <c r="A7930" s="888" t="s">
        <v>5631</v>
      </c>
      <c r="B7930" s="888" t="s">
        <v>5632</v>
      </c>
      <c r="C7930" s="888" t="s">
        <v>2003</v>
      </c>
    </row>
    <row r="7931" spans="1:6">
      <c r="A7931" s="888">
        <v>390</v>
      </c>
      <c r="B7931" s="888" t="s">
        <v>1093</v>
      </c>
      <c r="C7931" s="888" t="s">
        <v>1253</v>
      </c>
      <c r="D7931" s="889">
        <v>46037</v>
      </c>
      <c r="E7931" s="890">
        <v>0.35045138888888888</v>
      </c>
      <c r="F7931" s="890">
        <v>0.75791666666666668</v>
      </c>
    </row>
    <row r="7932" spans="1:6">
      <c r="A7932" s="888" t="s">
        <v>5633</v>
      </c>
      <c r="B7932" s="888" t="s">
        <v>5634</v>
      </c>
      <c r="C7932" s="888" t="s">
        <v>1645</v>
      </c>
    </row>
    <row r="7933" spans="1:6">
      <c r="A7933" s="888">
        <v>390</v>
      </c>
      <c r="B7933" s="888" t="s">
        <v>1093</v>
      </c>
      <c r="C7933" s="888" t="s">
        <v>1253</v>
      </c>
      <c r="D7933" s="889">
        <v>46038</v>
      </c>
      <c r="E7933" s="890">
        <v>0.40042824074074074</v>
      </c>
      <c r="F7933" s="890">
        <v>0.76155092592592588</v>
      </c>
    </row>
    <row r="7934" spans="1:6">
      <c r="A7934" s="888" t="s">
        <v>5635</v>
      </c>
      <c r="B7934" s="888" t="s">
        <v>5636</v>
      </c>
      <c r="C7934" s="888" t="s">
        <v>4503</v>
      </c>
    </row>
    <row r="7935" spans="1:6">
      <c r="A7935" s="888">
        <v>390</v>
      </c>
      <c r="B7935" s="888" t="s">
        <v>1093</v>
      </c>
      <c r="C7935" s="888" t="s">
        <v>1253</v>
      </c>
      <c r="D7935" s="889">
        <v>46039</v>
      </c>
      <c r="E7935" s="888" t="s">
        <v>310</v>
      </c>
      <c r="F7935" s="888" t="s">
        <v>310</v>
      </c>
    </row>
    <row r="7936" spans="1:6">
      <c r="A7936" s="888">
        <v>390</v>
      </c>
      <c r="B7936" s="888" t="s">
        <v>1093</v>
      </c>
      <c r="C7936" s="888" t="s">
        <v>1253</v>
      </c>
      <c r="D7936" s="889">
        <v>46040</v>
      </c>
      <c r="E7936" s="888" t="s">
        <v>310</v>
      </c>
      <c r="F7936" s="888" t="s">
        <v>310</v>
      </c>
    </row>
    <row r="7937" spans="1:6">
      <c r="A7937" s="888">
        <v>390</v>
      </c>
      <c r="B7937" s="888" t="s">
        <v>1093</v>
      </c>
      <c r="C7937" s="888" t="s">
        <v>1253</v>
      </c>
      <c r="D7937" s="889">
        <v>46041</v>
      </c>
      <c r="E7937" s="890">
        <v>0.34958333333333336</v>
      </c>
      <c r="F7937" s="890">
        <v>0.76126157407407402</v>
      </c>
    </row>
    <row r="7938" spans="1:6">
      <c r="A7938" s="888" t="s">
        <v>5637</v>
      </c>
      <c r="B7938" s="888" t="s">
        <v>5638</v>
      </c>
      <c r="C7938" s="888" t="s">
        <v>1369</v>
      </c>
    </row>
    <row r="7939" spans="1:6">
      <c r="A7939" s="888">
        <v>390</v>
      </c>
      <c r="B7939" s="888" t="s">
        <v>1093</v>
      </c>
      <c r="C7939" s="888" t="s">
        <v>1253</v>
      </c>
      <c r="D7939" s="889">
        <v>46042</v>
      </c>
      <c r="E7939" s="890">
        <v>0.34986111111111112</v>
      </c>
      <c r="F7939" s="890">
        <v>0.7571296296296296</v>
      </c>
    </row>
    <row r="7940" spans="1:6">
      <c r="A7940" s="888" t="s">
        <v>5639</v>
      </c>
      <c r="B7940" s="888" t="s">
        <v>5640</v>
      </c>
      <c r="C7940" s="888" t="s">
        <v>1868</v>
      </c>
    </row>
    <row r="7941" spans="1:6">
      <c r="A7941" s="888">
        <v>390</v>
      </c>
      <c r="B7941" s="888" t="s">
        <v>1093</v>
      </c>
      <c r="C7941" s="888" t="s">
        <v>1253</v>
      </c>
      <c r="D7941" s="889">
        <v>46043</v>
      </c>
      <c r="E7941" s="890">
        <v>0.40494212962962961</v>
      </c>
      <c r="F7941" s="890">
        <v>0.75471064814814814</v>
      </c>
    </row>
    <row r="7942" spans="1:6">
      <c r="A7942" s="888" t="s">
        <v>5641</v>
      </c>
      <c r="B7942" s="888" t="s">
        <v>5642</v>
      </c>
      <c r="C7942" s="888" t="s">
        <v>1995</v>
      </c>
    </row>
    <row r="7943" spans="1:6">
      <c r="A7943" s="888">
        <v>390</v>
      </c>
      <c r="B7943" s="888" t="s">
        <v>1093</v>
      </c>
      <c r="C7943" s="888" t="s">
        <v>1253</v>
      </c>
      <c r="D7943" s="889">
        <v>46044</v>
      </c>
      <c r="E7943" s="890">
        <v>0.3515625</v>
      </c>
      <c r="F7943" s="890">
        <v>0.76479166666666665</v>
      </c>
    </row>
    <row r="7944" spans="1:6">
      <c r="A7944" s="888" t="s">
        <v>5643</v>
      </c>
      <c r="B7944" s="888" t="s">
        <v>5644</v>
      </c>
      <c r="C7944" s="888" t="s">
        <v>1360</v>
      </c>
    </row>
    <row r="7945" spans="1:6">
      <c r="A7945" s="888">
        <v>390</v>
      </c>
      <c r="B7945" s="888" t="s">
        <v>1093</v>
      </c>
      <c r="C7945" s="888" t="s">
        <v>1253</v>
      </c>
      <c r="D7945" s="889">
        <v>46045</v>
      </c>
      <c r="E7945" s="890">
        <v>0.34993055555555558</v>
      </c>
      <c r="F7945" s="890">
        <v>0.50005787037037042</v>
      </c>
    </row>
    <row r="7946" spans="1:6">
      <c r="A7946" s="888" t="s">
        <v>5645</v>
      </c>
      <c r="B7946" s="888" t="s">
        <v>5646</v>
      </c>
      <c r="C7946" s="888" t="s">
        <v>2197</v>
      </c>
    </row>
    <row r="7947" spans="1:6">
      <c r="A7947" s="888">
        <v>390</v>
      </c>
      <c r="B7947" s="888" t="s">
        <v>1093</v>
      </c>
      <c r="C7947" s="888" t="s">
        <v>1253</v>
      </c>
      <c r="D7947" s="889">
        <v>46046</v>
      </c>
      <c r="E7947" s="888" t="s">
        <v>310</v>
      </c>
      <c r="F7947" s="888" t="s">
        <v>310</v>
      </c>
    </row>
    <row r="7948" spans="1:6">
      <c r="A7948" s="888">
        <v>390</v>
      </c>
      <c r="B7948" s="888" t="s">
        <v>1093</v>
      </c>
      <c r="C7948" s="888" t="s">
        <v>1253</v>
      </c>
      <c r="D7948" s="889">
        <v>46047</v>
      </c>
      <c r="E7948" s="888" t="s">
        <v>310</v>
      </c>
      <c r="F7948" s="888" t="s">
        <v>310</v>
      </c>
    </row>
    <row r="7949" spans="1:6">
      <c r="A7949" s="888">
        <v>390</v>
      </c>
      <c r="B7949" s="888" t="s">
        <v>1093</v>
      </c>
      <c r="C7949" s="888" t="s">
        <v>1253</v>
      </c>
      <c r="D7949" s="889">
        <v>46048</v>
      </c>
      <c r="E7949" s="890">
        <v>0.35265046296296299</v>
      </c>
      <c r="F7949" s="890">
        <v>0.75510416666666669</v>
      </c>
    </row>
    <row r="7950" spans="1:6">
      <c r="A7950" s="888" t="s">
        <v>5647</v>
      </c>
      <c r="B7950" s="888" t="s">
        <v>5648</v>
      </c>
      <c r="C7950" s="888" t="s">
        <v>1624</v>
      </c>
    </row>
    <row r="7951" spans="1:6">
      <c r="A7951" s="888">
        <v>390</v>
      </c>
      <c r="B7951" s="888" t="s">
        <v>1093</v>
      </c>
      <c r="C7951" s="888" t="s">
        <v>1253</v>
      </c>
      <c r="D7951" s="889">
        <v>46049</v>
      </c>
      <c r="E7951" s="890">
        <v>0.3488310185185185</v>
      </c>
      <c r="F7951" s="890">
        <v>0.75703703703703706</v>
      </c>
    </row>
    <row r="7952" spans="1:6">
      <c r="A7952" s="888" t="s">
        <v>5649</v>
      </c>
      <c r="B7952" s="888" t="s">
        <v>5650</v>
      </c>
      <c r="C7952" s="888" t="s">
        <v>2077</v>
      </c>
    </row>
    <row r="7953" spans="1:6">
      <c r="A7953" s="888">
        <v>390</v>
      </c>
      <c r="B7953" s="888" t="s">
        <v>1093</v>
      </c>
      <c r="C7953" s="888" t="s">
        <v>1253</v>
      </c>
      <c r="D7953" s="889">
        <v>46050</v>
      </c>
      <c r="E7953" s="890">
        <v>0.34847222222222224</v>
      </c>
      <c r="F7953" s="890">
        <v>0.75865740740740739</v>
      </c>
    </row>
    <row r="7954" spans="1:6">
      <c r="A7954" s="888" t="s">
        <v>5651</v>
      </c>
      <c r="B7954" s="888" t="s">
        <v>5652</v>
      </c>
      <c r="C7954" s="888" t="s">
        <v>2003</v>
      </c>
    </row>
    <row r="7955" spans="1:6">
      <c r="A7955" s="888">
        <v>390</v>
      </c>
      <c r="B7955" s="888" t="s">
        <v>1093</v>
      </c>
      <c r="C7955" s="888" t="s">
        <v>1253</v>
      </c>
      <c r="D7955" s="889">
        <v>46051</v>
      </c>
      <c r="E7955" s="890">
        <v>0.35146990740740741</v>
      </c>
      <c r="F7955" s="890">
        <v>0.75422453703703707</v>
      </c>
    </row>
    <row r="7956" spans="1:6">
      <c r="A7956" s="888" t="s">
        <v>5653</v>
      </c>
      <c r="B7956" s="888" t="s">
        <v>5654</v>
      </c>
      <c r="C7956" s="888" t="s">
        <v>1624</v>
      </c>
    </row>
    <row r="7957" spans="1:6">
      <c r="A7957" s="888">
        <v>390</v>
      </c>
      <c r="B7957" s="888" t="s">
        <v>1093</v>
      </c>
      <c r="C7957" s="888" t="s">
        <v>1253</v>
      </c>
      <c r="D7957" s="889">
        <v>46052</v>
      </c>
      <c r="E7957" s="890">
        <v>0.53015046296296298</v>
      </c>
      <c r="F7957" s="890">
        <v>0.76342592592592595</v>
      </c>
    </row>
    <row r="7958" spans="1:6">
      <c r="A7958" s="888" t="s">
        <v>5655</v>
      </c>
      <c r="B7958" s="888" t="s">
        <v>5656</v>
      </c>
      <c r="C7958" s="888" t="s">
        <v>5657</v>
      </c>
    </row>
    <row r="7959" spans="1:6">
      <c r="A7959" s="888">
        <v>390</v>
      </c>
      <c r="B7959" s="888" t="s">
        <v>1093</v>
      </c>
      <c r="C7959" s="888" t="s">
        <v>1253</v>
      </c>
      <c r="D7959" s="889">
        <v>46053</v>
      </c>
      <c r="E7959" s="888" t="s">
        <v>310</v>
      </c>
      <c r="F7959" s="888" t="s">
        <v>310</v>
      </c>
    </row>
    <row r="7960" spans="1:6">
      <c r="A7960" s="888">
        <v>390</v>
      </c>
      <c r="B7960" s="888" t="s">
        <v>1093</v>
      </c>
      <c r="C7960" s="888" t="s">
        <v>1253</v>
      </c>
      <c r="D7960" s="889">
        <v>46054</v>
      </c>
      <c r="E7960" s="888" t="s">
        <v>310</v>
      </c>
      <c r="F7960" s="888" t="s">
        <v>310</v>
      </c>
    </row>
    <row r="7961" spans="1:6">
      <c r="A7961" s="888">
        <v>391</v>
      </c>
      <c r="B7961" s="888" t="s">
        <v>1212</v>
      </c>
      <c r="C7961" s="888" t="s">
        <v>1767</v>
      </c>
      <c r="D7961" s="889">
        <v>46023</v>
      </c>
      <c r="E7961" s="888" t="s">
        <v>310</v>
      </c>
      <c r="F7961" s="888" t="s">
        <v>310</v>
      </c>
    </row>
    <row r="7962" spans="1:6">
      <c r="A7962" s="888">
        <v>391</v>
      </c>
      <c r="B7962" s="888" t="s">
        <v>1212</v>
      </c>
      <c r="C7962" s="888" t="s">
        <v>1767</v>
      </c>
      <c r="D7962" s="889">
        <v>46024</v>
      </c>
      <c r="E7962" s="888" t="s">
        <v>310</v>
      </c>
      <c r="F7962" s="888" t="s">
        <v>310</v>
      </c>
    </row>
    <row r="7963" spans="1:6">
      <c r="A7963" s="888">
        <v>391</v>
      </c>
      <c r="B7963" s="888" t="s">
        <v>1212</v>
      </c>
      <c r="C7963" s="888" t="s">
        <v>1767</v>
      </c>
      <c r="D7963" s="889">
        <v>46025</v>
      </c>
      <c r="E7963" s="888" t="s">
        <v>310</v>
      </c>
      <c r="F7963" s="888" t="s">
        <v>310</v>
      </c>
    </row>
    <row r="7964" spans="1:6">
      <c r="A7964" s="888">
        <v>391</v>
      </c>
      <c r="B7964" s="888" t="s">
        <v>1212</v>
      </c>
      <c r="C7964" s="888" t="s">
        <v>1767</v>
      </c>
      <c r="D7964" s="889">
        <v>46026</v>
      </c>
      <c r="E7964" s="888" t="s">
        <v>310</v>
      </c>
      <c r="F7964" s="888" t="s">
        <v>310</v>
      </c>
    </row>
    <row r="7965" spans="1:6">
      <c r="A7965" s="888">
        <v>391</v>
      </c>
      <c r="B7965" s="888" t="s">
        <v>1212</v>
      </c>
      <c r="C7965" s="888" t="s">
        <v>1767</v>
      </c>
      <c r="D7965" s="889">
        <v>46027</v>
      </c>
      <c r="E7965" s="890">
        <v>0.36552083333333335</v>
      </c>
      <c r="F7965" s="890">
        <v>0.76378472222222227</v>
      </c>
    </row>
    <row r="7966" spans="1:6">
      <c r="A7966" s="888" t="s">
        <v>5658</v>
      </c>
      <c r="B7966" s="888" t="s">
        <v>5659</v>
      </c>
      <c r="C7966" s="888" t="s">
        <v>1383</v>
      </c>
    </row>
    <row r="7967" spans="1:6">
      <c r="A7967" s="888">
        <v>391</v>
      </c>
      <c r="B7967" s="888" t="s">
        <v>1212</v>
      </c>
      <c r="C7967" s="888" t="s">
        <v>1767</v>
      </c>
      <c r="D7967" s="889">
        <v>46028</v>
      </c>
      <c r="E7967" s="890">
        <v>0.3853240740740741</v>
      </c>
      <c r="F7967" s="890">
        <v>0.82092592592592595</v>
      </c>
    </row>
    <row r="7968" spans="1:6">
      <c r="A7968" s="888" t="s">
        <v>5660</v>
      </c>
      <c r="B7968" s="888" t="s">
        <v>5661</v>
      </c>
      <c r="C7968" s="888" t="s">
        <v>1964</v>
      </c>
    </row>
    <row r="7969" spans="1:6">
      <c r="A7969" s="888">
        <v>391</v>
      </c>
      <c r="B7969" s="888" t="s">
        <v>1212</v>
      </c>
      <c r="C7969" s="888" t="s">
        <v>1767</v>
      </c>
      <c r="D7969" s="889">
        <v>46029</v>
      </c>
      <c r="E7969" s="890">
        <v>0.37335648148148148</v>
      </c>
      <c r="F7969" s="890">
        <v>0.82991898148148147</v>
      </c>
    </row>
    <row r="7970" spans="1:6">
      <c r="A7970" s="888" t="s">
        <v>5662</v>
      </c>
      <c r="B7970" s="888" t="s">
        <v>5663</v>
      </c>
      <c r="C7970" s="888" t="s">
        <v>2897</v>
      </c>
    </row>
    <row r="7971" spans="1:6">
      <c r="A7971" s="888">
        <v>391</v>
      </c>
      <c r="B7971" s="888" t="s">
        <v>1212</v>
      </c>
      <c r="C7971" s="888" t="s">
        <v>1767</v>
      </c>
      <c r="D7971" s="889">
        <v>46030</v>
      </c>
      <c r="E7971" s="890">
        <v>0.38480324074074074</v>
      </c>
      <c r="F7971" s="890">
        <v>0.50696759259259261</v>
      </c>
    </row>
    <row r="7972" spans="1:6">
      <c r="A7972" s="888" t="s">
        <v>5664</v>
      </c>
      <c r="B7972" s="888" t="s">
        <v>5665</v>
      </c>
      <c r="C7972" s="888" t="s">
        <v>5666</v>
      </c>
    </row>
    <row r="7973" spans="1:6">
      <c r="A7973" s="888">
        <v>391</v>
      </c>
      <c r="B7973" s="888" t="s">
        <v>1212</v>
      </c>
      <c r="C7973" s="888" t="s">
        <v>1767</v>
      </c>
      <c r="D7973" s="889">
        <v>46031</v>
      </c>
      <c r="E7973" s="890">
        <v>0.38620370370370372</v>
      </c>
      <c r="F7973" s="890">
        <v>0.78781250000000003</v>
      </c>
    </row>
    <row r="7974" spans="1:6">
      <c r="A7974" s="888" t="s">
        <v>5667</v>
      </c>
      <c r="B7974" s="888" t="s">
        <v>5668</v>
      </c>
      <c r="C7974" s="888" t="s">
        <v>1466</v>
      </c>
    </row>
    <row r="7975" spans="1:6">
      <c r="A7975" s="888">
        <v>391</v>
      </c>
      <c r="B7975" s="888" t="s">
        <v>1212</v>
      </c>
      <c r="C7975" s="888" t="s">
        <v>1767</v>
      </c>
      <c r="D7975" s="889">
        <v>46032</v>
      </c>
      <c r="E7975" s="890">
        <v>0.39188657407407407</v>
      </c>
      <c r="F7975" s="890">
        <v>0.7820138888888889</v>
      </c>
    </row>
    <row r="7976" spans="1:6">
      <c r="A7976" s="888" t="s">
        <v>5669</v>
      </c>
      <c r="B7976" s="888" t="s">
        <v>5670</v>
      </c>
      <c r="C7976" s="888" t="s">
        <v>1661</v>
      </c>
    </row>
    <row r="7977" spans="1:6">
      <c r="A7977" s="888">
        <v>391</v>
      </c>
      <c r="B7977" s="888" t="s">
        <v>1212</v>
      </c>
      <c r="C7977" s="888" t="s">
        <v>1767</v>
      </c>
      <c r="D7977" s="889">
        <v>46033</v>
      </c>
      <c r="E7977" s="888" t="s">
        <v>310</v>
      </c>
      <c r="F7977" s="888" t="s">
        <v>310</v>
      </c>
    </row>
    <row r="7978" spans="1:6">
      <c r="A7978" s="888">
        <v>391</v>
      </c>
      <c r="B7978" s="888" t="s">
        <v>1212</v>
      </c>
      <c r="C7978" s="888" t="s">
        <v>1767</v>
      </c>
      <c r="D7978" s="889">
        <v>46034</v>
      </c>
      <c r="E7978" s="890">
        <v>0.3721990740740741</v>
      </c>
      <c r="F7978" s="890">
        <v>0.77366898148148144</v>
      </c>
    </row>
    <row r="7979" spans="1:6">
      <c r="A7979" s="888" t="s">
        <v>5671</v>
      </c>
      <c r="B7979" s="888" t="s">
        <v>5672</v>
      </c>
      <c r="C7979" s="888" t="s">
        <v>1466</v>
      </c>
    </row>
    <row r="7980" spans="1:6">
      <c r="A7980" s="888">
        <v>391</v>
      </c>
      <c r="B7980" s="888" t="s">
        <v>1212</v>
      </c>
      <c r="C7980" s="888" t="s">
        <v>1767</v>
      </c>
      <c r="D7980" s="889">
        <v>46035</v>
      </c>
      <c r="E7980" s="890">
        <v>0.38039351851851849</v>
      </c>
      <c r="F7980" s="890">
        <v>0.78978009259259263</v>
      </c>
    </row>
    <row r="7981" spans="1:6">
      <c r="A7981" s="888" t="s">
        <v>5673</v>
      </c>
      <c r="B7981" s="888" t="s">
        <v>5674</v>
      </c>
      <c r="C7981" s="888" t="s">
        <v>1874</v>
      </c>
    </row>
    <row r="7982" spans="1:6">
      <c r="A7982" s="888">
        <v>391</v>
      </c>
      <c r="B7982" s="888" t="s">
        <v>1212</v>
      </c>
      <c r="C7982" s="888" t="s">
        <v>1767</v>
      </c>
      <c r="D7982" s="889">
        <v>46036</v>
      </c>
      <c r="E7982" s="890">
        <v>0.36881944444444442</v>
      </c>
      <c r="F7982" s="890">
        <v>0.80912037037037032</v>
      </c>
    </row>
    <row r="7983" spans="1:6">
      <c r="A7983" s="888" t="s">
        <v>5675</v>
      </c>
      <c r="B7983" s="888" t="s">
        <v>5676</v>
      </c>
      <c r="C7983" s="888" t="s">
        <v>4423</v>
      </c>
    </row>
    <row r="7984" spans="1:6">
      <c r="A7984" s="888">
        <v>391</v>
      </c>
      <c r="B7984" s="888" t="s">
        <v>1212</v>
      </c>
      <c r="C7984" s="888" t="s">
        <v>1767</v>
      </c>
      <c r="D7984" s="889">
        <v>46037</v>
      </c>
      <c r="E7984" s="890">
        <v>0.38700231481481484</v>
      </c>
      <c r="F7984" s="890">
        <v>0.78918981481481476</v>
      </c>
    </row>
    <row r="7985" spans="1:6">
      <c r="A7985" s="888" t="s">
        <v>5677</v>
      </c>
      <c r="B7985" s="888" t="s">
        <v>5678</v>
      </c>
      <c r="C7985" s="888" t="s">
        <v>1538</v>
      </c>
    </row>
    <row r="7986" spans="1:6">
      <c r="A7986" s="888">
        <v>391</v>
      </c>
      <c r="B7986" s="888" t="s">
        <v>1212</v>
      </c>
      <c r="C7986" s="888" t="s">
        <v>1767</v>
      </c>
      <c r="D7986" s="889">
        <v>46038</v>
      </c>
      <c r="E7986" s="890">
        <v>0.38961805555555556</v>
      </c>
      <c r="F7986" s="890">
        <v>0.79151620370370368</v>
      </c>
    </row>
    <row r="7987" spans="1:6">
      <c r="A7987" s="888" t="s">
        <v>5679</v>
      </c>
      <c r="B7987" s="888" t="s">
        <v>5680</v>
      </c>
      <c r="C7987" s="888" t="s">
        <v>1538</v>
      </c>
    </row>
    <row r="7988" spans="1:6">
      <c r="A7988" s="888">
        <v>391</v>
      </c>
      <c r="B7988" s="888" t="s">
        <v>1212</v>
      </c>
      <c r="C7988" s="888" t="s">
        <v>1767</v>
      </c>
      <c r="D7988" s="889">
        <v>46039</v>
      </c>
      <c r="E7988" s="888" t="s">
        <v>310</v>
      </c>
      <c r="F7988" s="888" t="s">
        <v>310</v>
      </c>
    </row>
    <row r="7989" spans="1:6">
      <c r="A7989" s="888">
        <v>391</v>
      </c>
      <c r="B7989" s="888" t="s">
        <v>1212</v>
      </c>
      <c r="C7989" s="888" t="s">
        <v>1767</v>
      </c>
      <c r="D7989" s="889">
        <v>46040</v>
      </c>
      <c r="E7989" s="888" t="s">
        <v>310</v>
      </c>
      <c r="F7989" s="888" t="s">
        <v>310</v>
      </c>
    </row>
    <row r="7990" spans="1:6">
      <c r="A7990" s="888">
        <v>391</v>
      </c>
      <c r="B7990" s="888" t="s">
        <v>1212</v>
      </c>
      <c r="C7990" s="888" t="s">
        <v>1767</v>
      </c>
      <c r="D7990" s="889">
        <v>46041</v>
      </c>
      <c r="E7990" s="890">
        <v>0.40395833333333331</v>
      </c>
      <c r="F7990" s="890">
        <v>0.78722222222222227</v>
      </c>
    </row>
    <row r="7991" spans="1:6">
      <c r="A7991" s="888" t="s">
        <v>5681</v>
      </c>
      <c r="B7991" s="888" t="s">
        <v>5682</v>
      </c>
      <c r="C7991" s="888" t="s">
        <v>1576</v>
      </c>
    </row>
    <row r="7992" spans="1:6">
      <c r="A7992" s="888">
        <v>391</v>
      </c>
      <c r="B7992" s="888" t="s">
        <v>1212</v>
      </c>
      <c r="C7992" s="888" t="s">
        <v>1767</v>
      </c>
      <c r="D7992" s="889">
        <v>46042</v>
      </c>
      <c r="E7992" s="890">
        <v>0.37707175925925923</v>
      </c>
      <c r="F7992" s="890">
        <v>0.75850694444444444</v>
      </c>
    </row>
    <row r="7993" spans="1:6">
      <c r="A7993" s="888" t="s">
        <v>5683</v>
      </c>
      <c r="B7993" s="888" t="s">
        <v>5684</v>
      </c>
      <c r="C7993" s="888" t="s">
        <v>1607</v>
      </c>
    </row>
    <row r="7994" spans="1:6">
      <c r="A7994" s="888">
        <v>391</v>
      </c>
      <c r="B7994" s="888" t="s">
        <v>1212</v>
      </c>
      <c r="C7994" s="888" t="s">
        <v>1767</v>
      </c>
      <c r="D7994" s="889">
        <v>46043</v>
      </c>
      <c r="E7994" s="890">
        <v>0.3694560185185185</v>
      </c>
      <c r="F7994" s="890">
        <v>0.81670138888888888</v>
      </c>
    </row>
    <row r="7995" spans="1:6">
      <c r="A7995" s="888" t="s">
        <v>5685</v>
      </c>
      <c r="B7995" s="888" t="s">
        <v>5686</v>
      </c>
      <c r="C7995" s="888" t="s">
        <v>5584</v>
      </c>
    </row>
    <row r="7996" spans="1:6">
      <c r="A7996" s="888">
        <v>391</v>
      </c>
      <c r="B7996" s="888" t="s">
        <v>1212</v>
      </c>
      <c r="C7996" s="888" t="s">
        <v>1767</v>
      </c>
      <c r="D7996" s="889">
        <v>46044</v>
      </c>
      <c r="E7996" s="890">
        <v>0.37042824074074077</v>
      </c>
      <c r="F7996" s="890">
        <v>0.75875000000000004</v>
      </c>
    </row>
    <row r="7997" spans="1:6">
      <c r="A7997" s="888" t="s">
        <v>5687</v>
      </c>
      <c r="B7997" s="888" t="s">
        <v>5688</v>
      </c>
      <c r="C7997" s="888" t="s">
        <v>1484</v>
      </c>
    </row>
    <row r="7998" spans="1:6">
      <c r="A7998" s="888">
        <v>391</v>
      </c>
      <c r="B7998" s="888" t="s">
        <v>1212</v>
      </c>
      <c r="C7998" s="888" t="s">
        <v>1767</v>
      </c>
      <c r="D7998" s="889">
        <v>46045</v>
      </c>
      <c r="E7998" s="890">
        <v>0.41208333333333336</v>
      </c>
      <c r="F7998" s="890">
        <v>0.78200231481481486</v>
      </c>
    </row>
    <row r="7999" spans="1:6">
      <c r="A7999" s="888" t="s">
        <v>5689</v>
      </c>
      <c r="B7999" s="888" t="s">
        <v>5690</v>
      </c>
      <c r="C7999" s="888" t="s">
        <v>2223</v>
      </c>
    </row>
    <row r="8000" spans="1:6">
      <c r="A8000" s="888">
        <v>391</v>
      </c>
      <c r="B8000" s="888" t="s">
        <v>1212</v>
      </c>
      <c r="C8000" s="888" t="s">
        <v>1767</v>
      </c>
      <c r="D8000" s="889">
        <v>46046</v>
      </c>
      <c r="E8000" s="888" t="s">
        <v>310</v>
      </c>
      <c r="F8000" s="888" t="s">
        <v>310</v>
      </c>
    </row>
    <row r="8001" spans="1:6">
      <c r="A8001" s="888">
        <v>391</v>
      </c>
      <c r="B8001" s="888" t="s">
        <v>1212</v>
      </c>
      <c r="C8001" s="888" t="s">
        <v>1767</v>
      </c>
      <c r="D8001" s="889">
        <v>46047</v>
      </c>
      <c r="E8001" s="888" t="s">
        <v>310</v>
      </c>
      <c r="F8001" s="888" t="s">
        <v>310</v>
      </c>
    </row>
    <row r="8002" spans="1:6">
      <c r="A8002" s="888">
        <v>391</v>
      </c>
      <c r="B8002" s="888" t="s">
        <v>1212</v>
      </c>
      <c r="C8002" s="888" t="s">
        <v>1767</v>
      </c>
      <c r="D8002" s="889">
        <v>46048</v>
      </c>
      <c r="E8002" s="890">
        <v>0.36241898148148149</v>
      </c>
      <c r="F8002" s="890">
        <v>0.76034722222222217</v>
      </c>
    </row>
    <row r="8003" spans="1:6">
      <c r="A8003" s="888" t="s">
        <v>5691</v>
      </c>
      <c r="B8003" s="888" t="s">
        <v>5692</v>
      </c>
      <c r="C8003" s="888" t="s">
        <v>1457</v>
      </c>
    </row>
    <row r="8004" spans="1:6">
      <c r="A8004" s="888">
        <v>391</v>
      </c>
      <c r="B8004" s="888" t="s">
        <v>1212</v>
      </c>
      <c r="C8004" s="888" t="s">
        <v>1767</v>
      </c>
      <c r="D8004" s="889">
        <v>46049</v>
      </c>
      <c r="E8004" s="890">
        <v>0.37994212962962964</v>
      </c>
      <c r="F8004" s="890">
        <v>0.77333333333333332</v>
      </c>
    </row>
    <row r="8005" spans="1:6">
      <c r="A8005" s="888" t="s">
        <v>5693</v>
      </c>
      <c r="B8005" s="888" t="s">
        <v>5694</v>
      </c>
      <c r="C8005" s="888" t="s">
        <v>1776</v>
      </c>
    </row>
    <row r="8006" spans="1:6">
      <c r="A8006" s="888">
        <v>391</v>
      </c>
      <c r="B8006" s="888" t="s">
        <v>1212</v>
      </c>
      <c r="C8006" s="888" t="s">
        <v>1767</v>
      </c>
      <c r="D8006" s="889">
        <v>46050</v>
      </c>
      <c r="E8006" s="890">
        <v>0.37531249999999999</v>
      </c>
      <c r="F8006" s="890">
        <v>0.78802083333333328</v>
      </c>
    </row>
    <row r="8007" spans="1:6">
      <c r="A8007" s="888" t="s">
        <v>5695</v>
      </c>
      <c r="B8007" s="888" t="s">
        <v>5696</v>
      </c>
      <c r="C8007" s="888" t="s">
        <v>1816</v>
      </c>
    </row>
    <row r="8008" spans="1:6">
      <c r="A8008" s="888">
        <v>391</v>
      </c>
      <c r="B8008" s="888" t="s">
        <v>1212</v>
      </c>
      <c r="C8008" s="888" t="s">
        <v>1767</v>
      </c>
      <c r="D8008" s="889">
        <v>46051</v>
      </c>
      <c r="E8008" s="888" t="s">
        <v>310</v>
      </c>
      <c r="F8008" s="888" t="s">
        <v>310</v>
      </c>
    </row>
    <row r="8009" spans="1:6">
      <c r="A8009" s="888">
        <v>391</v>
      </c>
      <c r="B8009" s="888" t="s">
        <v>1212</v>
      </c>
      <c r="C8009" s="888" t="s">
        <v>1767</v>
      </c>
      <c r="D8009" s="889">
        <v>46052</v>
      </c>
      <c r="E8009" s="888" t="s">
        <v>310</v>
      </c>
      <c r="F8009" s="888" t="s">
        <v>310</v>
      </c>
    </row>
    <row r="8010" spans="1:6">
      <c r="A8010" s="888">
        <v>391</v>
      </c>
      <c r="B8010" s="888" t="s">
        <v>1212</v>
      </c>
      <c r="C8010" s="888" t="s">
        <v>1767</v>
      </c>
      <c r="D8010" s="889">
        <v>46053</v>
      </c>
      <c r="E8010" s="888" t="s">
        <v>310</v>
      </c>
      <c r="F8010" s="888" t="s">
        <v>310</v>
      </c>
    </row>
    <row r="8011" spans="1:6">
      <c r="A8011" s="888">
        <v>391</v>
      </c>
      <c r="B8011" s="888" t="s">
        <v>1212</v>
      </c>
      <c r="C8011" s="888" t="s">
        <v>1767</v>
      </c>
      <c r="D8011" s="889">
        <v>46054</v>
      </c>
      <c r="E8011" s="888" t="s">
        <v>310</v>
      </c>
      <c r="F8011" s="888" t="s">
        <v>310</v>
      </c>
    </row>
    <row r="8012" spans="1:6">
      <c r="A8012" s="888">
        <v>392</v>
      </c>
      <c r="B8012" s="888" t="s">
        <v>1213</v>
      </c>
      <c r="C8012" s="888" t="s">
        <v>2488</v>
      </c>
      <c r="D8012" s="889">
        <v>46023</v>
      </c>
      <c r="E8012" s="888" t="s">
        <v>310</v>
      </c>
      <c r="F8012" s="888" t="s">
        <v>310</v>
      </c>
    </row>
    <row r="8013" spans="1:6">
      <c r="A8013" s="888">
        <v>392</v>
      </c>
      <c r="B8013" s="888" t="s">
        <v>1213</v>
      </c>
      <c r="C8013" s="888" t="s">
        <v>2488</v>
      </c>
      <c r="D8013" s="889">
        <v>46024</v>
      </c>
      <c r="E8013" s="888" t="s">
        <v>310</v>
      </c>
      <c r="F8013" s="888" t="s">
        <v>310</v>
      </c>
    </row>
    <row r="8014" spans="1:6">
      <c r="A8014" s="888">
        <v>392</v>
      </c>
      <c r="B8014" s="888" t="s">
        <v>1213</v>
      </c>
      <c r="C8014" s="888" t="s">
        <v>2488</v>
      </c>
      <c r="D8014" s="889">
        <v>46025</v>
      </c>
      <c r="E8014" s="888" t="s">
        <v>310</v>
      </c>
      <c r="F8014" s="888" t="s">
        <v>310</v>
      </c>
    </row>
    <row r="8015" spans="1:6">
      <c r="A8015" s="888">
        <v>392</v>
      </c>
      <c r="B8015" s="888" t="s">
        <v>1213</v>
      </c>
      <c r="C8015" s="888" t="s">
        <v>2488</v>
      </c>
      <c r="D8015" s="889">
        <v>46026</v>
      </c>
      <c r="E8015" s="888" t="s">
        <v>310</v>
      </c>
      <c r="F8015" s="888" t="s">
        <v>310</v>
      </c>
    </row>
    <row r="8016" spans="1:6">
      <c r="A8016" s="888">
        <v>392</v>
      </c>
      <c r="B8016" s="888" t="s">
        <v>1213</v>
      </c>
      <c r="C8016" s="888" t="s">
        <v>2488</v>
      </c>
      <c r="D8016" s="889">
        <v>46027</v>
      </c>
      <c r="E8016" s="888" t="s">
        <v>310</v>
      </c>
      <c r="F8016" s="888" t="s">
        <v>310</v>
      </c>
    </row>
    <row r="8017" spans="1:6">
      <c r="A8017" s="888">
        <v>392</v>
      </c>
      <c r="B8017" s="888" t="s">
        <v>1213</v>
      </c>
      <c r="C8017" s="888" t="s">
        <v>2488</v>
      </c>
      <c r="D8017" s="889">
        <v>46028</v>
      </c>
      <c r="E8017" s="890">
        <v>0.36760416666666668</v>
      </c>
      <c r="F8017" s="890">
        <v>0.77862268518518518</v>
      </c>
    </row>
    <row r="8018" spans="1:6">
      <c r="A8018" s="888" t="s">
        <v>5697</v>
      </c>
      <c r="B8018" s="888" t="s">
        <v>5698</v>
      </c>
      <c r="C8018" s="888" t="s">
        <v>1613</v>
      </c>
    </row>
    <row r="8019" spans="1:6">
      <c r="A8019" s="888">
        <v>392</v>
      </c>
      <c r="B8019" s="888" t="s">
        <v>1213</v>
      </c>
      <c r="C8019" s="888" t="s">
        <v>2488</v>
      </c>
      <c r="D8019" s="889">
        <v>46029</v>
      </c>
      <c r="E8019" s="890">
        <v>0.37263888888888891</v>
      </c>
      <c r="F8019" s="890">
        <v>0.81612268518518516</v>
      </c>
    </row>
    <row r="8020" spans="1:6">
      <c r="A8020" s="888" t="s">
        <v>5699</v>
      </c>
      <c r="B8020" s="888" t="s">
        <v>5700</v>
      </c>
      <c r="C8020" s="888" t="s">
        <v>1270</v>
      </c>
    </row>
    <row r="8021" spans="1:6">
      <c r="A8021" s="888">
        <v>392</v>
      </c>
      <c r="B8021" s="888" t="s">
        <v>1213</v>
      </c>
      <c r="C8021" s="888" t="s">
        <v>2488</v>
      </c>
      <c r="D8021" s="889">
        <v>46030</v>
      </c>
      <c r="E8021" s="890">
        <v>0.38803240740740741</v>
      </c>
      <c r="F8021" s="890">
        <v>0.75871527777777781</v>
      </c>
    </row>
    <row r="8022" spans="1:6">
      <c r="A8022" s="888" t="s">
        <v>5701</v>
      </c>
      <c r="B8022" s="888" t="s">
        <v>5702</v>
      </c>
      <c r="C8022" s="888" t="s">
        <v>1590</v>
      </c>
    </row>
    <row r="8023" spans="1:6">
      <c r="A8023" s="888">
        <v>392</v>
      </c>
      <c r="B8023" s="888" t="s">
        <v>1213</v>
      </c>
      <c r="C8023" s="888" t="s">
        <v>2488</v>
      </c>
      <c r="D8023" s="889">
        <v>46031</v>
      </c>
      <c r="E8023" s="890">
        <v>0.35770833333333335</v>
      </c>
      <c r="F8023" s="890">
        <v>0.82481481481481478</v>
      </c>
    </row>
    <row r="8024" spans="1:6">
      <c r="A8024" s="888" t="s">
        <v>5703</v>
      </c>
      <c r="B8024" s="888" t="s">
        <v>5704</v>
      </c>
      <c r="C8024" s="888" t="s">
        <v>2921</v>
      </c>
    </row>
    <row r="8025" spans="1:6">
      <c r="A8025" s="888">
        <v>392</v>
      </c>
      <c r="B8025" s="888" t="s">
        <v>1213</v>
      </c>
      <c r="C8025" s="888" t="s">
        <v>2488</v>
      </c>
      <c r="D8025" s="889">
        <v>46032</v>
      </c>
      <c r="E8025" s="888" t="s">
        <v>310</v>
      </c>
      <c r="F8025" s="888" t="s">
        <v>310</v>
      </c>
    </row>
    <row r="8026" spans="1:6">
      <c r="A8026" s="888">
        <v>392</v>
      </c>
      <c r="B8026" s="888" t="s">
        <v>1213</v>
      </c>
      <c r="C8026" s="888" t="s">
        <v>2488</v>
      </c>
      <c r="D8026" s="889">
        <v>46033</v>
      </c>
      <c r="E8026" s="888" t="s">
        <v>310</v>
      </c>
      <c r="F8026" s="888" t="s">
        <v>310</v>
      </c>
    </row>
    <row r="8027" spans="1:6">
      <c r="A8027" s="888">
        <v>392</v>
      </c>
      <c r="B8027" s="888" t="s">
        <v>1213</v>
      </c>
      <c r="C8027" s="888" t="s">
        <v>2488</v>
      </c>
      <c r="D8027" s="889">
        <v>46034</v>
      </c>
      <c r="E8027" s="888" t="s">
        <v>310</v>
      </c>
      <c r="F8027" s="888" t="s">
        <v>310</v>
      </c>
    </row>
    <row r="8028" spans="1:6">
      <c r="A8028" s="888">
        <v>392</v>
      </c>
      <c r="B8028" s="888" t="s">
        <v>1213</v>
      </c>
      <c r="C8028" s="888" t="s">
        <v>2488</v>
      </c>
      <c r="D8028" s="889">
        <v>46035</v>
      </c>
      <c r="E8028" s="890">
        <v>0.37493055555555554</v>
      </c>
      <c r="F8028" s="890">
        <v>0.75968749999999996</v>
      </c>
    </row>
    <row r="8029" spans="1:6">
      <c r="A8029" s="888" t="s">
        <v>5705</v>
      </c>
      <c r="B8029" s="888" t="s">
        <v>5706</v>
      </c>
      <c r="C8029" s="888" t="s">
        <v>3170</v>
      </c>
    </row>
    <row r="8030" spans="1:6">
      <c r="A8030" s="888">
        <v>392</v>
      </c>
      <c r="B8030" s="888" t="s">
        <v>1213</v>
      </c>
      <c r="C8030" s="888" t="s">
        <v>2488</v>
      </c>
      <c r="D8030" s="889">
        <v>46036</v>
      </c>
      <c r="E8030" s="890">
        <v>0.37277777777777776</v>
      </c>
      <c r="F8030" s="890">
        <v>0.76211805555555556</v>
      </c>
    </row>
    <row r="8031" spans="1:6">
      <c r="A8031" s="888" t="s">
        <v>5707</v>
      </c>
      <c r="B8031" s="888" t="s">
        <v>5708</v>
      </c>
      <c r="C8031" s="888" t="s">
        <v>1737</v>
      </c>
    </row>
    <row r="8032" spans="1:6">
      <c r="A8032" s="888">
        <v>392</v>
      </c>
      <c r="B8032" s="888" t="s">
        <v>1213</v>
      </c>
      <c r="C8032" s="888" t="s">
        <v>2488</v>
      </c>
      <c r="D8032" s="889">
        <v>46037</v>
      </c>
      <c r="E8032" s="890">
        <v>0.3694675925925926</v>
      </c>
      <c r="F8032" s="890">
        <v>0.7625925925925926</v>
      </c>
    </row>
    <row r="8033" spans="1:6">
      <c r="A8033" s="888" t="s">
        <v>2362</v>
      </c>
      <c r="B8033" s="888" t="s">
        <v>5709</v>
      </c>
      <c r="C8033" s="888" t="s">
        <v>1776</v>
      </c>
    </row>
    <row r="8034" spans="1:6">
      <c r="A8034" s="888">
        <v>392</v>
      </c>
      <c r="B8034" s="888" t="s">
        <v>1213</v>
      </c>
      <c r="C8034" s="888" t="s">
        <v>2488</v>
      </c>
      <c r="D8034" s="889">
        <v>46038</v>
      </c>
      <c r="E8034" s="890">
        <v>0.3820601851851852</v>
      </c>
      <c r="F8034" s="890">
        <v>0.76287037037037042</v>
      </c>
    </row>
    <row r="8035" spans="1:6">
      <c r="A8035" s="888" t="s">
        <v>5710</v>
      </c>
      <c r="B8035" s="888" t="s">
        <v>5711</v>
      </c>
      <c r="C8035" s="888" t="s">
        <v>1311</v>
      </c>
    </row>
    <row r="8036" spans="1:6">
      <c r="A8036" s="888">
        <v>392</v>
      </c>
      <c r="B8036" s="888" t="s">
        <v>1213</v>
      </c>
      <c r="C8036" s="888" t="s">
        <v>2488</v>
      </c>
      <c r="D8036" s="889">
        <v>46039</v>
      </c>
      <c r="E8036" s="888" t="s">
        <v>310</v>
      </c>
      <c r="F8036" s="888" t="s">
        <v>310</v>
      </c>
    </row>
    <row r="8037" spans="1:6">
      <c r="A8037" s="888">
        <v>392</v>
      </c>
      <c r="B8037" s="888" t="s">
        <v>1213</v>
      </c>
      <c r="C8037" s="888" t="s">
        <v>2488</v>
      </c>
      <c r="D8037" s="889">
        <v>46040</v>
      </c>
      <c r="E8037" s="888" t="s">
        <v>310</v>
      </c>
      <c r="F8037" s="888" t="s">
        <v>310</v>
      </c>
    </row>
    <row r="8038" spans="1:6">
      <c r="A8038" s="888">
        <v>392</v>
      </c>
      <c r="B8038" s="888" t="s">
        <v>1213</v>
      </c>
      <c r="C8038" s="888" t="s">
        <v>2488</v>
      </c>
      <c r="D8038" s="889">
        <v>46041</v>
      </c>
      <c r="E8038" s="890">
        <v>0.37300925925925926</v>
      </c>
      <c r="F8038" s="890">
        <v>0.77193287037037039</v>
      </c>
    </row>
    <row r="8039" spans="1:6">
      <c r="A8039" s="888" t="s">
        <v>5712</v>
      </c>
      <c r="B8039" s="888" t="s">
        <v>5713</v>
      </c>
      <c r="C8039" s="888" t="s">
        <v>1383</v>
      </c>
    </row>
    <row r="8040" spans="1:6">
      <c r="A8040" s="888">
        <v>392</v>
      </c>
      <c r="B8040" s="888" t="s">
        <v>1213</v>
      </c>
      <c r="C8040" s="888" t="s">
        <v>2488</v>
      </c>
      <c r="D8040" s="889">
        <v>46042</v>
      </c>
      <c r="E8040" s="890">
        <v>0.3747685185185185</v>
      </c>
      <c r="F8040" s="890">
        <v>0.75765046296296301</v>
      </c>
    </row>
    <row r="8041" spans="1:6">
      <c r="A8041" s="888" t="s">
        <v>5714</v>
      </c>
      <c r="B8041" s="888" t="s">
        <v>5715</v>
      </c>
      <c r="C8041" s="888" t="s">
        <v>1314</v>
      </c>
    </row>
    <row r="8042" spans="1:6">
      <c r="A8042" s="888">
        <v>392</v>
      </c>
      <c r="B8042" s="888" t="s">
        <v>1213</v>
      </c>
      <c r="C8042" s="888" t="s">
        <v>2488</v>
      </c>
      <c r="D8042" s="889">
        <v>46043</v>
      </c>
      <c r="E8042" s="890">
        <v>0.3682523148148148</v>
      </c>
      <c r="F8042" s="890">
        <v>0.75480324074074079</v>
      </c>
    </row>
    <row r="8043" spans="1:6">
      <c r="A8043" s="888" t="s">
        <v>5716</v>
      </c>
      <c r="B8043" s="888" t="s">
        <v>5717</v>
      </c>
      <c r="C8043" s="888" t="s">
        <v>1753</v>
      </c>
    </row>
    <row r="8044" spans="1:6">
      <c r="A8044" s="888">
        <v>392</v>
      </c>
      <c r="B8044" s="888" t="s">
        <v>1213</v>
      </c>
      <c r="C8044" s="888" t="s">
        <v>2488</v>
      </c>
      <c r="D8044" s="889">
        <v>46044</v>
      </c>
      <c r="E8044" s="890">
        <v>0.3742476851851852</v>
      </c>
      <c r="F8044" s="890">
        <v>0.75618055555555552</v>
      </c>
    </row>
    <row r="8045" spans="1:6">
      <c r="A8045" s="888" t="s">
        <v>5718</v>
      </c>
      <c r="B8045" s="888" t="s">
        <v>5719</v>
      </c>
      <c r="C8045" s="888" t="s">
        <v>1580</v>
      </c>
    </row>
    <row r="8046" spans="1:6">
      <c r="A8046" s="888">
        <v>392</v>
      </c>
      <c r="B8046" s="888" t="s">
        <v>1213</v>
      </c>
      <c r="C8046" s="888" t="s">
        <v>2488</v>
      </c>
      <c r="D8046" s="889">
        <v>46045</v>
      </c>
      <c r="E8046" s="890">
        <v>0.38166666666666665</v>
      </c>
      <c r="F8046" s="890">
        <v>0.75482638888888887</v>
      </c>
    </row>
    <row r="8047" spans="1:6">
      <c r="A8047" s="888" t="s">
        <v>5720</v>
      </c>
      <c r="B8047" s="888" t="s">
        <v>5721</v>
      </c>
      <c r="C8047" s="888" t="s">
        <v>3568</v>
      </c>
    </row>
    <row r="8048" spans="1:6">
      <c r="A8048" s="888">
        <v>392</v>
      </c>
      <c r="B8048" s="888" t="s">
        <v>1213</v>
      </c>
      <c r="C8048" s="888" t="s">
        <v>2488</v>
      </c>
      <c r="D8048" s="889">
        <v>46046</v>
      </c>
      <c r="E8048" s="888" t="s">
        <v>310</v>
      </c>
      <c r="F8048" s="888" t="s">
        <v>310</v>
      </c>
    </row>
    <row r="8049" spans="1:6">
      <c r="A8049" s="888">
        <v>392</v>
      </c>
      <c r="B8049" s="888" t="s">
        <v>1213</v>
      </c>
      <c r="C8049" s="888" t="s">
        <v>2488</v>
      </c>
      <c r="D8049" s="889">
        <v>46047</v>
      </c>
      <c r="E8049" s="888" t="s">
        <v>310</v>
      </c>
      <c r="F8049" s="888" t="s">
        <v>310</v>
      </c>
    </row>
    <row r="8050" spans="1:6">
      <c r="A8050" s="888">
        <v>392</v>
      </c>
      <c r="B8050" s="888" t="s">
        <v>1213</v>
      </c>
      <c r="C8050" s="888" t="s">
        <v>2488</v>
      </c>
      <c r="D8050" s="889">
        <v>46048</v>
      </c>
      <c r="E8050" s="890">
        <v>0.37956018518518519</v>
      </c>
      <c r="F8050" s="890">
        <v>0.76361111111111113</v>
      </c>
    </row>
    <row r="8051" spans="1:6">
      <c r="A8051" s="888" t="s">
        <v>5722</v>
      </c>
      <c r="B8051" s="888" t="s">
        <v>5723</v>
      </c>
      <c r="C8051" s="888" t="s">
        <v>1742</v>
      </c>
    </row>
    <row r="8052" spans="1:6">
      <c r="A8052" s="888">
        <v>392</v>
      </c>
      <c r="B8052" s="888" t="s">
        <v>1213</v>
      </c>
      <c r="C8052" s="888" t="s">
        <v>2488</v>
      </c>
      <c r="D8052" s="889">
        <v>46049</v>
      </c>
      <c r="E8052" s="890">
        <v>0.37145833333333333</v>
      </c>
      <c r="F8052" s="890">
        <v>0.76001157407407405</v>
      </c>
    </row>
    <row r="8053" spans="1:6">
      <c r="A8053" s="888" t="s">
        <v>5724</v>
      </c>
      <c r="B8053" s="888" t="s">
        <v>5725</v>
      </c>
      <c r="C8053" s="888" t="s">
        <v>2232</v>
      </c>
    </row>
    <row r="8054" spans="1:6">
      <c r="A8054" s="888">
        <v>392</v>
      </c>
      <c r="B8054" s="888" t="s">
        <v>1213</v>
      </c>
      <c r="C8054" s="888" t="s">
        <v>2488</v>
      </c>
      <c r="D8054" s="889">
        <v>46050</v>
      </c>
      <c r="E8054" s="890">
        <v>0.36891203703703701</v>
      </c>
      <c r="F8054" s="890">
        <v>0.7527314814814815</v>
      </c>
    </row>
    <row r="8055" spans="1:6">
      <c r="A8055" s="888" t="s">
        <v>5726</v>
      </c>
      <c r="B8055" s="888" t="s">
        <v>5727</v>
      </c>
      <c r="C8055" s="888" t="s">
        <v>1742</v>
      </c>
    </row>
    <row r="8056" spans="1:6">
      <c r="A8056" s="888">
        <v>392</v>
      </c>
      <c r="B8056" s="888" t="s">
        <v>1213</v>
      </c>
      <c r="C8056" s="888" t="s">
        <v>2488</v>
      </c>
      <c r="D8056" s="889">
        <v>46051</v>
      </c>
      <c r="E8056" s="890">
        <v>0.37130787037037039</v>
      </c>
      <c r="F8056" s="890">
        <v>0.75953703703703701</v>
      </c>
    </row>
    <row r="8057" spans="1:6">
      <c r="A8057" s="888" t="s">
        <v>5728</v>
      </c>
      <c r="B8057" s="888" t="s">
        <v>5729</v>
      </c>
      <c r="C8057" s="888" t="s">
        <v>1484</v>
      </c>
    </row>
    <row r="8058" spans="1:6">
      <c r="A8058" s="888">
        <v>392</v>
      </c>
      <c r="B8058" s="888" t="s">
        <v>1213</v>
      </c>
      <c r="C8058" s="888" t="s">
        <v>2488</v>
      </c>
      <c r="D8058" s="889">
        <v>46052</v>
      </c>
      <c r="E8058" s="890">
        <v>0.37618055555555557</v>
      </c>
      <c r="F8058" s="890">
        <v>0.75834490740740745</v>
      </c>
    </row>
    <row r="8059" spans="1:6">
      <c r="A8059" s="888" t="s">
        <v>5730</v>
      </c>
      <c r="B8059" s="888" t="s">
        <v>5731</v>
      </c>
      <c r="C8059" s="888" t="s">
        <v>1580</v>
      </c>
    </row>
    <row r="8060" spans="1:6">
      <c r="A8060" s="888">
        <v>392</v>
      </c>
      <c r="B8060" s="888" t="s">
        <v>1213</v>
      </c>
      <c r="C8060" s="888" t="s">
        <v>2488</v>
      </c>
      <c r="D8060" s="889">
        <v>46053</v>
      </c>
      <c r="E8060" s="888" t="s">
        <v>310</v>
      </c>
      <c r="F8060" s="888" t="s">
        <v>310</v>
      </c>
    </row>
    <row r="8061" spans="1:6">
      <c r="A8061" s="888">
        <v>392</v>
      </c>
      <c r="B8061" s="888" t="s">
        <v>1213</v>
      </c>
      <c r="C8061" s="888" t="s">
        <v>2488</v>
      </c>
      <c r="D8061" s="889">
        <v>46054</v>
      </c>
      <c r="E8061" s="888" t="s">
        <v>310</v>
      </c>
      <c r="F8061" s="888" t="s">
        <v>310</v>
      </c>
    </row>
    <row r="8062" spans="1:6">
      <c r="A8062" s="888">
        <v>393</v>
      </c>
      <c r="B8062" s="888" t="s">
        <v>1142</v>
      </c>
      <c r="C8062" s="888" t="s">
        <v>3429</v>
      </c>
      <c r="D8062" s="889">
        <v>46023</v>
      </c>
      <c r="E8062" s="888" t="s">
        <v>310</v>
      </c>
      <c r="F8062" s="888" t="s">
        <v>310</v>
      </c>
    </row>
    <row r="8063" spans="1:6">
      <c r="A8063" s="888">
        <v>393</v>
      </c>
      <c r="B8063" s="888" t="s">
        <v>1142</v>
      </c>
      <c r="C8063" s="888" t="s">
        <v>3429</v>
      </c>
      <c r="D8063" s="889">
        <v>46024</v>
      </c>
      <c r="E8063" s="888" t="s">
        <v>310</v>
      </c>
      <c r="F8063" s="888" t="s">
        <v>310</v>
      </c>
    </row>
    <row r="8064" spans="1:6">
      <c r="A8064" s="888">
        <v>393</v>
      </c>
      <c r="B8064" s="888" t="s">
        <v>1142</v>
      </c>
      <c r="C8064" s="888" t="s">
        <v>3429</v>
      </c>
      <c r="D8064" s="889">
        <v>46025</v>
      </c>
      <c r="E8064" s="888" t="s">
        <v>310</v>
      </c>
      <c r="F8064" s="888" t="s">
        <v>310</v>
      </c>
    </row>
    <row r="8065" spans="1:6">
      <c r="A8065" s="888">
        <v>393</v>
      </c>
      <c r="B8065" s="888" t="s">
        <v>1142</v>
      </c>
      <c r="C8065" s="888" t="s">
        <v>3429</v>
      </c>
      <c r="D8065" s="889">
        <v>46026</v>
      </c>
      <c r="E8065" s="888" t="s">
        <v>310</v>
      </c>
      <c r="F8065" s="888" t="s">
        <v>310</v>
      </c>
    </row>
    <row r="8066" spans="1:6">
      <c r="A8066" s="888">
        <v>393</v>
      </c>
      <c r="B8066" s="888" t="s">
        <v>1142</v>
      </c>
      <c r="C8066" s="888" t="s">
        <v>3429</v>
      </c>
      <c r="D8066" s="889">
        <v>46027</v>
      </c>
      <c r="E8066" s="888" t="s">
        <v>310</v>
      </c>
      <c r="F8066" s="888" t="s">
        <v>310</v>
      </c>
    </row>
    <row r="8067" spans="1:6">
      <c r="A8067" s="888">
        <v>393</v>
      </c>
      <c r="B8067" s="888" t="s">
        <v>1142</v>
      </c>
      <c r="C8067" s="888" t="s">
        <v>3429</v>
      </c>
      <c r="D8067" s="889">
        <v>46028</v>
      </c>
      <c r="E8067" s="888" t="s">
        <v>310</v>
      </c>
      <c r="F8067" s="888" t="s">
        <v>310</v>
      </c>
    </row>
    <row r="8068" spans="1:6">
      <c r="A8068" s="888">
        <v>393</v>
      </c>
      <c r="B8068" s="888" t="s">
        <v>1142</v>
      </c>
      <c r="C8068" s="888" t="s">
        <v>3429</v>
      </c>
      <c r="D8068" s="889">
        <v>46029</v>
      </c>
      <c r="E8068" s="888" t="s">
        <v>310</v>
      </c>
      <c r="F8068" s="888" t="s">
        <v>310</v>
      </c>
    </row>
    <row r="8069" spans="1:6">
      <c r="A8069" s="888">
        <v>393</v>
      </c>
      <c r="B8069" s="888" t="s">
        <v>1142</v>
      </c>
      <c r="C8069" s="888" t="s">
        <v>3429</v>
      </c>
      <c r="D8069" s="889">
        <v>46030</v>
      </c>
      <c r="E8069" s="888" t="s">
        <v>310</v>
      </c>
      <c r="F8069" s="888" t="s">
        <v>310</v>
      </c>
    </row>
    <row r="8070" spans="1:6">
      <c r="A8070" s="888">
        <v>393</v>
      </c>
      <c r="B8070" s="888" t="s">
        <v>1142</v>
      </c>
      <c r="C8070" s="888" t="s">
        <v>3429</v>
      </c>
      <c r="D8070" s="889">
        <v>46031</v>
      </c>
      <c r="E8070" s="888" t="s">
        <v>310</v>
      </c>
      <c r="F8070" s="888" t="s">
        <v>310</v>
      </c>
    </row>
    <row r="8071" spans="1:6">
      <c r="A8071" s="888">
        <v>393</v>
      </c>
      <c r="B8071" s="888" t="s">
        <v>1142</v>
      </c>
      <c r="C8071" s="888" t="s">
        <v>3429</v>
      </c>
      <c r="D8071" s="889">
        <v>46032</v>
      </c>
      <c r="E8071" s="888" t="s">
        <v>310</v>
      </c>
      <c r="F8071" s="888" t="s">
        <v>310</v>
      </c>
    </row>
    <row r="8072" spans="1:6">
      <c r="A8072" s="888">
        <v>393</v>
      </c>
      <c r="B8072" s="888" t="s">
        <v>1142</v>
      </c>
      <c r="C8072" s="888" t="s">
        <v>3429</v>
      </c>
      <c r="D8072" s="889">
        <v>46033</v>
      </c>
      <c r="E8072" s="888" t="s">
        <v>310</v>
      </c>
      <c r="F8072" s="888" t="s">
        <v>310</v>
      </c>
    </row>
    <row r="8073" spans="1:6">
      <c r="A8073" s="888">
        <v>393</v>
      </c>
      <c r="B8073" s="888" t="s">
        <v>1142</v>
      </c>
      <c r="C8073" s="888" t="s">
        <v>3429</v>
      </c>
      <c r="D8073" s="889">
        <v>46034</v>
      </c>
      <c r="E8073" s="890">
        <v>0.35394675925925928</v>
      </c>
      <c r="F8073" s="888" t="s">
        <v>310</v>
      </c>
    </row>
    <row r="8074" spans="1:6">
      <c r="A8074" s="888" t="s">
        <v>5732</v>
      </c>
      <c r="B8074" s="888" t="s">
        <v>1258</v>
      </c>
      <c r="C8074" s="888" t="s">
        <v>1259</v>
      </c>
    </row>
    <row r="8075" spans="1:6">
      <c r="A8075" s="888">
        <v>393</v>
      </c>
      <c r="B8075" s="888" t="s">
        <v>1142</v>
      </c>
      <c r="C8075" s="888" t="s">
        <v>3429</v>
      </c>
      <c r="D8075" s="889">
        <v>46035</v>
      </c>
      <c r="E8075" s="888" t="s">
        <v>310</v>
      </c>
      <c r="F8075" s="888" t="s">
        <v>310</v>
      </c>
    </row>
    <row r="8076" spans="1:6">
      <c r="A8076" s="888">
        <v>393</v>
      </c>
      <c r="B8076" s="888" t="s">
        <v>1142</v>
      </c>
      <c r="C8076" s="888" t="s">
        <v>3429</v>
      </c>
      <c r="D8076" s="889">
        <v>46036</v>
      </c>
      <c r="E8076" s="888" t="s">
        <v>310</v>
      </c>
      <c r="F8076" s="888" t="s">
        <v>310</v>
      </c>
    </row>
    <row r="8077" spans="1:6">
      <c r="A8077" s="888">
        <v>393</v>
      </c>
      <c r="B8077" s="888" t="s">
        <v>1142</v>
      </c>
      <c r="C8077" s="888" t="s">
        <v>3429</v>
      </c>
      <c r="D8077" s="889">
        <v>46037</v>
      </c>
      <c r="E8077" s="888" t="s">
        <v>310</v>
      </c>
      <c r="F8077" s="888" t="s">
        <v>310</v>
      </c>
    </row>
    <row r="8078" spans="1:6">
      <c r="A8078" s="888">
        <v>393</v>
      </c>
      <c r="B8078" s="888" t="s">
        <v>1142</v>
      </c>
      <c r="C8078" s="888" t="s">
        <v>3429</v>
      </c>
      <c r="D8078" s="889">
        <v>46038</v>
      </c>
      <c r="E8078" s="888" t="s">
        <v>310</v>
      </c>
      <c r="F8078" s="888" t="s">
        <v>310</v>
      </c>
    </row>
    <row r="8079" spans="1:6">
      <c r="A8079" s="888">
        <v>393</v>
      </c>
      <c r="B8079" s="888" t="s">
        <v>1142</v>
      </c>
      <c r="C8079" s="888" t="s">
        <v>3429</v>
      </c>
      <c r="D8079" s="889">
        <v>46039</v>
      </c>
      <c r="E8079" s="888" t="s">
        <v>310</v>
      </c>
      <c r="F8079" s="888" t="s">
        <v>310</v>
      </c>
    </row>
    <row r="8080" spans="1:6">
      <c r="A8080" s="888">
        <v>393</v>
      </c>
      <c r="B8080" s="888" t="s">
        <v>1142</v>
      </c>
      <c r="C8080" s="888" t="s">
        <v>3429</v>
      </c>
      <c r="D8080" s="889">
        <v>46040</v>
      </c>
      <c r="E8080" s="888" t="s">
        <v>310</v>
      </c>
      <c r="F8080" s="888" t="s">
        <v>310</v>
      </c>
    </row>
    <row r="8081" spans="1:6">
      <c r="A8081" s="888">
        <v>393</v>
      </c>
      <c r="B8081" s="888" t="s">
        <v>1142</v>
      </c>
      <c r="C8081" s="888" t="s">
        <v>3429</v>
      </c>
      <c r="D8081" s="889">
        <v>46041</v>
      </c>
      <c r="E8081" s="890">
        <v>0.35106481481481483</v>
      </c>
      <c r="F8081" s="890">
        <v>0.52585648148148145</v>
      </c>
    </row>
    <row r="8082" spans="1:6">
      <c r="A8082" s="888" t="s">
        <v>5733</v>
      </c>
      <c r="B8082" s="888" t="s">
        <v>5734</v>
      </c>
      <c r="C8082" s="888" t="s">
        <v>5735</v>
      </c>
    </row>
    <row r="8083" spans="1:6">
      <c r="A8083" s="888">
        <v>393</v>
      </c>
      <c r="B8083" s="888" t="s">
        <v>1142</v>
      </c>
      <c r="C8083" s="888" t="s">
        <v>3429</v>
      </c>
      <c r="D8083" s="889">
        <v>46042</v>
      </c>
      <c r="E8083" s="888" t="s">
        <v>310</v>
      </c>
      <c r="F8083" s="888" t="s">
        <v>310</v>
      </c>
    </row>
    <row r="8084" spans="1:6">
      <c r="A8084" s="888">
        <v>393</v>
      </c>
      <c r="B8084" s="888" t="s">
        <v>1142</v>
      </c>
      <c r="C8084" s="888" t="s">
        <v>3429</v>
      </c>
      <c r="D8084" s="889">
        <v>46043</v>
      </c>
      <c r="E8084" s="888" t="s">
        <v>310</v>
      </c>
      <c r="F8084" s="888" t="s">
        <v>310</v>
      </c>
    </row>
    <row r="8085" spans="1:6">
      <c r="A8085" s="888">
        <v>393</v>
      </c>
      <c r="B8085" s="888" t="s">
        <v>1142</v>
      </c>
      <c r="C8085" s="888" t="s">
        <v>3429</v>
      </c>
      <c r="D8085" s="889">
        <v>46044</v>
      </c>
      <c r="E8085" s="888" t="s">
        <v>310</v>
      </c>
      <c r="F8085" s="888" t="s">
        <v>310</v>
      </c>
    </row>
    <row r="8086" spans="1:6">
      <c r="A8086" s="888">
        <v>393</v>
      </c>
      <c r="B8086" s="888" t="s">
        <v>1142</v>
      </c>
      <c r="C8086" s="888" t="s">
        <v>3429</v>
      </c>
      <c r="D8086" s="889">
        <v>46045</v>
      </c>
      <c r="E8086" s="888" t="s">
        <v>310</v>
      </c>
      <c r="F8086" s="888" t="s">
        <v>310</v>
      </c>
    </row>
    <row r="8087" spans="1:6">
      <c r="A8087" s="888">
        <v>393</v>
      </c>
      <c r="B8087" s="888" t="s">
        <v>1142</v>
      </c>
      <c r="C8087" s="888" t="s">
        <v>3429</v>
      </c>
      <c r="D8087" s="889">
        <v>46046</v>
      </c>
      <c r="E8087" s="888" t="s">
        <v>310</v>
      </c>
      <c r="F8087" s="888" t="s">
        <v>310</v>
      </c>
    </row>
    <row r="8088" spans="1:6">
      <c r="A8088" s="888">
        <v>393</v>
      </c>
      <c r="B8088" s="888" t="s">
        <v>1142</v>
      </c>
      <c r="C8088" s="888" t="s">
        <v>3429</v>
      </c>
      <c r="D8088" s="889">
        <v>46047</v>
      </c>
      <c r="E8088" s="888" t="s">
        <v>310</v>
      </c>
      <c r="F8088" s="888" t="s">
        <v>310</v>
      </c>
    </row>
    <row r="8089" spans="1:6">
      <c r="A8089" s="888">
        <v>393</v>
      </c>
      <c r="B8089" s="888" t="s">
        <v>1142</v>
      </c>
      <c r="C8089" s="888" t="s">
        <v>3429</v>
      </c>
      <c r="D8089" s="889">
        <v>46048</v>
      </c>
      <c r="E8089" s="890">
        <v>0.3538310185185185</v>
      </c>
      <c r="F8089" s="888" t="s">
        <v>310</v>
      </c>
    </row>
    <row r="8090" spans="1:6">
      <c r="A8090" s="888" t="s">
        <v>5736</v>
      </c>
      <c r="B8090" s="888" t="s">
        <v>1258</v>
      </c>
      <c r="C8090" s="888" t="s">
        <v>1259</v>
      </c>
    </row>
    <row r="8091" spans="1:6">
      <c r="A8091" s="888">
        <v>393</v>
      </c>
      <c r="B8091" s="888" t="s">
        <v>1142</v>
      </c>
      <c r="C8091" s="888" t="s">
        <v>3429</v>
      </c>
      <c r="D8091" s="889">
        <v>46049</v>
      </c>
      <c r="E8091" s="888" t="s">
        <v>310</v>
      </c>
      <c r="F8091" s="888" t="s">
        <v>310</v>
      </c>
    </row>
    <row r="8092" spans="1:6">
      <c r="A8092" s="888">
        <v>393</v>
      </c>
      <c r="B8092" s="888" t="s">
        <v>1142</v>
      </c>
      <c r="C8092" s="888" t="s">
        <v>3429</v>
      </c>
      <c r="D8092" s="889">
        <v>46050</v>
      </c>
      <c r="E8092" s="890">
        <v>0.34923611111111114</v>
      </c>
      <c r="F8092" s="888" t="s">
        <v>310</v>
      </c>
    </row>
    <row r="8093" spans="1:6">
      <c r="A8093" s="888" t="s">
        <v>5737</v>
      </c>
      <c r="B8093" s="888" t="s">
        <v>1258</v>
      </c>
      <c r="C8093" s="888" t="s">
        <v>1259</v>
      </c>
    </row>
    <row r="8094" spans="1:6">
      <c r="A8094" s="888">
        <v>393</v>
      </c>
      <c r="B8094" s="888" t="s">
        <v>1142</v>
      </c>
      <c r="C8094" s="888" t="s">
        <v>3429</v>
      </c>
      <c r="D8094" s="889">
        <v>46051</v>
      </c>
      <c r="E8094" s="888" t="s">
        <v>310</v>
      </c>
      <c r="F8094" s="888" t="s">
        <v>310</v>
      </c>
    </row>
    <row r="8095" spans="1:6">
      <c r="A8095" s="888">
        <v>393</v>
      </c>
      <c r="B8095" s="888" t="s">
        <v>1142</v>
      </c>
      <c r="C8095" s="888" t="s">
        <v>3429</v>
      </c>
      <c r="D8095" s="889">
        <v>46052</v>
      </c>
      <c r="E8095" s="888" t="s">
        <v>310</v>
      </c>
      <c r="F8095" s="888" t="s">
        <v>310</v>
      </c>
    </row>
    <row r="8096" spans="1:6">
      <c r="A8096" s="888">
        <v>393</v>
      </c>
      <c r="B8096" s="888" t="s">
        <v>1142</v>
      </c>
      <c r="C8096" s="888" t="s">
        <v>3429</v>
      </c>
      <c r="D8096" s="889">
        <v>46053</v>
      </c>
      <c r="E8096" s="888" t="s">
        <v>310</v>
      </c>
      <c r="F8096" s="888" t="s">
        <v>310</v>
      </c>
    </row>
    <row r="8097" spans="1:6">
      <c r="A8097" s="888">
        <v>393</v>
      </c>
      <c r="B8097" s="888" t="s">
        <v>1142</v>
      </c>
      <c r="C8097" s="888" t="s">
        <v>3429</v>
      </c>
      <c r="D8097" s="889">
        <v>46054</v>
      </c>
      <c r="E8097" s="888" t="s">
        <v>310</v>
      </c>
      <c r="F8097" s="888" t="s">
        <v>310</v>
      </c>
    </row>
    <row r="8098" spans="1:6">
      <c r="A8098" s="888">
        <v>394</v>
      </c>
      <c r="B8098" s="888" t="s">
        <v>1214</v>
      </c>
      <c r="C8098" s="888" t="s">
        <v>1387</v>
      </c>
      <c r="D8098" s="889">
        <v>46023</v>
      </c>
      <c r="E8098" s="888" t="s">
        <v>310</v>
      </c>
      <c r="F8098" s="888" t="s">
        <v>310</v>
      </c>
    </row>
    <row r="8099" spans="1:6">
      <c r="A8099" s="888">
        <v>394</v>
      </c>
      <c r="B8099" s="888" t="s">
        <v>1214</v>
      </c>
      <c r="C8099" s="888" t="s">
        <v>1387</v>
      </c>
      <c r="D8099" s="889">
        <v>46024</v>
      </c>
      <c r="E8099" s="888" t="s">
        <v>310</v>
      </c>
      <c r="F8099" s="888" t="s">
        <v>310</v>
      </c>
    </row>
    <row r="8100" spans="1:6">
      <c r="A8100" s="888">
        <v>394</v>
      </c>
      <c r="B8100" s="888" t="s">
        <v>1214</v>
      </c>
      <c r="C8100" s="888" t="s">
        <v>1387</v>
      </c>
      <c r="D8100" s="889">
        <v>46025</v>
      </c>
      <c r="E8100" s="888" t="s">
        <v>310</v>
      </c>
      <c r="F8100" s="888" t="s">
        <v>310</v>
      </c>
    </row>
    <row r="8101" spans="1:6">
      <c r="A8101" s="888">
        <v>394</v>
      </c>
      <c r="B8101" s="888" t="s">
        <v>1214</v>
      </c>
      <c r="C8101" s="888" t="s">
        <v>1387</v>
      </c>
      <c r="D8101" s="889">
        <v>46026</v>
      </c>
      <c r="E8101" s="888" t="s">
        <v>310</v>
      </c>
      <c r="F8101" s="888" t="s">
        <v>310</v>
      </c>
    </row>
    <row r="8102" spans="1:6">
      <c r="A8102" s="888">
        <v>394</v>
      </c>
      <c r="B8102" s="888" t="s">
        <v>1214</v>
      </c>
      <c r="C8102" s="888" t="s">
        <v>1387</v>
      </c>
      <c r="D8102" s="889">
        <v>46027</v>
      </c>
      <c r="E8102" s="890">
        <v>0.35380787037037037</v>
      </c>
      <c r="F8102" s="890">
        <v>0.75709490740740737</v>
      </c>
    </row>
    <row r="8103" spans="1:6">
      <c r="A8103" s="888" t="s">
        <v>5738</v>
      </c>
      <c r="B8103" s="888" t="s">
        <v>5739</v>
      </c>
      <c r="C8103" s="888" t="s">
        <v>1363</v>
      </c>
    </row>
    <row r="8104" spans="1:6">
      <c r="A8104" s="888">
        <v>394</v>
      </c>
      <c r="B8104" s="888" t="s">
        <v>1214</v>
      </c>
      <c r="C8104" s="888" t="s">
        <v>1387</v>
      </c>
      <c r="D8104" s="889">
        <v>46028</v>
      </c>
      <c r="E8104" s="890">
        <v>0.34978009259259257</v>
      </c>
      <c r="F8104" s="890">
        <v>0.75195601851851857</v>
      </c>
    </row>
    <row r="8105" spans="1:6">
      <c r="A8105" s="888" t="s">
        <v>5740</v>
      </c>
      <c r="B8105" s="888" t="s">
        <v>5741</v>
      </c>
      <c r="C8105" s="888" t="s">
        <v>1538</v>
      </c>
    </row>
    <row r="8106" spans="1:6">
      <c r="A8106" s="888">
        <v>394</v>
      </c>
      <c r="B8106" s="888" t="s">
        <v>1214</v>
      </c>
      <c r="C8106" s="888" t="s">
        <v>1387</v>
      </c>
      <c r="D8106" s="889">
        <v>46029</v>
      </c>
      <c r="E8106" s="890">
        <v>0.35318287037037038</v>
      </c>
      <c r="F8106" s="890">
        <v>0.76079861111111113</v>
      </c>
    </row>
    <row r="8107" spans="1:6">
      <c r="A8107" s="888" t="s">
        <v>5742</v>
      </c>
      <c r="B8107" s="888" t="s">
        <v>5743</v>
      </c>
      <c r="C8107" s="888" t="s">
        <v>1645</v>
      </c>
    </row>
    <row r="8108" spans="1:6">
      <c r="A8108" s="888">
        <v>394</v>
      </c>
      <c r="B8108" s="888" t="s">
        <v>1214</v>
      </c>
      <c r="C8108" s="888" t="s">
        <v>1387</v>
      </c>
      <c r="D8108" s="889">
        <v>46030</v>
      </c>
      <c r="E8108" s="890">
        <v>0.35371527777777778</v>
      </c>
      <c r="F8108" s="890">
        <v>0.75565972222222222</v>
      </c>
    </row>
    <row r="8109" spans="1:6">
      <c r="A8109" s="888" t="s">
        <v>5744</v>
      </c>
      <c r="B8109" s="888" t="s">
        <v>5745</v>
      </c>
      <c r="C8109" s="888" t="s">
        <v>1538</v>
      </c>
    </row>
    <row r="8110" spans="1:6">
      <c r="A8110" s="888">
        <v>394</v>
      </c>
      <c r="B8110" s="888" t="s">
        <v>1214</v>
      </c>
      <c r="C8110" s="888" t="s">
        <v>1387</v>
      </c>
      <c r="D8110" s="889">
        <v>46031</v>
      </c>
      <c r="E8110" s="888" t="s">
        <v>310</v>
      </c>
      <c r="F8110" s="888" t="s">
        <v>310</v>
      </c>
    </row>
    <row r="8111" spans="1:6">
      <c r="A8111" s="888">
        <v>394</v>
      </c>
      <c r="B8111" s="888" t="s">
        <v>1214</v>
      </c>
      <c r="C8111" s="888" t="s">
        <v>1387</v>
      </c>
      <c r="D8111" s="889">
        <v>46032</v>
      </c>
      <c r="E8111" s="888" t="s">
        <v>310</v>
      </c>
      <c r="F8111" s="888" t="s">
        <v>310</v>
      </c>
    </row>
    <row r="8112" spans="1:6">
      <c r="A8112" s="888">
        <v>394</v>
      </c>
      <c r="B8112" s="888" t="s">
        <v>1214</v>
      </c>
      <c r="C8112" s="888" t="s">
        <v>1387</v>
      </c>
      <c r="D8112" s="889">
        <v>46033</v>
      </c>
      <c r="E8112" s="888" t="s">
        <v>310</v>
      </c>
      <c r="F8112" s="888" t="s">
        <v>310</v>
      </c>
    </row>
    <row r="8113" spans="1:6">
      <c r="A8113" s="888">
        <v>394</v>
      </c>
      <c r="B8113" s="888" t="s">
        <v>1214</v>
      </c>
      <c r="C8113" s="888" t="s">
        <v>1387</v>
      </c>
      <c r="D8113" s="889">
        <v>46034</v>
      </c>
      <c r="E8113" s="890">
        <v>0.35363425925925923</v>
      </c>
      <c r="F8113" s="890">
        <v>0.76006944444444446</v>
      </c>
    </row>
    <row r="8114" spans="1:6">
      <c r="A8114" s="888" t="s">
        <v>5746</v>
      </c>
      <c r="B8114" s="888" t="s">
        <v>5747</v>
      </c>
      <c r="C8114" s="888" t="s">
        <v>1375</v>
      </c>
    </row>
    <row r="8115" spans="1:6">
      <c r="A8115" s="888">
        <v>394</v>
      </c>
      <c r="B8115" s="888" t="s">
        <v>1214</v>
      </c>
      <c r="C8115" s="888" t="s">
        <v>1387</v>
      </c>
      <c r="D8115" s="889">
        <v>46035</v>
      </c>
      <c r="E8115" s="890">
        <v>0.35350694444444447</v>
      </c>
      <c r="F8115" s="890">
        <v>0.75212962962962959</v>
      </c>
    </row>
    <row r="8116" spans="1:6">
      <c r="A8116" s="888" t="s">
        <v>5748</v>
      </c>
      <c r="B8116" s="888" t="s">
        <v>5749</v>
      </c>
      <c r="C8116" s="888" t="s">
        <v>1383</v>
      </c>
    </row>
    <row r="8117" spans="1:6">
      <c r="A8117" s="888">
        <v>394</v>
      </c>
      <c r="B8117" s="888" t="s">
        <v>1214</v>
      </c>
      <c r="C8117" s="888" t="s">
        <v>1387</v>
      </c>
      <c r="D8117" s="889">
        <v>46036</v>
      </c>
      <c r="E8117" s="890">
        <v>0.35380787037037037</v>
      </c>
      <c r="F8117" s="890">
        <v>0.75641203703703708</v>
      </c>
    </row>
    <row r="8118" spans="1:6">
      <c r="A8118" s="888" t="s">
        <v>5750</v>
      </c>
      <c r="B8118" s="888" t="s">
        <v>5751</v>
      </c>
      <c r="C8118" s="888" t="s">
        <v>1624</v>
      </c>
    </row>
    <row r="8119" spans="1:6">
      <c r="A8119" s="888">
        <v>394</v>
      </c>
      <c r="B8119" s="888" t="s">
        <v>1214</v>
      </c>
      <c r="C8119" s="888" t="s">
        <v>1387</v>
      </c>
      <c r="D8119" s="889">
        <v>46037</v>
      </c>
      <c r="E8119" s="890">
        <v>0.3538425925925926</v>
      </c>
      <c r="F8119" s="890">
        <v>0.76862268518518517</v>
      </c>
    </row>
    <row r="8120" spans="1:6">
      <c r="A8120" s="888" t="s">
        <v>5752</v>
      </c>
      <c r="B8120" s="888" t="s">
        <v>5753</v>
      </c>
      <c r="C8120" s="888" t="s">
        <v>2009</v>
      </c>
    </row>
    <row r="8121" spans="1:6">
      <c r="A8121" s="888">
        <v>394</v>
      </c>
      <c r="B8121" s="888" t="s">
        <v>1214</v>
      </c>
      <c r="C8121" s="888" t="s">
        <v>1387</v>
      </c>
      <c r="D8121" s="889">
        <v>46038</v>
      </c>
      <c r="E8121" s="888" t="s">
        <v>310</v>
      </c>
      <c r="F8121" s="888" t="s">
        <v>310</v>
      </c>
    </row>
    <row r="8122" spans="1:6">
      <c r="A8122" s="888">
        <v>394</v>
      </c>
      <c r="B8122" s="888" t="s">
        <v>1214</v>
      </c>
      <c r="C8122" s="888" t="s">
        <v>1387</v>
      </c>
      <c r="D8122" s="889">
        <v>46039</v>
      </c>
      <c r="E8122" s="888" t="s">
        <v>310</v>
      </c>
      <c r="F8122" s="888" t="s">
        <v>310</v>
      </c>
    </row>
    <row r="8123" spans="1:6">
      <c r="A8123" s="888">
        <v>394</v>
      </c>
      <c r="B8123" s="888" t="s">
        <v>1214</v>
      </c>
      <c r="C8123" s="888" t="s">
        <v>1387</v>
      </c>
      <c r="D8123" s="889">
        <v>46040</v>
      </c>
      <c r="E8123" s="888" t="s">
        <v>310</v>
      </c>
      <c r="F8123" s="888" t="s">
        <v>310</v>
      </c>
    </row>
    <row r="8124" spans="1:6">
      <c r="A8124" s="888">
        <v>394</v>
      </c>
      <c r="B8124" s="888" t="s">
        <v>1214</v>
      </c>
      <c r="C8124" s="888" t="s">
        <v>1387</v>
      </c>
      <c r="D8124" s="889">
        <v>46041</v>
      </c>
      <c r="E8124" s="890">
        <v>0.34484953703703702</v>
      </c>
      <c r="F8124" s="890">
        <v>0.7628935185185185</v>
      </c>
    </row>
    <row r="8125" spans="1:6">
      <c r="A8125" s="888" t="s">
        <v>5754</v>
      </c>
      <c r="B8125" s="888" t="s">
        <v>5755</v>
      </c>
      <c r="C8125" s="888" t="s">
        <v>1790</v>
      </c>
    </row>
    <row r="8126" spans="1:6">
      <c r="A8126" s="888">
        <v>394</v>
      </c>
      <c r="B8126" s="888" t="s">
        <v>1214</v>
      </c>
      <c r="C8126" s="888" t="s">
        <v>1387</v>
      </c>
      <c r="D8126" s="889">
        <v>46042</v>
      </c>
      <c r="E8126" s="890">
        <v>0.34495370370370371</v>
      </c>
      <c r="F8126" s="890">
        <v>0.73049768518518521</v>
      </c>
    </row>
    <row r="8127" spans="1:6">
      <c r="A8127" s="888" t="s">
        <v>5756</v>
      </c>
      <c r="B8127" s="888" t="s">
        <v>5757</v>
      </c>
      <c r="C8127" s="888" t="s">
        <v>1595</v>
      </c>
    </row>
    <row r="8128" spans="1:6">
      <c r="A8128" s="888">
        <v>394</v>
      </c>
      <c r="B8128" s="888" t="s">
        <v>1214</v>
      </c>
      <c r="C8128" s="888" t="s">
        <v>1387</v>
      </c>
      <c r="D8128" s="889">
        <v>46043</v>
      </c>
      <c r="E8128" s="890">
        <v>0.34581018518518519</v>
      </c>
      <c r="F8128" s="890">
        <v>0.75817129629629632</v>
      </c>
    </row>
    <row r="8129" spans="1:6">
      <c r="A8129" s="888" t="s">
        <v>5758</v>
      </c>
      <c r="B8129" s="888" t="s">
        <v>5759</v>
      </c>
      <c r="C8129" s="888" t="s">
        <v>1816</v>
      </c>
    </row>
    <row r="8130" spans="1:6">
      <c r="A8130" s="888">
        <v>394</v>
      </c>
      <c r="B8130" s="888" t="s">
        <v>1214</v>
      </c>
      <c r="C8130" s="888" t="s">
        <v>1387</v>
      </c>
      <c r="D8130" s="889">
        <v>46044</v>
      </c>
      <c r="E8130" s="890">
        <v>0.34407407407407409</v>
      </c>
      <c r="F8130" s="890">
        <v>0.75746527777777772</v>
      </c>
    </row>
    <row r="8131" spans="1:6">
      <c r="A8131" s="888" t="s">
        <v>5760</v>
      </c>
      <c r="B8131" s="888" t="s">
        <v>5761</v>
      </c>
      <c r="C8131" s="888" t="s">
        <v>1360</v>
      </c>
    </row>
    <row r="8132" spans="1:6">
      <c r="A8132" s="888">
        <v>394</v>
      </c>
      <c r="B8132" s="888" t="s">
        <v>1214</v>
      </c>
      <c r="C8132" s="888" t="s">
        <v>1387</v>
      </c>
      <c r="D8132" s="889">
        <v>46045</v>
      </c>
      <c r="E8132" s="888" t="s">
        <v>310</v>
      </c>
      <c r="F8132" s="888" t="s">
        <v>310</v>
      </c>
    </row>
    <row r="8133" spans="1:6">
      <c r="A8133" s="888">
        <v>394</v>
      </c>
      <c r="B8133" s="888" t="s">
        <v>1214</v>
      </c>
      <c r="C8133" s="888" t="s">
        <v>1387</v>
      </c>
      <c r="D8133" s="889">
        <v>46046</v>
      </c>
      <c r="E8133" s="888" t="s">
        <v>310</v>
      </c>
      <c r="F8133" s="888" t="s">
        <v>310</v>
      </c>
    </row>
    <row r="8134" spans="1:6">
      <c r="A8134" s="888">
        <v>394</v>
      </c>
      <c r="B8134" s="888" t="s">
        <v>1214</v>
      </c>
      <c r="C8134" s="888" t="s">
        <v>1387</v>
      </c>
      <c r="D8134" s="889">
        <v>46047</v>
      </c>
      <c r="E8134" s="888" t="s">
        <v>310</v>
      </c>
      <c r="F8134" s="888" t="s">
        <v>310</v>
      </c>
    </row>
    <row r="8135" spans="1:6">
      <c r="A8135" s="888">
        <v>394</v>
      </c>
      <c r="B8135" s="888" t="s">
        <v>1214</v>
      </c>
      <c r="C8135" s="888" t="s">
        <v>1387</v>
      </c>
      <c r="D8135" s="889">
        <v>46048</v>
      </c>
      <c r="E8135" s="890">
        <v>0.34415509259259258</v>
      </c>
      <c r="F8135" s="890">
        <v>0.760625</v>
      </c>
    </row>
    <row r="8136" spans="1:6">
      <c r="A8136" s="888" t="s">
        <v>5762</v>
      </c>
      <c r="B8136" s="888" t="s">
        <v>5763</v>
      </c>
      <c r="C8136" s="888" t="s">
        <v>1303</v>
      </c>
    </row>
    <row r="8137" spans="1:6">
      <c r="A8137" s="888">
        <v>394</v>
      </c>
      <c r="B8137" s="888" t="s">
        <v>1214</v>
      </c>
      <c r="C8137" s="888" t="s">
        <v>1387</v>
      </c>
      <c r="D8137" s="889">
        <v>46049</v>
      </c>
      <c r="E8137" s="890">
        <v>0.35420138888888891</v>
      </c>
      <c r="F8137" s="890">
        <v>0.75583333333333336</v>
      </c>
    </row>
    <row r="8138" spans="1:6">
      <c r="A8138" s="888" t="s">
        <v>5764</v>
      </c>
      <c r="B8138" s="888" t="s">
        <v>5765</v>
      </c>
      <c r="C8138" s="888" t="s">
        <v>1466</v>
      </c>
    </row>
    <row r="8139" spans="1:6">
      <c r="A8139" s="888">
        <v>394</v>
      </c>
      <c r="B8139" s="888" t="s">
        <v>1214</v>
      </c>
      <c r="C8139" s="888" t="s">
        <v>1387</v>
      </c>
      <c r="D8139" s="889">
        <v>46050</v>
      </c>
      <c r="E8139" s="890">
        <v>0.34893518518518518</v>
      </c>
      <c r="F8139" s="890">
        <v>0.7572916666666667</v>
      </c>
    </row>
    <row r="8140" spans="1:6">
      <c r="A8140" s="888" t="s">
        <v>5766</v>
      </c>
      <c r="B8140" s="888" t="s">
        <v>5767</v>
      </c>
      <c r="C8140" s="888" t="s">
        <v>2077</v>
      </c>
    </row>
    <row r="8141" spans="1:6">
      <c r="A8141" s="888">
        <v>394</v>
      </c>
      <c r="B8141" s="888" t="s">
        <v>1214</v>
      </c>
      <c r="C8141" s="888" t="s">
        <v>1387</v>
      </c>
      <c r="D8141" s="889">
        <v>46051</v>
      </c>
      <c r="E8141" s="890">
        <v>0.35457175925925927</v>
      </c>
      <c r="F8141" s="890">
        <v>0.70932870370370371</v>
      </c>
    </row>
    <row r="8142" spans="1:6">
      <c r="A8142" s="888" t="s">
        <v>5768</v>
      </c>
      <c r="B8142" s="888" t="s">
        <v>5769</v>
      </c>
      <c r="C8142" s="888" t="s">
        <v>5770</v>
      </c>
    </row>
    <row r="8143" spans="1:6">
      <c r="A8143" s="888">
        <v>394</v>
      </c>
      <c r="B8143" s="888" t="s">
        <v>1214</v>
      </c>
      <c r="C8143" s="888" t="s">
        <v>1387</v>
      </c>
      <c r="D8143" s="889">
        <v>46052</v>
      </c>
      <c r="E8143" s="888" t="s">
        <v>310</v>
      </c>
      <c r="F8143" s="888" t="s">
        <v>310</v>
      </c>
    </row>
    <row r="8144" spans="1:6">
      <c r="A8144" s="888">
        <v>394</v>
      </c>
      <c r="B8144" s="888" t="s">
        <v>1214</v>
      </c>
      <c r="C8144" s="888" t="s">
        <v>1387</v>
      </c>
      <c r="D8144" s="889">
        <v>46053</v>
      </c>
      <c r="E8144" s="888" t="s">
        <v>310</v>
      </c>
      <c r="F8144" s="888" t="s">
        <v>310</v>
      </c>
    </row>
    <row r="8145" spans="1:6">
      <c r="A8145" s="888">
        <v>394</v>
      </c>
      <c r="B8145" s="888" t="s">
        <v>1214</v>
      </c>
      <c r="C8145" s="888" t="s">
        <v>1387</v>
      </c>
      <c r="D8145" s="889">
        <v>46054</v>
      </c>
      <c r="E8145" s="888" t="s">
        <v>310</v>
      </c>
      <c r="F8145" s="888" t="s">
        <v>310</v>
      </c>
    </row>
    <row r="8146" spans="1:6">
      <c r="A8146" s="888">
        <v>395</v>
      </c>
      <c r="B8146" s="888" t="s">
        <v>1215</v>
      </c>
      <c r="C8146" s="888" t="s">
        <v>1717</v>
      </c>
      <c r="D8146" s="889">
        <v>46023</v>
      </c>
      <c r="E8146" s="888" t="s">
        <v>310</v>
      </c>
      <c r="F8146" s="888" t="s">
        <v>310</v>
      </c>
    </row>
    <row r="8147" spans="1:6">
      <c r="A8147" s="888">
        <v>395</v>
      </c>
      <c r="B8147" s="888" t="s">
        <v>1215</v>
      </c>
      <c r="C8147" s="888" t="s">
        <v>1717</v>
      </c>
      <c r="D8147" s="889">
        <v>46024</v>
      </c>
      <c r="E8147" s="888" t="s">
        <v>310</v>
      </c>
      <c r="F8147" s="888" t="s">
        <v>310</v>
      </c>
    </row>
    <row r="8148" spans="1:6">
      <c r="A8148" s="888">
        <v>395</v>
      </c>
      <c r="B8148" s="888" t="s">
        <v>1215</v>
      </c>
      <c r="C8148" s="888" t="s">
        <v>1717</v>
      </c>
      <c r="D8148" s="889">
        <v>46025</v>
      </c>
      <c r="E8148" s="888" t="s">
        <v>310</v>
      </c>
      <c r="F8148" s="888" t="s">
        <v>310</v>
      </c>
    </row>
    <row r="8149" spans="1:6">
      <c r="A8149" s="888">
        <v>395</v>
      </c>
      <c r="B8149" s="888" t="s">
        <v>1215</v>
      </c>
      <c r="C8149" s="888" t="s">
        <v>1717</v>
      </c>
      <c r="D8149" s="889">
        <v>46026</v>
      </c>
      <c r="E8149" s="888" t="s">
        <v>310</v>
      </c>
      <c r="F8149" s="888" t="s">
        <v>310</v>
      </c>
    </row>
    <row r="8150" spans="1:6">
      <c r="A8150" s="888">
        <v>395</v>
      </c>
      <c r="B8150" s="888" t="s">
        <v>1215</v>
      </c>
      <c r="C8150" s="888" t="s">
        <v>1717</v>
      </c>
      <c r="D8150" s="889">
        <v>46027</v>
      </c>
      <c r="E8150" s="890">
        <v>0.35818287037037039</v>
      </c>
      <c r="F8150" s="890">
        <v>0.76263888888888887</v>
      </c>
    </row>
    <row r="8151" spans="1:6">
      <c r="A8151" s="888" t="s">
        <v>5771</v>
      </c>
      <c r="B8151" s="888" t="s">
        <v>5772</v>
      </c>
      <c r="C8151" s="888" t="s">
        <v>1266</v>
      </c>
    </row>
    <row r="8152" spans="1:6">
      <c r="A8152" s="888">
        <v>395</v>
      </c>
      <c r="B8152" s="888" t="s">
        <v>1215</v>
      </c>
      <c r="C8152" s="888" t="s">
        <v>1717</v>
      </c>
      <c r="D8152" s="889">
        <v>46028</v>
      </c>
      <c r="E8152" s="890">
        <v>0.35479166666666667</v>
      </c>
      <c r="F8152" s="890">
        <v>0.76263888888888887</v>
      </c>
    </row>
    <row r="8153" spans="1:6">
      <c r="A8153" s="888" t="s">
        <v>5773</v>
      </c>
      <c r="B8153" s="888" t="s">
        <v>5774</v>
      </c>
      <c r="C8153" s="888" t="s">
        <v>1645</v>
      </c>
    </row>
    <row r="8154" spans="1:6">
      <c r="A8154" s="888">
        <v>395</v>
      </c>
      <c r="B8154" s="888" t="s">
        <v>1215</v>
      </c>
      <c r="C8154" s="888" t="s">
        <v>1717</v>
      </c>
      <c r="D8154" s="889">
        <v>46029</v>
      </c>
      <c r="E8154" s="890">
        <v>0.35644675925925928</v>
      </c>
      <c r="F8154" s="890">
        <v>0.75539351851851855</v>
      </c>
    </row>
    <row r="8155" spans="1:6">
      <c r="A8155" s="888" t="s">
        <v>5775</v>
      </c>
      <c r="B8155" s="888" t="s">
        <v>5776</v>
      </c>
      <c r="C8155" s="888" t="s">
        <v>1383</v>
      </c>
    </row>
    <row r="8156" spans="1:6">
      <c r="A8156" s="888">
        <v>395</v>
      </c>
      <c r="B8156" s="888" t="s">
        <v>1215</v>
      </c>
      <c r="C8156" s="888" t="s">
        <v>1717</v>
      </c>
      <c r="D8156" s="889">
        <v>46030</v>
      </c>
      <c r="E8156" s="890">
        <v>0.35069444444444442</v>
      </c>
      <c r="F8156" s="890">
        <v>0.75518518518518518</v>
      </c>
    </row>
    <row r="8157" spans="1:6">
      <c r="A8157" s="888" t="s">
        <v>5777</v>
      </c>
      <c r="B8157" s="888" t="s">
        <v>5778</v>
      </c>
      <c r="C8157" s="888" t="s">
        <v>1266</v>
      </c>
    </row>
    <row r="8158" spans="1:6">
      <c r="A8158" s="888">
        <v>395</v>
      </c>
      <c r="B8158" s="888" t="s">
        <v>1215</v>
      </c>
      <c r="C8158" s="888" t="s">
        <v>1717</v>
      </c>
      <c r="D8158" s="889">
        <v>46031</v>
      </c>
      <c r="E8158" s="890">
        <v>0.35835648148148147</v>
      </c>
      <c r="F8158" s="890">
        <v>0.76026620370370368</v>
      </c>
    </row>
    <row r="8159" spans="1:6">
      <c r="A8159" s="888" t="s">
        <v>5779</v>
      </c>
      <c r="B8159" s="888" t="s">
        <v>5780</v>
      </c>
      <c r="C8159" s="888" t="s">
        <v>1538</v>
      </c>
    </row>
    <row r="8160" spans="1:6">
      <c r="A8160" s="888">
        <v>395</v>
      </c>
      <c r="B8160" s="888" t="s">
        <v>1215</v>
      </c>
      <c r="C8160" s="888" t="s">
        <v>1717</v>
      </c>
      <c r="D8160" s="889">
        <v>46032</v>
      </c>
      <c r="E8160" s="888" t="s">
        <v>310</v>
      </c>
      <c r="F8160" s="888" t="s">
        <v>310</v>
      </c>
    </row>
    <row r="8161" spans="1:6">
      <c r="A8161" s="888">
        <v>395</v>
      </c>
      <c r="B8161" s="888" t="s">
        <v>1215</v>
      </c>
      <c r="C8161" s="888" t="s">
        <v>1717</v>
      </c>
      <c r="D8161" s="889">
        <v>46033</v>
      </c>
      <c r="E8161" s="888" t="s">
        <v>310</v>
      </c>
      <c r="F8161" s="888" t="s">
        <v>310</v>
      </c>
    </row>
    <row r="8162" spans="1:6">
      <c r="A8162" s="888">
        <v>395</v>
      </c>
      <c r="B8162" s="888" t="s">
        <v>1215</v>
      </c>
      <c r="C8162" s="888" t="s">
        <v>1717</v>
      </c>
      <c r="D8162" s="889">
        <v>46034</v>
      </c>
      <c r="E8162" s="890">
        <v>0.35825231481481479</v>
      </c>
      <c r="F8162" s="890">
        <v>0.75776620370370373</v>
      </c>
    </row>
    <row r="8163" spans="1:6">
      <c r="A8163" s="888" t="s">
        <v>5781</v>
      </c>
      <c r="B8163" s="888" t="s">
        <v>5782</v>
      </c>
      <c r="C8163" s="888" t="s">
        <v>1288</v>
      </c>
    </row>
    <row r="8164" spans="1:6">
      <c r="A8164" s="888">
        <v>395</v>
      </c>
      <c r="B8164" s="888" t="s">
        <v>1215</v>
      </c>
      <c r="C8164" s="888" t="s">
        <v>1717</v>
      </c>
      <c r="D8164" s="889">
        <v>46035</v>
      </c>
      <c r="E8164" s="890">
        <v>0.36108796296296297</v>
      </c>
      <c r="F8164" s="890">
        <v>0.75776620370370373</v>
      </c>
    </row>
    <row r="8165" spans="1:6">
      <c r="A8165" s="888" t="s">
        <v>5783</v>
      </c>
      <c r="B8165" s="888" t="s">
        <v>5784</v>
      </c>
      <c r="C8165" s="888" t="s">
        <v>1452</v>
      </c>
    </row>
    <row r="8166" spans="1:6">
      <c r="A8166" s="888">
        <v>395</v>
      </c>
      <c r="B8166" s="888" t="s">
        <v>1215</v>
      </c>
      <c r="C8166" s="888" t="s">
        <v>1717</v>
      </c>
      <c r="D8166" s="889">
        <v>46036</v>
      </c>
      <c r="E8166" s="890">
        <v>0.36281249999999998</v>
      </c>
      <c r="F8166" s="890">
        <v>0.69702546296296297</v>
      </c>
    </row>
    <row r="8167" spans="1:6">
      <c r="A8167" s="888" t="s">
        <v>5785</v>
      </c>
      <c r="B8167" s="888" t="s">
        <v>5786</v>
      </c>
      <c r="C8167" s="888" t="s">
        <v>1474</v>
      </c>
    </row>
    <row r="8168" spans="1:6">
      <c r="A8168" s="888">
        <v>395</v>
      </c>
      <c r="B8168" s="888" t="s">
        <v>1215</v>
      </c>
      <c r="C8168" s="888" t="s">
        <v>1717</v>
      </c>
      <c r="D8168" s="889">
        <v>46037</v>
      </c>
      <c r="E8168" s="888" t="s">
        <v>310</v>
      </c>
      <c r="F8168" s="888" t="s">
        <v>310</v>
      </c>
    </row>
    <row r="8169" spans="1:6">
      <c r="A8169" s="888">
        <v>395</v>
      </c>
      <c r="B8169" s="888" t="s">
        <v>1215</v>
      </c>
      <c r="C8169" s="888" t="s">
        <v>1717</v>
      </c>
      <c r="D8169" s="889">
        <v>46038</v>
      </c>
      <c r="E8169" s="890">
        <v>0.36517361111111113</v>
      </c>
      <c r="F8169" s="890">
        <v>0.74133101851851857</v>
      </c>
    </row>
    <row r="8170" spans="1:6">
      <c r="A8170" s="888" t="s">
        <v>5787</v>
      </c>
      <c r="B8170" s="888" t="s">
        <v>5788</v>
      </c>
      <c r="C8170" s="888" t="s">
        <v>1308</v>
      </c>
    </row>
    <row r="8171" spans="1:6">
      <c r="A8171" s="888">
        <v>395</v>
      </c>
      <c r="B8171" s="888" t="s">
        <v>1215</v>
      </c>
      <c r="C8171" s="888" t="s">
        <v>1717</v>
      </c>
      <c r="D8171" s="889">
        <v>46039</v>
      </c>
      <c r="E8171" s="888" t="s">
        <v>310</v>
      </c>
      <c r="F8171" s="888" t="s">
        <v>310</v>
      </c>
    </row>
    <row r="8172" spans="1:6">
      <c r="A8172" s="888">
        <v>395</v>
      </c>
      <c r="B8172" s="888" t="s">
        <v>1215</v>
      </c>
      <c r="C8172" s="888" t="s">
        <v>1717</v>
      </c>
      <c r="D8172" s="889">
        <v>46040</v>
      </c>
      <c r="E8172" s="888" t="s">
        <v>310</v>
      </c>
      <c r="F8172" s="888" t="s">
        <v>310</v>
      </c>
    </row>
    <row r="8173" spans="1:6">
      <c r="A8173" s="888">
        <v>395</v>
      </c>
      <c r="B8173" s="888" t="s">
        <v>1215</v>
      </c>
      <c r="C8173" s="888" t="s">
        <v>1717</v>
      </c>
      <c r="D8173" s="889">
        <v>46041</v>
      </c>
      <c r="E8173" s="888" t="s">
        <v>310</v>
      </c>
      <c r="F8173" s="888" t="s">
        <v>310</v>
      </c>
    </row>
    <row r="8174" spans="1:6">
      <c r="A8174" s="888">
        <v>395</v>
      </c>
      <c r="B8174" s="888" t="s">
        <v>1215</v>
      </c>
      <c r="C8174" s="888" t="s">
        <v>1717</v>
      </c>
      <c r="D8174" s="889">
        <v>46042</v>
      </c>
      <c r="E8174" s="890">
        <v>0.36373842592592592</v>
      </c>
      <c r="F8174" s="888" t="s">
        <v>310</v>
      </c>
    </row>
    <row r="8175" spans="1:6">
      <c r="A8175" s="888" t="s">
        <v>5789</v>
      </c>
      <c r="B8175" s="888" t="s">
        <v>1258</v>
      </c>
      <c r="C8175" s="888" t="s">
        <v>1259</v>
      </c>
    </row>
    <row r="8176" spans="1:6">
      <c r="A8176" s="888">
        <v>395</v>
      </c>
      <c r="B8176" s="888" t="s">
        <v>1215</v>
      </c>
      <c r="C8176" s="888" t="s">
        <v>1717</v>
      </c>
      <c r="D8176" s="889">
        <v>46043</v>
      </c>
      <c r="E8176" s="890">
        <v>0.36146990740740742</v>
      </c>
      <c r="F8176" s="890">
        <v>0.73605324074074074</v>
      </c>
    </row>
    <row r="8177" spans="1:6">
      <c r="A8177" s="888" t="s">
        <v>5790</v>
      </c>
      <c r="B8177" s="888" t="s">
        <v>5791</v>
      </c>
      <c r="C8177" s="888" t="s">
        <v>1333</v>
      </c>
    </row>
    <row r="8178" spans="1:6">
      <c r="A8178" s="888">
        <v>395</v>
      </c>
      <c r="B8178" s="888" t="s">
        <v>1215</v>
      </c>
      <c r="C8178" s="888" t="s">
        <v>1717</v>
      </c>
      <c r="D8178" s="889">
        <v>46044</v>
      </c>
      <c r="E8178" s="890">
        <v>0.36304398148148148</v>
      </c>
      <c r="F8178" s="890">
        <v>0.76077546296296295</v>
      </c>
    </row>
    <row r="8179" spans="1:6">
      <c r="A8179" s="888" t="s">
        <v>5792</v>
      </c>
      <c r="B8179" s="888" t="s">
        <v>5793</v>
      </c>
      <c r="C8179" s="888" t="s">
        <v>1457</v>
      </c>
    </row>
    <row r="8180" spans="1:6">
      <c r="A8180" s="888">
        <v>395</v>
      </c>
      <c r="B8180" s="888" t="s">
        <v>1215</v>
      </c>
      <c r="C8180" s="888" t="s">
        <v>1717</v>
      </c>
      <c r="D8180" s="889">
        <v>46045</v>
      </c>
      <c r="E8180" s="890">
        <v>0.3649074074074074</v>
      </c>
      <c r="F8180" s="890">
        <v>0.73353009259259261</v>
      </c>
    </row>
    <row r="8181" spans="1:6">
      <c r="A8181" s="888" t="s">
        <v>5794</v>
      </c>
      <c r="B8181" s="888" t="s">
        <v>5795</v>
      </c>
      <c r="C8181" s="888" t="s">
        <v>3459</v>
      </c>
    </row>
    <row r="8182" spans="1:6">
      <c r="A8182" s="888">
        <v>395</v>
      </c>
      <c r="B8182" s="888" t="s">
        <v>1215</v>
      </c>
      <c r="C8182" s="888" t="s">
        <v>1717</v>
      </c>
      <c r="D8182" s="889">
        <v>46046</v>
      </c>
      <c r="E8182" s="888" t="s">
        <v>310</v>
      </c>
      <c r="F8182" s="888" t="s">
        <v>310</v>
      </c>
    </row>
    <row r="8183" spans="1:6">
      <c r="A8183" s="888">
        <v>395</v>
      </c>
      <c r="B8183" s="888" t="s">
        <v>1215</v>
      </c>
      <c r="C8183" s="888" t="s">
        <v>1717</v>
      </c>
      <c r="D8183" s="889">
        <v>46047</v>
      </c>
      <c r="E8183" s="888" t="s">
        <v>310</v>
      </c>
      <c r="F8183" s="888" t="s">
        <v>310</v>
      </c>
    </row>
    <row r="8184" spans="1:6">
      <c r="A8184" s="888">
        <v>395</v>
      </c>
      <c r="B8184" s="888" t="s">
        <v>1215</v>
      </c>
      <c r="C8184" s="888" t="s">
        <v>1717</v>
      </c>
      <c r="D8184" s="889">
        <v>46048</v>
      </c>
      <c r="E8184" s="890">
        <v>0.35793981481481479</v>
      </c>
      <c r="F8184" s="890">
        <v>0.75776620370370373</v>
      </c>
    </row>
    <row r="8185" spans="1:6">
      <c r="A8185" s="888" t="s">
        <v>5796</v>
      </c>
      <c r="B8185" s="888" t="s">
        <v>5797</v>
      </c>
      <c r="C8185" s="888" t="s">
        <v>1526</v>
      </c>
    </row>
    <row r="8186" spans="1:6">
      <c r="A8186" s="888">
        <v>395</v>
      </c>
      <c r="B8186" s="888" t="s">
        <v>1215</v>
      </c>
      <c r="C8186" s="888" t="s">
        <v>1717</v>
      </c>
      <c r="D8186" s="889">
        <v>46049</v>
      </c>
      <c r="E8186" s="890">
        <v>0.36458333333333331</v>
      </c>
      <c r="F8186" s="890">
        <v>0.73677083333333337</v>
      </c>
    </row>
    <row r="8187" spans="1:6">
      <c r="A8187" s="888" t="s">
        <v>5798</v>
      </c>
      <c r="B8187" s="888" t="s">
        <v>5799</v>
      </c>
      <c r="C8187" s="888" t="s">
        <v>1937</v>
      </c>
    </row>
    <row r="8188" spans="1:6">
      <c r="A8188" s="888">
        <v>395</v>
      </c>
      <c r="B8188" s="888" t="s">
        <v>1215</v>
      </c>
      <c r="C8188" s="888" t="s">
        <v>1717</v>
      </c>
      <c r="D8188" s="889">
        <v>46050</v>
      </c>
      <c r="E8188" s="890">
        <v>0.36440972222222223</v>
      </c>
      <c r="F8188" s="890">
        <v>0.73209490740740746</v>
      </c>
    </row>
    <row r="8189" spans="1:6">
      <c r="A8189" s="888" t="s">
        <v>5800</v>
      </c>
      <c r="B8189" s="888" t="s">
        <v>5801</v>
      </c>
      <c r="C8189" s="888" t="s">
        <v>2014</v>
      </c>
    </row>
    <row r="8190" spans="1:6">
      <c r="A8190" s="888">
        <v>395</v>
      </c>
      <c r="B8190" s="888" t="s">
        <v>1215</v>
      </c>
      <c r="C8190" s="888" t="s">
        <v>1717</v>
      </c>
      <c r="D8190" s="889">
        <v>46051</v>
      </c>
      <c r="E8190" s="890">
        <v>0.35160879629629632</v>
      </c>
      <c r="F8190" s="890">
        <v>0.74741898148148145</v>
      </c>
    </row>
    <row r="8191" spans="1:6">
      <c r="A8191" s="888" t="s">
        <v>5802</v>
      </c>
      <c r="B8191" s="888" t="s">
        <v>5803</v>
      </c>
      <c r="C8191" s="888" t="s">
        <v>1404</v>
      </c>
    </row>
    <row r="8192" spans="1:6">
      <c r="A8192" s="888">
        <v>395</v>
      </c>
      <c r="B8192" s="888" t="s">
        <v>1215</v>
      </c>
      <c r="C8192" s="888" t="s">
        <v>1717</v>
      </c>
      <c r="D8192" s="889">
        <v>46052</v>
      </c>
      <c r="E8192" s="890">
        <v>0.36138888888888887</v>
      </c>
      <c r="F8192" s="890">
        <v>0.36535879629629631</v>
      </c>
    </row>
    <row r="8193" spans="1:6">
      <c r="A8193" s="888" t="s">
        <v>5804</v>
      </c>
      <c r="B8193" s="888" t="s">
        <v>5805</v>
      </c>
      <c r="C8193" s="888" t="s">
        <v>5806</v>
      </c>
    </row>
    <row r="8194" spans="1:6">
      <c r="A8194" s="888">
        <v>395</v>
      </c>
      <c r="B8194" s="888" t="s">
        <v>1215</v>
      </c>
      <c r="C8194" s="888" t="s">
        <v>1717</v>
      </c>
      <c r="D8194" s="889">
        <v>46053</v>
      </c>
      <c r="E8194" s="888" t="s">
        <v>310</v>
      </c>
      <c r="F8194" s="888" t="s">
        <v>310</v>
      </c>
    </row>
    <row r="8195" spans="1:6">
      <c r="A8195" s="888">
        <v>395</v>
      </c>
      <c r="B8195" s="888" t="s">
        <v>1215</v>
      </c>
      <c r="C8195" s="888" t="s">
        <v>1717</v>
      </c>
      <c r="D8195" s="889">
        <v>46054</v>
      </c>
      <c r="E8195" s="888" t="s">
        <v>310</v>
      </c>
      <c r="F8195" s="888" t="s">
        <v>310</v>
      </c>
    </row>
    <row r="8196" spans="1:6">
      <c r="A8196" s="888">
        <v>396</v>
      </c>
      <c r="B8196" s="888" t="s">
        <v>1216</v>
      </c>
      <c r="C8196" s="888" t="s">
        <v>1767</v>
      </c>
      <c r="D8196" s="889">
        <v>46023</v>
      </c>
      <c r="E8196" s="888" t="s">
        <v>310</v>
      </c>
      <c r="F8196" s="888" t="s">
        <v>310</v>
      </c>
    </row>
    <row r="8197" spans="1:6">
      <c r="A8197" s="888">
        <v>396</v>
      </c>
      <c r="B8197" s="888" t="s">
        <v>1216</v>
      </c>
      <c r="C8197" s="888" t="s">
        <v>1767</v>
      </c>
      <c r="D8197" s="889">
        <v>46024</v>
      </c>
      <c r="E8197" s="888" t="s">
        <v>310</v>
      </c>
      <c r="F8197" s="888" t="s">
        <v>310</v>
      </c>
    </row>
    <row r="8198" spans="1:6">
      <c r="A8198" s="888">
        <v>396</v>
      </c>
      <c r="B8198" s="888" t="s">
        <v>1216</v>
      </c>
      <c r="C8198" s="888" t="s">
        <v>1767</v>
      </c>
      <c r="D8198" s="889">
        <v>46025</v>
      </c>
      <c r="E8198" s="888" t="s">
        <v>310</v>
      </c>
      <c r="F8198" s="888" t="s">
        <v>310</v>
      </c>
    </row>
    <row r="8199" spans="1:6">
      <c r="A8199" s="888">
        <v>396</v>
      </c>
      <c r="B8199" s="888" t="s">
        <v>1216</v>
      </c>
      <c r="C8199" s="888" t="s">
        <v>1767</v>
      </c>
      <c r="D8199" s="889">
        <v>46026</v>
      </c>
      <c r="E8199" s="888" t="s">
        <v>310</v>
      </c>
      <c r="F8199" s="888" t="s">
        <v>310</v>
      </c>
    </row>
    <row r="8200" spans="1:6">
      <c r="A8200" s="888">
        <v>396</v>
      </c>
      <c r="B8200" s="888" t="s">
        <v>1216</v>
      </c>
      <c r="C8200" s="888" t="s">
        <v>1767</v>
      </c>
      <c r="D8200" s="889">
        <v>46027</v>
      </c>
      <c r="E8200" s="890">
        <v>0.36715277777777777</v>
      </c>
      <c r="F8200" s="890">
        <v>0.79599537037037038</v>
      </c>
    </row>
    <row r="8201" spans="1:6">
      <c r="A8201" s="888" t="s">
        <v>5807</v>
      </c>
      <c r="B8201" s="888" t="s">
        <v>5808</v>
      </c>
      <c r="C8201" s="888" t="s">
        <v>1396</v>
      </c>
    </row>
    <row r="8202" spans="1:6">
      <c r="A8202" s="888">
        <v>396</v>
      </c>
      <c r="B8202" s="888" t="s">
        <v>1216</v>
      </c>
      <c r="C8202" s="888" t="s">
        <v>1767</v>
      </c>
      <c r="D8202" s="889">
        <v>46028</v>
      </c>
      <c r="E8202" s="890">
        <v>0.36502314814814812</v>
      </c>
      <c r="F8202" s="890">
        <v>0.77333333333333332</v>
      </c>
    </row>
    <row r="8203" spans="1:6">
      <c r="A8203" s="888" t="s">
        <v>5809</v>
      </c>
      <c r="B8203" s="888" t="s">
        <v>5810</v>
      </c>
      <c r="C8203" s="888" t="s">
        <v>2077</v>
      </c>
    </row>
    <row r="8204" spans="1:6">
      <c r="A8204" s="888">
        <v>396</v>
      </c>
      <c r="B8204" s="888" t="s">
        <v>1216</v>
      </c>
      <c r="C8204" s="888" t="s">
        <v>1767</v>
      </c>
      <c r="D8204" s="889">
        <v>46029</v>
      </c>
      <c r="E8204" s="890">
        <v>0.36828703703703702</v>
      </c>
      <c r="F8204" s="890">
        <v>0.76408564814814817</v>
      </c>
    </row>
    <row r="8205" spans="1:6">
      <c r="A8205" s="888" t="s">
        <v>5811</v>
      </c>
      <c r="B8205" s="888" t="s">
        <v>5812</v>
      </c>
      <c r="C8205" s="888" t="s">
        <v>1404</v>
      </c>
    </row>
    <row r="8206" spans="1:6">
      <c r="A8206" s="888">
        <v>396</v>
      </c>
      <c r="B8206" s="888" t="s">
        <v>1216</v>
      </c>
      <c r="C8206" s="888" t="s">
        <v>1767</v>
      </c>
      <c r="D8206" s="889">
        <v>46030</v>
      </c>
      <c r="E8206" s="890">
        <v>0.36699074074074073</v>
      </c>
      <c r="F8206" s="890">
        <v>0.77331018518518524</v>
      </c>
    </row>
    <row r="8207" spans="1:6">
      <c r="A8207" s="888" t="s">
        <v>5813</v>
      </c>
      <c r="B8207" s="888" t="s">
        <v>5814</v>
      </c>
      <c r="C8207" s="888" t="s">
        <v>1375</v>
      </c>
    </row>
    <row r="8208" spans="1:6">
      <c r="A8208" s="888">
        <v>396</v>
      </c>
      <c r="B8208" s="888" t="s">
        <v>1216</v>
      </c>
      <c r="C8208" s="888" t="s">
        <v>1767</v>
      </c>
      <c r="D8208" s="889">
        <v>46031</v>
      </c>
      <c r="E8208" s="890">
        <v>0.36167824074074073</v>
      </c>
      <c r="F8208" s="890">
        <v>0.76348379629629626</v>
      </c>
    </row>
    <row r="8209" spans="1:6">
      <c r="A8209" s="888" t="s">
        <v>5815</v>
      </c>
      <c r="B8209" s="888" t="s">
        <v>5816</v>
      </c>
      <c r="C8209" s="888" t="s">
        <v>1538</v>
      </c>
    </row>
    <row r="8210" spans="1:6">
      <c r="A8210" s="888">
        <v>396</v>
      </c>
      <c r="B8210" s="888" t="s">
        <v>1216</v>
      </c>
      <c r="C8210" s="888" t="s">
        <v>1767</v>
      </c>
      <c r="D8210" s="889">
        <v>46032</v>
      </c>
      <c r="E8210" s="890">
        <v>0.36464120370370373</v>
      </c>
      <c r="F8210" s="890">
        <v>0.77730324074074075</v>
      </c>
    </row>
    <row r="8211" spans="1:6">
      <c r="A8211" s="888" t="s">
        <v>5817</v>
      </c>
      <c r="B8211" s="888" t="s">
        <v>5818</v>
      </c>
      <c r="C8211" s="888" t="s">
        <v>1816</v>
      </c>
    </row>
    <row r="8212" spans="1:6">
      <c r="A8212" s="888">
        <v>396</v>
      </c>
      <c r="B8212" s="888" t="s">
        <v>1216</v>
      </c>
      <c r="C8212" s="888" t="s">
        <v>1767</v>
      </c>
      <c r="D8212" s="889">
        <v>46033</v>
      </c>
      <c r="E8212" s="888" t="s">
        <v>310</v>
      </c>
      <c r="F8212" s="888" t="s">
        <v>310</v>
      </c>
    </row>
    <row r="8213" spans="1:6">
      <c r="A8213" s="888">
        <v>396</v>
      </c>
      <c r="B8213" s="888" t="s">
        <v>1216</v>
      </c>
      <c r="C8213" s="888" t="s">
        <v>1767</v>
      </c>
      <c r="D8213" s="889">
        <v>46034</v>
      </c>
      <c r="E8213" s="890">
        <v>0.36717592592592591</v>
      </c>
      <c r="F8213" s="890">
        <v>0.76237268518518519</v>
      </c>
    </row>
    <row r="8214" spans="1:6">
      <c r="A8214" s="888" t="s">
        <v>5819</v>
      </c>
      <c r="B8214" s="888" t="s">
        <v>5820</v>
      </c>
      <c r="C8214" s="888" t="s">
        <v>1413</v>
      </c>
    </row>
    <row r="8215" spans="1:6">
      <c r="A8215" s="888">
        <v>396</v>
      </c>
      <c r="B8215" s="888" t="s">
        <v>1216</v>
      </c>
      <c r="C8215" s="888" t="s">
        <v>1767</v>
      </c>
      <c r="D8215" s="889">
        <v>46035</v>
      </c>
      <c r="E8215" s="890">
        <v>0.36335648148148147</v>
      </c>
      <c r="F8215" s="890">
        <v>0.76725694444444448</v>
      </c>
    </row>
    <row r="8216" spans="1:6">
      <c r="A8216" s="888" t="s">
        <v>5821</v>
      </c>
      <c r="B8216" s="888" t="s">
        <v>5822</v>
      </c>
      <c r="C8216" s="888" t="s">
        <v>1266</v>
      </c>
    </row>
    <row r="8217" spans="1:6">
      <c r="A8217" s="888">
        <v>396</v>
      </c>
      <c r="B8217" s="888" t="s">
        <v>1216</v>
      </c>
      <c r="C8217" s="888" t="s">
        <v>1767</v>
      </c>
      <c r="D8217" s="889">
        <v>46036</v>
      </c>
      <c r="E8217" s="890">
        <v>0.37026620370370372</v>
      </c>
      <c r="F8217" s="890">
        <v>0.76222222222222225</v>
      </c>
    </row>
    <row r="8218" spans="1:6">
      <c r="A8218" s="888" t="s">
        <v>5823</v>
      </c>
      <c r="B8218" s="888" t="s">
        <v>5824</v>
      </c>
      <c r="C8218" s="888" t="s">
        <v>1813</v>
      </c>
    </row>
    <row r="8219" spans="1:6">
      <c r="A8219" s="888">
        <v>396</v>
      </c>
      <c r="B8219" s="888" t="s">
        <v>1216</v>
      </c>
      <c r="C8219" s="888" t="s">
        <v>1767</v>
      </c>
      <c r="D8219" s="889">
        <v>46037</v>
      </c>
      <c r="E8219" s="890">
        <v>0.36805555555555558</v>
      </c>
      <c r="F8219" s="890">
        <v>0.77295138888888892</v>
      </c>
    </row>
    <row r="8220" spans="1:6">
      <c r="A8220" s="888" t="s">
        <v>5825</v>
      </c>
      <c r="B8220" s="888" t="s">
        <v>5826</v>
      </c>
      <c r="C8220" s="888" t="s">
        <v>1356</v>
      </c>
    </row>
    <row r="8221" spans="1:6">
      <c r="A8221" s="888">
        <v>396</v>
      </c>
      <c r="B8221" s="888" t="s">
        <v>1216</v>
      </c>
      <c r="C8221" s="888" t="s">
        <v>1767</v>
      </c>
      <c r="D8221" s="889">
        <v>46038</v>
      </c>
      <c r="E8221" s="890">
        <v>0.36812499999999998</v>
      </c>
      <c r="F8221" s="890">
        <v>0.77907407407407403</v>
      </c>
    </row>
    <row r="8222" spans="1:6">
      <c r="A8222" s="888" t="s">
        <v>5827</v>
      </c>
      <c r="B8222" s="888" t="s">
        <v>5828</v>
      </c>
      <c r="C8222" s="888" t="s">
        <v>1613</v>
      </c>
    </row>
    <row r="8223" spans="1:6">
      <c r="A8223" s="888">
        <v>396</v>
      </c>
      <c r="B8223" s="888" t="s">
        <v>1216</v>
      </c>
      <c r="C8223" s="888" t="s">
        <v>1767</v>
      </c>
      <c r="D8223" s="889">
        <v>46039</v>
      </c>
      <c r="E8223" s="888" t="s">
        <v>310</v>
      </c>
      <c r="F8223" s="888" t="s">
        <v>310</v>
      </c>
    </row>
    <row r="8224" spans="1:6">
      <c r="A8224" s="888">
        <v>396</v>
      </c>
      <c r="B8224" s="888" t="s">
        <v>1216</v>
      </c>
      <c r="C8224" s="888" t="s">
        <v>1767</v>
      </c>
      <c r="D8224" s="889">
        <v>46040</v>
      </c>
      <c r="E8224" s="888" t="s">
        <v>310</v>
      </c>
      <c r="F8224" s="888" t="s">
        <v>310</v>
      </c>
    </row>
    <row r="8225" spans="1:6">
      <c r="A8225" s="888">
        <v>396</v>
      </c>
      <c r="B8225" s="888" t="s">
        <v>1216</v>
      </c>
      <c r="C8225" s="888" t="s">
        <v>1767</v>
      </c>
      <c r="D8225" s="889">
        <v>46041</v>
      </c>
      <c r="E8225" s="890">
        <v>0.36908564814814815</v>
      </c>
      <c r="F8225" s="890">
        <v>0.76109953703703703</v>
      </c>
    </row>
    <row r="8226" spans="1:6">
      <c r="A8226" s="888" t="s">
        <v>5829</v>
      </c>
      <c r="B8226" s="888" t="s">
        <v>5830</v>
      </c>
      <c r="C8226" s="888" t="s">
        <v>1724</v>
      </c>
    </row>
    <row r="8227" spans="1:6">
      <c r="A8227" s="888">
        <v>396</v>
      </c>
      <c r="B8227" s="888" t="s">
        <v>1216</v>
      </c>
      <c r="C8227" s="888" t="s">
        <v>1767</v>
      </c>
      <c r="D8227" s="889">
        <v>46042</v>
      </c>
      <c r="E8227" s="890">
        <v>0.36871527777777779</v>
      </c>
      <c r="F8227" s="890">
        <v>0.75700231481481484</v>
      </c>
    </row>
    <row r="8228" spans="1:6">
      <c r="A8228" s="888" t="s">
        <v>5831</v>
      </c>
      <c r="B8228" s="888" t="s">
        <v>5832</v>
      </c>
      <c r="C8228" s="888" t="s">
        <v>1484</v>
      </c>
    </row>
    <row r="8229" spans="1:6">
      <c r="A8229" s="888">
        <v>396</v>
      </c>
      <c r="B8229" s="888" t="s">
        <v>1216</v>
      </c>
      <c r="C8229" s="888" t="s">
        <v>1767</v>
      </c>
      <c r="D8229" s="889">
        <v>46043</v>
      </c>
      <c r="E8229" s="890">
        <v>0.36943287037037037</v>
      </c>
      <c r="F8229" s="890">
        <v>0.75807870370370367</v>
      </c>
    </row>
    <row r="8230" spans="1:6">
      <c r="A8230" s="888" t="s">
        <v>5833</v>
      </c>
      <c r="B8230" s="888" t="s">
        <v>5834</v>
      </c>
      <c r="C8230" s="888" t="s">
        <v>2232</v>
      </c>
    </row>
    <row r="8231" spans="1:6">
      <c r="A8231" s="888">
        <v>396</v>
      </c>
      <c r="B8231" s="888" t="s">
        <v>1216</v>
      </c>
      <c r="C8231" s="888" t="s">
        <v>1767</v>
      </c>
      <c r="D8231" s="889">
        <v>46044</v>
      </c>
      <c r="E8231" s="890">
        <v>0.3684722222222222</v>
      </c>
      <c r="F8231" s="890">
        <v>0.75914351851851847</v>
      </c>
    </row>
    <row r="8232" spans="1:6">
      <c r="A8232" s="888" t="s">
        <v>5835</v>
      </c>
      <c r="B8232" s="888" t="s">
        <v>5836</v>
      </c>
      <c r="C8232" s="888" t="s">
        <v>1437</v>
      </c>
    </row>
    <row r="8233" spans="1:6">
      <c r="A8233" s="888">
        <v>396</v>
      </c>
      <c r="B8233" s="888" t="s">
        <v>1216</v>
      </c>
      <c r="C8233" s="888" t="s">
        <v>1767</v>
      </c>
      <c r="D8233" s="889">
        <v>46045</v>
      </c>
      <c r="E8233" s="890">
        <v>0.37011574074074072</v>
      </c>
      <c r="F8233" s="890">
        <v>0.78184027777777776</v>
      </c>
    </row>
    <row r="8234" spans="1:6">
      <c r="A8234" s="888" t="s">
        <v>5837</v>
      </c>
      <c r="B8234" s="888" t="s">
        <v>5838</v>
      </c>
      <c r="C8234" s="888" t="s">
        <v>1369</v>
      </c>
    </row>
    <row r="8235" spans="1:6">
      <c r="A8235" s="888">
        <v>396</v>
      </c>
      <c r="B8235" s="888" t="s">
        <v>1216</v>
      </c>
      <c r="C8235" s="888" t="s">
        <v>1767</v>
      </c>
      <c r="D8235" s="889">
        <v>46046</v>
      </c>
      <c r="E8235" s="888" t="s">
        <v>310</v>
      </c>
      <c r="F8235" s="888" t="s">
        <v>310</v>
      </c>
    </row>
    <row r="8236" spans="1:6">
      <c r="A8236" s="888">
        <v>396</v>
      </c>
      <c r="B8236" s="888" t="s">
        <v>1216</v>
      </c>
      <c r="C8236" s="888" t="s">
        <v>1767</v>
      </c>
      <c r="D8236" s="889">
        <v>46047</v>
      </c>
      <c r="E8236" s="888" t="s">
        <v>310</v>
      </c>
      <c r="F8236" s="888" t="s">
        <v>310</v>
      </c>
    </row>
    <row r="8237" spans="1:6">
      <c r="A8237" s="888">
        <v>396</v>
      </c>
      <c r="B8237" s="888" t="s">
        <v>1216</v>
      </c>
      <c r="C8237" s="888" t="s">
        <v>1767</v>
      </c>
      <c r="D8237" s="889">
        <v>46048</v>
      </c>
      <c r="E8237" s="890">
        <v>0.37834490740740739</v>
      </c>
      <c r="F8237" s="890">
        <v>0.76028935185185187</v>
      </c>
    </row>
    <row r="8238" spans="1:6">
      <c r="A8238" s="888" t="s">
        <v>5839</v>
      </c>
      <c r="B8238" s="888" t="s">
        <v>5840</v>
      </c>
      <c r="C8238" s="888" t="s">
        <v>1580</v>
      </c>
    </row>
    <row r="8239" spans="1:6">
      <c r="A8239" s="888">
        <v>396</v>
      </c>
      <c r="B8239" s="888" t="s">
        <v>1216</v>
      </c>
      <c r="C8239" s="888" t="s">
        <v>1767</v>
      </c>
      <c r="D8239" s="889">
        <v>46049</v>
      </c>
      <c r="E8239" s="890">
        <v>0.36677083333333332</v>
      </c>
      <c r="F8239" s="890">
        <v>0.75996527777777778</v>
      </c>
    </row>
    <row r="8240" spans="1:6">
      <c r="A8240" s="888" t="s">
        <v>5841</v>
      </c>
      <c r="B8240" s="888" t="s">
        <v>5842</v>
      </c>
      <c r="C8240" s="888" t="s">
        <v>1776</v>
      </c>
    </row>
    <row r="8241" spans="1:6">
      <c r="A8241" s="888">
        <v>396</v>
      </c>
      <c r="B8241" s="888" t="s">
        <v>1216</v>
      </c>
      <c r="C8241" s="888" t="s">
        <v>1767</v>
      </c>
      <c r="D8241" s="889">
        <v>46050</v>
      </c>
      <c r="E8241" s="888" t="s">
        <v>310</v>
      </c>
      <c r="F8241" s="888" t="s">
        <v>310</v>
      </c>
    </row>
    <row r="8242" spans="1:6">
      <c r="A8242" s="888">
        <v>396</v>
      </c>
      <c r="B8242" s="888" t="s">
        <v>1216</v>
      </c>
      <c r="C8242" s="888" t="s">
        <v>1767</v>
      </c>
      <c r="D8242" s="889">
        <v>46051</v>
      </c>
      <c r="E8242" s="890">
        <v>0.3739351851851852</v>
      </c>
      <c r="F8242" s="890">
        <v>0.75815972222222228</v>
      </c>
    </row>
    <row r="8243" spans="1:6">
      <c r="A8243" s="888" t="s">
        <v>5843</v>
      </c>
      <c r="B8243" s="888" t="s">
        <v>5844</v>
      </c>
      <c r="C8243" s="888" t="s">
        <v>1742</v>
      </c>
    </row>
    <row r="8244" spans="1:6">
      <c r="A8244" s="888">
        <v>396</v>
      </c>
      <c r="B8244" s="888" t="s">
        <v>1216</v>
      </c>
      <c r="C8244" s="888" t="s">
        <v>1767</v>
      </c>
      <c r="D8244" s="889">
        <v>46052</v>
      </c>
      <c r="E8244" s="890">
        <v>0.37414351851851851</v>
      </c>
      <c r="F8244" s="890">
        <v>0.7865509259259259</v>
      </c>
    </row>
    <row r="8245" spans="1:6">
      <c r="A8245" s="888" t="s">
        <v>5845</v>
      </c>
      <c r="B8245" s="888" t="s">
        <v>5846</v>
      </c>
      <c r="C8245" s="888" t="s">
        <v>1816</v>
      </c>
    </row>
    <row r="8246" spans="1:6">
      <c r="A8246" s="888">
        <v>396</v>
      </c>
      <c r="B8246" s="888" t="s">
        <v>1216</v>
      </c>
      <c r="C8246" s="888" t="s">
        <v>1767</v>
      </c>
      <c r="D8246" s="889">
        <v>46053</v>
      </c>
      <c r="E8246" s="888" t="s">
        <v>310</v>
      </c>
      <c r="F8246" s="888" t="s">
        <v>310</v>
      </c>
    </row>
    <row r="8247" spans="1:6">
      <c r="A8247" s="888">
        <v>396</v>
      </c>
      <c r="B8247" s="888" t="s">
        <v>1216</v>
      </c>
      <c r="C8247" s="888" t="s">
        <v>1767</v>
      </c>
      <c r="D8247" s="889">
        <v>46054</v>
      </c>
      <c r="E8247" s="888" t="s">
        <v>310</v>
      </c>
      <c r="F8247" s="888" t="s">
        <v>310</v>
      </c>
    </row>
    <row r="8248" spans="1:6">
      <c r="A8248" s="888">
        <v>397</v>
      </c>
      <c r="B8248" s="888" t="s">
        <v>1217</v>
      </c>
      <c r="C8248" s="888" t="s">
        <v>2310</v>
      </c>
      <c r="D8248" s="889">
        <v>46023</v>
      </c>
      <c r="E8248" s="888" t="s">
        <v>310</v>
      </c>
      <c r="F8248" s="888" t="s">
        <v>310</v>
      </c>
    </row>
    <row r="8249" spans="1:6">
      <c r="A8249" s="888">
        <v>397</v>
      </c>
      <c r="B8249" s="888" t="s">
        <v>1217</v>
      </c>
      <c r="C8249" s="888" t="s">
        <v>2310</v>
      </c>
      <c r="D8249" s="889">
        <v>46024</v>
      </c>
      <c r="E8249" s="888" t="s">
        <v>310</v>
      </c>
      <c r="F8249" s="888" t="s">
        <v>310</v>
      </c>
    </row>
    <row r="8250" spans="1:6">
      <c r="A8250" s="888">
        <v>397</v>
      </c>
      <c r="B8250" s="888" t="s">
        <v>1217</v>
      </c>
      <c r="C8250" s="888" t="s">
        <v>2310</v>
      </c>
      <c r="D8250" s="889">
        <v>46025</v>
      </c>
      <c r="E8250" s="888" t="s">
        <v>310</v>
      </c>
      <c r="F8250" s="888" t="s">
        <v>310</v>
      </c>
    </row>
    <row r="8251" spans="1:6">
      <c r="A8251" s="888">
        <v>397</v>
      </c>
      <c r="B8251" s="888" t="s">
        <v>1217</v>
      </c>
      <c r="C8251" s="888" t="s">
        <v>2310</v>
      </c>
      <c r="D8251" s="889">
        <v>46026</v>
      </c>
      <c r="E8251" s="888" t="s">
        <v>310</v>
      </c>
      <c r="F8251" s="888" t="s">
        <v>310</v>
      </c>
    </row>
    <row r="8252" spans="1:6">
      <c r="A8252" s="888">
        <v>397</v>
      </c>
      <c r="B8252" s="888" t="s">
        <v>1217</v>
      </c>
      <c r="C8252" s="888" t="s">
        <v>2310</v>
      </c>
      <c r="D8252" s="889">
        <v>46027</v>
      </c>
      <c r="E8252" s="890">
        <v>0.5009837962962963</v>
      </c>
      <c r="F8252" s="890">
        <v>0.58456018518518515</v>
      </c>
    </row>
    <row r="8253" spans="1:6">
      <c r="A8253" s="888" t="s">
        <v>5847</v>
      </c>
      <c r="B8253" s="888" t="s">
        <v>5848</v>
      </c>
      <c r="C8253" s="888" t="s">
        <v>5849</v>
      </c>
    </row>
    <row r="8254" spans="1:6">
      <c r="A8254" s="888">
        <v>397</v>
      </c>
      <c r="B8254" s="888" t="s">
        <v>1217</v>
      </c>
      <c r="C8254" s="888" t="s">
        <v>2310</v>
      </c>
      <c r="D8254" s="889">
        <v>46028</v>
      </c>
      <c r="E8254" s="890">
        <v>0.63913194444444443</v>
      </c>
      <c r="F8254" s="890">
        <v>0.63915509259259262</v>
      </c>
    </row>
    <row r="8255" spans="1:6">
      <c r="A8255" s="888" t="s">
        <v>5850</v>
      </c>
      <c r="B8255" s="888" t="s">
        <v>5851</v>
      </c>
      <c r="C8255" s="888" t="s">
        <v>1259</v>
      </c>
    </row>
    <row r="8256" spans="1:6">
      <c r="A8256" s="888">
        <v>397</v>
      </c>
      <c r="B8256" s="888" t="s">
        <v>1217</v>
      </c>
      <c r="C8256" s="888" t="s">
        <v>2310</v>
      </c>
      <c r="D8256" s="889">
        <v>46029</v>
      </c>
      <c r="E8256" s="890">
        <v>0.53387731481481482</v>
      </c>
      <c r="F8256" s="890">
        <v>0.81478009259259254</v>
      </c>
    </row>
    <row r="8257" spans="1:6">
      <c r="A8257" s="888" t="s">
        <v>5852</v>
      </c>
      <c r="B8257" s="888" t="s">
        <v>5853</v>
      </c>
      <c r="C8257" s="888" t="s">
        <v>4177</v>
      </c>
    </row>
    <row r="8258" spans="1:6">
      <c r="A8258" s="888">
        <v>397</v>
      </c>
      <c r="B8258" s="888" t="s">
        <v>1217</v>
      </c>
      <c r="C8258" s="888" t="s">
        <v>2310</v>
      </c>
      <c r="D8258" s="889">
        <v>46030</v>
      </c>
      <c r="E8258" s="890">
        <v>0.45018518518518519</v>
      </c>
      <c r="F8258" s="890">
        <v>0.50399305555555551</v>
      </c>
    </row>
    <row r="8259" spans="1:6">
      <c r="A8259" s="888" t="s">
        <v>5854</v>
      </c>
      <c r="B8259" s="888" t="s">
        <v>5855</v>
      </c>
      <c r="C8259" s="888" t="s">
        <v>5856</v>
      </c>
    </row>
    <row r="8260" spans="1:6">
      <c r="A8260" s="888">
        <v>397</v>
      </c>
      <c r="B8260" s="888" t="s">
        <v>1217</v>
      </c>
      <c r="C8260" s="888" t="s">
        <v>2310</v>
      </c>
      <c r="D8260" s="889">
        <v>46031</v>
      </c>
      <c r="E8260" s="890">
        <v>0.76355324074074071</v>
      </c>
      <c r="F8260" s="890">
        <v>0.76450231481481479</v>
      </c>
    </row>
    <row r="8261" spans="1:6">
      <c r="A8261" s="888" t="s">
        <v>5857</v>
      </c>
      <c r="B8261" s="888" t="s">
        <v>5858</v>
      </c>
      <c r="C8261" s="888" t="s">
        <v>1570</v>
      </c>
    </row>
    <row r="8262" spans="1:6">
      <c r="A8262" s="888">
        <v>397</v>
      </c>
      <c r="B8262" s="888" t="s">
        <v>1217</v>
      </c>
      <c r="C8262" s="888" t="s">
        <v>2310</v>
      </c>
      <c r="D8262" s="889">
        <v>46032</v>
      </c>
      <c r="E8262" s="890">
        <v>0.50348379629629625</v>
      </c>
      <c r="F8262" s="890">
        <v>0.63515046296296296</v>
      </c>
    </row>
    <row r="8263" spans="1:6">
      <c r="A8263" s="888" t="s">
        <v>5859</v>
      </c>
      <c r="B8263" s="888" t="s">
        <v>5860</v>
      </c>
      <c r="C8263" s="888" t="s">
        <v>5861</v>
      </c>
    </row>
    <row r="8264" spans="1:6">
      <c r="A8264" s="888">
        <v>397</v>
      </c>
      <c r="B8264" s="888" t="s">
        <v>1217</v>
      </c>
      <c r="C8264" s="888" t="s">
        <v>2310</v>
      </c>
      <c r="D8264" s="889">
        <v>46033</v>
      </c>
      <c r="E8264" s="888" t="s">
        <v>310</v>
      </c>
      <c r="F8264" s="888" t="s">
        <v>310</v>
      </c>
    </row>
    <row r="8265" spans="1:6">
      <c r="A8265" s="888">
        <v>397</v>
      </c>
      <c r="B8265" s="888" t="s">
        <v>1217</v>
      </c>
      <c r="C8265" s="888" t="s">
        <v>2310</v>
      </c>
      <c r="D8265" s="889">
        <v>46034</v>
      </c>
      <c r="E8265" s="890">
        <v>0.52129629629629626</v>
      </c>
      <c r="F8265" s="890">
        <v>0.6852314814814815</v>
      </c>
    </row>
    <row r="8266" spans="1:6">
      <c r="A8266" s="888" t="s">
        <v>5862</v>
      </c>
      <c r="B8266" s="888" t="s">
        <v>5863</v>
      </c>
      <c r="C8266" s="888" t="s">
        <v>2293</v>
      </c>
    </row>
    <row r="8267" spans="1:6">
      <c r="A8267" s="888">
        <v>397</v>
      </c>
      <c r="B8267" s="888" t="s">
        <v>1217</v>
      </c>
      <c r="C8267" s="888" t="s">
        <v>2310</v>
      </c>
      <c r="D8267" s="889">
        <v>46035</v>
      </c>
      <c r="E8267" s="888" t="s">
        <v>310</v>
      </c>
      <c r="F8267" s="888" t="s">
        <v>310</v>
      </c>
    </row>
    <row r="8268" spans="1:6">
      <c r="A8268" s="888">
        <v>397</v>
      </c>
      <c r="B8268" s="888" t="s">
        <v>1217</v>
      </c>
      <c r="C8268" s="888" t="s">
        <v>2310</v>
      </c>
      <c r="D8268" s="889">
        <v>46036</v>
      </c>
      <c r="E8268" s="888" t="s">
        <v>310</v>
      </c>
      <c r="F8268" s="888" t="s">
        <v>310</v>
      </c>
    </row>
    <row r="8269" spans="1:6">
      <c r="A8269" s="888">
        <v>397</v>
      </c>
      <c r="B8269" s="888" t="s">
        <v>1217</v>
      </c>
      <c r="C8269" s="888" t="s">
        <v>2310</v>
      </c>
      <c r="D8269" s="889">
        <v>46037</v>
      </c>
      <c r="E8269" s="890">
        <v>0.29304398148148147</v>
      </c>
      <c r="F8269" s="890">
        <v>0.59042824074074074</v>
      </c>
    </row>
    <row r="8270" spans="1:6">
      <c r="A8270" s="888" t="s">
        <v>5864</v>
      </c>
      <c r="B8270" s="888" t="s">
        <v>5865</v>
      </c>
      <c r="C8270" s="888" t="s">
        <v>5866</v>
      </c>
    </row>
    <row r="8271" spans="1:6">
      <c r="A8271" s="888">
        <v>397</v>
      </c>
      <c r="B8271" s="888" t="s">
        <v>1217</v>
      </c>
      <c r="C8271" s="888" t="s">
        <v>2310</v>
      </c>
      <c r="D8271" s="889">
        <v>46038</v>
      </c>
      <c r="E8271" s="888" t="s">
        <v>310</v>
      </c>
      <c r="F8271" s="888" t="s">
        <v>310</v>
      </c>
    </row>
    <row r="8272" spans="1:6">
      <c r="A8272" s="888">
        <v>397</v>
      </c>
      <c r="B8272" s="888" t="s">
        <v>1217</v>
      </c>
      <c r="C8272" s="888" t="s">
        <v>2310</v>
      </c>
      <c r="D8272" s="889">
        <v>46039</v>
      </c>
      <c r="E8272" s="888" t="s">
        <v>310</v>
      </c>
      <c r="F8272" s="888" t="s">
        <v>310</v>
      </c>
    </row>
    <row r="8273" spans="1:6">
      <c r="A8273" s="888">
        <v>397</v>
      </c>
      <c r="B8273" s="888" t="s">
        <v>1217</v>
      </c>
      <c r="C8273" s="888" t="s">
        <v>2310</v>
      </c>
      <c r="D8273" s="889">
        <v>46040</v>
      </c>
      <c r="E8273" s="888" t="s">
        <v>310</v>
      </c>
      <c r="F8273" s="888" t="s">
        <v>310</v>
      </c>
    </row>
    <row r="8274" spans="1:6">
      <c r="A8274" s="888">
        <v>397</v>
      </c>
      <c r="B8274" s="888" t="s">
        <v>1217</v>
      </c>
      <c r="C8274" s="888" t="s">
        <v>2310</v>
      </c>
      <c r="D8274" s="889">
        <v>46041</v>
      </c>
      <c r="E8274" s="888" t="s">
        <v>310</v>
      </c>
      <c r="F8274" s="888" t="s">
        <v>310</v>
      </c>
    </row>
    <row r="8275" spans="1:6">
      <c r="A8275" s="888">
        <v>397</v>
      </c>
      <c r="B8275" s="888" t="s">
        <v>1217</v>
      </c>
      <c r="C8275" s="888" t="s">
        <v>2310</v>
      </c>
      <c r="D8275" s="889">
        <v>46042</v>
      </c>
      <c r="E8275" s="888" t="s">
        <v>310</v>
      </c>
      <c r="F8275" s="888" t="s">
        <v>310</v>
      </c>
    </row>
    <row r="8276" spans="1:6">
      <c r="A8276" s="888">
        <v>397</v>
      </c>
      <c r="B8276" s="888" t="s">
        <v>1217</v>
      </c>
      <c r="C8276" s="888" t="s">
        <v>2310</v>
      </c>
      <c r="D8276" s="889">
        <v>46043</v>
      </c>
      <c r="E8276" s="888" t="s">
        <v>310</v>
      </c>
      <c r="F8276" s="888" t="s">
        <v>310</v>
      </c>
    </row>
    <row r="8277" spans="1:6">
      <c r="A8277" s="888">
        <v>397</v>
      </c>
      <c r="B8277" s="888" t="s">
        <v>1217</v>
      </c>
      <c r="C8277" s="888" t="s">
        <v>2310</v>
      </c>
      <c r="D8277" s="889">
        <v>46044</v>
      </c>
      <c r="E8277" s="890">
        <v>0.81879629629629624</v>
      </c>
      <c r="F8277" s="888" t="s">
        <v>310</v>
      </c>
    </row>
    <row r="8278" spans="1:6">
      <c r="A8278" s="888" t="s">
        <v>5867</v>
      </c>
      <c r="B8278" s="888" t="s">
        <v>1258</v>
      </c>
      <c r="C8278" s="888" t="s">
        <v>1259</v>
      </c>
    </row>
    <row r="8279" spans="1:6">
      <c r="A8279" s="888">
        <v>397</v>
      </c>
      <c r="B8279" s="888" t="s">
        <v>1217</v>
      </c>
      <c r="C8279" s="888" t="s">
        <v>2310</v>
      </c>
      <c r="D8279" s="889">
        <v>46045</v>
      </c>
      <c r="E8279" s="888" t="s">
        <v>310</v>
      </c>
      <c r="F8279" s="888" t="s">
        <v>310</v>
      </c>
    </row>
    <row r="8280" spans="1:6">
      <c r="A8280" s="888">
        <v>397</v>
      </c>
      <c r="B8280" s="888" t="s">
        <v>1217</v>
      </c>
      <c r="C8280" s="888" t="s">
        <v>2310</v>
      </c>
      <c r="D8280" s="889">
        <v>46046</v>
      </c>
      <c r="E8280" s="890">
        <v>0.85846064814814815</v>
      </c>
      <c r="F8280" s="890">
        <v>0.85920138888888886</v>
      </c>
    </row>
    <row r="8281" spans="1:6">
      <c r="A8281" s="888" t="s">
        <v>5868</v>
      </c>
      <c r="B8281" s="888" t="s">
        <v>5869</v>
      </c>
      <c r="C8281" s="888" t="s">
        <v>1570</v>
      </c>
    </row>
    <row r="8282" spans="1:6">
      <c r="A8282" s="888">
        <v>397</v>
      </c>
      <c r="B8282" s="888" t="s">
        <v>1217</v>
      </c>
      <c r="C8282" s="888" t="s">
        <v>2310</v>
      </c>
      <c r="D8282" s="889">
        <v>46047</v>
      </c>
      <c r="E8282" s="888" t="s">
        <v>310</v>
      </c>
      <c r="F8282" s="888" t="s">
        <v>310</v>
      </c>
    </row>
    <row r="8283" spans="1:6">
      <c r="A8283" s="888">
        <v>397</v>
      </c>
      <c r="B8283" s="888" t="s">
        <v>1217</v>
      </c>
      <c r="C8283" s="888" t="s">
        <v>2310</v>
      </c>
      <c r="D8283" s="889">
        <v>46048</v>
      </c>
      <c r="E8283" s="890">
        <v>0.7739583333333333</v>
      </c>
      <c r="F8283" s="888" t="s">
        <v>310</v>
      </c>
    </row>
    <row r="8284" spans="1:6">
      <c r="A8284" s="888" t="s">
        <v>5870</v>
      </c>
      <c r="B8284" s="888" t="s">
        <v>1258</v>
      </c>
      <c r="C8284" s="888" t="s">
        <v>1259</v>
      </c>
    </row>
    <row r="8285" spans="1:6">
      <c r="A8285" s="888">
        <v>397</v>
      </c>
      <c r="B8285" s="888" t="s">
        <v>1217</v>
      </c>
      <c r="C8285" s="888" t="s">
        <v>2310</v>
      </c>
      <c r="D8285" s="889">
        <v>46049</v>
      </c>
      <c r="E8285" s="888" t="s">
        <v>310</v>
      </c>
      <c r="F8285" s="888" t="s">
        <v>310</v>
      </c>
    </row>
    <row r="8286" spans="1:6">
      <c r="A8286" s="888">
        <v>397</v>
      </c>
      <c r="B8286" s="888" t="s">
        <v>1217</v>
      </c>
      <c r="C8286" s="888" t="s">
        <v>2310</v>
      </c>
      <c r="D8286" s="889">
        <v>46050</v>
      </c>
      <c r="E8286" s="888" t="s">
        <v>310</v>
      </c>
      <c r="F8286" s="888" t="s">
        <v>310</v>
      </c>
    </row>
    <row r="8287" spans="1:6">
      <c r="A8287" s="888">
        <v>397</v>
      </c>
      <c r="B8287" s="888" t="s">
        <v>1217</v>
      </c>
      <c r="C8287" s="888" t="s">
        <v>2310</v>
      </c>
      <c r="D8287" s="889">
        <v>46051</v>
      </c>
      <c r="E8287" s="890">
        <v>0.50521990740740741</v>
      </c>
      <c r="F8287" s="890">
        <v>0.57725694444444442</v>
      </c>
    </row>
    <row r="8288" spans="1:6">
      <c r="A8288" s="888" t="s">
        <v>5871</v>
      </c>
      <c r="B8288" s="888" t="s">
        <v>5872</v>
      </c>
      <c r="C8288" s="888" t="s">
        <v>4099</v>
      </c>
    </row>
    <row r="8289" spans="1:6">
      <c r="A8289" s="888">
        <v>397</v>
      </c>
      <c r="B8289" s="888" t="s">
        <v>1217</v>
      </c>
      <c r="C8289" s="888" t="s">
        <v>2310</v>
      </c>
      <c r="D8289" s="889">
        <v>46052</v>
      </c>
      <c r="E8289" s="890">
        <v>0.51222222222222225</v>
      </c>
      <c r="F8289" s="890">
        <v>0.69803240740740746</v>
      </c>
    </row>
    <row r="8290" spans="1:6">
      <c r="A8290" s="888" t="s">
        <v>5873</v>
      </c>
      <c r="B8290" s="888" t="s">
        <v>5874</v>
      </c>
      <c r="C8290" s="888" t="s">
        <v>5875</v>
      </c>
    </row>
    <row r="8291" spans="1:6">
      <c r="A8291" s="888">
        <v>397</v>
      </c>
      <c r="B8291" s="888" t="s">
        <v>1217</v>
      </c>
      <c r="C8291" s="888" t="s">
        <v>2310</v>
      </c>
      <c r="D8291" s="889">
        <v>46053</v>
      </c>
      <c r="E8291" s="888" t="s">
        <v>310</v>
      </c>
      <c r="F8291" s="888" t="s">
        <v>310</v>
      </c>
    </row>
    <row r="8292" spans="1:6">
      <c r="A8292" s="888">
        <v>397</v>
      </c>
      <c r="B8292" s="888" t="s">
        <v>1217</v>
      </c>
      <c r="C8292" s="888" t="s">
        <v>2310</v>
      </c>
      <c r="D8292" s="889">
        <v>46054</v>
      </c>
      <c r="E8292" s="888" t="s">
        <v>310</v>
      </c>
      <c r="F8292" s="888" t="s">
        <v>310</v>
      </c>
    </row>
    <row r="8293" spans="1:6">
      <c r="A8293" s="888">
        <v>4</v>
      </c>
      <c r="B8293" s="888" t="s">
        <v>5876</v>
      </c>
      <c r="C8293" s="888" t="s">
        <v>2310</v>
      </c>
      <c r="D8293" s="889">
        <v>46023</v>
      </c>
      <c r="E8293" s="888" t="s">
        <v>310</v>
      </c>
      <c r="F8293" s="888" t="s">
        <v>310</v>
      </c>
    </row>
    <row r="8294" spans="1:6">
      <c r="A8294" s="888">
        <v>4</v>
      </c>
      <c r="B8294" s="888" t="s">
        <v>5876</v>
      </c>
      <c r="C8294" s="888" t="s">
        <v>2310</v>
      </c>
      <c r="D8294" s="889">
        <v>46024</v>
      </c>
      <c r="E8294" s="888" t="s">
        <v>310</v>
      </c>
      <c r="F8294" s="888" t="s">
        <v>310</v>
      </c>
    </row>
    <row r="8295" spans="1:6">
      <c r="A8295" s="888">
        <v>4</v>
      </c>
      <c r="B8295" s="888" t="s">
        <v>5876</v>
      </c>
      <c r="C8295" s="888" t="s">
        <v>2310</v>
      </c>
      <c r="D8295" s="889">
        <v>46025</v>
      </c>
      <c r="E8295" s="888" t="s">
        <v>310</v>
      </c>
      <c r="F8295" s="888" t="s">
        <v>310</v>
      </c>
    </row>
    <row r="8296" spans="1:6">
      <c r="A8296" s="888">
        <v>4</v>
      </c>
      <c r="B8296" s="888" t="s">
        <v>5876</v>
      </c>
      <c r="C8296" s="888" t="s">
        <v>2310</v>
      </c>
      <c r="D8296" s="889">
        <v>46026</v>
      </c>
      <c r="E8296" s="888" t="s">
        <v>310</v>
      </c>
      <c r="F8296" s="888" t="s">
        <v>310</v>
      </c>
    </row>
    <row r="8297" spans="1:6">
      <c r="A8297" s="888">
        <v>4</v>
      </c>
      <c r="B8297" s="888" t="s">
        <v>5876</v>
      </c>
      <c r="C8297" s="888" t="s">
        <v>2310</v>
      </c>
      <c r="D8297" s="889">
        <v>46027</v>
      </c>
      <c r="E8297" s="888" t="s">
        <v>310</v>
      </c>
      <c r="F8297" s="888" t="s">
        <v>310</v>
      </c>
    </row>
    <row r="8298" spans="1:6">
      <c r="A8298" s="888">
        <v>4</v>
      </c>
      <c r="B8298" s="888" t="s">
        <v>5876</v>
      </c>
      <c r="C8298" s="888" t="s">
        <v>2310</v>
      </c>
      <c r="D8298" s="889">
        <v>46028</v>
      </c>
      <c r="E8298" s="888" t="s">
        <v>310</v>
      </c>
      <c r="F8298" s="888" t="s">
        <v>310</v>
      </c>
    </row>
    <row r="8299" spans="1:6">
      <c r="A8299" s="888">
        <v>4</v>
      </c>
      <c r="B8299" s="888" t="s">
        <v>5876</v>
      </c>
      <c r="C8299" s="888" t="s">
        <v>2310</v>
      </c>
      <c r="D8299" s="889">
        <v>46029</v>
      </c>
      <c r="E8299" s="888" t="s">
        <v>310</v>
      </c>
      <c r="F8299" s="888" t="s">
        <v>310</v>
      </c>
    </row>
    <row r="8300" spans="1:6">
      <c r="A8300" s="888">
        <v>4</v>
      </c>
      <c r="B8300" s="888" t="s">
        <v>5876</v>
      </c>
      <c r="C8300" s="888" t="s">
        <v>2310</v>
      </c>
      <c r="D8300" s="889">
        <v>46030</v>
      </c>
      <c r="E8300" s="888" t="s">
        <v>310</v>
      </c>
      <c r="F8300" s="888" t="s">
        <v>310</v>
      </c>
    </row>
    <row r="8301" spans="1:6">
      <c r="A8301" s="888">
        <v>4</v>
      </c>
      <c r="B8301" s="888" t="s">
        <v>5876</v>
      </c>
      <c r="C8301" s="888" t="s">
        <v>2310</v>
      </c>
      <c r="D8301" s="889">
        <v>46031</v>
      </c>
      <c r="E8301" s="888" t="s">
        <v>310</v>
      </c>
      <c r="F8301" s="888" t="s">
        <v>310</v>
      </c>
    </row>
    <row r="8302" spans="1:6">
      <c r="A8302" s="888">
        <v>4</v>
      </c>
      <c r="B8302" s="888" t="s">
        <v>5876</v>
      </c>
      <c r="C8302" s="888" t="s">
        <v>2310</v>
      </c>
      <c r="D8302" s="889">
        <v>46032</v>
      </c>
      <c r="E8302" s="888" t="s">
        <v>310</v>
      </c>
      <c r="F8302" s="888" t="s">
        <v>310</v>
      </c>
    </row>
    <row r="8303" spans="1:6">
      <c r="A8303" s="888">
        <v>4</v>
      </c>
      <c r="B8303" s="888" t="s">
        <v>5876</v>
      </c>
      <c r="C8303" s="888" t="s">
        <v>2310</v>
      </c>
      <c r="D8303" s="889">
        <v>46033</v>
      </c>
      <c r="E8303" s="888" t="s">
        <v>310</v>
      </c>
      <c r="F8303" s="888" t="s">
        <v>310</v>
      </c>
    </row>
    <row r="8304" spans="1:6">
      <c r="A8304" s="888">
        <v>4</v>
      </c>
      <c r="B8304" s="888" t="s">
        <v>5876</v>
      </c>
      <c r="C8304" s="888" t="s">
        <v>2310</v>
      </c>
      <c r="D8304" s="889">
        <v>46034</v>
      </c>
      <c r="E8304" s="888" t="s">
        <v>310</v>
      </c>
      <c r="F8304" s="888" t="s">
        <v>310</v>
      </c>
    </row>
    <row r="8305" spans="1:6">
      <c r="A8305" s="888">
        <v>4</v>
      </c>
      <c r="B8305" s="888" t="s">
        <v>5876</v>
      </c>
      <c r="C8305" s="888" t="s">
        <v>2310</v>
      </c>
      <c r="D8305" s="889">
        <v>46035</v>
      </c>
      <c r="E8305" s="888" t="s">
        <v>310</v>
      </c>
      <c r="F8305" s="888" t="s">
        <v>310</v>
      </c>
    </row>
    <row r="8306" spans="1:6">
      <c r="A8306" s="888">
        <v>4</v>
      </c>
      <c r="B8306" s="888" t="s">
        <v>5876</v>
      </c>
      <c r="C8306" s="888" t="s">
        <v>2310</v>
      </c>
      <c r="D8306" s="889">
        <v>46036</v>
      </c>
      <c r="E8306" s="888" t="s">
        <v>310</v>
      </c>
      <c r="F8306" s="888" t="s">
        <v>310</v>
      </c>
    </row>
    <row r="8307" spans="1:6">
      <c r="A8307" s="888">
        <v>4</v>
      </c>
      <c r="B8307" s="888" t="s">
        <v>5876</v>
      </c>
      <c r="C8307" s="888" t="s">
        <v>2310</v>
      </c>
      <c r="D8307" s="889">
        <v>46037</v>
      </c>
      <c r="E8307" s="888" t="s">
        <v>310</v>
      </c>
      <c r="F8307" s="888" t="s">
        <v>310</v>
      </c>
    </row>
    <row r="8308" spans="1:6">
      <c r="A8308" s="888">
        <v>4</v>
      </c>
      <c r="B8308" s="888" t="s">
        <v>5876</v>
      </c>
      <c r="C8308" s="888" t="s">
        <v>2310</v>
      </c>
      <c r="D8308" s="889">
        <v>46038</v>
      </c>
      <c r="E8308" s="888" t="s">
        <v>310</v>
      </c>
      <c r="F8308" s="888" t="s">
        <v>310</v>
      </c>
    </row>
    <row r="8309" spans="1:6">
      <c r="A8309" s="888">
        <v>4</v>
      </c>
      <c r="B8309" s="888" t="s">
        <v>5876</v>
      </c>
      <c r="C8309" s="888" t="s">
        <v>2310</v>
      </c>
      <c r="D8309" s="889">
        <v>46039</v>
      </c>
      <c r="E8309" s="888" t="s">
        <v>310</v>
      </c>
      <c r="F8309" s="888" t="s">
        <v>310</v>
      </c>
    </row>
    <row r="8310" spans="1:6">
      <c r="A8310" s="888">
        <v>4</v>
      </c>
      <c r="B8310" s="888" t="s">
        <v>5876</v>
      </c>
      <c r="C8310" s="888" t="s">
        <v>2310</v>
      </c>
      <c r="D8310" s="889">
        <v>46040</v>
      </c>
      <c r="E8310" s="888" t="s">
        <v>310</v>
      </c>
      <c r="F8310" s="888" t="s">
        <v>310</v>
      </c>
    </row>
    <row r="8311" spans="1:6">
      <c r="A8311" s="888">
        <v>4</v>
      </c>
      <c r="B8311" s="888" t="s">
        <v>5876</v>
      </c>
      <c r="C8311" s="888" t="s">
        <v>2310</v>
      </c>
      <c r="D8311" s="889">
        <v>46041</v>
      </c>
      <c r="E8311" s="888" t="s">
        <v>310</v>
      </c>
      <c r="F8311" s="888" t="s">
        <v>310</v>
      </c>
    </row>
    <row r="8312" spans="1:6">
      <c r="A8312" s="888">
        <v>4</v>
      </c>
      <c r="B8312" s="888" t="s">
        <v>5876</v>
      </c>
      <c r="C8312" s="888" t="s">
        <v>2310</v>
      </c>
      <c r="D8312" s="889">
        <v>46042</v>
      </c>
      <c r="E8312" s="888" t="s">
        <v>310</v>
      </c>
      <c r="F8312" s="888" t="s">
        <v>310</v>
      </c>
    </row>
    <row r="8313" spans="1:6">
      <c r="A8313" s="888">
        <v>4</v>
      </c>
      <c r="B8313" s="888" t="s">
        <v>5876</v>
      </c>
      <c r="C8313" s="888" t="s">
        <v>2310</v>
      </c>
      <c r="D8313" s="889">
        <v>46043</v>
      </c>
      <c r="E8313" s="888" t="s">
        <v>310</v>
      </c>
      <c r="F8313" s="888" t="s">
        <v>310</v>
      </c>
    </row>
    <row r="8314" spans="1:6">
      <c r="A8314" s="888">
        <v>4</v>
      </c>
      <c r="B8314" s="888" t="s">
        <v>5876</v>
      </c>
      <c r="C8314" s="888" t="s">
        <v>2310</v>
      </c>
      <c r="D8314" s="889">
        <v>46044</v>
      </c>
      <c r="E8314" s="888" t="s">
        <v>310</v>
      </c>
      <c r="F8314" s="888" t="s">
        <v>310</v>
      </c>
    </row>
    <row r="8315" spans="1:6">
      <c r="A8315" s="888">
        <v>4</v>
      </c>
      <c r="B8315" s="888" t="s">
        <v>5876</v>
      </c>
      <c r="C8315" s="888" t="s">
        <v>2310</v>
      </c>
      <c r="D8315" s="889">
        <v>46045</v>
      </c>
      <c r="E8315" s="888" t="s">
        <v>310</v>
      </c>
      <c r="F8315" s="888" t="s">
        <v>310</v>
      </c>
    </row>
    <row r="8316" spans="1:6">
      <c r="A8316" s="888">
        <v>4</v>
      </c>
      <c r="B8316" s="888" t="s">
        <v>5876</v>
      </c>
      <c r="C8316" s="888" t="s">
        <v>2310</v>
      </c>
      <c r="D8316" s="889">
        <v>46046</v>
      </c>
      <c r="E8316" s="888" t="s">
        <v>310</v>
      </c>
      <c r="F8316" s="888" t="s">
        <v>310</v>
      </c>
    </row>
    <row r="8317" spans="1:6">
      <c r="A8317" s="888">
        <v>4</v>
      </c>
      <c r="B8317" s="888" t="s">
        <v>5876</v>
      </c>
      <c r="C8317" s="888" t="s">
        <v>2310</v>
      </c>
      <c r="D8317" s="889">
        <v>46047</v>
      </c>
      <c r="E8317" s="888" t="s">
        <v>310</v>
      </c>
      <c r="F8317" s="888" t="s">
        <v>310</v>
      </c>
    </row>
    <row r="8318" spans="1:6">
      <c r="A8318" s="888">
        <v>4</v>
      </c>
      <c r="B8318" s="888" t="s">
        <v>5876</v>
      </c>
      <c r="C8318" s="888" t="s">
        <v>2310</v>
      </c>
      <c r="D8318" s="889">
        <v>46048</v>
      </c>
      <c r="E8318" s="888" t="s">
        <v>310</v>
      </c>
      <c r="F8318" s="888" t="s">
        <v>310</v>
      </c>
    </row>
    <row r="8319" spans="1:6">
      <c r="A8319" s="888">
        <v>4</v>
      </c>
      <c r="B8319" s="888" t="s">
        <v>5876</v>
      </c>
      <c r="C8319" s="888" t="s">
        <v>2310</v>
      </c>
      <c r="D8319" s="889">
        <v>46049</v>
      </c>
      <c r="E8319" s="888" t="s">
        <v>310</v>
      </c>
      <c r="F8319" s="888" t="s">
        <v>310</v>
      </c>
    </row>
    <row r="8320" spans="1:6">
      <c r="A8320" s="888">
        <v>4</v>
      </c>
      <c r="B8320" s="888" t="s">
        <v>5876</v>
      </c>
      <c r="C8320" s="888" t="s">
        <v>2310</v>
      </c>
      <c r="D8320" s="889">
        <v>46050</v>
      </c>
      <c r="E8320" s="888" t="s">
        <v>310</v>
      </c>
      <c r="F8320" s="888" t="s">
        <v>310</v>
      </c>
    </row>
    <row r="8321" spans="1:6">
      <c r="A8321" s="888">
        <v>4</v>
      </c>
      <c r="B8321" s="888" t="s">
        <v>5876</v>
      </c>
      <c r="C8321" s="888" t="s">
        <v>2310</v>
      </c>
      <c r="D8321" s="889">
        <v>46051</v>
      </c>
      <c r="E8321" s="888" t="s">
        <v>310</v>
      </c>
      <c r="F8321" s="888" t="s">
        <v>310</v>
      </c>
    </row>
    <row r="8322" spans="1:6">
      <c r="A8322" s="888">
        <v>4</v>
      </c>
      <c r="B8322" s="888" t="s">
        <v>5876</v>
      </c>
      <c r="C8322" s="888" t="s">
        <v>2310</v>
      </c>
      <c r="D8322" s="889">
        <v>46052</v>
      </c>
      <c r="E8322" s="888" t="s">
        <v>310</v>
      </c>
      <c r="F8322" s="888" t="s">
        <v>310</v>
      </c>
    </row>
    <row r="8323" spans="1:6">
      <c r="A8323" s="888">
        <v>4</v>
      </c>
      <c r="B8323" s="888" t="s">
        <v>5876</v>
      </c>
      <c r="C8323" s="888" t="s">
        <v>2310</v>
      </c>
      <c r="D8323" s="889">
        <v>46053</v>
      </c>
      <c r="E8323" s="888" t="s">
        <v>310</v>
      </c>
      <c r="F8323" s="888" t="s">
        <v>310</v>
      </c>
    </row>
    <row r="8324" spans="1:6">
      <c r="A8324" s="888">
        <v>4</v>
      </c>
      <c r="B8324" s="888" t="s">
        <v>5876</v>
      </c>
      <c r="C8324" s="888" t="s">
        <v>2310</v>
      </c>
      <c r="D8324" s="889">
        <v>46054</v>
      </c>
      <c r="E8324" s="888" t="s">
        <v>310</v>
      </c>
      <c r="F8324" s="888" t="s">
        <v>310</v>
      </c>
    </row>
    <row r="8325" spans="1:6">
      <c r="A8325" s="888">
        <v>5</v>
      </c>
      <c r="B8325" s="888" t="s">
        <v>1109</v>
      </c>
      <c r="C8325" s="888" t="s">
        <v>1387</v>
      </c>
      <c r="D8325" s="889">
        <v>46023</v>
      </c>
      <c r="E8325" s="888" t="s">
        <v>310</v>
      </c>
      <c r="F8325" s="888" t="s">
        <v>310</v>
      </c>
    </row>
    <row r="8326" spans="1:6">
      <c r="A8326" s="888">
        <v>5</v>
      </c>
      <c r="B8326" s="888" t="s">
        <v>1109</v>
      </c>
      <c r="C8326" s="888" t="s">
        <v>1387</v>
      </c>
      <c r="D8326" s="889">
        <v>46024</v>
      </c>
      <c r="E8326" s="888" t="s">
        <v>310</v>
      </c>
      <c r="F8326" s="888" t="s">
        <v>310</v>
      </c>
    </row>
    <row r="8327" spans="1:6">
      <c r="A8327" s="888">
        <v>5</v>
      </c>
      <c r="B8327" s="888" t="s">
        <v>1109</v>
      </c>
      <c r="C8327" s="888" t="s">
        <v>1387</v>
      </c>
      <c r="D8327" s="889">
        <v>46025</v>
      </c>
      <c r="E8327" s="888" t="s">
        <v>310</v>
      </c>
      <c r="F8327" s="888" t="s">
        <v>310</v>
      </c>
    </row>
    <row r="8328" spans="1:6">
      <c r="A8328" s="888">
        <v>5</v>
      </c>
      <c r="B8328" s="888" t="s">
        <v>1109</v>
      </c>
      <c r="C8328" s="888" t="s">
        <v>1387</v>
      </c>
      <c r="D8328" s="889">
        <v>46026</v>
      </c>
      <c r="E8328" s="888" t="s">
        <v>310</v>
      </c>
      <c r="F8328" s="888" t="s">
        <v>310</v>
      </c>
    </row>
    <row r="8329" spans="1:6">
      <c r="A8329" s="888">
        <v>5</v>
      </c>
      <c r="B8329" s="888" t="s">
        <v>1109</v>
      </c>
      <c r="C8329" s="888" t="s">
        <v>1387</v>
      </c>
      <c r="D8329" s="889">
        <v>46027</v>
      </c>
      <c r="E8329" s="890">
        <v>0.35239583333333335</v>
      </c>
      <c r="F8329" s="890">
        <v>0.75608796296296299</v>
      </c>
    </row>
    <row r="8330" spans="1:6">
      <c r="A8330" s="888" t="s">
        <v>5877</v>
      </c>
      <c r="B8330" s="888" t="s">
        <v>5878</v>
      </c>
      <c r="C8330" s="888" t="s">
        <v>1363</v>
      </c>
    </row>
    <row r="8331" spans="1:6">
      <c r="A8331" s="888">
        <v>5</v>
      </c>
      <c r="B8331" s="888" t="s">
        <v>1109</v>
      </c>
      <c r="C8331" s="888" t="s">
        <v>1387</v>
      </c>
      <c r="D8331" s="889">
        <v>46028</v>
      </c>
      <c r="E8331" s="890">
        <v>0.34956018518518517</v>
      </c>
      <c r="F8331" s="890">
        <v>0.75696759259259261</v>
      </c>
    </row>
    <row r="8332" spans="1:6">
      <c r="A8332" s="888" t="s">
        <v>5879</v>
      </c>
      <c r="B8332" s="888" t="s">
        <v>5880</v>
      </c>
      <c r="C8332" s="888" t="s">
        <v>1645</v>
      </c>
    </row>
    <row r="8333" spans="1:6">
      <c r="A8333" s="888">
        <v>5</v>
      </c>
      <c r="B8333" s="888" t="s">
        <v>1109</v>
      </c>
      <c r="C8333" s="888" t="s">
        <v>1387</v>
      </c>
      <c r="D8333" s="889">
        <v>46029</v>
      </c>
      <c r="E8333" s="890">
        <v>0.36605324074074075</v>
      </c>
      <c r="F8333" s="890">
        <v>0.75844907407407403</v>
      </c>
    </row>
    <row r="8334" spans="1:6">
      <c r="A8334" s="888" t="s">
        <v>5881</v>
      </c>
      <c r="B8334" s="888" t="s">
        <v>5882</v>
      </c>
      <c r="C8334" s="888" t="s">
        <v>1724</v>
      </c>
    </row>
    <row r="8335" spans="1:6">
      <c r="A8335" s="888">
        <v>5</v>
      </c>
      <c r="B8335" s="888" t="s">
        <v>1109</v>
      </c>
      <c r="C8335" s="888" t="s">
        <v>1387</v>
      </c>
      <c r="D8335" s="889">
        <v>46030</v>
      </c>
      <c r="E8335" s="890">
        <v>0.36001157407407408</v>
      </c>
      <c r="F8335" s="890">
        <v>0.75853009259259263</v>
      </c>
    </row>
    <row r="8336" spans="1:6">
      <c r="A8336" s="888" t="s">
        <v>5883</v>
      </c>
      <c r="B8336" s="888" t="s">
        <v>5884</v>
      </c>
      <c r="C8336" s="888" t="s">
        <v>1383</v>
      </c>
    </row>
    <row r="8337" spans="1:6">
      <c r="A8337" s="888">
        <v>5</v>
      </c>
      <c r="B8337" s="888" t="s">
        <v>1109</v>
      </c>
      <c r="C8337" s="888" t="s">
        <v>1387</v>
      </c>
      <c r="D8337" s="889">
        <v>46031</v>
      </c>
      <c r="E8337" s="888" t="s">
        <v>310</v>
      </c>
      <c r="F8337" s="888" t="s">
        <v>310</v>
      </c>
    </row>
    <row r="8338" spans="1:6">
      <c r="A8338" s="888">
        <v>5</v>
      </c>
      <c r="B8338" s="888" t="s">
        <v>1109</v>
      </c>
      <c r="C8338" s="888" t="s">
        <v>1387</v>
      </c>
      <c r="D8338" s="889">
        <v>46032</v>
      </c>
      <c r="E8338" s="888" t="s">
        <v>310</v>
      </c>
      <c r="F8338" s="888" t="s">
        <v>310</v>
      </c>
    </row>
    <row r="8339" spans="1:6">
      <c r="A8339" s="888">
        <v>5</v>
      </c>
      <c r="B8339" s="888" t="s">
        <v>1109</v>
      </c>
      <c r="C8339" s="888" t="s">
        <v>1387</v>
      </c>
      <c r="D8339" s="889">
        <v>46033</v>
      </c>
      <c r="E8339" s="888" t="s">
        <v>310</v>
      </c>
      <c r="F8339" s="888" t="s">
        <v>310</v>
      </c>
    </row>
    <row r="8340" spans="1:6">
      <c r="A8340" s="888">
        <v>5</v>
      </c>
      <c r="B8340" s="888" t="s">
        <v>1109</v>
      </c>
      <c r="C8340" s="888" t="s">
        <v>1387</v>
      </c>
      <c r="D8340" s="889">
        <v>46034</v>
      </c>
      <c r="E8340" s="890">
        <v>0.35263888888888889</v>
      </c>
      <c r="F8340" s="890">
        <v>0.75626157407407413</v>
      </c>
    </row>
    <row r="8341" spans="1:6">
      <c r="A8341" s="888" t="s">
        <v>5885</v>
      </c>
      <c r="B8341" s="888" t="s">
        <v>5886</v>
      </c>
      <c r="C8341" s="888" t="s">
        <v>1363</v>
      </c>
    </row>
    <row r="8342" spans="1:6">
      <c r="A8342" s="888">
        <v>5</v>
      </c>
      <c r="B8342" s="888" t="s">
        <v>1109</v>
      </c>
      <c r="C8342" s="888" t="s">
        <v>1387</v>
      </c>
      <c r="D8342" s="889">
        <v>46035</v>
      </c>
      <c r="E8342" s="890">
        <v>0.35060185185185183</v>
      </c>
      <c r="F8342" s="890">
        <v>0.7543171296296296</v>
      </c>
    </row>
    <row r="8343" spans="1:6">
      <c r="A8343" s="888" t="s">
        <v>5887</v>
      </c>
      <c r="B8343" s="888" t="s">
        <v>5888</v>
      </c>
      <c r="C8343" s="888" t="s">
        <v>1363</v>
      </c>
    </row>
    <row r="8344" spans="1:6">
      <c r="A8344" s="888">
        <v>5</v>
      </c>
      <c r="B8344" s="888" t="s">
        <v>1109</v>
      </c>
      <c r="C8344" s="888" t="s">
        <v>1387</v>
      </c>
      <c r="D8344" s="889">
        <v>46036</v>
      </c>
      <c r="E8344" s="890">
        <v>0.36284722222222221</v>
      </c>
      <c r="F8344" s="890">
        <v>0.75368055555555558</v>
      </c>
    </row>
    <row r="8345" spans="1:6">
      <c r="A8345" s="888" t="s">
        <v>5889</v>
      </c>
      <c r="B8345" s="888" t="s">
        <v>5890</v>
      </c>
      <c r="C8345" s="888" t="s">
        <v>1437</v>
      </c>
    </row>
    <row r="8346" spans="1:6">
      <c r="A8346" s="888">
        <v>5</v>
      </c>
      <c r="B8346" s="888" t="s">
        <v>1109</v>
      </c>
      <c r="C8346" s="888" t="s">
        <v>1387</v>
      </c>
      <c r="D8346" s="889">
        <v>46037</v>
      </c>
      <c r="E8346" s="890">
        <v>0.35208333333333336</v>
      </c>
      <c r="F8346" s="890">
        <v>0.75788194444444446</v>
      </c>
    </row>
    <row r="8347" spans="1:6">
      <c r="A8347" s="888" t="s">
        <v>5891</v>
      </c>
      <c r="B8347" s="888" t="s">
        <v>5892</v>
      </c>
      <c r="C8347" s="888" t="s">
        <v>2340</v>
      </c>
    </row>
    <row r="8348" spans="1:6">
      <c r="A8348" s="888">
        <v>5</v>
      </c>
      <c r="B8348" s="888" t="s">
        <v>1109</v>
      </c>
      <c r="C8348" s="888" t="s">
        <v>1387</v>
      </c>
      <c r="D8348" s="889">
        <v>46038</v>
      </c>
      <c r="E8348" s="888" t="s">
        <v>310</v>
      </c>
      <c r="F8348" s="888" t="s">
        <v>310</v>
      </c>
    </row>
    <row r="8349" spans="1:6">
      <c r="A8349" s="888">
        <v>5</v>
      </c>
      <c r="B8349" s="888" t="s">
        <v>1109</v>
      </c>
      <c r="C8349" s="888" t="s">
        <v>1387</v>
      </c>
      <c r="D8349" s="889">
        <v>46039</v>
      </c>
      <c r="E8349" s="888" t="s">
        <v>310</v>
      </c>
      <c r="F8349" s="888" t="s">
        <v>310</v>
      </c>
    </row>
    <row r="8350" spans="1:6">
      <c r="A8350" s="888">
        <v>5</v>
      </c>
      <c r="B8350" s="888" t="s">
        <v>1109</v>
      </c>
      <c r="C8350" s="888" t="s">
        <v>1387</v>
      </c>
      <c r="D8350" s="889">
        <v>46040</v>
      </c>
      <c r="E8350" s="888" t="s">
        <v>310</v>
      </c>
      <c r="F8350" s="888" t="s">
        <v>310</v>
      </c>
    </row>
    <row r="8351" spans="1:6">
      <c r="A8351" s="888">
        <v>5</v>
      </c>
      <c r="B8351" s="888" t="s">
        <v>1109</v>
      </c>
      <c r="C8351" s="888" t="s">
        <v>1387</v>
      </c>
      <c r="D8351" s="889">
        <v>46041</v>
      </c>
      <c r="E8351" s="890">
        <v>0.35427083333333331</v>
      </c>
      <c r="F8351" s="890">
        <v>0.76081018518518517</v>
      </c>
    </row>
    <row r="8352" spans="1:6">
      <c r="A8352" s="888" t="s">
        <v>5893</v>
      </c>
      <c r="B8352" s="888" t="s">
        <v>5894</v>
      </c>
      <c r="C8352" s="888" t="s">
        <v>1375</v>
      </c>
    </row>
    <row r="8353" spans="1:6">
      <c r="A8353" s="888">
        <v>5</v>
      </c>
      <c r="B8353" s="888" t="s">
        <v>1109</v>
      </c>
      <c r="C8353" s="888" t="s">
        <v>1387</v>
      </c>
      <c r="D8353" s="889">
        <v>46042</v>
      </c>
      <c r="E8353" s="890">
        <v>0.54562500000000003</v>
      </c>
      <c r="F8353" s="890">
        <v>0.76979166666666665</v>
      </c>
    </row>
    <row r="8354" spans="1:6">
      <c r="A8354" s="888" t="s">
        <v>5895</v>
      </c>
      <c r="B8354" s="888" t="s">
        <v>5896</v>
      </c>
      <c r="C8354" s="888" t="s">
        <v>3581</v>
      </c>
    </row>
    <row r="8355" spans="1:6">
      <c r="A8355" s="888">
        <v>5</v>
      </c>
      <c r="B8355" s="888" t="s">
        <v>1109</v>
      </c>
      <c r="C8355" s="888" t="s">
        <v>1387</v>
      </c>
      <c r="D8355" s="889">
        <v>46043</v>
      </c>
      <c r="E8355" s="890">
        <v>0.36579861111111112</v>
      </c>
      <c r="F8355" s="890">
        <v>0.77671296296296299</v>
      </c>
    </row>
    <row r="8356" spans="1:6">
      <c r="A8356" s="888" t="s">
        <v>5897</v>
      </c>
      <c r="B8356" s="888" t="s">
        <v>5898</v>
      </c>
      <c r="C8356" s="888" t="s">
        <v>1613</v>
      </c>
    </row>
    <row r="8357" spans="1:6">
      <c r="A8357" s="888">
        <v>5</v>
      </c>
      <c r="B8357" s="888" t="s">
        <v>1109</v>
      </c>
      <c r="C8357" s="888" t="s">
        <v>1387</v>
      </c>
      <c r="D8357" s="889">
        <v>46044</v>
      </c>
      <c r="E8357" s="890">
        <v>0.35754629629629631</v>
      </c>
      <c r="F8357" s="890">
        <v>0.75997685185185182</v>
      </c>
    </row>
    <row r="8358" spans="1:6">
      <c r="A8358" s="888" t="s">
        <v>5899</v>
      </c>
      <c r="B8358" s="888" t="s">
        <v>5900</v>
      </c>
      <c r="C8358" s="888" t="s">
        <v>1624</v>
      </c>
    </row>
    <row r="8359" spans="1:6">
      <c r="A8359" s="888">
        <v>5</v>
      </c>
      <c r="B8359" s="888" t="s">
        <v>1109</v>
      </c>
      <c r="C8359" s="888" t="s">
        <v>1387</v>
      </c>
      <c r="D8359" s="889">
        <v>46045</v>
      </c>
      <c r="E8359" s="888" t="s">
        <v>310</v>
      </c>
      <c r="F8359" s="888" t="s">
        <v>310</v>
      </c>
    </row>
    <row r="8360" spans="1:6">
      <c r="A8360" s="888">
        <v>5</v>
      </c>
      <c r="B8360" s="888" t="s">
        <v>1109</v>
      </c>
      <c r="C8360" s="888" t="s">
        <v>1387</v>
      </c>
      <c r="D8360" s="889">
        <v>46046</v>
      </c>
      <c r="E8360" s="888" t="s">
        <v>310</v>
      </c>
      <c r="F8360" s="888" t="s">
        <v>310</v>
      </c>
    </row>
    <row r="8361" spans="1:6">
      <c r="A8361" s="888">
        <v>5</v>
      </c>
      <c r="B8361" s="888" t="s">
        <v>1109</v>
      </c>
      <c r="C8361" s="888" t="s">
        <v>1387</v>
      </c>
      <c r="D8361" s="889">
        <v>46047</v>
      </c>
      <c r="E8361" s="888" t="s">
        <v>310</v>
      </c>
      <c r="F8361" s="888" t="s">
        <v>310</v>
      </c>
    </row>
    <row r="8362" spans="1:6">
      <c r="A8362" s="888">
        <v>5</v>
      </c>
      <c r="B8362" s="888" t="s">
        <v>1109</v>
      </c>
      <c r="C8362" s="888" t="s">
        <v>1387</v>
      </c>
      <c r="D8362" s="889">
        <v>46048</v>
      </c>
      <c r="E8362" s="890">
        <v>0.3567939814814815</v>
      </c>
      <c r="F8362" s="890">
        <v>0.76858796296296295</v>
      </c>
    </row>
    <row r="8363" spans="1:6">
      <c r="A8363" s="888" t="s">
        <v>5901</v>
      </c>
      <c r="B8363" s="888" t="s">
        <v>5902</v>
      </c>
      <c r="C8363" s="888" t="s">
        <v>1369</v>
      </c>
    </row>
    <row r="8364" spans="1:6">
      <c r="A8364" s="888">
        <v>5</v>
      </c>
      <c r="B8364" s="888" t="s">
        <v>1109</v>
      </c>
      <c r="C8364" s="888" t="s">
        <v>1387</v>
      </c>
      <c r="D8364" s="889">
        <v>46049</v>
      </c>
      <c r="E8364" s="890">
        <v>0.35265046296296299</v>
      </c>
      <c r="F8364" s="890">
        <v>0.7546180555555555</v>
      </c>
    </row>
    <row r="8365" spans="1:6">
      <c r="A8365" s="888" t="s">
        <v>5903</v>
      </c>
      <c r="B8365" s="888" t="s">
        <v>5904</v>
      </c>
      <c r="C8365" s="888" t="s">
        <v>1538</v>
      </c>
    </row>
    <row r="8366" spans="1:6">
      <c r="A8366" s="888">
        <v>5</v>
      </c>
      <c r="B8366" s="888" t="s">
        <v>1109</v>
      </c>
      <c r="C8366" s="888" t="s">
        <v>1387</v>
      </c>
      <c r="D8366" s="889">
        <v>46050</v>
      </c>
      <c r="E8366" s="890">
        <v>0.35237268518518516</v>
      </c>
      <c r="F8366" s="890">
        <v>0.7562268518518519</v>
      </c>
    </row>
    <row r="8367" spans="1:6">
      <c r="A8367" s="888" t="s">
        <v>5905</v>
      </c>
      <c r="B8367" s="888" t="s">
        <v>5906</v>
      </c>
      <c r="C8367" s="888" t="s">
        <v>1266</v>
      </c>
    </row>
    <row r="8368" spans="1:6">
      <c r="A8368" s="888">
        <v>5</v>
      </c>
      <c r="B8368" s="888" t="s">
        <v>1109</v>
      </c>
      <c r="C8368" s="888" t="s">
        <v>1387</v>
      </c>
      <c r="D8368" s="889">
        <v>46051</v>
      </c>
      <c r="E8368" s="890">
        <v>0.35562500000000002</v>
      </c>
      <c r="F8368" s="890">
        <v>0.5088773148148148</v>
      </c>
    </row>
    <row r="8369" spans="1:6">
      <c r="A8369" s="888" t="s">
        <v>5907</v>
      </c>
      <c r="B8369" s="888" t="s">
        <v>5908</v>
      </c>
      <c r="C8369" s="888" t="s">
        <v>5909</v>
      </c>
    </row>
    <row r="8370" spans="1:6">
      <c r="A8370" s="888">
        <v>5</v>
      </c>
      <c r="B8370" s="888" t="s">
        <v>1109</v>
      </c>
      <c r="C8370" s="888" t="s">
        <v>1387</v>
      </c>
      <c r="D8370" s="889">
        <v>46052</v>
      </c>
      <c r="E8370" s="888" t="s">
        <v>310</v>
      </c>
      <c r="F8370" s="888" t="s">
        <v>310</v>
      </c>
    </row>
    <row r="8371" spans="1:6">
      <c r="A8371" s="888">
        <v>5</v>
      </c>
      <c r="B8371" s="888" t="s">
        <v>1109</v>
      </c>
      <c r="C8371" s="888" t="s">
        <v>1387</v>
      </c>
      <c r="D8371" s="889">
        <v>46053</v>
      </c>
      <c r="E8371" s="888" t="s">
        <v>310</v>
      </c>
      <c r="F8371" s="888" t="s">
        <v>310</v>
      </c>
    </row>
    <row r="8372" spans="1:6">
      <c r="A8372" s="888">
        <v>5</v>
      </c>
      <c r="B8372" s="888" t="s">
        <v>1109</v>
      </c>
      <c r="C8372" s="888" t="s">
        <v>1387</v>
      </c>
      <c r="D8372" s="889">
        <v>46054</v>
      </c>
      <c r="E8372" s="888" t="s">
        <v>310</v>
      </c>
      <c r="F8372" s="888" t="s">
        <v>310</v>
      </c>
    </row>
    <row r="8373" spans="1:6">
      <c r="A8373" s="888">
        <v>7</v>
      </c>
      <c r="B8373" s="888" t="s">
        <v>5910</v>
      </c>
      <c r="C8373" s="888" t="s">
        <v>2488</v>
      </c>
      <c r="D8373" s="889">
        <v>46023</v>
      </c>
      <c r="E8373" s="888" t="s">
        <v>310</v>
      </c>
      <c r="F8373" s="888" t="s">
        <v>310</v>
      </c>
    </row>
    <row r="8374" spans="1:6">
      <c r="A8374" s="888">
        <v>7</v>
      </c>
      <c r="B8374" s="888" t="s">
        <v>5910</v>
      </c>
      <c r="C8374" s="888" t="s">
        <v>2488</v>
      </c>
      <c r="D8374" s="889">
        <v>46024</v>
      </c>
      <c r="E8374" s="888" t="s">
        <v>310</v>
      </c>
      <c r="F8374" s="888" t="s">
        <v>310</v>
      </c>
    </row>
    <row r="8375" spans="1:6">
      <c r="A8375" s="888">
        <v>7</v>
      </c>
      <c r="B8375" s="888" t="s">
        <v>5910</v>
      </c>
      <c r="C8375" s="888" t="s">
        <v>2488</v>
      </c>
      <c r="D8375" s="889">
        <v>46025</v>
      </c>
      <c r="E8375" s="888" t="s">
        <v>310</v>
      </c>
      <c r="F8375" s="888" t="s">
        <v>310</v>
      </c>
    </row>
    <row r="8376" spans="1:6">
      <c r="A8376" s="888">
        <v>7</v>
      </c>
      <c r="B8376" s="888" t="s">
        <v>5910</v>
      </c>
      <c r="C8376" s="888" t="s">
        <v>2488</v>
      </c>
      <c r="D8376" s="889">
        <v>46026</v>
      </c>
      <c r="E8376" s="888" t="s">
        <v>310</v>
      </c>
      <c r="F8376" s="888" t="s">
        <v>310</v>
      </c>
    </row>
    <row r="8377" spans="1:6">
      <c r="A8377" s="888">
        <v>7</v>
      </c>
      <c r="B8377" s="888" t="s">
        <v>5910</v>
      </c>
      <c r="C8377" s="888" t="s">
        <v>2488</v>
      </c>
      <c r="D8377" s="889">
        <v>46027</v>
      </c>
      <c r="E8377" s="888" t="s">
        <v>310</v>
      </c>
      <c r="F8377" s="888" t="s">
        <v>310</v>
      </c>
    </row>
    <row r="8378" spans="1:6">
      <c r="A8378" s="888">
        <v>7</v>
      </c>
      <c r="B8378" s="888" t="s">
        <v>5910</v>
      </c>
      <c r="C8378" s="888" t="s">
        <v>2488</v>
      </c>
      <c r="D8378" s="889">
        <v>46028</v>
      </c>
      <c r="E8378" s="888" t="s">
        <v>310</v>
      </c>
      <c r="F8378" s="888" t="s">
        <v>310</v>
      </c>
    </row>
    <row r="8379" spans="1:6">
      <c r="A8379" s="888">
        <v>7</v>
      </c>
      <c r="B8379" s="888" t="s">
        <v>5910</v>
      </c>
      <c r="C8379" s="888" t="s">
        <v>2488</v>
      </c>
      <c r="D8379" s="889">
        <v>46029</v>
      </c>
      <c r="E8379" s="888" t="s">
        <v>310</v>
      </c>
      <c r="F8379" s="888" t="s">
        <v>310</v>
      </c>
    </row>
    <row r="8380" spans="1:6">
      <c r="A8380" s="888">
        <v>7</v>
      </c>
      <c r="B8380" s="888" t="s">
        <v>5910</v>
      </c>
      <c r="C8380" s="888" t="s">
        <v>2488</v>
      </c>
      <c r="D8380" s="889">
        <v>46030</v>
      </c>
      <c r="E8380" s="888" t="s">
        <v>310</v>
      </c>
      <c r="F8380" s="888" t="s">
        <v>310</v>
      </c>
    </row>
    <row r="8381" spans="1:6">
      <c r="A8381" s="888">
        <v>7</v>
      </c>
      <c r="B8381" s="888" t="s">
        <v>5910</v>
      </c>
      <c r="C8381" s="888" t="s">
        <v>2488</v>
      </c>
      <c r="D8381" s="889">
        <v>46031</v>
      </c>
      <c r="E8381" s="888" t="s">
        <v>310</v>
      </c>
      <c r="F8381" s="888" t="s">
        <v>310</v>
      </c>
    </row>
    <row r="8382" spans="1:6">
      <c r="A8382" s="888">
        <v>7</v>
      </c>
      <c r="B8382" s="888" t="s">
        <v>5910</v>
      </c>
      <c r="C8382" s="888" t="s">
        <v>2488</v>
      </c>
      <c r="D8382" s="889">
        <v>46032</v>
      </c>
      <c r="E8382" s="888" t="s">
        <v>310</v>
      </c>
      <c r="F8382" s="888" t="s">
        <v>310</v>
      </c>
    </row>
    <row r="8383" spans="1:6">
      <c r="A8383" s="888">
        <v>7</v>
      </c>
      <c r="B8383" s="888" t="s">
        <v>5910</v>
      </c>
      <c r="C8383" s="888" t="s">
        <v>2488</v>
      </c>
      <c r="D8383" s="889">
        <v>46033</v>
      </c>
      <c r="E8383" s="888" t="s">
        <v>310</v>
      </c>
      <c r="F8383" s="888" t="s">
        <v>310</v>
      </c>
    </row>
    <row r="8384" spans="1:6">
      <c r="A8384" s="888">
        <v>7</v>
      </c>
      <c r="B8384" s="888" t="s">
        <v>5910</v>
      </c>
      <c r="C8384" s="888" t="s">
        <v>2488</v>
      </c>
      <c r="D8384" s="889">
        <v>46034</v>
      </c>
      <c r="E8384" s="888" t="s">
        <v>310</v>
      </c>
      <c r="F8384" s="888" t="s">
        <v>310</v>
      </c>
    </row>
    <row r="8385" spans="1:6">
      <c r="A8385" s="888">
        <v>7</v>
      </c>
      <c r="B8385" s="888" t="s">
        <v>5910</v>
      </c>
      <c r="C8385" s="888" t="s">
        <v>2488</v>
      </c>
      <c r="D8385" s="889">
        <v>46035</v>
      </c>
      <c r="E8385" s="888" t="s">
        <v>310</v>
      </c>
      <c r="F8385" s="888" t="s">
        <v>310</v>
      </c>
    </row>
    <row r="8386" spans="1:6">
      <c r="A8386" s="888">
        <v>7</v>
      </c>
      <c r="B8386" s="888" t="s">
        <v>5910</v>
      </c>
      <c r="C8386" s="888" t="s">
        <v>2488</v>
      </c>
      <c r="D8386" s="889">
        <v>46036</v>
      </c>
      <c r="E8386" s="888" t="s">
        <v>310</v>
      </c>
      <c r="F8386" s="888" t="s">
        <v>310</v>
      </c>
    </row>
    <row r="8387" spans="1:6">
      <c r="A8387" s="888">
        <v>7</v>
      </c>
      <c r="B8387" s="888" t="s">
        <v>5910</v>
      </c>
      <c r="C8387" s="888" t="s">
        <v>2488</v>
      </c>
      <c r="D8387" s="889">
        <v>46037</v>
      </c>
      <c r="E8387" s="888" t="s">
        <v>310</v>
      </c>
      <c r="F8387" s="888" t="s">
        <v>310</v>
      </c>
    </row>
    <row r="8388" spans="1:6">
      <c r="A8388" s="888">
        <v>7</v>
      </c>
      <c r="B8388" s="888" t="s">
        <v>5910</v>
      </c>
      <c r="C8388" s="888" t="s">
        <v>2488</v>
      </c>
      <c r="D8388" s="889">
        <v>46038</v>
      </c>
      <c r="E8388" s="888" t="s">
        <v>310</v>
      </c>
      <c r="F8388" s="888" t="s">
        <v>310</v>
      </c>
    </row>
    <row r="8389" spans="1:6">
      <c r="A8389" s="888">
        <v>7</v>
      </c>
      <c r="B8389" s="888" t="s">
        <v>5910</v>
      </c>
      <c r="C8389" s="888" t="s">
        <v>2488</v>
      </c>
      <c r="D8389" s="889">
        <v>46039</v>
      </c>
      <c r="E8389" s="888" t="s">
        <v>310</v>
      </c>
      <c r="F8389" s="888" t="s">
        <v>310</v>
      </c>
    </row>
    <row r="8390" spans="1:6">
      <c r="A8390" s="888">
        <v>7</v>
      </c>
      <c r="B8390" s="888" t="s">
        <v>5910</v>
      </c>
      <c r="C8390" s="888" t="s">
        <v>2488</v>
      </c>
      <c r="D8390" s="889">
        <v>46040</v>
      </c>
      <c r="E8390" s="888" t="s">
        <v>310</v>
      </c>
      <c r="F8390" s="888" t="s">
        <v>310</v>
      </c>
    </row>
    <row r="8391" spans="1:6">
      <c r="A8391" s="888">
        <v>7</v>
      </c>
      <c r="B8391" s="888" t="s">
        <v>5910</v>
      </c>
      <c r="C8391" s="888" t="s">
        <v>2488</v>
      </c>
      <c r="D8391" s="889">
        <v>46041</v>
      </c>
      <c r="E8391" s="888" t="s">
        <v>310</v>
      </c>
      <c r="F8391" s="888" t="s">
        <v>310</v>
      </c>
    </row>
    <row r="8392" spans="1:6">
      <c r="A8392" s="888">
        <v>7</v>
      </c>
      <c r="B8392" s="888" t="s">
        <v>5910</v>
      </c>
      <c r="C8392" s="888" t="s">
        <v>2488</v>
      </c>
      <c r="D8392" s="889">
        <v>46042</v>
      </c>
      <c r="E8392" s="888" t="s">
        <v>310</v>
      </c>
      <c r="F8392" s="888" t="s">
        <v>310</v>
      </c>
    </row>
    <row r="8393" spans="1:6">
      <c r="A8393" s="888">
        <v>7</v>
      </c>
      <c r="B8393" s="888" t="s">
        <v>5910</v>
      </c>
      <c r="C8393" s="888" t="s">
        <v>2488</v>
      </c>
      <c r="D8393" s="889">
        <v>46043</v>
      </c>
      <c r="E8393" s="888" t="s">
        <v>310</v>
      </c>
      <c r="F8393" s="888" t="s">
        <v>310</v>
      </c>
    </row>
    <row r="8394" spans="1:6">
      <c r="A8394" s="888">
        <v>7</v>
      </c>
      <c r="B8394" s="888" t="s">
        <v>5910</v>
      </c>
      <c r="C8394" s="888" t="s">
        <v>2488</v>
      </c>
      <c r="D8394" s="889">
        <v>46044</v>
      </c>
      <c r="E8394" s="888" t="s">
        <v>310</v>
      </c>
      <c r="F8394" s="888" t="s">
        <v>310</v>
      </c>
    </row>
    <row r="8395" spans="1:6">
      <c r="A8395" s="888">
        <v>7</v>
      </c>
      <c r="B8395" s="888" t="s">
        <v>5910</v>
      </c>
      <c r="C8395" s="888" t="s">
        <v>2488</v>
      </c>
      <c r="D8395" s="889">
        <v>46045</v>
      </c>
      <c r="E8395" s="888" t="s">
        <v>310</v>
      </c>
      <c r="F8395" s="888" t="s">
        <v>310</v>
      </c>
    </row>
    <row r="8396" spans="1:6">
      <c r="A8396" s="888">
        <v>7</v>
      </c>
      <c r="B8396" s="888" t="s">
        <v>5910</v>
      </c>
      <c r="C8396" s="888" t="s">
        <v>2488</v>
      </c>
      <c r="D8396" s="889">
        <v>46046</v>
      </c>
      <c r="E8396" s="888" t="s">
        <v>310</v>
      </c>
      <c r="F8396" s="888" t="s">
        <v>310</v>
      </c>
    </row>
    <row r="8397" spans="1:6">
      <c r="A8397" s="888">
        <v>7</v>
      </c>
      <c r="B8397" s="888" t="s">
        <v>5910</v>
      </c>
      <c r="C8397" s="888" t="s">
        <v>2488</v>
      </c>
      <c r="D8397" s="889">
        <v>46047</v>
      </c>
      <c r="E8397" s="888" t="s">
        <v>310</v>
      </c>
      <c r="F8397" s="888" t="s">
        <v>310</v>
      </c>
    </row>
    <row r="8398" spans="1:6">
      <c r="A8398" s="888">
        <v>7</v>
      </c>
      <c r="B8398" s="888" t="s">
        <v>5910</v>
      </c>
      <c r="C8398" s="888" t="s">
        <v>2488</v>
      </c>
      <c r="D8398" s="889">
        <v>46048</v>
      </c>
      <c r="E8398" s="888" t="s">
        <v>310</v>
      </c>
      <c r="F8398" s="888" t="s">
        <v>310</v>
      </c>
    </row>
    <row r="8399" spans="1:6">
      <c r="A8399" s="888">
        <v>7</v>
      </c>
      <c r="B8399" s="888" t="s">
        <v>5910</v>
      </c>
      <c r="C8399" s="888" t="s">
        <v>2488</v>
      </c>
      <c r="D8399" s="889">
        <v>46049</v>
      </c>
      <c r="E8399" s="888" t="s">
        <v>310</v>
      </c>
      <c r="F8399" s="888" t="s">
        <v>310</v>
      </c>
    </row>
    <row r="8400" spans="1:6">
      <c r="A8400" s="888">
        <v>7</v>
      </c>
      <c r="B8400" s="888" t="s">
        <v>5910</v>
      </c>
      <c r="C8400" s="888" t="s">
        <v>2488</v>
      </c>
      <c r="D8400" s="889">
        <v>46050</v>
      </c>
      <c r="E8400" s="888" t="s">
        <v>310</v>
      </c>
      <c r="F8400" s="888" t="s">
        <v>310</v>
      </c>
    </row>
    <row r="8401" spans="1:6">
      <c r="A8401" s="888">
        <v>7</v>
      </c>
      <c r="B8401" s="888" t="s">
        <v>5910</v>
      </c>
      <c r="C8401" s="888" t="s">
        <v>2488</v>
      </c>
      <c r="D8401" s="889">
        <v>46051</v>
      </c>
      <c r="E8401" s="888" t="s">
        <v>310</v>
      </c>
      <c r="F8401" s="888" t="s">
        <v>310</v>
      </c>
    </row>
    <row r="8402" spans="1:6">
      <c r="A8402" s="888">
        <v>7</v>
      </c>
      <c r="B8402" s="888" t="s">
        <v>5910</v>
      </c>
      <c r="C8402" s="888" t="s">
        <v>2488</v>
      </c>
      <c r="D8402" s="889">
        <v>46052</v>
      </c>
      <c r="E8402" s="888" t="s">
        <v>310</v>
      </c>
      <c r="F8402" s="888" t="s">
        <v>310</v>
      </c>
    </row>
    <row r="8403" spans="1:6">
      <c r="A8403" s="888">
        <v>7</v>
      </c>
      <c r="B8403" s="888" t="s">
        <v>5910</v>
      </c>
      <c r="C8403" s="888" t="s">
        <v>2488</v>
      </c>
      <c r="D8403" s="889">
        <v>46053</v>
      </c>
      <c r="E8403" s="888" t="s">
        <v>310</v>
      </c>
      <c r="F8403" s="888" t="s">
        <v>310</v>
      </c>
    </row>
    <row r="8404" spans="1:6">
      <c r="A8404" s="888">
        <v>7</v>
      </c>
      <c r="B8404" s="888" t="s">
        <v>5910</v>
      </c>
      <c r="C8404" s="888" t="s">
        <v>2488</v>
      </c>
      <c r="D8404" s="889">
        <v>46054</v>
      </c>
      <c r="E8404" s="888" t="s">
        <v>310</v>
      </c>
      <c r="F8404" s="888" t="s">
        <v>310</v>
      </c>
    </row>
    <row r="8405" spans="1:6">
      <c r="A8405" s="888">
        <v>8</v>
      </c>
      <c r="B8405" s="888" t="s">
        <v>1110</v>
      </c>
      <c r="C8405" s="888" t="s">
        <v>1387</v>
      </c>
      <c r="D8405" s="889">
        <v>46023</v>
      </c>
      <c r="E8405" s="888" t="s">
        <v>310</v>
      </c>
      <c r="F8405" s="888" t="s">
        <v>310</v>
      </c>
    </row>
    <row r="8406" spans="1:6">
      <c r="A8406" s="888">
        <v>8</v>
      </c>
      <c r="B8406" s="888" t="s">
        <v>1110</v>
      </c>
      <c r="C8406" s="888" t="s">
        <v>1387</v>
      </c>
      <c r="D8406" s="889">
        <v>46024</v>
      </c>
      <c r="E8406" s="888" t="s">
        <v>310</v>
      </c>
      <c r="F8406" s="888" t="s">
        <v>310</v>
      </c>
    </row>
    <row r="8407" spans="1:6">
      <c r="A8407" s="888">
        <v>8</v>
      </c>
      <c r="B8407" s="888" t="s">
        <v>1110</v>
      </c>
      <c r="C8407" s="888" t="s">
        <v>1387</v>
      </c>
      <c r="D8407" s="889">
        <v>46025</v>
      </c>
      <c r="E8407" s="888" t="s">
        <v>310</v>
      </c>
      <c r="F8407" s="888" t="s">
        <v>310</v>
      </c>
    </row>
    <row r="8408" spans="1:6">
      <c r="A8408" s="888">
        <v>8</v>
      </c>
      <c r="B8408" s="888" t="s">
        <v>1110</v>
      </c>
      <c r="C8408" s="888" t="s">
        <v>1387</v>
      </c>
      <c r="D8408" s="889">
        <v>46026</v>
      </c>
      <c r="E8408" s="888" t="s">
        <v>310</v>
      </c>
      <c r="F8408" s="888" t="s">
        <v>310</v>
      </c>
    </row>
    <row r="8409" spans="1:6">
      <c r="A8409" s="888">
        <v>8</v>
      </c>
      <c r="B8409" s="888" t="s">
        <v>1110</v>
      </c>
      <c r="C8409" s="888" t="s">
        <v>1387</v>
      </c>
      <c r="D8409" s="889">
        <v>46027</v>
      </c>
      <c r="E8409" s="888" t="s">
        <v>310</v>
      </c>
      <c r="F8409" s="888" t="s">
        <v>310</v>
      </c>
    </row>
    <row r="8410" spans="1:6">
      <c r="A8410" s="888">
        <v>8</v>
      </c>
      <c r="B8410" s="888" t="s">
        <v>1110</v>
      </c>
      <c r="C8410" s="888" t="s">
        <v>1387</v>
      </c>
      <c r="D8410" s="889">
        <v>46028</v>
      </c>
      <c r="E8410" s="890">
        <v>0.33905092592592595</v>
      </c>
      <c r="F8410" s="890">
        <v>0.75150462962962961</v>
      </c>
    </row>
    <row r="8411" spans="1:6">
      <c r="A8411" s="888" t="s">
        <v>5911</v>
      </c>
      <c r="B8411" s="888" t="s">
        <v>5912</v>
      </c>
      <c r="C8411" s="888" t="s">
        <v>1816</v>
      </c>
    </row>
    <row r="8412" spans="1:6">
      <c r="A8412" s="888">
        <v>8</v>
      </c>
      <c r="B8412" s="888" t="s">
        <v>1110</v>
      </c>
      <c r="C8412" s="888" t="s">
        <v>1387</v>
      </c>
      <c r="D8412" s="889">
        <v>46029</v>
      </c>
      <c r="E8412" s="890">
        <v>0.34024305555555556</v>
      </c>
      <c r="F8412" s="890">
        <v>0.7512268518518519</v>
      </c>
    </row>
    <row r="8413" spans="1:6">
      <c r="A8413" s="888" t="s">
        <v>5913</v>
      </c>
      <c r="B8413" s="888" t="s">
        <v>5914</v>
      </c>
      <c r="C8413" s="888" t="s">
        <v>1613</v>
      </c>
    </row>
    <row r="8414" spans="1:6">
      <c r="A8414" s="888">
        <v>8</v>
      </c>
      <c r="B8414" s="888" t="s">
        <v>1110</v>
      </c>
      <c r="C8414" s="888" t="s">
        <v>1387</v>
      </c>
      <c r="D8414" s="889">
        <v>46030</v>
      </c>
      <c r="E8414" s="890">
        <v>0.34243055555555557</v>
      </c>
      <c r="F8414" s="890">
        <v>0.75108796296296299</v>
      </c>
    </row>
    <row r="8415" spans="1:6">
      <c r="A8415" s="888" t="s">
        <v>5915</v>
      </c>
      <c r="B8415" s="888" t="s">
        <v>5916</v>
      </c>
      <c r="C8415" s="888" t="s">
        <v>2077</v>
      </c>
    </row>
    <row r="8416" spans="1:6">
      <c r="A8416" s="888">
        <v>8</v>
      </c>
      <c r="B8416" s="888" t="s">
        <v>1110</v>
      </c>
      <c r="C8416" s="888" t="s">
        <v>1387</v>
      </c>
      <c r="D8416" s="889">
        <v>46031</v>
      </c>
      <c r="E8416" s="888" t="s">
        <v>310</v>
      </c>
      <c r="F8416" s="888" t="s">
        <v>310</v>
      </c>
    </row>
    <row r="8417" spans="1:6">
      <c r="A8417" s="888">
        <v>8</v>
      </c>
      <c r="B8417" s="888" t="s">
        <v>1110</v>
      </c>
      <c r="C8417" s="888" t="s">
        <v>1387</v>
      </c>
      <c r="D8417" s="889">
        <v>46032</v>
      </c>
      <c r="E8417" s="888" t="s">
        <v>310</v>
      </c>
      <c r="F8417" s="888" t="s">
        <v>310</v>
      </c>
    </row>
    <row r="8418" spans="1:6">
      <c r="A8418" s="888">
        <v>8</v>
      </c>
      <c r="B8418" s="888" t="s">
        <v>1110</v>
      </c>
      <c r="C8418" s="888" t="s">
        <v>1387</v>
      </c>
      <c r="D8418" s="889">
        <v>46033</v>
      </c>
      <c r="E8418" s="888" t="s">
        <v>310</v>
      </c>
      <c r="F8418" s="888" t="s">
        <v>310</v>
      </c>
    </row>
    <row r="8419" spans="1:6">
      <c r="A8419" s="888">
        <v>8</v>
      </c>
      <c r="B8419" s="888" t="s">
        <v>1110</v>
      </c>
      <c r="C8419" s="888" t="s">
        <v>1387</v>
      </c>
      <c r="D8419" s="889">
        <v>46034</v>
      </c>
      <c r="E8419" s="890">
        <v>0.34151620370370372</v>
      </c>
      <c r="F8419" s="890">
        <v>0.75115740740740744</v>
      </c>
    </row>
    <row r="8420" spans="1:6">
      <c r="A8420" s="888" t="s">
        <v>5917</v>
      </c>
      <c r="B8420" s="888" t="s">
        <v>5918</v>
      </c>
      <c r="C8420" s="888" t="s">
        <v>1874</v>
      </c>
    </row>
    <row r="8421" spans="1:6">
      <c r="A8421" s="888">
        <v>8</v>
      </c>
      <c r="B8421" s="888" t="s">
        <v>1110</v>
      </c>
      <c r="C8421" s="888" t="s">
        <v>1387</v>
      </c>
      <c r="D8421" s="889">
        <v>46035</v>
      </c>
      <c r="E8421" s="890">
        <v>0.34144675925925927</v>
      </c>
      <c r="F8421" s="890">
        <v>0.75206018518518514</v>
      </c>
    </row>
    <row r="8422" spans="1:6">
      <c r="A8422" s="888" t="s">
        <v>5919</v>
      </c>
      <c r="B8422" s="888" t="s">
        <v>5920</v>
      </c>
      <c r="C8422" s="888" t="s">
        <v>2003</v>
      </c>
    </row>
    <row r="8423" spans="1:6">
      <c r="A8423" s="888">
        <v>8</v>
      </c>
      <c r="B8423" s="888" t="s">
        <v>1110</v>
      </c>
      <c r="C8423" s="888" t="s">
        <v>1387</v>
      </c>
      <c r="D8423" s="889">
        <v>46036</v>
      </c>
      <c r="E8423" s="890">
        <v>0.33865740740740741</v>
      </c>
      <c r="F8423" s="890">
        <v>0.7510648148148148</v>
      </c>
    </row>
    <row r="8424" spans="1:6">
      <c r="A8424" s="888" t="s">
        <v>5921</v>
      </c>
      <c r="B8424" s="888" t="s">
        <v>5922</v>
      </c>
      <c r="C8424" s="888" t="s">
        <v>1816</v>
      </c>
    </row>
    <row r="8425" spans="1:6">
      <c r="A8425" s="888">
        <v>8</v>
      </c>
      <c r="B8425" s="888" t="s">
        <v>1110</v>
      </c>
      <c r="C8425" s="888" t="s">
        <v>1387</v>
      </c>
      <c r="D8425" s="889">
        <v>46037</v>
      </c>
      <c r="E8425" s="888" t="s">
        <v>310</v>
      </c>
      <c r="F8425" s="888" t="s">
        <v>310</v>
      </c>
    </row>
    <row r="8426" spans="1:6">
      <c r="A8426" s="888">
        <v>8</v>
      </c>
      <c r="B8426" s="888" t="s">
        <v>1110</v>
      </c>
      <c r="C8426" s="888" t="s">
        <v>1387</v>
      </c>
      <c r="D8426" s="889">
        <v>46038</v>
      </c>
      <c r="E8426" s="888" t="s">
        <v>310</v>
      </c>
      <c r="F8426" s="888" t="s">
        <v>310</v>
      </c>
    </row>
    <row r="8427" spans="1:6">
      <c r="A8427" s="888">
        <v>8</v>
      </c>
      <c r="B8427" s="888" t="s">
        <v>1110</v>
      </c>
      <c r="C8427" s="888" t="s">
        <v>1387</v>
      </c>
      <c r="D8427" s="889">
        <v>46039</v>
      </c>
      <c r="E8427" s="888" t="s">
        <v>310</v>
      </c>
      <c r="F8427" s="888" t="s">
        <v>310</v>
      </c>
    </row>
    <row r="8428" spans="1:6">
      <c r="A8428" s="888">
        <v>8</v>
      </c>
      <c r="B8428" s="888" t="s">
        <v>1110</v>
      </c>
      <c r="C8428" s="888" t="s">
        <v>1387</v>
      </c>
      <c r="D8428" s="889">
        <v>46040</v>
      </c>
      <c r="E8428" s="888" t="s">
        <v>310</v>
      </c>
      <c r="F8428" s="888" t="s">
        <v>310</v>
      </c>
    </row>
    <row r="8429" spans="1:6">
      <c r="A8429" s="888">
        <v>8</v>
      </c>
      <c r="B8429" s="888" t="s">
        <v>1110</v>
      </c>
      <c r="C8429" s="888" t="s">
        <v>1387</v>
      </c>
      <c r="D8429" s="889">
        <v>46041</v>
      </c>
      <c r="E8429" s="890">
        <v>0.33899305555555553</v>
      </c>
      <c r="F8429" s="890">
        <v>0.75101851851851853</v>
      </c>
    </row>
    <row r="8430" spans="1:6">
      <c r="A8430" s="888" t="s">
        <v>5923</v>
      </c>
      <c r="B8430" s="888" t="s">
        <v>5924</v>
      </c>
      <c r="C8430" s="888" t="s">
        <v>1369</v>
      </c>
    </row>
    <row r="8431" spans="1:6">
      <c r="A8431" s="888">
        <v>8</v>
      </c>
      <c r="B8431" s="888" t="s">
        <v>1110</v>
      </c>
      <c r="C8431" s="888" t="s">
        <v>1387</v>
      </c>
      <c r="D8431" s="889">
        <v>46042</v>
      </c>
      <c r="E8431" s="890">
        <v>0.34240740740740738</v>
      </c>
      <c r="F8431" s="890">
        <v>0.75167824074074074</v>
      </c>
    </row>
    <row r="8432" spans="1:6">
      <c r="A8432" s="888" t="s">
        <v>5925</v>
      </c>
      <c r="B8432" s="888" t="s">
        <v>5926</v>
      </c>
      <c r="C8432" s="888" t="s">
        <v>1372</v>
      </c>
    </row>
    <row r="8433" spans="1:6">
      <c r="A8433" s="888">
        <v>8</v>
      </c>
      <c r="B8433" s="888" t="s">
        <v>1110</v>
      </c>
      <c r="C8433" s="888" t="s">
        <v>1387</v>
      </c>
      <c r="D8433" s="889">
        <v>46043</v>
      </c>
      <c r="E8433" s="890">
        <v>0.3399537037037037</v>
      </c>
      <c r="F8433" s="890">
        <v>0.75083333333333335</v>
      </c>
    </row>
    <row r="8434" spans="1:6">
      <c r="A8434" s="888" t="s">
        <v>5927</v>
      </c>
      <c r="B8434" s="888" t="s">
        <v>5928</v>
      </c>
      <c r="C8434" s="888" t="s">
        <v>1613</v>
      </c>
    </row>
    <row r="8435" spans="1:6">
      <c r="A8435" s="888">
        <v>8</v>
      </c>
      <c r="B8435" s="888" t="s">
        <v>1110</v>
      </c>
      <c r="C8435" s="888" t="s">
        <v>1387</v>
      </c>
      <c r="D8435" s="889">
        <v>46044</v>
      </c>
      <c r="E8435" s="890">
        <v>0.34228009259259257</v>
      </c>
      <c r="F8435" s="890">
        <v>0.7512847222222222</v>
      </c>
    </row>
    <row r="8436" spans="1:6">
      <c r="A8436" s="888" t="s">
        <v>5929</v>
      </c>
      <c r="B8436" s="888" t="s">
        <v>5930</v>
      </c>
      <c r="C8436" s="888" t="s">
        <v>1372</v>
      </c>
    </row>
    <row r="8437" spans="1:6">
      <c r="A8437" s="888">
        <v>8</v>
      </c>
      <c r="B8437" s="888" t="s">
        <v>1110</v>
      </c>
      <c r="C8437" s="888" t="s">
        <v>1387</v>
      </c>
      <c r="D8437" s="889">
        <v>46045</v>
      </c>
      <c r="E8437" s="888" t="s">
        <v>310</v>
      </c>
      <c r="F8437" s="888" t="s">
        <v>310</v>
      </c>
    </row>
    <row r="8438" spans="1:6">
      <c r="A8438" s="888">
        <v>8</v>
      </c>
      <c r="B8438" s="888" t="s">
        <v>1110</v>
      </c>
      <c r="C8438" s="888" t="s">
        <v>1387</v>
      </c>
      <c r="D8438" s="889">
        <v>46046</v>
      </c>
      <c r="E8438" s="888" t="s">
        <v>310</v>
      </c>
      <c r="F8438" s="888" t="s">
        <v>310</v>
      </c>
    </row>
    <row r="8439" spans="1:6">
      <c r="A8439" s="888">
        <v>8</v>
      </c>
      <c r="B8439" s="888" t="s">
        <v>1110</v>
      </c>
      <c r="C8439" s="888" t="s">
        <v>1387</v>
      </c>
      <c r="D8439" s="889">
        <v>46047</v>
      </c>
      <c r="E8439" s="888" t="s">
        <v>310</v>
      </c>
      <c r="F8439" s="888" t="s">
        <v>310</v>
      </c>
    </row>
    <row r="8440" spans="1:6">
      <c r="A8440" s="888">
        <v>8</v>
      </c>
      <c r="B8440" s="888" t="s">
        <v>1110</v>
      </c>
      <c r="C8440" s="888" t="s">
        <v>1387</v>
      </c>
      <c r="D8440" s="889">
        <v>46048</v>
      </c>
      <c r="E8440" s="890">
        <v>0.34118055555555554</v>
      </c>
      <c r="F8440" s="890">
        <v>0.75127314814814816</v>
      </c>
    </row>
    <row r="8441" spans="1:6">
      <c r="A8441" s="888" t="s">
        <v>5931</v>
      </c>
      <c r="B8441" s="888" t="s">
        <v>5932</v>
      </c>
      <c r="C8441" s="888" t="s">
        <v>2003</v>
      </c>
    </row>
    <row r="8442" spans="1:6">
      <c r="A8442" s="888">
        <v>8</v>
      </c>
      <c r="B8442" s="888" t="s">
        <v>1110</v>
      </c>
      <c r="C8442" s="888" t="s">
        <v>1387</v>
      </c>
      <c r="D8442" s="889">
        <v>46049</v>
      </c>
      <c r="E8442" s="890">
        <v>0.33993055555555557</v>
      </c>
      <c r="F8442" s="890">
        <v>0.75135416666666666</v>
      </c>
    </row>
    <row r="8443" spans="1:6">
      <c r="A8443" s="888" t="s">
        <v>5933</v>
      </c>
      <c r="B8443" s="888" t="s">
        <v>5934</v>
      </c>
      <c r="C8443" s="888" t="s">
        <v>1613</v>
      </c>
    </row>
    <row r="8444" spans="1:6">
      <c r="A8444" s="888">
        <v>8</v>
      </c>
      <c r="B8444" s="888" t="s">
        <v>1110</v>
      </c>
      <c r="C8444" s="888" t="s">
        <v>1387</v>
      </c>
      <c r="D8444" s="889">
        <v>46050</v>
      </c>
      <c r="E8444" s="890">
        <v>0.33990740740740738</v>
      </c>
      <c r="F8444" s="890">
        <v>0.75071759259259263</v>
      </c>
    </row>
    <row r="8445" spans="1:6">
      <c r="A8445" s="888" t="s">
        <v>5935</v>
      </c>
      <c r="B8445" s="888" t="s">
        <v>5936</v>
      </c>
      <c r="C8445" s="888" t="s">
        <v>1613</v>
      </c>
    </row>
    <row r="8446" spans="1:6">
      <c r="A8446" s="888">
        <v>8</v>
      </c>
      <c r="B8446" s="888" t="s">
        <v>1110</v>
      </c>
      <c r="C8446" s="888" t="s">
        <v>1387</v>
      </c>
      <c r="D8446" s="889">
        <v>46051</v>
      </c>
      <c r="E8446" s="890">
        <v>0.33952546296296299</v>
      </c>
      <c r="F8446" s="890">
        <v>0.75135416666666666</v>
      </c>
    </row>
    <row r="8447" spans="1:6">
      <c r="A8447" s="888" t="s">
        <v>5937</v>
      </c>
      <c r="B8447" s="888" t="s">
        <v>5938</v>
      </c>
      <c r="C8447" s="888" t="s">
        <v>1369</v>
      </c>
    </row>
    <row r="8448" spans="1:6">
      <c r="A8448" s="888">
        <v>8</v>
      </c>
      <c r="B8448" s="888" t="s">
        <v>1110</v>
      </c>
      <c r="C8448" s="888" t="s">
        <v>1387</v>
      </c>
      <c r="D8448" s="889">
        <v>46052</v>
      </c>
      <c r="E8448" s="888" t="s">
        <v>310</v>
      </c>
      <c r="F8448" s="888" t="s">
        <v>310</v>
      </c>
    </row>
    <row r="8449" spans="1:6">
      <c r="A8449" s="888">
        <v>8</v>
      </c>
      <c r="B8449" s="888" t="s">
        <v>1110</v>
      </c>
      <c r="C8449" s="888" t="s">
        <v>1387</v>
      </c>
      <c r="D8449" s="889">
        <v>46053</v>
      </c>
      <c r="E8449" s="888" t="s">
        <v>310</v>
      </c>
      <c r="F8449" s="888" t="s">
        <v>310</v>
      </c>
    </row>
    <row r="8450" spans="1:6">
      <c r="A8450" s="888">
        <v>8</v>
      </c>
      <c r="B8450" s="888" t="s">
        <v>1110</v>
      </c>
      <c r="C8450" s="888" t="s">
        <v>1387</v>
      </c>
      <c r="D8450" s="889">
        <v>46054</v>
      </c>
      <c r="E8450" s="888" t="s">
        <v>310</v>
      </c>
      <c r="F8450" s="888" t="s">
        <v>310</v>
      </c>
    </row>
  </sheetData>
  <autoFilter ref="A2:U1410"/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Q1000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14.44140625" defaultRowHeight="15" customHeight="1"/>
  <cols>
    <col min="1" max="1" width="8" customWidth="1"/>
    <col min="2" max="2" width="25" customWidth="1"/>
    <col min="3" max="3" width="38.88671875" customWidth="1"/>
    <col min="4" max="4" width="17" customWidth="1"/>
    <col min="5" max="5" width="7" customWidth="1"/>
    <col min="6" max="6" width="8" customWidth="1"/>
    <col min="7" max="8" width="16" customWidth="1"/>
    <col min="9" max="9" width="14" customWidth="1"/>
    <col min="10" max="12" width="15" customWidth="1"/>
    <col min="13" max="13" width="16" customWidth="1"/>
    <col min="14" max="14" width="15" customWidth="1"/>
    <col min="15" max="15" width="17" customWidth="1"/>
    <col min="16" max="17" width="15.33203125" customWidth="1"/>
    <col min="18" max="21" width="13" customWidth="1"/>
    <col min="22" max="23" width="10" customWidth="1"/>
    <col min="24" max="24" width="11" customWidth="1"/>
    <col min="25" max="25" width="10" customWidth="1"/>
    <col min="26" max="26" width="12" customWidth="1"/>
    <col min="27" max="27" width="17.44140625" customWidth="1"/>
    <col min="28" max="28" width="15" customWidth="1"/>
    <col min="29" max="29" width="13" customWidth="1"/>
    <col min="30" max="32" width="16" customWidth="1"/>
    <col min="33" max="33" width="14" customWidth="1"/>
    <col min="34" max="34" width="13" customWidth="1"/>
    <col min="35" max="35" width="12" customWidth="1"/>
    <col min="36" max="36" width="15" customWidth="1"/>
    <col min="37" max="37" width="12" customWidth="1"/>
    <col min="38" max="38" width="14" customWidth="1"/>
    <col min="39" max="39" width="18" customWidth="1"/>
    <col min="40" max="40" width="15" customWidth="1"/>
    <col min="41" max="42" width="14" customWidth="1"/>
    <col min="43" max="43" width="10" customWidth="1"/>
    <col min="44" max="44" width="14" customWidth="1"/>
    <col min="45" max="46" width="17" customWidth="1"/>
    <col min="47" max="47" width="12.44140625" customWidth="1"/>
    <col min="48" max="48" width="14" customWidth="1"/>
    <col min="49" max="49" width="15" customWidth="1"/>
    <col min="50" max="50" width="11.88671875" customWidth="1"/>
    <col min="51" max="52" width="18.44140625" customWidth="1"/>
    <col min="53" max="53" width="21" customWidth="1"/>
    <col min="54" max="54" width="9.109375" customWidth="1"/>
    <col min="55" max="57" width="8.5546875" customWidth="1"/>
    <col min="58" max="60" width="16" customWidth="1"/>
    <col min="61" max="61" width="13.109375" customWidth="1"/>
    <col min="62" max="62" width="19" customWidth="1"/>
    <col min="63" max="63" width="37.109375" customWidth="1"/>
    <col min="64" max="64" width="21.88671875" customWidth="1"/>
    <col min="65" max="65" width="31.44140625" customWidth="1"/>
    <col min="66" max="68" width="19.33203125" customWidth="1"/>
    <col min="69" max="69" width="14" customWidth="1"/>
  </cols>
  <sheetData>
    <row r="1" spans="1:69" ht="13.5" customHeight="1">
      <c r="A1" s="267"/>
      <c r="B1" s="271"/>
      <c r="C1" s="271"/>
      <c r="D1" s="272"/>
      <c r="E1" s="271"/>
      <c r="F1" s="271"/>
      <c r="G1" s="273"/>
      <c r="H1" s="271"/>
      <c r="I1" s="273"/>
      <c r="J1" s="274"/>
      <c r="K1" s="273"/>
      <c r="L1" s="273"/>
      <c r="M1" s="266"/>
      <c r="N1" s="271"/>
      <c r="O1" s="273"/>
      <c r="P1" s="266"/>
      <c r="Q1" s="266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5"/>
      <c r="AM1" s="273"/>
      <c r="AN1" s="273"/>
      <c r="AO1" s="273"/>
      <c r="AP1" s="273"/>
      <c r="AQ1" s="273"/>
      <c r="AR1" s="273"/>
      <c r="AS1" s="273"/>
      <c r="AT1" s="273"/>
      <c r="AU1" s="273"/>
      <c r="AV1" s="275">
        <f>AV20-AV2</f>
        <v>449119</v>
      </c>
      <c r="AW1" s="273"/>
      <c r="AX1" s="273"/>
      <c r="AY1" s="275"/>
      <c r="AZ1" s="276">
        <f>27500000-AZ20</f>
        <v>-781694</v>
      </c>
      <c r="BA1" s="277"/>
      <c r="BB1" s="278"/>
      <c r="BC1" s="278"/>
      <c r="BD1" s="278"/>
      <c r="BE1" s="278"/>
      <c r="BF1" s="202"/>
      <c r="BG1" s="196"/>
      <c r="BH1" s="196"/>
      <c r="BI1" s="196"/>
      <c r="BJ1" s="279"/>
      <c r="BK1" s="280"/>
      <c r="BL1" s="202"/>
      <c r="BM1" s="202"/>
      <c r="BN1" s="202"/>
      <c r="BO1" s="202"/>
      <c r="BP1" s="202"/>
      <c r="BQ1" s="202"/>
    </row>
    <row r="2" spans="1:69" ht="15.75" customHeight="1">
      <c r="A2" s="1199" t="s">
        <v>437</v>
      </c>
      <c r="B2" s="1200"/>
      <c r="C2" s="265"/>
      <c r="D2" s="281"/>
      <c r="E2" s="265"/>
      <c r="F2" s="271"/>
      <c r="G2" s="276"/>
      <c r="H2" s="276"/>
      <c r="I2" s="266"/>
      <c r="J2" s="274"/>
      <c r="K2" s="273"/>
      <c r="L2" s="273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82"/>
      <c r="Y2" s="266"/>
      <c r="Z2" s="266"/>
      <c r="AA2" s="283"/>
      <c r="AB2" s="266"/>
      <c r="AC2" s="266"/>
      <c r="AD2" s="266"/>
      <c r="AE2" s="266"/>
      <c r="AF2" s="273"/>
      <c r="AG2" s="273"/>
      <c r="AH2" s="276"/>
      <c r="AI2" s="276"/>
      <c r="AJ2" s="273"/>
      <c r="AK2" s="273"/>
      <c r="AL2" s="275"/>
      <c r="AM2" s="284"/>
      <c r="AN2" s="284"/>
      <c r="AO2" s="284"/>
      <c r="AP2" s="284"/>
      <c r="AQ2" s="284"/>
      <c r="AR2" s="284"/>
      <c r="AS2" s="284"/>
      <c r="AT2" s="276"/>
      <c r="AU2" s="276"/>
      <c r="AV2" s="273">
        <v>1430592</v>
      </c>
      <c r="AW2" s="273"/>
      <c r="AX2" s="273"/>
      <c r="AY2" s="276"/>
      <c r="AZ2" s="264"/>
      <c r="BA2" s="275" t="e">
        <f>#REF!+#REF!+#REF!+#REF!+#REF!</f>
        <v>#REF!</v>
      </c>
      <c r="BB2" s="278">
        <v>47000</v>
      </c>
      <c r="BC2" s="278"/>
      <c r="BD2" s="278"/>
      <c r="BE2" s="278"/>
      <c r="BF2" s="202"/>
      <c r="BG2" s="196"/>
      <c r="BH2" s="196"/>
      <c r="BI2" s="196"/>
      <c r="BJ2" s="279"/>
      <c r="BK2" s="280"/>
      <c r="BL2" s="285"/>
      <c r="BM2" s="1201" t="s">
        <v>0</v>
      </c>
      <c r="BN2" s="1156"/>
      <c r="BO2" s="202"/>
      <c r="BP2" s="286">
        <v>13358652</v>
      </c>
      <c r="BQ2" s="202"/>
    </row>
    <row r="3" spans="1:69" ht="22.5" customHeight="1">
      <c r="A3" s="1202" t="s">
        <v>438</v>
      </c>
      <c r="B3" s="1158"/>
      <c r="C3" s="1158"/>
      <c r="D3" s="1158"/>
      <c r="E3" s="1158"/>
      <c r="F3" s="1158"/>
      <c r="G3" s="1158"/>
      <c r="H3" s="1158"/>
      <c r="I3" s="1158"/>
      <c r="J3" s="1158"/>
      <c r="K3" s="1158"/>
      <c r="L3" s="1158"/>
      <c r="M3" s="1158"/>
      <c r="N3" s="1158"/>
      <c r="O3" s="1158"/>
      <c r="P3" s="1158"/>
      <c r="Q3" s="1158"/>
      <c r="R3" s="1158"/>
      <c r="S3" s="1158"/>
      <c r="T3" s="1158"/>
      <c r="U3" s="1158"/>
      <c r="V3" s="1158"/>
      <c r="W3" s="1158"/>
      <c r="X3" s="1158"/>
      <c r="Y3" s="1158"/>
      <c r="Z3" s="1158"/>
      <c r="AA3" s="1158"/>
      <c r="AB3" s="1158"/>
      <c r="AC3" s="1158"/>
      <c r="AD3" s="1158"/>
      <c r="AE3" s="1158"/>
      <c r="AF3" s="1158"/>
      <c r="AG3" s="1158"/>
      <c r="AH3" s="1158"/>
      <c r="AI3" s="1158"/>
      <c r="AJ3" s="1158"/>
      <c r="AK3" s="1158"/>
      <c r="AL3" s="1158"/>
      <c r="AM3" s="1158"/>
      <c r="AN3" s="1158"/>
      <c r="AO3" s="1158"/>
      <c r="AP3" s="1158"/>
      <c r="AQ3" s="1158"/>
      <c r="AR3" s="1158"/>
      <c r="AS3" s="1158"/>
      <c r="AT3" s="1158"/>
      <c r="AU3" s="1158"/>
      <c r="AV3" s="1158"/>
      <c r="AW3" s="1158"/>
      <c r="AX3" s="1158"/>
      <c r="AY3" s="1158"/>
      <c r="AZ3" s="1158"/>
      <c r="BA3" s="1158"/>
      <c r="BB3" s="202"/>
      <c r="BC3" s="202"/>
      <c r="BD3" s="202"/>
      <c r="BE3" s="202"/>
      <c r="BF3" s="202">
        <f>32/21*19</f>
        <v>28.952380952380949</v>
      </c>
      <c r="BG3" s="196"/>
      <c r="BH3" s="287"/>
      <c r="BI3" s="196"/>
      <c r="BJ3" s="279"/>
      <c r="BK3" s="280"/>
      <c r="BL3" s="288"/>
      <c r="BM3" s="288" t="s">
        <v>2</v>
      </c>
      <c r="BN3" s="289" t="e">
        <f>SUM(AZ9:AZ36)</f>
        <v>#N/A</v>
      </c>
      <c r="BO3" s="290" t="e">
        <f>BN3+BN4</f>
        <v>#N/A</v>
      </c>
      <c r="BP3" s="286">
        <v>472375765</v>
      </c>
      <c r="BQ3" s="202"/>
    </row>
    <row r="4" spans="1:69" ht="24.75" customHeight="1">
      <c r="A4" s="1203" t="s">
        <v>3</v>
      </c>
      <c r="B4" s="1146"/>
      <c r="C4" s="291"/>
      <c r="D4" s="291"/>
      <c r="E4" s="291"/>
      <c r="F4" s="291"/>
      <c r="G4" s="1204" t="s">
        <v>4</v>
      </c>
      <c r="H4" s="1145"/>
      <c r="I4" s="1145"/>
      <c r="J4" s="1145"/>
      <c r="K4" s="1145"/>
      <c r="L4" s="1145"/>
      <c r="M4" s="1145"/>
      <c r="N4" s="1145"/>
      <c r="O4" s="1145"/>
      <c r="P4" s="1145"/>
      <c r="Q4" s="1145"/>
      <c r="R4" s="1145"/>
      <c r="S4" s="1146"/>
      <c r="T4" s="292"/>
      <c r="U4" s="1205" t="s">
        <v>5</v>
      </c>
      <c r="V4" s="1145"/>
      <c r="W4" s="1145"/>
      <c r="X4" s="1145"/>
      <c r="Y4" s="1146"/>
      <c r="Z4" s="291"/>
      <c r="AA4" s="1206" t="s">
        <v>6</v>
      </c>
      <c r="AB4" s="1145"/>
      <c r="AC4" s="1145"/>
      <c r="AD4" s="1146"/>
      <c r="AE4" s="293"/>
      <c r="AF4" s="1217" t="s">
        <v>7</v>
      </c>
      <c r="AG4" s="1145"/>
      <c r="AH4" s="1145"/>
      <c r="AI4" s="1145"/>
      <c r="AJ4" s="1145"/>
      <c r="AK4" s="1145"/>
      <c r="AL4" s="1146"/>
      <c r="AM4" s="1218" t="s">
        <v>8</v>
      </c>
      <c r="AN4" s="1209" t="s">
        <v>9</v>
      </c>
      <c r="AO4" s="1145"/>
      <c r="AP4" s="1146"/>
      <c r="AQ4" s="1210" t="s">
        <v>10</v>
      </c>
      <c r="AR4" s="1145"/>
      <c r="AS4" s="1145"/>
      <c r="AT4" s="1145"/>
      <c r="AU4" s="1145"/>
      <c r="AV4" s="1146"/>
      <c r="AW4" s="1207" t="s">
        <v>11</v>
      </c>
      <c r="AX4" s="1145"/>
      <c r="AY4" s="1145"/>
      <c r="AZ4" s="1146"/>
      <c r="BA4" s="1211" t="s">
        <v>12</v>
      </c>
      <c r="BB4" s="1212" t="s">
        <v>13</v>
      </c>
      <c r="BC4" s="281"/>
      <c r="BD4" s="281"/>
      <c r="BE4" s="281"/>
      <c r="BF4" s="202"/>
      <c r="BG4" s="196"/>
      <c r="BH4" s="196">
        <f>BH13/21*11</f>
        <v>10440073.80952381</v>
      </c>
      <c r="BI4" s="196"/>
      <c r="BJ4" s="279"/>
      <c r="BK4" s="280"/>
      <c r="BL4" s="294"/>
      <c r="BM4" s="294" t="s">
        <v>14</v>
      </c>
      <c r="BN4" s="295" t="e">
        <f>SUM(BA9:BA36)</f>
        <v>#N/A</v>
      </c>
      <c r="BO4" s="202"/>
      <c r="BP4" s="202"/>
      <c r="BQ4" s="202"/>
    </row>
    <row r="5" spans="1:69" ht="21" customHeight="1">
      <c r="A5" s="1212" t="s">
        <v>15</v>
      </c>
      <c r="B5" s="1212" t="s">
        <v>17</v>
      </c>
      <c r="C5" s="1212" t="s">
        <v>18</v>
      </c>
      <c r="D5" s="1212" t="s">
        <v>19</v>
      </c>
      <c r="E5" s="1212" t="s">
        <v>20</v>
      </c>
      <c r="F5" s="1212" t="s">
        <v>21</v>
      </c>
      <c r="G5" s="1204" t="s">
        <v>22</v>
      </c>
      <c r="H5" s="1146"/>
      <c r="I5" s="1204" t="s">
        <v>23</v>
      </c>
      <c r="J5" s="1145"/>
      <c r="K5" s="1146"/>
      <c r="L5" s="1212" t="s">
        <v>24</v>
      </c>
      <c r="M5" s="1204" t="s">
        <v>25</v>
      </c>
      <c r="N5" s="1145"/>
      <c r="O5" s="1145"/>
      <c r="P5" s="1145"/>
      <c r="Q5" s="1145"/>
      <c r="R5" s="1145"/>
      <c r="S5" s="1146"/>
      <c r="T5" s="296"/>
      <c r="U5" s="1214" t="s">
        <v>26</v>
      </c>
      <c r="V5" s="1214" t="s">
        <v>27</v>
      </c>
      <c r="W5" s="1214" t="s">
        <v>28</v>
      </c>
      <c r="X5" s="1214" t="s">
        <v>29</v>
      </c>
      <c r="Y5" s="1214" t="s">
        <v>30</v>
      </c>
      <c r="Z5" s="1212" t="s">
        <v>31</v>
      </c>
      <c r="AA5" s="1214" t="s">
        <v>32</v>
      </c>
      <c r="AB5" s="1213" t="s">
        <v>33</v>
      </c>
      <c r="AC5" s="1213" t="s">
        <v>34</v>
      </c>
      <c r="AD5" s="1213" t="s">
        <v>35</v>
      </c>
      <c r="AE5" s="1213" t="s">
        <v>36</v>
      </c>
      <c r="AF5" s="1214" t="s">
        <v>37</v>
      </c>
      <c r="AG5" s="1213" t="s">
        <v>38</v>
      </c>
      <c r="AH5" s="1213" t="s">
        <v>39</v>
      </c>
      <c r="AI5" s="1213" t="s">
        <v>40</v>
      </c>
      <c r="AJ5" s="1213" t="s">
        <v>41</v>
      </c>
      <c r="AK5" s="1216" t="s">
        <v>42</v>
      </c>
      <c r="AL5" s="1219" t="s">
        <v>43</v>
      </c>
      <c r="AM5" s="1150"/>
      <c r="AN5" s="1213" t="s">
        <v>44</v>
      </c>
      <c r="AO5" s="1213" t="s">
        <v>45</v>
      </c>
      <c r="AP5" s="1213" t="s">
        <v>46</v>
      </c>
      <c r="AQ5" s="1214" t="s">
        <v>47</v>
      </c>
      <c r="AR5" s="1214" t="s">
        <v>48</v>
      </c>
      <c r="AS5" s="1214" t="s">
        <v>49</v>
      </c>
      <c r="AT5" s="1214" t="s">
        <v>50</v>
      </c>
      <c r="AU5" s="1215" t="s">
        <v>51</v>
      </c>
      <c r="AV5" s="1146"/>
      <c r="AW5" s="1214" t="s">
        <v>52</v>
      </c>
      <c r="AX5" s="1208" t="s">
        <v>53</v>
      </c>
      <c r="AY5" s="1208" t="s">
        <v>54</v>
      </c>
      <c r="AZ5" s="1214" t="s">
        <v>55</v>
      </c>
      <c r="BA5" s="1150"/>
      <c r="BB5" s="1150"/>
      <c r="BC5" s="281"/>
      <c r="BD5" s="281"/>
      <c r="BE5" s="281"/>
      <c r="BF5" s="202"/>
      <c r="BG5" s="196"/>
      <c r="BH5" s="196"/>
      <c r="BI5" s="196"/>
      <c r="BJ5" s="279"/>
      <c r="BK5" s="280"/>
      <c r="BL5" s="202" t="s">
        <v>56</v>
      </c>
      <c r="BM5" s="202"/>
      <c r="BN5" s="202"/>
      <c r="BO5" s="202"/>
      <c r="BP5" s="202"/>
      <c r="BQ5" s="286">
        <v>549869632</v>
      </c>
    </row>
    <row r="6" spans="1:69" ht="37.5" customHeight="1">
      <c r="A6" s="1141"/>
      <c r="B6" s="1141"/>
      <c r="C6" s="1141"/>
      <c r="D6" s="1141"/>
      <c r="E6" s="1141"/>
      <c r="F6" s="1141"/>
      <c r="G6" s="293" t="s">
        <v>57</v>
      </c>
      <c r="H6" s="293" t="s">
        <v>58</v>
      </c>
      <c r="I6" s="296" t="s">
        <v>59</v>
      </c>
      <c r="J6" s="297" t="s">
        <v>60</v>
      </c>
      <c r="K6" s="298" t="s">
        <v>61</v>
      </c>
      <c r="L6" s="1141"/>
      <c r="M6" s="293" t="s">
        <v>62</v>
      </c>
      <c r="N6" s="298" t="s">
        <v>63</v>
      </c>
      <c r="O6" s="298" t="s">
        <v>64</v>
      </c>
      <c r="P6" s="298" t="s">
        <v>65</v>
      </c>
      <c r="Q6" s="298" t="s">
        <v>66</v>
      </c>
      <c r="R6" s="298" t="s">
        <v>67</v>
      </c>
      <c r="S6" s="298" t="s">
        <v>61</v>
      </c>
      <c r="T6" s="296" t="s">
        <v>181</v>
      </c>
      <c r="U6" s="1141"/>
      <c r="V6" s="1141"/>
      <c r="W6" s="1141"/>
      <c r="X6" s="1141"/>
      <c r="Y6" s="1141"/>
      <c r="Z6" s="1141"/>
      <c r="AA6" s="1141"/>
      <c r="AB6" s="1141"/>
      <c r="AC6" s="1141"/>
      <c r="AD6" s="1141"/>
      <c r="AE6" s="1141"/>
      <c r="AF6" s="1141"/>
      <c r="AG6" s="1141"/>
      <c r="AH6" s="1141"/>
      <c r="AI6" s="1141"/>
      <c r="AJ6" s="1141"/>
      <c r="AK6" s="1141"/>
      <c r="AL6" s="1141"/>
      <c r="AM6" s="1141"/>
      <c r="AN6" s="1141"/>
      <c r="AO6" s="1141"/>
      <c r="AP6" s="1141"/>
      <c r="AQ6" s="1141"/>
      <c r="AR6" s="1141"/>
      <c r="AS6" s="1141"/>
      <c r="AT6" s="1141"/>
      <c r="AU6" s="296" t="s">
        <v>68</v>
      </c>
      <c r="AV6" s="296" t="s">
        <v>69</v>
      </c>
      <c r="AW6" s="1141"/>
      <c r="AX6" s="1141"/>
      <c r="AY6" s="1141"/>
      <c r="AZ6" s="1141"/>
      <c r="BA6" s="1141"/>
      <c r="BB6" s="1141"/>
      <c r="BC6" s="281" t="s">
        <v>439</v>
      </c>
      <c r="BD6" s="281" t="s">
        <v>182</v>
      </c>
      <c r="BE6" s="281" t="s">
        <v>440</v>
      </c>
      <c r="BF6" s="299" t="s">
        <v>183</v>
      </c>
      <c r="BG6" s="300" t="s">
        <v>441</v>
      </c>
      <c r="BH6" s="300" t="s">
        <v>441</v>
      </c>
      <c r="BI6" s="300" t="s">
        <v>442</v>
      </c>
      <c r="BJ6" s="301" t="s">
        <v>443</v>
      </c>
      <c r="BK6" s="301" t="s">
        <v>184</v>
      </c>
      <c r="BL6" s="202"/>
      <c r="BM6" s="202" t="s">
        <v>185</v>
      </c>
      <c r="BN6" s="202" t="s">
        <v>186</v>
      </c>
      <c r="BO6" s="202"/>
      <c r="BP6" s="202"/>
      <c r="BQ6" s="286" t="e">
        <f>BQ5-BN4</f>
        <v>#N/A</v>
      </c>
    </row>
    <row r="7" spans="1:69" ht="23.25" customHeight="1">
      <c r="A7" s="302"/>
      <c r="B7" s="302"/>
      <c r="C7" s="302"/>
      <c r="D7" s="302"/>
      <c r="E7" s="302"/>
      <c r="F7" s="302"/>
      <c r="G7" s="302" t="s">
        <v>77</v>
      </c>
      <c r="H7" s="302"/>
      <c r="I7" s="302" t="s">
        <v>77</v>
      </c>
      <c r="J7" s="303" t="s">
        <v>77</v>
      </c>
      <c r="K7" s="302" t="s">
        <v>77</v>
      </c>
      <c r="L7" s="302" t="s">
        <v>77</v>
      </c>
      <c r="M7" s="302" t="s">
        <v>77</v>
      </c>
      <c r="N7" s="302" t="s">
        <v>77</v>
      </c>
      <c r="O7" s="302" t="s">
        <v>77</v>
      </c>
      <c r="P7" s="302"/>
      <c r="Q7" s="302" t="s">
        <v>77</v>
      </c>
      <c r="R7" s="302" t="s">
        <v>77</v>
      </c>
      <c r="S7" s="302" t="s">
        <v>77</v>
      </c>
      <c r="T7" s="302" t="s">
        <v>77</v>
      </c>
      <c r="U7" s="302" t="s">
        <v>77</v>
      </c>
      <c r="V7" s="302"/>
      <c r="W7" s="302" t="s">
        <v>78</v>
      </c>
      <c r="X7" s="302" t="s">
        <v>78</v>
      </c>
      <c r="Y7" s="302" t="s">
        <v>78</v>
      </c>
      <c r="Z7" s="302"/>
      <c r="AA7" s="302" t="s">
        <v>77</v>
      </c>
      <c r="AB7" s="302" t="s">
        <v>77</v>
      </c>
      <c r="AC7" s="302" t="s">
        <v>77</v>
      </c>
      <c r="AD7" s="302" t="s">
        <v>77</v>
      </c>
      <c r="AE7" s="302"/>
      <c r="AF7" s="302" t="s">
        <v>77</v>
      </c>
      <c r="AG7" s="302" t="s">
        <v>77</v>
      </c>
      <c r="AH7" s="302" t="s">
        <v>77</v>
      </c>
      <c r="AI7" s="302" t="s">
        <v>77</v>
      </c>
      <c r="AJ7" s="302" t="s">
        <v>77</v>
      </c>
      <c r="AK7" s="302"/>
      <c r="AL7" s="302" t="s">
        <v>77</v>
      </c>
      <c r="AM7" s="302" t="s">
        <v>77</v>
      </c>
      <c r="AN7" s="302" t="s">
        <v>77</v>
      </c>
      <c r="AO7" s="302" t="s">
        <v>77</v>
      </c>
      <c r="AP7" s="302" t="s">
        <v>77</v>
      </c>
      <c r="AQ7" s="302" t="s">
        <v>79</v>
      </c>
      <c r="AR7" s="302" t="s">
        <v>80</v>
      </c>
      <c r="AS7" s="302" t="s">
        <v>80</v>
      </c>
      <c r="AT7" s="302" t="s">
        <v>80</v>
      </c>
      <c r="AU7" s="302"/>
      <c r="AV7" s="302" t="s">
        <v>80</v>
      </c>
      <c r="AW7" s="302" t="s">
        <v>80</v>
      </c>
      <c r="AX7" s="302" t="s">
        <v>80</v>
      </c>
      <c r="AY7" s="302" t="s">
        <v>80</v>
      </c>
      <c r="AZ7" s="302" t="s">
        <v>80</v>
      </c>
      <c r="BA7" s="302" t="s">
        <v>80</v>
      </c>
      <c r="BB7" s="304"/>
      <c r="BC7" s="299"/>
      <c r="BD7" s="299"/>
      <c r="BE7" s="299"/>
      <c r="BF7" s="305"/>
      <c r="BG7" s="306"/>
      <c r="BH7" s="306"/>
      <c r="BI7" s="306"/>
      <c r="BJ7" s="307"/>
      <c r="BK7" s="308"/>
      <c r="BL7" s="305"/>
      <c r="BM7" s="305"/>
      <c r="BN7" s="305"/>
      <c r="BO7" s="305"/>
      <c r="BP7" s="305"/>
      <c r="BQ7" s="305"/>
    </row>
    <row r="8" spans="1:69" ht="21" customHeight="1">
      <c r="A8" s="309"/>
      <c r="B8" s="309"/>
      <c r="C8" s="309"/>
      <c r="D8" s="304"/>
      <c r="E8" s="309"/>
      <c r="F8" s="309"/>
      <c r="G8" s="310">
        <v>1</v>
      </c>
      <c r="H8" s="310"/>
      <c r="I8" s="310">
        <v>2</v>
      </c>
      <c r="J8" s="311">
        <v>3</v>
      </c>
      <c r="K8" s="310">
        <v>4</v>
      </c>
      <c r="L8" s="310">
        <v>5</v>
      </c>
      <c r="M8" s="310">
        <v>5</v>
      </c>
      <c r="N8" s="310">
        <v>6</v>
      </c>
      <c r="O8" s="310">
        <v>7</v>
      </c>
      <c r="P8" s="310"/>
      <c r="Q8" s="310">
        <v>8</v>
      </c>
      <c r="R8" s="310">
        <v>9</v>
      </c>
      <c r="S8" s="310">
        <v>10</v>
      </c>
      <c r="T8" s="310"/>
      <c r="U8" s="310">
        <v>11</v>
      </c>
      <c r="V8" s="310">
        <v>12</v>
      </c>
      <c r="W8" s="310">
        <v>13</v>
      </c>
      <c r="X8" s="310">
        <v>14</v>
      </c>
      <c r="Y8" s="310">
        <v>15</v>
      </c>
      <c r="Z8" s="310"/>
      <c r="AA8" s="310">
        <v>16</v>
      </c>
      <c r="AB8" s="310">
        <v>17</v>
      </c>
      <c r="AC8" s="310">
        <v>18</v>
      </c>
      <c r="AD8" s="310">
        <v>19</v>
      </c>
      <c r="AE8" s="310"/>
      <c r="AF8" s="310">
        <v>23</v>
      </c>
      <c r="AG8" s="310">
        <v>24</v>
      </c>
      <c r="AH8" s="310">
        <v>26</v>
      </c>
      <c r="AI8" s="310">
        <v>27</v>
      </c>
      <c r="AJ8" s="310">
        <v>28</v>
      </c>
      <c r="AK8" s="310">
        <v>29</v>
      </c>
      <c r="AL8" s="310">
        <v>30</v>
      </c>
      <c r="AM8" s="310">
        <v>31</v>
      </c>
      <c r="AN8" s="310">
        <v>32</v>
      </c>
      <c r="AO8" s="310">
        <v>33</v>
      </c>
      <c r="AP8" s="310">
        <v>34</v>
      </c>
      <c r="AQ8" s="310">
        <v>35</v>
      </c>
      <c r="AR8" s="310">
        <v>36</v>
      </c>
      <c r="AS8" s="310">
        <v>37</v>
      </c>
      <c r="AT8" s="310">
        <v>38</v>
      </c>
      <c r="AU8" s="310">
        <v>39</v>
      </c>
      <c r="AV8" s="310">
        <v>40</v>
      </c>
      <c r="AW8" s="310">
        <v>41</v>
      </c>
      <c r="AX8" s="310">
        <v>42</v>
      </c>
      <c r="AY8" s="310">
        <v>43</v>
      </c>
      <c r="AZ8" s="310">
        <v>44</v>
      </c>
      <c r="BA8" s="310">
        <v>47</v>
      </c>
      <c r="BB8" s="310"/>
      <c r="BC8" s="299"/>
      <c r="BD8" s="299"/>
      <c r="BE8" s="299"/>
      <c r="BF8" s="312"/>
      <c r="BG8" s="313"/>
      <c r="BH8" s="313"/>
      <c r="BI8" s="314"/>
      <c r="BJ8" s="279"/>
      <c r="BK8" s="280"/>
      <c r="BL8" s="202"/>
      <c r="BM8" s="202"/>
      <c r="BN8" s="202"/>
      <c r="BO8" s="202"/>
      <c r="BP8" s="202"/>
      <c r="BQ8" s="202"/>
    </row>
    <row r="9" spans="1:69" ht="24.75" customHeight="1">
      <c r="A9" s="315">
        <v>1</v>
      </c>
      <c r="B9" s="202" t="s">
        <v>90</v>
      </c>
      <c r="C9" s="316" t="s">
        <v>91</v>
      </c>
      <c r="D9" s="316" t="s">
        <v>187</v>
      </c>
      <c r="E9" s="315"/>
      <c r="F9" s="315" t="s">
        <v>85</v>
      </c>
      <c r="G9" s="316"/>
      <c r="H9" s="316"/>
      <c r="I9" s="316"/>
      <c r="J9" s="317"/>
      <c r="K9" s="318"/>
      <c r="L9" s="319">
        <f>26298235+23500000+2000000</f>
        <v>51798235</v>
      </c>
      <c r="M9" s="319">
        <f t="shared" ref="M9:M29" si="0">L9</f>
        <v>51798235</v>
      </c>
      <c r="N9" s="320">
        <f>VLOOKUP(B9,BHXH!$E$7:$F$12,2,0)</f>
        <v>5310000</v>
      </c>
      <c r="O9" s="320">
        <f t="shared" ref="O9:O23" si="1">M9-(N9+P9+Q9+R9+S9)</f>
        <v>43858235</v>
      </c>
      <c r="P9" s="320">
        <v>500000</v>
      </c>
      <c r="Q9" s="320">
        <v>400000</v>
      </c>
      <c r="R9" s="320">
        <v>1000000</v>
      </c>
      <c r="S9" s="320">
        <v>730000</v>
      </c>
      <c r="T9" s="320">
        <f t="shared" ref="T9:T23" si="2">SUM(Q9:S9)</f>
        <v>2130000</v>
      </c>
      <c r="U9" s="321">
        <f t="shared" ref="U9:U36" si="3">SUM(W9:Y9)</f>
        <v>21</v>
      </c>
      <c r="V9" s="321">
        <v>21</v>
      </c>
      <c r="W9" s="316"/>
      <c r="X9" s="321"/>
      <c r="Y9" s="322">
        <v>21</v>
      </c>
      <c r="Z9" s="320">
        <f t="shared" ref="Z9:Z23" si="4">M9-Q9-R9-S9</f>
        <v>49668235</v>
      </c>
      <c r="AA9" s="319">
        <f t="shared" ref="AA9:AA29" si="5">SUM(AB9:AD9)</f>
        <v>51798235</v>
      </c>
      <c r="AB9" s="320">
        <f t="shared" ref="AB9:AB36" si="6">ROUND($G9/V9*W9,0)</f>
        <v>0</v>
      </c>
      <c r="AC9" s="320">
        <f t="shared" ref="AC9:AC36" si="7">ROUND(I9/V9*X9,0)</f>
        <v>0</v>
      </c>
      <c r="AD9" s="320">
        <f t="shared" ref="AD9:AD36" si="8">ROUND($M9/V9*Y9,0)</f>
        <v>51798235</v>
      </c>
      <c r="AE9" s="320"/>
      <c r="AF9" s="320">
        <f t="shared" ref="AF9:AF36" si="9">SUM(AG9:AL9)</f>
        <v>0</v>
      </c>
      <c r="AG9" s="321"/>
      <c r="AH9" s="321"/>
      <c r="AI9" s="321"/>
      <c r="AJ9" s="320">
        <v>0</v>
      </c>
      <c r="AK9" s="321"/>
      <c r="AL9" s="321"/>
      <c r="AM9" s="319">
        <f t="shared" ref="AM9:AM36" si="10">AA9+AF9</f>
        <v>51798235</v>
      </c>
      <c r="AN9" s="320">
        <f>VLOOKUP(B9,BHXH!$E$7:$F$12,2,0)</f>
        <v>5310000</v>
      </c>
      <c r="AO9" s="320">
        <f t="shared" ref="AO9:AO23" si="11">$AN9*10.5%</f>
        <v>557550</v>
      </c>
      <c r="AP9" s="320">
        <f t="shared" ref="AP9:AP23" si="12">$AN9*21.5%</f>
        <v>1141650</v>
      </c>
      <c r="AQ9" s="323">
        <v>3</v>
      </c>
      <c r="AR9" s="324">
        <f t="shared" ref="AR9:AR24" si="13">IF($E9=10%,0,(AQ9*4400000+11000000))</f>
        <v>24200000</v>
      </c>
      <c r="AS9" s="324">
        <f t="shared" ref="AS9:AS36" si="14">AM9-(Q9+R9+S9)/V9*U9</f>
        <v>49668235</v>
      </c>
      <c r="AT9" s="320">
        <f t="shared" ref="AT9:AT36" si="15">ROUND(IF((AS9-AR9-AO9)&lt;0,0,(AS9-AR9-AO9)),0)</f>
        <v>24910685</v>
      </c>
      <c r="AU9" s="324"/>
      <c r="AV9" s="324">
        <f t="shared" ref="AV9:AV23" si="16">ROUND(IF(AU9&gt;0,0,IF(AT9&lt;5000000,AT9*5%,IF(AT9&lt;10000000,250000+(AT9-5000000)*10%,IF(AT9&lt;18000000,750000+(AT9-10000000)*15%,IF(AT9&lt;32000000,1950000+(AT9-18000000)*20%,IF(AT9&lt;52000000,4750000+(AT9-32000000)*25%,IF(AT9&lt;80000000,9750000+(AT9-52000000)*30%,IF(AT9&lt;400000000,18150000+(AT9-80000000)*35%,0)))))))),0)</f>
        <v>3332137</v>
      </c>
      <c r="AW9" s="320">
        <f t="shared" ref="AW9:AW36" si="17">AM9-AO9-AV9-AU9</f>
        <v>47908548</v>
      </c>
      <c r="AX9" s="321"/>
      <c r="AY9" s="321"/>
      <c r="AZ9" s="320">
        <f t="shared" ref="AZ9:AZ36" si="18">ROUND(AW9-AX9+AY9,0)</f>
        <v>47908548</v>
      </c>
      <c r="BA9" s="324">
        <f t="shared" ref="BA9:BA36" si="19">AM9+AP9</f>
        <v>52939885</v>
      </c>
      <c r="BB9" s="325"/>
      <c r="BC9" s="326">
        <f t="shared" ref="BC9:BC36" si="20">U9</f>
        <v>21</v>
      </c>
      <c r="BD9" s="326">
        <f t="shared" ref="BD9:BD36" si="21">AJ9</f>
        <v>0</v>
      </c>
      <c r="BE9" s="197">
        <v>0</v>
      </c>
      <c r="BF9" s="286">
        <f t="shared" ref="BF9:BF36" si="22">T9/V9*U9</f>
        <v>2130000</v>
      </c>
      <c r="BG9" s="196" t="str">
        <f t="shared" ref="BG9:BG36" si="23">B9</f>
        <v>Bùi Văn Điệp</v>
      </c>
      <c r="BH9" s="197">
        <v>47598588</v>
      </c>
      <c r="BI9" s="196">
        <v>22</v>
      </c>
      <c r="BJ9" s="327">
        <f t="shared" ref="BJ9:BJ36" si="24">AZ9-BH9</f>
        <v>309960</v>
      </c>
      <c r="BK9" s="280"/>
      <c r="BL9" s="328" t="s">
        <v>94</v>
      </c>
      <c r="BM9" s="329" t="s">
        <v>188</v>
      </c>
      <c r="BN9" s="330" t="s">
        <v>189</v>
      </c>
      <c r="BO9" s="329" t="s">
        <v>444</v>
      </c>
      <c r="BP9" s="331" t="s">
        <v>190</v>
      </c>
      <c r="BQ9" s="295"/>
    </row>
    <row r="10" spans="1:69" ht="22.5" customHeight="1">
      <c r="A10" s="315">
        <v>2</v>
      </c>
      <c r="B10" s="316" t="s">
        <v>97</v>
      </c>
      <c r="C10" s="316" t="s">
        <v>98</v>
      </c>
      <c r="D10" s="316" t="s">
        <v>92</v>
      </c>
      <c r="E10" s="315"/>
      <c r="F10" s="315" t="s">
        <v>85</v>
      </c>
      <c r="G10" s="316"/>
      <c r="H10" s="316"/>
      <c r="I10" s="316"/>
      <c r="J10" s="317"/>
      <c r="K10" s="318"/>
      <c r="L10" s="319">
        <f>36728000+4000000</f>
        <v>40728000</v>
      </c>
      <c r="M10" s="319">
        <f t="shared" si="0"/>
        <v>40728000</v>
      </c>
      <c r="N10" s="320">
        <f>VLOOKUP(B10,BHXH!$E$7:$F$12,2,0)</f>
        <v>5310000</v>
      </c>
      <c r="O10" s="320">
        <f t="shared" si="1"/>
        <v>33038000</v>
      </c>
      <c r="P10" s="320">
        <v>250000</v>
      </c>
      <c r="Q10" s="320">
        <v>400000</v>
      </c>
      <c r="R10" s="320">
        <v>1000000</v>
      </c>
      <c r="S10" s="320">
        <v>730000</v>
      </c>
      <c r="T10" s="320">
        <f t="shared" si="2"/>
        <v>2130000</v>
      </c>
      <c r="U10" s="321">
        <f t="shared" si="3"/>
        <v>21</v>
      </c>
      <c r="V10" s="321">
        <v>21</v>
      </c>
      <c r="W10" s="316"/>
      <c r="X10" s="316"/>
      <c r="Y10" s="322">
        <f>VLOOKUP(B10,'Bảng công_092024'!$AR$31:$AT$57,3,0)</f>
        <v>21</v>
      </c>
      <c r="Z10" s="320">
        <f t="shared" si="4"/>
        <v>38598000</v>
      </c>
      <c r="AA10" s="319">
        <f t="shared" si="5"/>
        <v>40728000</v>
      </c>
      <c r="AB10" s="320">
        <f t="shared" si="6"/>
        <v>0</v>
      </c>
      <c r="AC10" s="320">
        <f t="shared" si="7"/>
        <v>0</v>
      </c>
      <c r="AD10" s="320">
        <f t="shared" si="8"/>
        <v>40728000</v>
      </c>
      <c r="AE10" s="320"/>
      <c r="AF10" s="320">
        <f t="shared" si="9"/>
        <v>0</v>
      </c>
      <c r="AG10" s="316"/>
      <c r="AH10" s="316"/>
      <c r="AI10" s="316"/>
      <c r="AJ10" s="320">
        <f>-VLOOKUP(B10,'Bảng công_092024'!$AR$31:$AS$57,2,0)</f>
        <v>0</v>
      </c>
      <c r="AK10" s="316"/>
      <c r="AL10" s="324"/>
      <c r="AM10" s="319">
        <f t="shared" si="10"/>
        <v>40728000</v>
      </c>
      <c r="AN10" s="320">
        <f>VLOOKUP(B10,BHXH!$E$7:$F$12,2,0)</f>
        <v>5310000</v>
      </c>
      <c r="AO10" s="320">
        <f t="shared" si="11"/>
        <v>557550</v>
      </c>
      <c r="AP10" s="320">
        <f t="shared" si="12"/>
        <v>1141650</v>
      </c>
      <c r="AQ10" s="316">
        <v>0</v>
      </c>
      <c r="AR10" s="324">
        <f t="shared" si="13"/>
        <v>11000000</v>
      </c>
      <c r="AS10" s="324">
        <f t="shared" si="14"/>
        <v>38598000</v>
      </c>
      <c r="AT10" s="320">
        <f t="shared" si="15"/>
        <v>27040450</v>
      </c>
      <c r="AU10" s="324"/>
      <c r="AV10" s="324">
        <f t="shared" si="16"/>
        <v>3758090</v>
      </c>
      <c r="AW10" s="320">
        <f t="shared" si="17"/>
        <v>36412360</v>
      </c>
      <c r="AX10" s="316"/>
      <c r="AY10" s="316"/>
      <c r="AZ10" s="320">
        <f t="shared" si="18"/>
        <v>36412360</v>
      </c>
      <c r="BA10" s="324">
        <f t="shared" si="19"/>
        <v>41869650</v>
      </c>
      <c r="BB10" s="325"/>
      <c r="BC10" s="326">
        <f t="shared" si="20"/>
        <v>21</v>
      </c>
      <c r="BD10" s="326">
        <f t="shared" si="21"/>
        <v>0</v>
      </c>
      <c r="BE10" s="197">
        <v>0</v>
      </c>
      <c r="BF10" s="286">
        <f t="shared" si="22"/>
        <v>2130000</v>
      </c>
      <c r="BG10" s="196" t="str">
        <f t="shared" si="23"/>
        <v>Nguyễn Ngọc Anh</v>
      </c>
      <c r="BH10" s="197">
        <v>36430000</v>
      </c>
      <c r="BI10" s="196">
        <v>22</v>
      </c>
      <c r="BJ10" s="327">
        <f t="shared" si="24"/>
        <v>-17640</v>
      </c>
      <c r="BK10" s="280"/>
      <c r="BL10" s="289"/>
      <c r="BM10" s="329" t="s">
        <v>191</v>
      </c>
      <c r="BN10" s="330" t="s">
        <v>192</v>
      </c>
      <c r="BO10" s="329" t="s">
        <v>444</v>
      </c>
      <c r="BP10" s="331" t="s">
        <v>190</v>
      </c>
      <c r="BQ10" s="295"/>
    </row>
    <row r="11" spans="1:69" ht="27" customHeight="1">
      <c r="A11" s="315">
        <v>3</v>
      </c>
      <c r="B11" s="316" t="s">
        <v>101</v>
      </c>
      <c r="C11" s="316" t="s">
        <v>102</v>
      </c>
      <c r="D11" s="316" t="s">
        <v>92</v>
      </c>
      <c r="E11" s="315"/>
      <c r="F11" s="315" t="s">
        <v>85</v>
      </c>
      <c r="G11" s="316"/>
      <c r="H11" s="316"/>
      <c r="I11" s="316"/>
      <c r="J11" s="317"/>
      <c r="K11" s="318"/>
      <c r="L11" s="319">
        <f>31000000+1000000</f>
        <v>32000000</v>
      </c>
      <c r="M11" s="319">
        <f t="shared" si="0"/>
        <v>32000000</v>
      </c>
      <c r="N11" s="320" t="e">
        <f>VLOOKUP(B11,BHXH!$E$7:$F$12,2,0)</f>
        <v>#N/A</v>
      </c>
      <c r="O11" s="320" t="e">
        <f t="shared" si="1"/>
        <v>#N/A</v>
      </c>
      <c r="P11" s="320">
        <v>250000</v>
      </c>
      <c r="Q11" s="320">
        <v>400000</v>
      </c>
      <c r="R11" s="320">
        <v>500000</v>
      </c>
      <c r="S11" s="320">
        <v>730000</v>
      </c>
      <c r="T11" s="320">
        <f t="shared" si="2"/>
        <v>1630000</v>
      </c>
      <c r="U11" s="321">
        <f t="shared" si="3"/>
        <v>21</v>
      </c>
      <c r="V11" s="321">
        <v>21</v>
      </c>
      <c r="W11" s="316"/>
      <c r="X11" s="316"/>
      <c r="Y11" s="322">
        <f>VLOOKUP(B11,'Bảng công_092024'!$AR$31:$AT$57,3,0)</f>
        <v>21</v>
      </c>
      <c r="Z11" s="320">
        <f t="shared" si="4"/>
        <v>30370000</v>
      </c>
      <c r="AA11" s="319">
        <f t="shared" si="5"/>
        <v>32000000</v>
      </c>
      <c r="AB11" s="320">
        <f t="shared" si="6"/>
        <v>0</v>
      </c>
      <c r="AC11" s="320">
        <f t="shared" si="7"/>
        <v>0</v>
      </c>
      <c r="AD11" s="320">
        <f t="shared" si="8"/>
        <v>32000000</v>
      </c>
      <c r="AE11" s="320"/>
      <c r="AF11" s="320">
        <f t="shared" si="9"/>
        <v>-75000</v>
      </c>
      <c r="AG11" s="316"/>
      <c r="AH11" s="316"/>
      <c r="AI11" s="316"/>
      <c r="AJ11" s="320">
        <f>-VLOOKUP(B11,'Bảng công_092024'!$AR$31:$AS$57,2,0)</f>
        <v>-75000</v>
      </c>
      <c r="AK11" s="316"/>
      <c r="AL11" s="324"/>
      <c r="AM11" s="319">
        <f t="shared" si="10"/>
        <v>31925000</v>
      </c>
      <c r="AN11" s="320" t="e">
        <f>VLOOKUP(B11,BHXH!$E$7:$F$12,2,0)</f>
        <v>#N/A</v>
      </c>
      <c r="AO11" s="320" t="e">
        <f t="shared" si="11"/>
        <v>#N/A</v>
      </c>
      <c r="AP11" s="320" t="e">
        <f t="shared" si="12"/>
        <v>#N/A</v>
      </c>
      <c r="AQ11" s="316">
        <v>0</v>
      </c>
      <c r="AR11" s="324">
        <f t="shared" si="13"/>
        <v>11000000</v>
      </c>
      <c r="AS11" s="324">
        <f t="shared" si="14"/>
        <v>30295000</v>
      </c>
      <c r="AT11" s="320" t="e">
        <f t="shared" si="15"/>
        <v>#N/A</v>
      </c>
      <c r="AU11" s="324"/>
      <c r="AV11" s="324" t="e">
        <f t="shared" si="16"/>
        <v>#N/A</v>
      </c>
      <c r="AW11" s="320" t="e">
        <f t="shared" si="17"/>
        <v>#N/A</v>
      </c>
      <c r="AX11" s="316"/>
      <c r="AY11" s="316"/>
      <c r="AZ11" s="320" t="e">
        <f t="shared" si="18"/>
        <v>#N/A</v>
      </c>
      <c r="BA11" s="324" t="e">
        <f t="shared" si="19"/>
        <v>#N/A</v>
      </c>
      <c r="BB11" s="332"/>
      <c r="BC11" s="326">
        <f t="shared" si="20"/>
        <v>21</v>
      </c>
      <c r="BD11" s="326">
        <f t="shared" si="21"/>
        <v>-75000</v>
      </c>
      <c r="BE11" s="197">
        <v>-375000</v>
      </c>
      <c r="BF11" s="286">
        <f t="shared" si="22"/>
        <v>1630000</v>
      </c>
      <c r="BG11" s="196" t="str">
        <f t="shared" si="23"/>
        <v>Phan Thanh Tùng</v>
      </c>
      <c r="BH11" s="197">
        <v>29047600</v>
      </c>
      <c r="BI11" s="196">
        <v>22</v>
      </c>
      <c r="BJ11" s="327" t="e">
        <f t="shared" si="24"/>
        <v>#N/A</v>
      </c>
      <c r="BK11" s="280" t="s">
        <v>445</v>
      </c>
      <c r="BL11" s="289"/>
      <c r="BM11" s="333" t="s">
        <v>193</v>
      </c>
      <c r="BN11" s="334" t="s">
        <v>194</v>
      </c>
      <c r="BO11" s="329"/>
      <c r="BP11" s="331"/>
      <c r="BQ11" s="202"/>
    </row>
    <row r="12" spans="1:69" ht="28.5" customHeight="1">
      <c r="A12" s="315">
        <v>4</v>
      </c>
      <c r="B12" s="316" t="s">
        <v>108</v>
      </c>
      <c r="C12" s="316" t="s">
        <v>109</v>
      </c>
      <c r="D12" s="316" t="s">
        <v>195</v>
      </c>
      <c r="E12" s="315"/>
      <c r="F12" s="315" t="s">
        <v>85</v>
      </c>
      <c r="G12" s="323"/>
      <c r="H12" s="323"/>
      <c r="I12" s="323"/>
      <c r="J12" s="317"/>
      <c r="K12" s="318"/>
      <c r="L12" s="319">
        <f>26215500+3500000</f>
        <v>29715500</v>
      </c>
      <c r="M12" s="335">
        <f t="shared" si="0"/>
        <v>29715500</v>
      </c>
      <c r="N12" s="320" t="e">
        <f>VLOOKUP(B12,BHXH!$E$7:$F$12,2,0)</f>
        <v>#N/A</v>
      </c>
      <c r="O12" s="320" t="e">
        <f t="shared" si="1"/>
        <v>#N/A</v>
      </c>
      <c r="P12" s="320">
        <v>250000</v>
      </c>
      <c r="Q12" s="320">
        <v>400000</v>
      </c>
      <c r="R12" s="320">
        <v>500000</v>
      </c>
      <c r="S12" s="320">
        <v>730000</v>
      </c>
      <c r="T12" s="320">
        <f t="shared" si="2"/>
        <v>1630000</v>
      </c>
      <c r="U12" s="321">
        <f t="shared" si="3"/>
        <v>21</v>
      </c>
      <c r="V12" s="321">
        <v>21</v>
      </c>
      <c r="W12" s="323"/>
      <c r="X12" s="323"/>
      <c r="Y12" s="322">
        <f>VLOOKUP(B12,'Bảng công_092024'!$AR$31:$AT$57,3,0)</f>
        <v>21</v>
      </c>
      <c r="Z12" s="320">
        <f t="shared" si="4"/>
        <v>28085500</v>
      </c>
      <c r="AA12" s="319">
        <f t="shared" si="5"/>
        <v>29715500</v>
      </c>
      <c r="AB12" s="320">
        <f t="shared" si="6"/>
        <v>0</v>
      </c>
      <c r="AC12" s="320">
        <f t="shared" si="7"/>
        <v>0</v>
      </c>
      <c r="AD12" s="320">
        <f t="shared" si="8"/>
        <v>29715500</v>
      </c>
      <c r="AE12" s="320"/>
      <c r="AF12" s="320">
        <f t="shared" si="9"/>
        <v>0</v>
      </c>
      <c r="AG12" s="323"/>
      <c r="AH12" s="323"/>
      <c r="AI12" s="323"/>
      <c r="AJ12" s="320">
        <f>-VLOOKUP(B12,'Bảng công_092024'!$AR$31:$AS$57,2,0)</f>
        <v>0</v>
      </c>
      <c r="AK12" s="323"/>
      <c r="AL12" s="336"/>
      <c r="AM12" s="319">
        <f t="shared" si="10"/>
        <v>29715500</v>
      </c>
      <c r="AN12" s="320" t="e">
        <f>VLOOKUP(B12,BHXH!$E$7:$F$12,2,0)</f>
        <v>#N/A</v>
      </c>
      <c r="AO12" s="320" t="e">
        <f t="shared" si="11"/>
        <v>#N/A</v>
      </c>
      <c r="AP12" s="320" t="e">
        <f t="shared" si="12"/>
        <v>#N/A</v>
      </c>
      <c r="AQ12" s="323">
        <v>1</v>
      </c>
      <c r="AR12" s="324">
        <f t="shared" si="13"/>
        <v>15400000</v>
      </c>
      <c r="AS12" s="324">
        <f t="shared" si="14"/>
        <v>28085500</v>
      </c>
      <c r="AT12" s="320" t="e">
        <f t="shared" si="15"/>
        <v>#N/A</v>
      </c>
      <c r="AU12" s="324"/>
      <c r="AV12" s="324" t="e">
        <f t="shared" si="16"/>
        <v>#N/A</v>
      </c>
      <c r="AW12" s="320" t="e">
        <f t="shared" si="17"/>
        <v>#N/A</v>
      </c>
      <c r="AX12" s="323"/>
      <c r="AY12" s="323"/>
      <c r="AZ12" s="320" t="e">
        <f t="shared" si="18"/>
        <v>#N/A</v>
      </c>
      <c r="BA12" s="324" t="e">
        <f t="shared" si="19"/>
        <v>#N/A</v>
      </c>
      <c r="BB12" s="337"/>
      <c r="BC12" s="326">
        <f t="shared" si="20"/>
        <v>21</v>
      </c>
      <c r="BD12" s="326">
        <f t="shared" si="21"/>
        <v>0</v>
      </c>
      <c r="BE12" s="197">
        <v>0</v>
      </c>
      <c r="BF12" s="286">
        <f t="shared" si="22"/>
        <v>1630000</v>
      </c>
      <c r="BG12" s="196" t="str">
        <f t="shared" si="23"/>
        <v>Nguyễn Ngọc Lê</v>
      </c>
      <c r="BH12" s="197">
        <v>28107500</v>
      </c>
      <c r="BI12" s="196">
        <v>22</v>
      </c>
      <c r="BJ12" s="327" t="e">
        <f t="shared" si="24"/>
        <v>#N/A</v>
      </c>
      <c r="BK12" s="280"/>
      <c r="BL12" s="289"/>
      <c r="BM12" s="329" t="s">
        <v>196</v>
      </c>
      <c r="BN12" s="330" t="s">
        <v>197</v>
      </c>
      <c r="BO12" s="329" t="s">
        <v>444</v>
      </c>
      <c r="BP12" s="331" t="s">
        <v>198</v>
      </c>
      <c r="BQ12" s="202"/>
    </row>
    <row r="13" spans="1:69" ht="26.25" customHeight="1">
      <c r="A13" s="315">
        <v>5</v>
      </c>
      <c r="B13" s="338" t="s">
        <v>111</v>
      </c>
      <c r="C13" s="316" t="s">
        <v>112</v>
      </c>
      <c r="D13" s="316" t="s">
        <v>220</v>
      </c>
      <c r="E13" s="339"/>
      <c r="F13" s="315" t="s">
        <v>446</v>
      </c>
      <c r="G13" s="340"/>
      <c r="H13" s="316"/>
      <c r="I13" s="324"/>
      <c r="J13" s="317"/>
      <c r="K13" s="318"/>
      <c r="L13" s="319">
        <f>18000000+3000000</f>
        <v>21000000</v>
      </c>
      <c r="M13" s="319">
        <f t="shared" si="0"/>
        <v>21000000</v>
      </c>
      <c r="N13" s="320"/>
      <c r="O13" s="320">
        <f t="shared" si="1"/>
        <v>19120000</v>
      </c>
      <c r="P13" s="320">
        <v>250000</v>
      </c>
      <c r="Q13" s="320">
        <v>400000</v>
      </c>
      <c r="R13" s="320">
        <v>500000</v>
      </c>
      <c r="S13" s="320">
        <v>730000</v>
      </c>
      <c r="T13" s="320">
        <f t="shared" si="2"/>
        <v>1630000</v>
      </c>
      <c r="U13" s="321">
        <f t="shared" si="3"/>
        <v>10</v>
      </c>
      <c r="V13" s="321">
        <v>21</v>
      </c>
      <c r="W13" s="316"/>
      <c r="X13" s="321"/>
      <c r="Y13" s="322">
        <f>VLOOKUP(B13,'Bảng công_092024'!$AR$31:$AT$57,3,0)</f>
        <v>10</v>
      </c>
      <c r="Z13" s="320">
        <f t="shared" si="4"/>
        <v>19370000</v>
      </c>
      <c r="AA13" s="319">
        <f t="shared" si="5"/>
        <v>10000000</v>
      </c>
      <c r="AB13" s="320">
        <f t="shared" si="6"/>
        <v>0</v>
      </c>
      <c r="AC13" s="320">
        <f t="shared" si="7"/>
        <v>0</v>
      </c>
      <c r="AD13" s="320">
        <f t="shared" si="8"/>
        <v>10000000</v>
      </c>
      <c r="AE13" s="320"/>
      <c r="AF13" s="320">
        <f t="shared" si="9"/>
        <v>0</v>
      </c>
      <c r="AG13" s="316"/>
      <c r="AH13" s="316"/>
      <c r="AI13" s="316"/>
      <c r="AJ13" s="320">
        <f>-VLOOKUP(B13,'Bảng công_092024'!$AR$31:$AS$57,2,0)</f>
        <v>0</v>
      </c>
      <c r="AK13" s="316"/>
      <c r="AL13" s="324"/>
      <c r="AM13" s="319">
        <f t="shared" si="10"/>
        <v>10000000</v>
      </c>
      <c r="AN13" s="320" t="e">
        <f>VLOOKUP(B13,BHXH!$E$7:$F$12,2,0)</f>
        <v>#N/A</v>
      </c>
      <c r="AO13" s="320" t="e">
        <f t="shared" si="11"/>
        <v>#N/A</v>
      </c>
      <c r="AP13" s="320" t="e">
        <f t="shared" si="12"/>
        <v>#N/A</v>
      </c>
      <c r="AQ13" s="316">
        <v>0</v>
      </c>
      <c r="AR13" s="324">
        <f t="shared" si="13"/>
        <v>11000000</v>
      </c>
      <c r="AS13" s="324">
        <f t="shared" si="14"/>
        <v>9223809.5238095243</v>
      </c>
      <c r="AT13" s="320" t="e">
        <f t="shared" si="15"/>
        <v>#N/A</v>
      </c>
      <c r="AU13" s="324"/>
      <c r="AV13" s="324" t="e">
        <f t="shared" si="16"/>
        <v>#N/A</v>
      </c>
      <c r="AW13" s="320" t="e">
        <f t="shared" si="17"/>
        <v>#N/A</v>
      </c>
      <c r="AX13" s="316"/>
      <c r="AY13" s="316"/>
      <c r="AZ13" s="320" t="e">
        <f t="shared" si="18"/>
        <v>#N/A</v>
      </c>
      <c r="BA13" s="324" t="e">
        <f t="shared" si="19"/>
        <v>#N/A</v>
      </c>
      <c r="BB13" s="332"/>
      <c r="BC13" s="326">
        <f t="shared" si="20"/>
        <v>10</v>
      </c>
      <c r="BD13" s="326">
        <f t="shared" si="21"/>
        <v>0</v>
      </c>
      <c r="BE13" s="197">
        <v>0</v>
      </c>
      <c r="BF13" s="286">
        <f t="shared" si="22"/>
        <v>776190.47619047621</v>
      </c>
      <c r="BG13" s="196" t="str">
        <f t="shared" si="23"/>
        <v>Nguyễn Hồng Nhung</v>
      </c>
      <c r="BH13" s="197">
        <v>19931050</v>
      </c>
      <c r="BI13" s="196">
        <v>22</v>
      </c>
      <c r="BJ13" s="327" t="e">
        <f t="shared" si="24"/>
        <v>#N/A</v>
      </c>
      <c r="BK13" s="280" t="s">
        <v>447</v>
      </c>
      <c r="BL13" s="289"/>
      <c r="BM13" s="329" t="s">
        <v>448</v>
      </c>
      <c r="BN13" s="330" t="s">
        <v>449</v>
      </c>
      <c r="BO13" s="329" t="s">
        <v>444</v>
      </c>
      <c r="BP13" s="331" t="s">
        <v>201</v>
      </c>
      <c r="BQ13" s="202"/>
    </row>
    <row r="14" spans="1:69" ht="24.75" customHeight="1">
      <c r="A14" s="315">
        <v>6</v>
      </c>
      <c r="B14" s="316" t="s">
        <v>115</v>
      </c>
      <c r="C14" s="316" t="s">
        <v>116</v>
      </c>
      <c r="D14" s="316" t="s">
        <v>117</v>
      </c>
      <c r="E14" s="339"/>
      <c r="F14" s="315" t="s">
        <v>85</v>
      </c>
      <c r="G14" s="324"/>
      <c r="H14" s="324"/>
      <c r="I14" s="341"/>
      <c r="J14" s="317"/>
      <c r="K14" s="318"/>
      <c r="L14" s="319">
        <f>23000000+1000000</f>
        <v>24000000</v>
      </c>
      <c r="M14" s="319">
        <f t="shared" si="0"/>
        <v>24000000</v>
      </c>
      <c r="N14" s="320">
        <f>VLOOKUP(B14,BHXH!$E$7:$F$12,2,0)</f>
        <v>5310000</v>
      </c>
      <c r="O14" s="320">
        <f t="shared" si="1"/>
        <v>16810000</v>
      </c>
      <c r="P14" s="320">
        <v>250000</v>
      </c>
      <c r="Q14" s="320">
        <v>400000</v>
      </c>
      <c r="R14" s="320">
        <v>500000</v>
      </c>
      <c r="S14" s="320">
        <v>730000</v>
      </c>
      <c r="T14" s="320">
        <f t="shared" si="2"/>
        <v>1630000</v>
      </c>
      <c r="U14" s="321">
        <f t="shared" si="3"/>
        <v>21</v>
      </c>
      <c r="V14" s="321">
        <v>21</v>
      </c>
      <c r="W14" s="321"/>
      <c r="X14" s="342"/>
      <c r="Y14" s="322">
        <f>VLOOKUP(B14,'Bảng công_092024'!$AR$31:$AT$57,3,0)</f>
        <v>21</v>
      </c>
      <c r="Z14" s="320">
        <f t="shared" si="4"/>
        <v>22370000</v>
      </c>
      <c r="AA14" s="319">
        <f t="shared" si="5"/>
        <v>24000000</v>
      </c>
      <c r="AB14" s="320">
        <f t="shared" si="6"/>
        <v>0</v>
      </c>
      <c r="AC14" s="320">
        <f t="shared" si="7"/>
        <v>0</v>
      </c>
      <c r="AD14" s="320">
        <f t="shared" si="8"/>
        <v>24000000</v>
      </c>
      <c r="AE14" s="320"/>
      <c r="AF14" s="320">
        <f t="shared" si="9"/>
        <v>-225000</v>
      </c>
      <c r="AG14" s="316"/>
      <c r="AH14" s="316"/>
      <c r="AI14" s="316"/>
      <c r="AJ14" s="320">
        <f>-VLOOKUP(B14,'Bảng công_092024'!$AR$31:$AS$57,2,0)</f>
        <v>-225000</v>
      </c>
      <c r="AK14" s="316"/>
      <c r="AL14" s="324"/>
      <c r="AM14" s="319">
        <f t="shared" si="10"/>
        <v>23775000</v>
      </c>
      <c r="AN14" s="320">
        <f>VLOOKUP(B14,BHXH!$E$7:$F$12,2,0)</f>
        <v>5310000</v>
      </c>
      <c r="AO14" s="320">
        <f t="shared" si="11"/>
        <v>557550</v>
      </c>
      <c r="AP14" s="320">
        <f t="shared" si="12"/>
        <v>1141650</v>
      </c>
      <c r="AQ14" s="316">
        <v>0</v>
      </c>
      <c r="AR14" s="324">
        <f t="shared" si="13"/>
        <v>11000000</v>
      </c>
      <c r="AS14" s="324">
        <f t="shared" si="14"/>
        <v>22145000</v>
      </c>
      <c r="AT14" s="320">
        <f t="shared" si="15"/>
        <v>10587450</v>
      </c>
      <c r="AU14" s="324"/>
      <c r="AV14" s="324">
        <f t="shared" si="16"/>
        <v>838118</v>
      </c>
      <c r="AW14" s="320">
        <f t="shared" si="17"/>
        <v>22379332</v>
      </c>
      <c r="AX14" s="316"/>
      <c r="AY14" s="316"/>
      <c r="AZ14" s="320">
        <f t="shared" si="18"/>
        <v>22379332</v>
      </c>
      <c r="BA14" s="324">
        <f t="shared" si="19"/>
        <v>24916650</v>
      </c>
      <c r="BB14" s="332"/>
      <c r="BC14" s="326">
        <f t="shared" si="20"/>
        <v>21</v>
      </c>
      <c r="BD14" s="326">
        <f t="shared" si="21"/>
        <v>-225000</v>
      </c>
      <c r="BE14" s="197">
        <v>-375000</v>
      </c>
      <c r="BF14" s="286">
        <f t="shared" si="22"/>
        <v>1630000</v>
      </c>
      <c r="BG14" s="196" t="str">
        <f t="shared" si="23"/>
        <v>Lê Hải Linh</v>
      </c>
      <c r="BH14" s="197">
        <v>22270575</v>
      </c>
      <c r="BI14" s="196">
        <v>22</v>
      </c>
      <c r="BJ14" s="327">
        <f t="shared" si="24"/>
        <v>108757</v>
      </c>
      <c r="BK14" s="280" t="s">
        <v>450</v>
      </c>
      <c r="BL14" s="289"/>
      <c r="BM14" s="329" t="s">
        <v>199</v>
      </c>
      <c r="BN14" s="330" t="s">
        <v>200</v>
      </c>
      <c r="BO14" s="329" t="s">
        <v>444</v>
      </c>
      <c r="BP14" s="331" t="s">
        <v>201</v>
      </c>
      <c r="BQ14" s="202"/>
    </row>
    <row r="15" spans="1:69" ht="24.75" customHeight="1">
      <c r="A15" s="315">
        <v>7</v>
      </c>
      <c r="B15" s="332" t="s">
        <v>119</v>
      </c>
      <c r="C15" s="332" t="s">
        <v>120</v>
      </c>
      <c r="D15" s="316" t="s">
        <v>117</v>
      </c>
      <c r="E15" s="339"/>
      <c r="F15" s="315" t="s">
        <v>85</v>
      </c>
      <c r="G15" s="320"/>
      <c r="H15" s="320"/>
      <c r="I15" s="341"/>
      <c r="J15" s="317"/>
      <c r="K15" s="318"/>
      <c r="L15" s="343">
        <v>11000000</v>
      </c>
      <c r="M15" s="319">
        <f t="shared" si="0"/>
        <v>11000000</v>
      </c>
      <c r="N15" s="320" t="e">
        <f>VLOOKUP(B15,BHXH!$E$7:$F$12,2,0)</f>
        <v>#N/A</v>
      </c>
      <c r="O15" s="320" t="e">
        <f t="shared" si="1"/>
        <v>#N/A</v>
      </c>
      <c r="P15" s="320">
        <v>250000</v>
      </c>
      <c r="Q15" s="320">
        <v>400000</v>
      </c>
      <c r="R15" s="320">
        <v>500000</v>
      </c>
      <c r="S15" s="320">
        <v>730000</v>
      </c>
      <c r="T15" s="320">
        <f t="shared" si="2"/>
        <v>1630000</v>
      </c>
      <c r="U15" s="321">
        <f t="shared" si="3"/>
        <v>21</v>
      </c>
      <c r="V15" s="321">
        <v>21</v>
      </c>
      <c r="W15" s="321"/>
      <c r="X15" s="321"/>
      <c r="Y15" s="322">
        <f>VLOOKUP(B15,'Bảng công_092024'!$AR$31:$AT$57,3,0)</f>
        <v>21</v>
      </c>
      <c r="Z15" s="320">
        <f t="shared" si="4"/>
        <v>9370000</v>
      </c>
      <c r="AA15" s="319">
        <f t="shared" si="5"/>
        <v>11000000</v>
      </c>
      <c r="AB15" s="320">
        <f t="shared" si="6"/>
        <v>0</v>
      </c>
      <c r="AC15" s="320">
        <f t="shared" si="7"/>
        <v>0</v>
      </c>
      <c r="AD15" s="320">
        <f t="shared" si="8"/>
        <v>11000000</v>
      </c>
      <c r="AE15" s="320"/>
      <c r="AF15" s="320">
        <f t="shared" si="9"/>
        <v>-150000</v>
      </c>
      <c r="AG15" s="324"/>
      <c r="AH15" s="316"/>
      <c r="AI15" s="316"/>
      <c r="AJ15" s="320">
        <f>-VLOOKUP(B15,'Bảng công_092024'!$AR$31:$AS$57,2,0)</f>
        <v>-150000</v>
      </c>
      <c r="AK15" s="316"/>
      <c r="AL15" s="324"/>
      <c r="AM15" s="319">
        <f t="shared" si="10"/>
        <v>10850000</v>
      </c>
      <c r="AN15" s="320" t="e">
        <f>VLOOKUP(B15,BHXH!$E$7:$F$12,2,0)</f>
        <v>#N/A</v>
      </c>
      <c r="AO15" s="320" t="e">
        <f t="shared" si="11"/>
        <v>#N/A</v>
      </c>
      <c r="AP15" s="320" t="e">
        <f t="shared" si="12"/>
        <v>#N/A</v>
      </c>
      <c r="AQ15" s="316">
        <v>0</v>
      </c>
      <c r="AR15" s="324">
        <f t="shared" si="13"/>
        <v>11000000</v>
      </c>
      <c r="AS15" s="324">
        <f t="shared" si="14"/>
        <v>9220000</v>
      </c>
      <c r="AT15" s="320" t="e">
        <f t="shared" si="15"/>
        <v>#N/A</v>
      </c>
      <c r="AU15" s="324"/>
      <c r="AV15" s="324" t="e">
        <f t="shared" si="16"/>
        <v>#N/A</v>
      </c>
      <c r="AW15" s="320" t="e">
        <f t="shared" si="17"/>
        <v>#N/A</v>
      </c>
      <c r="AX15" s="324"/>
      <c r="AY15" s="324"/>
      <c r="AZ15" s="320" t="e">
        <f t="shared" si="18"/>
        <v>#N/A</v>
      </c>
      <c r="BA15" s="324" t="e">
        <f t="shared" si="19"/>
        <v>#N/A</v>
      </c>
      <c r="BB15" s="332"/>
      <c r="BC15" s="326">
        <f t="shared" si="20"/>
        <v>21</v>
      </c>
      <c r="BD15" s="326">
        <f t="shared" si="21"/>
        <v>-150000</v>
      </c>
      <c r="BE15" s="197">
        <v>-450000</v>
      </c>
      <c r="BF15" s="286">
        <f t="shared" si="22"/>
        <v>1630000</v>
      </c>
      <c r="BG15" s="196" t="str">
        <f t="shared" si="23"/>
        <v>Cao Nguyễn Nguyệt Linh</v>
      </c>
      <c r="BH15" s="197">
        <v>10014500</v>
      </c>
      <c r="BI15" s="196">
        <v>22</v>
      </c>
      <c r="BJ15" s="327" t="e">
        <f t="shared" si="24"/>
        <v>#N/A</v>
      </c>
      <c r="BK15" s="280" t="s">
        <v>450</v>
      </c>
      <c r="BL15" s="289"/>
      <c r="BM15" s="344" t="s">
        <v>202</v>
      </c>
      <c r="BN15" s="334" t="s">
        <v>203</v>
      </c>
      <c r="BO15" s="345"/>
      <c r="BP15" s="345"/>
      <c r="BQ15" s="202"/>
    </row>
    <row r="16" spans="1:69" ht="26.25" customHeight="1">
      <c r="A16" s="315">
        <v>8</v>
      </c>
      <c r="B16" s="316" t="s">
        <v>125</v>
      </c>
      <c r="C16" s="316" t="s">
        <v>126</v>
      </c>
      <c r="D16" s="316" t="s">
        <v>204</v>
      </c>
      <c r="E16" s="339"/>
      <c r="F16" s="315" t="s">
        <v>85</v>
      </c>
      <c r="G16" s="324"/>
      <c r="H16" s="324"/>
      <c r="I16" s="324"/>
      <c r="J16" s="317"/>
      <c r="K16" s="318"/>
      <c r="L16" s="319">
        <v>98630000</v>
      </c>
      <c r="M16" s="319">
        <f t="shared" si="0"/>
        <v>98630000</v>
      </c>
      <c r="N16" s="320" t="e">
        <f>VLOOKUP(B16,BHXH!$E$7:$F$12,2,0)</f>
        <v>#N/A</v>
      </c>
      <c r="O16" s="320" t="e">
        <f t="shared" si="1"/>
        <v>#N/A</v>
      </c>
      <c r="P16" s="320">
        <v>250000</v>
      </c>
      <c r="Q16" s="320">
        <v>400000</v>
      </c>
      <c r="R16" s="320">
        <v>1000000</v>
      </c>
      <c r="S16" s="320">
        <v>730000</v>
      </c>
      <c r="T16" s="320">
        <f t="shared" si="2"/>
        <v>2130000</v>
      </c>
      <c r="U16" s="321">
        <f t="shared" si="3"/>
        <v>21</v>
      </c>
      <c r="V16" s="321">
        <v>21</v>
      </c>
      <c r="W16" s="321"/>
      <c r="X16" s="346"/>
      <c r="Y16" s="322">
        <f>VLOOKUP(B16,'Bảng công_092024'!$AR$31:$AT$57,3,0)</f>
        <v>21</v>
      </c>
      <c r="Z16" s="320">
        <f t="shared" si="4"/>
        <v>96500000</v>
      </c>
      <c r="AA16" s="319">
        <f t="shared" si="5"/>
        <v>98630000</v>
      </c>
      <c r="AB16" s="320">
        <f t="shared" si="6"/>
        <v>0</v>
      </c>
      <c r="AC16" s="320">
        <f t="shared" si="7"/>
        <v>0</v>
      </c>
      <c r="AD16" s="320">
        <f t="shared" si="8"/>
        <v>98630000</v>
      </c>
      <c r="AE16" s="320"/>
      <c r="AF16" s="320">
        <f t="shared" si="9"/>
        <v>0</v>
      </c>
      <c r="AG16" s="316"/>
      <c r="AH16" s="316"/>
      <c r="AI16" s="316"/>
      <c r="AJ16" s="320">
        <f>-VLOOKUP(B16,'Bảng công_092024'!$AR$31:$AS$57,2,0)</f>
        <v>0</v>
      </c>
      <c r="AK16" s="316"/>
      <c r="AL16" s="324"/>
      <c r="AM16" s="319">
        <f t="shared" si="10"/>
        <v>98630000</v>
      </c>
      <c r="AN16" s="320" t="e">
        <f>VLOOKUP(B16,BHXH!$E$7:$F$12,2,0)</f>
        <v>#N/A</v>
      </c>
      <c r="AO16" s="320" t="e">
        <f t="shared" si="11"/>
        <v>#N/A</v>
      </c>
      <c r="AP16" s="320" t="e">
        <f t="shared" si="12"/>
        <v>#N/A</v>
      </c>
      <c r="AQ16" s="316">
        <v>2</v>
      </c>
      <c r="AR16" s="324">
        <f t="shared" si="13"/>
        <v>19800000</v>
      </c>
      <c r="AS16" s="324">
        <f t="shared" si="14"/>
        <v>96500000</v>
      </c>
      <c r="AT16" s="320" t="e">
        <f t="shared" si="15"/>
        <v>#N/A</v>
      </c>
      <c r="AU16" s="324"/>
      <c r="AV16" s="324" t="e">
        <f t="shared" si="16"/>
        <v>#N/A</v>
      </c>
      <c r="AW16" s="320" t="e">
        <f t="shared" si="17"/>
        <v>#N/A</v>
      </c>
      <c r="AX16" s="316"/>
      <c r="AY16" s="316"/>
      <c r="AZ16" s="320" t="e">
        <f t="shared" si="18"/>
        <v>#N/A</v>
      </c>
      <c r="BA16" s="324" t="e">
        <f t="shared" si="19"/>
        <v>#N/A</v>
      </c>
      <c r="BB16" s="332"/>
      <c r="BC16" s="326">
        <f t="shared" si="20"/>
        <v>21</v>
      </c>
      <c r="BD16" s="326">
        <f t="shared" si="21"/>
        <v>0</v>
      </c>
      <c r="BE16" s="197">
        <v>0</v>
      </c>
      <c r="BF16" s="286">
        <f t="shared" si="22"/>
        <v>2130000</v>
      </c>
      <c r="BG16" s="196" t="str">
        <f t="shared" si="23"/>
        <v xml:space="preserve">Thái Thanh Nhật Quang </v>
      </c>
      <c r="BH16" s="197">
        <v>80000000</v>
      </c>
      <c r="BI16" s="196">
        <v>22</v>
      </c>
      <c r="BJ16" s="327" t="e">
        <f t="shared" si="24"/>
        <v>#N/A</v>
      </c>
      <c r="BK16" s="280"/>
      <c r="BL16" s="289"/>
      <c r="BM16" s="333" t="s">
        <v>205</v>
      </c>
      <c r="BN16" s="334" t="s">
        <v>206</v>
      </c>
      <c r="BO16" s="329"/>
      <c r="BP16" s="331"/>
      <c r="BQ16" s="273"/>
    </row>
    <row r="17" spans="1:69" ht="26.25" customHeight="1">
      <c r="A17" s="315">
        <v>9</v>
      </c>
      <c r="B17" s="347" t="s">
        <v>207</v>
      </c>
      <c r="C17" s="310" t="s">
        <v>129</v>
      </c>
      <c r="D17" s="348" t="s">
        <v>208</v>
      </c>
      <c r="E17" s="349"/>
      <c r="F17" s="350" t="s">
        <v>85</v>
      </c>
      <c r="G17" s="351"/>
      <c r="H17" s="351"/>
      <c r="I17" s="351"/>
      <c r="J17" s="317"/>
      <c r="K17" s="318"/>
      <c r="L17" s="352">
        <v>14000000</v>
      </c>
      <c r="M17" s="352">
        <f t="shared" si="0"/>
        <v>14000000</v>
      </c>
      <c r="N17" s="353">
        <f>VLOOKUP(B17,BHXH!$E$7:$F$12,2,0)</f>
        <v>5310000</v>
      </c>
      <c r="O17" s="353">
        <f t="shared" si="1"/>
        <v>6810000</v>
      </c>
      <c r="P17" s="353">
        <v>250000</v>
      </c>
      <c r="Q17" s="353">
        <v>400000</v>
      </c>
      <c r="R17" s="353">
        <v>500000</v>
      </c>
      <c r="S17" s="353">
        <v>730000</v>
      </c>
      <c r="T17" s="320">
        <f t="shared" si="2"/>
        <v>1630000</v>
      </c>
      <c r="U17" s="321">
        <f t="shared" si="3"/>
        <v>21</v>
      </c>
      <c r="V17" s="321">
        <v>21</v>
      </c>
      <c r="W17" s="354"/>
      <c r="X17" s="355"/>
      <c r="Y17" s="322">
        <f>VLOOKUP(B17,'Bảng công_092024'!$AR$31:$AT$57,3,0)</f>
        <v>21</v>
      </c>
      <c r="Z17" s="320">
        <f t="shared" si="4"/>
        <v>12370000</v>
      </c>
      <c r="AA17" s="352">
        <f t="shared" si="5"/>
        <v>14000000</v>
      </c>
      <c r="AB17" s="320">
        <f t="shared" si="6"/>
        <v>0</v>
      </c>
      <c r="AC17" s="353">
        <f t="shared" si="7"/>
        <v>0</v>
      </c>
      <c r="AD17" s="320">
        <f t="shared" si="8"/>
        <v>14000000</v>
      </c>
      <c r="AE17" s="353"/>
      <c r="AF17" s="353">
        <f t="shared" si="9"/>
        <v>-75000</v>
      </c>
      <c r="AG17" s="356"/>
      <c r="AH17" s="356"/>
      <c r="AI17" s="356"/>
      <c r="AJ17" s="320">
        <f>-VLOOKUP(B17,'Bảng công_092024'!$AR$31:$AS$57,2,0)</f>
        <v>-75000</v>
      </c>
      <c r="AK17" s="356"/>
      <c r="AL17" s="351"/>
      <c r="AM17" s="319">
        <f t="shared" si="10"/>
        <v>13925000</v>
      </c>
      <c r="AN17" s="353">
        <f>VLOOKUP(B17,BHXH!$E$7:$F$12,2,0)</f>
        <v>5310000</v>
      </c>
      <c r="AO17" s="320">
        <f t="shared" si="11"/>
        <v>557550</v>
      </c>
      <c r="AP17" s="320">
        <f t="shared" si="12"/>
        <v>1141650</v>
      </c>
      <c r="AQ17" s="356">
        <v>1</v>
      </c>
      <c r="AR17" s="324">
        <f t="shared" si="13"/>
        <v>15400000</v>
      </c>
      <c r="AS17" s="324">
        <f t="shared" si="14"/>
        <v>12295000</v>
      </c>
      <c r="AT17" s="320">
        <f t="shared" si="15"/>
        <v>0</v>
      </c>
      <c r="AU17" s="351"/>
      <c r="AV17" s="324">
        <f t="shared" si="16"/>
        <v>0</v>
      </c>
      <c r="AW17" s="353">
        <f t="shared" si="17"/>
        <v>13367450</v>
      </c>
      <c r="AX17" s="356"/>
      <c r="AY17" s="356"/>
      <c r="AZ17" s="353">
        <f t="shared" si="18"/>
        <v>13367450</v>
      </c>
      <c r="BA17" s="351">
        <f t="shared" si="19"/>
        <v>15066650</v>
      </c>
      <c r="BB17" s="298"/>
      <c r="BC17" s="326">
        <f t="shared" si="20"/>
        <v>21</v>
      </c>
      <c r="BD17" s="326">
        <f t="shared" si="21"/>
        <v>-75000</v>
      </c>
      <c r="BE17" s="197">
        <v>0</v>
      </c>
      <c r="BF17" s="286">
        <f t="shared" si="22"/>
        <v>1630000</v>
      </c>
      <c r="BG17" s="196" t="str">
        <f t="shared" si="23"/>
        <v>Trần Minh Tuyết</v>
      </c>
      <c r="BH17" s="197">
        <v>13055000</v>
      </c>
      <c r="BI17" s="196">
        <v>22</v>
      </c>
      <c r="BJ17" s="327">
        <f t="shared" si="24"/>
        <v>312450</v>
      </c>
      <c r="BK17" s="280" t="s">
        <v>450</v>
      </c>
      <c r="BL17" s="201"/>
      <c r="BM17" s="329" t="s">
        <v>209</v>
      </c>
      <c r="BN17" s="330" t="s">
        <v>210</v>
      </c>
      <c r="BO17" s="329" t="s">
        <v>444</v>
      </c>
      <c r="BP17" s="331" t="s">
        <v>211</v>
      </c>
      <c r="BQ17" s="202"/>
    </row>
    <row r="18" spans="1:69" ht="24" customHeight="1">
      <c r="A18" s="315">
        <v>10</v>
      </c>
      <c r="B18" s="357" t="s">
        <v>212</v>
      </c>
      <c r="C18" s="298" t="s">
        <v>153</v>
      </c>
      <c r="D18" s="356" t="s">
        <v>213</v>
      </c>
      <c r="E18" s="358"/>
      <c r="F18" s="350" t="s">
        <v>85</v>
      </c>
      <c r="G18" s="353"/>
      <c r="H18" s="353"/>
      <c r="I18" s="351"/>
      <c r="J18" s="317"/>
      <c r="K18" s="318"/>
      <c r="L18" s="343">
        <v>11000000</v>
      </c>
      <c r="M18" s="352">
        <f t="shared" si="0"/>
        <v>11000000</v>
      </c>
      <c r="N18" s="353" t="e">
        <f>VLOOKUP(B18,BHXH!$E$7:$F$12,2,0)</f>
        <v>#N/A</v>
      </c>
      <c r="O18" s="353" t="e">
        <f t="shared" si="1"/>
        <v>#N/A</v>
      </c>
      <c r="P18" s="353">
        <v>250000</v>
      </c>
      <c r="Q18" s="353">
        <v>400000</v>
      </c>
      <c r="R18" s="353">
        <v>500000</v>
      </c>
      <c r="S18" s="353">
        <v>730000</v>
      </c>
      <c r="T18" s="320">
        <f t="shared" si="2"/>
        <v>1630000</v>
      </c>
      <c r="U18" s="321">
        <f t="shared" si="3"/>
        <v>21</v>
      </c>
      <c r="V18" s="321">
        <v>21</v>
      </c>
      <c r="W18" s="354"/>
      <c r="X18" s="354"/>
      <c r="Y18" s="322">
        <f>VLOOKUP(B18,'Bảng công_092024'!$AR$31:$AT$57,3,0)</f>
        <v>21</v>
      </c>
      <c r="Z18" s="320">
        <f t="shared" si="4"/>
        <v>9370000</v>
      </c>
      <c r="AA18" s="352">
        <f t="shared" si="5"/>
        <v>11000000</v>
      </c>
      <c r="AB18" s="320">
        <f t="shared" si="6"/>
        <v>0</v>
      </c>
      <c r="AC18" s="353">
        <f t="shared" si="7"/>
        <v>0</v>
      </c>
      <c r="AD18" s="320">
        <f t="shared" si="8"/>
        <v>11000000</v>
      </c>
      <c r="AE18" s="353"/>
      <c r="AF18" s="353">
        <f t="shared" si="9"/>
        <v>-75000</v>
      </c>
      <c r="AG18" s="356"/>
      <c r="AH18" s="356"/>
      <c r="AI18" s="356"/>
      <c r="AJ18" s="320">
        <f>-VLOOKUP(B18,'Bảng công_092024'!$AR$31:$AS$57,2,0)</f>
        <v>-75000</v>
      </c>
      <c r="AK18" s="356"/>
      <c r="AL18" s="351"/>
      <c r="AM18" s="319">
        <f t="shared" si="10"/>
        <v>10925000</v>
      </c>
      <c r="AN18" s="353" t="e">
        <f>VLOOKUP(B18,BHXH!$E$7:$F$12,2,0)</f>
        <v>#N/A</v>
      </c>
      <c r="AO18" s="320" t="e">
        <f t="shared" si="11"/>
        <v>#N/A</v>
      </c>
      <c r="AP18" s="320" t="e">
        <f t="shared" si="12"/>
        <v>#N/A</v>
      </c>
      <c r="AQ18" s="316">
        <v>0</v>
      </c>
      <c r="AR18" s="324">
        <f t="shared" si="13"/>
        <v>11000000</v>
      </c>
      <c r="AS18" s="324">
        <f t="shared" si="14"/>
        <v>9295000</v>
      </c>
      <c r="AT18" s="320" t="e">
        <f t="shared" si="15"/>
        <v>#N/A</v>
      </c>
      <c r="AU18" s="351"/>
      <c r="AV18" s="324" t="e">
        <f t="shared" si="16"/>
        <v>#N/A</v>
      </c>
      <c r="AW18" s="353" t="e">
        <f t="shared" si="17"/>
        <v>#N/A</v>
      </c>
      <c r="AX18" s="351">
        <v>0</v>
      </c>
      <c r="AY18" s="356"/>
      <c r="AZ18" s="353" t="e">
        <f t="shared" si="18"/>
        <v>#N/A</v>
      </c>
      <c r="BA18" s="351" t="e">
        <f t="shared" si="19"/>
        <v>#N/A</v>
      </c>
      <c r="BB18" s="359"/>
      <c r="BC18" s="326">
        <f t="shared" si="20"/>
        <v>21</v>
      </c>
      <c r="BD18" s="326">
        <f t="shared" si="21"/>
        <v>-75000</v>
      </c>
      <c r="BE18" s="197">
        <v>-75000</v>
      </c>
      <c r="BF18" s="286">
        <f t="shared" si="22"/>
        <v>1630000</v>
      </c>
      <c r="BG18" s="196" t="str">
        <f t="shared" si="23"/>
        <v xml:space="preserve">Nguyễn Thị Thu Thảo </v>
      </c>
      <c r="BH18" s="197">
        <v>10389500</v>
      </c>
      <c r="BI18" s="196">
        <v>22</v>
      </c>
      <c r="BJ18" s="327" t="e">
        <f t="shared" si="24"/>
        <v>#N/A</v>
      </c>
      <c r="BK18" s="280"/>
      <c r="BL18" s="201"/>
      <c r="BM18" s="329" t="s">
        <v>214</v>
      </c>
      <c r="BN18" s="330" t="s">
        <v>215</v>
      </c>
      <c r="BO18" s="329" t="s">
        <v>444</v>
      </c>
      <c r="BP18" s="331" t="s">
        <v>198</v>
      </c>
      <c r="BQ18" s="202"/>
    </row>
    <row r="19" spans="1:69" ht="24.75" customHeight="1">
      <c r="A19" s="315">
        <v>11</v>
      </c>
      <c r="B19" s="360" t="s">
        <v>216</v>
      </c>
      <c r="C19" s="298" t="s">
        <v>217</v>
      </c>
      <c r="D19" s="316" t="s">
        <v>92</v>
      </c>
      <c r="E19" s="358"/>
      <c r="F19" s="350" t="s">
        <v>85</v>
      </c>
      <c r="G19" s="353"/>
      <c r="H19" s="353"/>
      <c r="I19" s="351"/>
      <c r="J19" s="317"/>
      <c r="K19" s="318"/>
      <c r="L19" s="361">
        <v>11000000</v>
      </c>
      <c r="M19" s="352">
        <f t="shared" si="0"/>
        <v>11000000</v>
      </c>
      <c r="N19" s="353">
        <f>VLOOKUP(B19,BHXH!$E$7:$F$12,2,0)</f>
        <v>5310000</v>
      </c>
      <c r="O19" s="353">
        <f t="shared" si="1"/>
        <v>3810000</v>
      </c>
      <c r="P19" s="353">
        <v>250000</v>
      </c>
      <c r="Q19" s="353">
        <v>400000</v>
      </c>
      <c r="R19" s="353">
        <v>500000</v>
      </c>
      <c r="S19" s="353">
        <v>730000</v>
      </c>
      <c r="T19" s="320">
        <f t="shared" si="2"/>
        <v>1630000</v>
      </c>
      <c r="U19" s="321">
        <f t="shared" si="3"/>
        <v>21</v>
      </c>
      <c r="V19" s="321">
        <v>21</v>
      </c>
      <c r="W19" s="354"/>
      <c r="X19" s="354"/>
      <c r="Y19" s="322">
        <f>VLOOKUP(B19,'Bảng công_092024'!$AR$31:$AT$57,3,0)</f>
        <v>21</v>
      </c>
      <c r="Z19" s="320">
        <f t="shared" si="4"/>
        <v>9370000</v>
      </c>
      <c r="AA19" s="352">
        <f t="shared" si="5"/>
        <v>11000000</v>
      </c>
      <c r="AB19" s="320">
        <f t="shared" si="6"/>
        <v>0</v>
      </c>
      <c r="AC19" s="353">
        <f t="shared" si="7"/>
        <v>0</v>
      </c>
      <c r="AD19" s="320">
        <f t="shared" si="8"/>
        <v>11000000</v>
      </c>
      <c r="AE19" s="353"/>
      <c r="AF19" s="353">
        <f t="shared" si="9"/>
        <v>-75000</v>
      </c>
      <c r="AG19" s="356"/>
      <c r="AH19" s="356"/>
      <c r="AI19" s="356"/>
      <c r="AJ19" s="320">
        <f>-VLOOKUP(B19,'Bảng công_092024'!$AR$31:$AS$57,2,0)</f>
        <v>-75000</v>
      </c>
      <c r="AK19" s="356"/>
      <c r="AL19" s="351"/>
      <c r="AM19" s="319">
        <f t="shared" si="10"/>
        <v>10925000</v>
      </c>
      <c r="AN19" s="353">
        <f>VLOOKUP(B19,BHXH!$E$7:$F$12,2,0)</f>
        <v>5310000</v>
      </c>
      <c r="AO19" s="320">
        <f t="shared" si="11"/>
        <v>557550</v>
      </c>
      <c r="AP19" s="320">
        <f t="shared" si="12"/>
        <v>1141650</v>
      </c>
      <c r="AQ19" s="316">
        <v>0</v>
      </c>
      <c r="AR19" s="324">
        <f t="shared" si="13"/>
        <v>11000000</v>
      </c>
      <c r="AS19" s="324">
        <f t="shared" si="14"/>
        <v>9295000</v>
      </c>
      <c r="AT19" s="320">
        <f t="shared" si="15"/>
        <v>0</v>
      </c>
      <c r="AU19" s="351"/>
      <c r="AV19" s="324">
        <f t="shared" si="16"/>
        <v>0</v>
      </c>
      <c r="AW19" s="353">
        <f t="shared" si="17"/>
        <v>10367450</v>
      </c>
      <c r="AX19" s="351"/>
      <c r="AY19" s="356"/>
      <c r="AZ19" s="353">
        <f t="shared" si="18"/>
        <v>10367450</v>
      </c>
      <c r="BA19" s="351">
        <f t="shared" si="19"/>
        <v>12066650</v>
      </c>
      <c r="BB19" s="359"/>
      <c r="BC19" s="326">
        <f t="shared" si="20"/>
        <v>21</v>
      </c>
      <c r="BD19" s="326">
        <f t="shared" si="21"/>
        <v>-75000</v>
      </c>
      <c r="BE19" s="197">
        <v>-150000</v>
      </c>
      <c r="BF19" s="286">
        <f t="shared" si="22"/>
        <v>1630000</v>
      </c>
      <c r="BG19" s="196" t="str">
        <f t="shared" si="23"/>
        <v xml:space="preserve">Nguyễn Hữu Tuấn Minh </v>
      </c>
      <c r="BH19" s="197">
        <v>8350000</v>
      </c>
      <c r="BI19" s="196">
        <v>22</v>
      </c>
      <c r="BJ19" s="327">
        <f t="shared" si="24"/>
        <v>2017450</v>
      </c>
      <c r="BK19" s="280" t="s">
        <v>451</v>
      </c>
      <c r="BL19" s="201"/>
      <c r="BM19" s="329" t="s">
        <v>218</v>
      </c>
      <c r="BN19" s="330" t="s">
        <v>219</v>
      </c>
      <c r="BO19" s="329"/>
      <c r="BP19" s="331" t="s">
        <v>211</v>
      </c>
      <c r="BQ19" s="202"/>
    </row>
    <row r="20" spans="1:69" ht="24" customHeight="1">
      <c r="A20" s="315">
        <v>3</v>
      </c>
      <c r="B20" s="362" t="s">
        <v>139</v>
      </c>
      <c r="C20" s="362" t="s">
        <v>140</v>
      </c>
      <c r="D20" s="363" t="s">
        <v>220</v>
      </c>
      <c r="E20" s="364"/>
      <c r="F20" s="365" t="s">
        <v>85</v>
      </c>
      <c r="G20" s="366"/>
      <c r="H20" s="366"/>
      <c r="I20" s="367"/>
      <c r="J20" s="317"/>
      <c r="K20" s="318"/>
      <c r="L20" s="368">
        <v>29777265</v>
      </c>
      <c r="M20" s="369">
        <f t="shared" si="0"/>
        <v>29777265</v>
      </c>
      <c r="N20" s="370">
        <f>VLOOKUP(B20,BHXH!$E$7:$F$15,2,0)</f>
        <v>5310000</v>
      </c>
      <c r="O20" s="353">
        <f t="shared" si="1"/>
        <v>22587265</v>
      </c>
      <c r="P20" s="370">
        <v>250000</v>
      </c>
      <c r="Q20" s="370">
        <v>400000</v>
      </c>
      <c r="R20" s="370">
        <v>500000</v>
      </c>
      <c r="S20" s="370">
        <v>730000</v>
      </c>
      <c r="T20" s="371">
        <f t="shared" si="2"/>
        <v>1630000</v>
      </c>
      <c r="U20" s="372">
        <f t="shared" si="3"/>
        <v>21</v>
      </c>
      <c r="V20" s="372">
        <v>21</v>
      </c>
      <c r="W20" s="373"/>
      <c r="X20" s="374"/>
      <c r="Y20" s="322">
        <f>VLOOKUP(B20,'Bảng công_092024'!$AR$31:$AT$57,3,0)</f>
        <v>21</v>
      </c>
      <c r="Z20" s="320">
        <f t="shared" si="4"/>
        <v>28147265</v>
      </c>
      <c r="AA20" s="375">
        <f t="shared" si="5"/>
        <v>29777265</v>
      </c>
      <c r="AB20" s="320">
        <f t="shared" si="6"/>
        <v>0</v>
      </c>
      <c r="AC20" s="370">
        <f t="shared" si="7"/>
        <v>0</v>
      </c>
      <c r="AD20" s="371">
        <f t="shared" si="8"/>
        <v>29777265</v>
      </c>
      <c r="AE20" s="376"/>
      <c r="AF20" s="370">
        <f t="shared" si="9"/>
        <v>941690</v>
      </c>
      <c r="AG20" s="377">
        <v>941690</v>
      </c>
      <c r="AH20" s="378"/>
      <c r="AI20" s="378"/>
      <c r="AJ20" s="320">
        <f>-VLOOKUP(B20,'Bảng công_092024'!$AR$31:$AS$57,2,0)</f>
        <v>0</v>
      </c>
      <c r="AK20" s="378"/>
      <c r="AL20" s="367"/>
      <c r="AM20" s="319">
        <f t="shared" si="10"/>
        <v>30718955</v>
      </c>
      <c r="AN20" s="370">
        <f>VLOOKUP(B20,BHXH!$E$7:$F$15,2,0)</f>
        <v>5310000</v>
      </c>
      <c r="AO20" s="371">
        <f t="shared" si="11"/>
        <v>557550</v>
      </c>
      <c r="AP20" s="371">
        <f t="shared" si="12"/>
        <v>1141650</v>
      </c>
      <c r="AQ20" s="316">
        <v>0</v>
      </c>
      <c r="AR20" s="324">
        <f t="shared" si="13"/>
        <v>11000000</v>
      </c>
      <c r="AS20" s="379">
        <f t="shared" si="14"/>
        <v>29088955</v>
      </c>
      <c r="AT20" s="371">
        <f t="shared" si="15"/>
        <v>17531405</v>
      </c>
      <c r="AU20" s="367">
        <v>0</v>
      </c>
      <c r="AV20" s="324">
        <f t="shared" si="16"/>
        <v>1879711</v>
      </c>
      <c r="AW20" s="376">
        <f t="shared" si="17"/>
        <v>28281694</v>
      </c>
      <c r="AX20" s="378"/>
      <c r="AY20" s="378"/>
      <c r="AZ20" s="370">
        <f t="shared" si="18"/>
        <v>28281694</v>
      </c>
      <c r="BA20" s="367">
        <f t="shared" si="19"/>
        <v>31860605</v>
      </c>
      <c r="BB20" s="380"/>
      <c r="BC20" s="326">
        <f t="shared" si="20"/>
        <v>21</v>
      </c>
      <c r="BD20" s="326">
        <f t="shared" si="21"/>
        <v>0</v>
      </c>
      <c r="BE20" s="197">
        <v>-75000</v>
      </c>
      <c r="BF20" s="286">
        <f t="shared" si="22"/>
        <v>1630000</v>
      </c>
      <c r="BG20" s="196" t="str">
        <f t="shared" si="23"/>
        <v>Đỗ Khánh Huyền</v>
      </c>
      <c r="BH20" s="197">
        <v>25736686</v>
      </c>
      <c r="BI20" s="196">
        <v>22</v>
      </c>
      <c r="BJ20" s="327">
        <f t="shared" si="24"/>
        <v>2545008</v>
      </c>
      <c r="BK20" s="381" t="s">
        <v>452</v>
      </c>
      <c r="BL20" s="382"/>
      <c r="BM20" s="383" t="s">
        <v>221</v>
      </c>
      <c r="BN20" s="384" t="s">
        <v>222</v>
      </c>
      <c r="BO20" s="383" t="s">
        <v>444</v>
      </c>
      <c r="BP20" s="385" t="s">
        <v>223</v>
      </c>
      <c r="BQ20" s="386"/>
    </row>
    <row r="21" spans="1:69" ht="28.5" customHeight="1">
      <c r="A21" s="315">
        <v>13</v>
      </c>
      <c r="B21" s="387" t="s">
        <v>142</v>
      </c>
      <c r="C21" s="388" t="s">
        <v>143</v>
      </c>
      <c r="D21" s="389" t="s">
        <v>144</v>
      </c>
      <c r="E21" s="364"/>
      <c r="F21" s="365" t="s">
        <v>85</v>
      </c>
      <c r="G21" s="370"/>
      <c r="H21" s="370"/>
      <c r="I21" s="367"/>
      <c r="J21" s="317"/>
      <c r="K21" s="318"/>
      <c r="L21" s="375">
        <f>15000000</f>
        <v>15000000</v>
      </c>
      <c r="M21" s="375">
        <f t="shared" si="0"/>
        <v>15000000</v>
      </c>
      <c r="N21" s="370">
        <f>VLOOKUP(B21,BHXH!$E$7:$F$15,2,0)</f>
        <v>5310000</v>
      </c>
      <c r="O21" s="370">
        <f t="shared" si="1"/>
        <v>7810000</v>
      </c>
      <c r="P21" s="370">
        <v>250000</v>
      </c>
      <c r="Q21" s="370">
        <v>400000</v>
      </c>
      <c r="R21" s="370">
        <v>500000</v>
      </c>
      <c r="S21" s="370">
        <v>730000</v>
      </c>
      <c r="T21" s="371">
        <f t="shared" si="2"/>
        <v>1630000</v>
      </c>
      <c r="U21" s="372">
        <f t="shared" si="3"/>
        <v>21</v>
      </c>
      <c r="V21" s="372">
        <v>21</v>
      </c>
      <c r="W21" s="390"/>
      <c r="X21" s="374"/>
      <c r="Y21" s="322">
        <f>VLOOKUP(B21,'Bảng công_092024'!$AR$31:$AT$57,3,0)</f>
        <v>21</v>
      </c>
      <c r="Z21" s="320">
        <f t="shared" si="4"/>
        <v>13370000</v>
      </c>
      <c r="AA21" s="375">
        <f t="shared" si="5"/>
        <v>15000000</v>
      </c>
      <c r="AB21" s="320">
        <f t="shared" si="6"/>
        <v>0</v>
      </c>
      <c r="AC21" s="370">
        <f t="shared" si="7"/>
        <v>0</v>
      </c>
      <c r="AD21" s="371">
        <f t="shared" si="8"/>
        <v>15000000</v>
      </c>
      <c r="AE21" s="370"/>
      <c r="AF21" s="370">
        <f t="shared" si="9"/>
        <v>-150000</v>
      </c>
      <c r="AG21" s="389"/>
      <c r="AH21" s="389"/>
      <c r="AI21" s="389"/>
      <c r="AJ21" s="320">
        <f>-VLOOKUP(B21,'Bảng công_092024'!$AR$31:$AS$57,2,0)</f>
        <v>-150000</v>
      </c>
      <c r="AK21" s="389"/>
      <c r="AL21" s="366"/>
      <c r="AM21" s="319">
        <f t="shared" si="10"/>
        <v>14850000</v>
      </c>
      <c r="AN21" s="370">
        <f>VLOOKUP(B21,BHXH!$E$7:$F$15,2,0)</f>
        <v>5310000</v>
      </c>
      <c r="AO21" s="371">
        <f t="shared" si="11"/>
        <v>557550</v>
      </c>
      <c r="AP21" s="371">
        <f t="shared" si="12"/>
        <v>1141650</v>
      </c>
      <c r="AQ21" s="316">
        <v>0</v>
      </c>
      <c r="AR21" s="324">
        <f t="shared" si="13"/>
        <v>11000000</v>
      </c>
      <c r="AS21" s="379">
        <f t="shared" si="14"/>
        <v>13220000</v>
      </c>
      <c r="AT21" s="371">
        <f t="shared" si="15"/>
        <v>1662450</v>
      </c>
      <c r="AU21" s="367">
        <f>IF(AT21&lt;2000000,0,(AT21*10%))</f>
        <v>0</v>
      </c>
      <c r="AV21" s="324">
        <f t="shared" si="16"/>
        <v>83123</v>
      </c>
      <c r="AW21" s="376">
        <f t="shared" si="17"/>
        <v>14209327</v>
      </c>
      <c r="AX21" s="366"/>
      <c r="AY21" s="389"/>
      <c r="AZ21" s="370">
        <f t="shared" si="18"/>
        <v>14209327</v>
      </c>
      <c r="BA21" s="367">
        <f t="shared" si="19"/>
        <v>15991650</v>
      </c>
      <c r="BB21" s="380"/>
      <c r="BC21" s="326">
        <f t="shared" si="20"/>
        <v>21</v>
      </c>
      <c r="BD21" s="326">
        <f t="shared" si="21"/>
        <v>-150000</v>
      </c>
      <c r="BE21" s="197">
        <v>-150000</v>
      </c>
      <c r="BF21" s="286">
        <f t="shared" si="22"/>
        <v>1630000</v>
      </c>
      <c r="BG21" s="196" t="str">
        <f t="shared" si="23"/>
        <v>Nguyễn Tử Trường Lâm</v>
      </c>
      <c r="BH21" s="197">
        <v>14230275</v>
      </c>
      <c r="BI21" s="196">
        <v>22</v>
      </c>
      <c r="BJ21" s="327">
        <f t="shared" si="24"/>
        <v>-20948</v>
      </c>
      <c r="BK21" s="381"/>
      <c r="BL21" s="382">
        <f>15000000-13333333</f>
        <v>1666667</v>
      </c>
      <c r="BM21" s="383" t="s">
        <v>224</v>
      </c>
      <c r="BN21" s="384" t="s">
        <v>225</v>
      </c>
      <c r="BO21" s="383" t="s">
        <v>444</v>
      </c>
      <c r="BP21" s="385" t="s">
        <v>201</v>
      </c>
      <c r="BQ21" s="386"/>
    </row>
    <row r="22" spans="1:69" ht="26.25" customHeight="1">
      <c r="A22" s="315">
        <v>14</v>
      </c>
      <c r="B22" s="360" t="s">
        <v>145</v>
      </c>
      <c r="C22" s="391" t="s">
        <v>146</v>
      </c>
      <c r="D22" s="389" t="s">
        <v>147</v>
      </c>
      <c r="E22" s="364"/>
      <c r="F22" s="365" t="s">
        <v>85</v>
      </c>
      <c r="G22" s="370"/>
      <c r="H22" s="370"/>
      <c r="I22" s="367"/>
      <c r="J22" s="317"/>
      <c r="K22" s="318"/>
      <c r="L22" s="375">
        <v>20000000</v>
      </c>
      <c r="M22" s="375">
        <f t="shared" si="0"/>
        <v>20000000</v>
      </c>
      <c r="N22" s="370" t="e">
        <f>VLOOKUP(B22,BHXH!$E$7:$F$15,2,0)</f>
        <v>#N/A</v>
      </c>
      <c r="O22" s="370" t="e">
        <f t="shared" si="1"/>
        <v>#N/A</v>
      </c>
      <c r="P22" s="370">
        <v>250000</v>
      </c>
      <c r="Q22" s="370">
        <v>400000</v>
      </c>
      <c r="R22" s="370">
        <v>500000</v>
      </c>
      <c r="S22" s="370">
        <v>730000</v>
      </c>
      <c r="T22" s="371">
        <f t="shared" si="2"/>
        <v>1630000</v>
      </c>
      <c r="U22" s="372">
        <f t="shared" si="3"/>
        <v>21</v>
      </c>
      <c r="V22" s="372">
        <v>21</v>
      </c>
      <c r="W22" s="390"/>
      <c r="X22" s="374"/>
      <c r="Y22" s="322">
        <f>VLOOKUP(B22,'Bảng công_092024'!$AR$31:$AT$57,3,0)</f>
        <v>21</v>
      </c>
      <c r="Z22" s="320">
        <f t="shared" si="4"/>
        <v>18370000</v>
      </c>
      <c r="AA22" s="375">
        <f t="shared" si="5"/>
        <v>20000000</v>
      </c>
      <c r="AB22" s="320">
        <f t="shared" si="6"/>
        <v>0</v>
      </c>
      <c r="AC22" s="370">
        <f t="shared" si="7"/>
        <v>0</v>
      </c>
      <c r="AD22" s="371">
        <f t="shared" si="8"/>
        <v>20000000</v>
      </c>
      <c r="AE22" s="370"/>
      <c r="AF22" s="370">
        <f t="shared" si="9"/>
        <v>-225000</v>
      </c>
      <c r="AG22" s="389"/>
      <c r="AH22" s="389"/>
      <c r="AI22" s="389"/>
      <c r="AJ22" s="320">
        <f>-VLOOKUP(B22,'Bảng công_092024'!$AR$31:$AS$57,2,0)</f>
        <v>-225000</v>
      </c>
      <c r="AK22" s="389"/>
      <c r="AL22" s="366"/>
      <c r="AM22" s="319">
        <f t="shared" si="10"/>
        <v>19775000</v>
      </c>
      <c r="AN22" s="370" t="e">
        <f>VLOOKUP(B22,BHXH!$E$7:$F$15,2,0)</f>
        <v>#N/A</v>
      </c>
      <c r="AO22" s="371" t="e">
        <f t="shared" si="11"/>
        <v>#N/A</v>
      </c>
      <c r="AP22" s="371" t="e">
        <f t="shared" si="12"/>
        <v>#N/A</v>
      </c>
      <c r="AQ22" s="316">
        <v>0</v>
      </c>
      <c r="AR22" s="324">
        <f t="shared" si="13"/>
        <v>11000000</v>
      </c>
      <c r="AS22" s="379">
        <f t="shared" si="14"/>
        <v>18145000</v>
      </c>
      <c r="AT22" s="371" t="e">
        <f t="shared" si="15"/>
        <v>#N/A</v>
      </c>
      <c r="AU22" s="367">
        <v>0</v>
      </c>
      <c r="AV22" s="324" t="e">
        <f t="shared" si="16"/>
        <v>#N/A</v>
      </c>
      <c r="AW22" s="376" t="e">
        <f t="shared" si="17"/>
        <v>#N/A</v>
      </c>
      <c r="AX22" s="366"/>
      <c r="AY22" s="389"/>
      <c r="AZ22" s="370" t="e">
        <f t="shared" si="18"/>
        <v>#N/A</v>
      </c>
      <c r="BA22" s="367" t="e">
        <f t="shared" si="19"/>
        <v>#N/A</v>
      </c>
      <c r="BB22" s="380"/>
      <c r="BC22" s="326">
        <f t="shared" si="20"/>
        <v>21</v>
      </c>
      <c r="BD22" s="326">
        <f t="shared" si="21"/>
        <v>-225000</v>
      </c>
      <c r="BE22" s="197">
        <v>-375000</v>
      </c>
      <c r="BF22" s="286">
        <f t="shared" si="22"/>
        <v>1630000</v>
      </c>
      <c r="BG22" s="196" t="str">
        <f t="shared" si="23"/>
        <v xml:space="preserve">Lê Anh Việt </v>
      </c>
      <c r="BH22" s="197">
        <v>18280755</v>
      </c>
      <c r="BI22" s="196">
        <v>21.5</v>
      </c>
      <c r="BJ22" s="327" t="e">
        <f t="shared" si="24"/>
        <v>#N/A</v>
      </c>
      <c r="BK22" s="392" t="s">
        <v>453</v>
      </c>
      <c r="BL22" s="382"/>
      <c r="BM22" s="383" t="s">
        <v>226</v>
      </c>
      <c r="BN22" s="384" t="s">
        <v>227</v>
      </c>
      <c r="BO22" s="383" t="s">
        <v>444</v>
      </c>
      <c r="BP22" s="385" t="s">
        <v>228</v>
      </c>
      <c r="BQ22" s="386"/>
    </row>
    <row r="23" spans="1:69" ht="27" customHeight="1">
      <c r="A23" s="315">
        <v>15</v>
      </c>
      <c r="B23" s="393" t="s">
        <v>229</v>
      </c>
      <c r="C23" s="391" t="s">
        <v>230</v>
      </c>
      <c r="D23" s="389" t="s">
        <v>231</v>
      </c>
      <c r="E23" s="364"/>
      <c r="F23" s="365" t="s">
        <v>85</v>
      </c>
      <c r="G23" s="394"/>
      <c r="H23" s="394"/>
      <c r="I23" s="395"/>
      <c r="J23" s="317"/>
      <c r="K23" s="318"/>
      <c r="L23" s="396">
        <v>47000000</v>
      </c>
      <c r="M23" s="397">
        <f t="shared" si="0"/>
        <v>47000000</v>
      </c>
      <c r="N23" s="370">
        <f>VLOOKUP(B23,BHXH!$E$7:$F$15,2,0)</f>
        <v>5310000</v>
      </c>
      <c r="O23" s="394">
        <f t="shared" si="1"/>
        <v>39060000</v>
      </c>
      <c r="P23" s="371">
        <v>500000</v>
      </c>
      <c r="Q23" s="371">
        <v>400000</v>
      </c>
      <c r="R23" s="371">
        <v>1000000</v>
      </c>
      <c r="S23" s="371">
        <v>730000</v>
      </c>
      <c r="T23" s="371">
        <f t="shared" si="2"/>
        <v>2130000</v>
      </c>
      <c r="U23" s="398">
        <f t="shared" si="3"/>
        <v>21</v>
      </c>
      <c r="V23" s="372">
        <v>21</v>
      </c>
      <c r="W23" s="399"/>
      <c r="X23" s="400"/>
      <c r="Y23" s="322">
        <f>VLOOKUP(B23,'Bảng công_092024'!$AR$31:$AT$57,3,0)</f>
        <v>21</v>
      </c>
      <c r="Z23" s="320">
        <f t="shared" si="4"/>
        <v>44870000</v>
      </c>
      <c r="AA23" s="396">
        <f t="shared" si="5"/>
        <v>47000000</v>
      </c>
      <c r="AB23" s="320">
        <f t="shared" si="6"/>
        <v>0</v>
      </c>
      <c r="AC23" s="401">
        <f t="shared" si="7"/>
        <v>0</v>
      </c>
      <c r="AD23" s="371">
        <f t="shared" si="8"/>
        <v>47000000</v>
      </c>
      <c r="AE23" s="394"/>
      <c r="AF23" s="402">
        <f t="shared" si="9"/>
        <v>-75000</v>
      </c>
      <c r="AG23" s="403"/>
      <c r="AH23" s="403"/>
      <c r="AI23" s="403"/>
      <c r="AJ23" s="320">
        <f>-VLOOKUP(B23,'Bảng công_092024'!$AR$31:$AS$57,2,0)</f>
        <v>-75000</v>
      </c>
      <c r="AK23" s="403"/>
      <c r="AL23" s="404"/>
      <c r="AM23" s="319">
        <f t="shared" si="10"/>
        <v>46925000</v>
      </c>
      <c r="AN23" s="370">
        <f>VLOOKUP(B23,BHXH!$E$7:$F$15,2,0)</f>
        <v>5310000</v>
      </c>
      <c r="AO23" s="371">
        <f t="shared" si="11"/>
        <v>557550</v>
      </c>
      <c r="AP23" s="371">
        <f t="shared" si="12"/>
        <v>1141650</v>
      </c>
      <c r="AQ23" s="316">
        <v>0</v>
      </c>
      <c r="AR23" s="324">
        <f t="shared" si="13"/>
        <v>11000000</v>
      </c>
      <c r="AS23" s="405">
        <f t="shared" si="14"/>
        <v>44795000</v>
      </c>
      <c r="AT23" s="371">
        <f t="shared" si="15"/>
        <v>33237450</v>
      </c>
      <c r="AU23" s="395">
        <v>0</v>
      </c>
      <c r="AV23" s="324">
        <f t="shared" si="16"/>
        <v>5059363</v>
      </c>
      <c r="AW23" s="406">
        <f t="shared" si="17"/>
        <v>41308087</v>
      </c>
      <c r="AX23" s="404"/>
      <c r="AY23" s="403"/>
      <c r="AZ23" s="402">
        <f t="shared" si="18"/>
        <v>41308087</v>
      </c>
      <c r="BA23" s="395">
        <f t="shared" si="19"/>
        <v>48066650</v>
      </c>
      <c r="BB23" s="380"/>
      <c r="BC23" s="326">
        <f t="shared" si="20"/>
        <v>21</v>
      </c>
      <c r="BD23" s="326">
        <f t="shared" si="21"/>
        <v>-75000</v>
      </c>
      <c r="BE23" s="197">
        <v>-150000</v>
      </c>
      <c r="BF23" s="286">
        <f t="shared" si="22"/>
        <v>2130000</v>
      </c>
      <c r="BG23" s="196" t="str">
        <f t="shared" si="23"/>
        <v xml:space="preserve">Nguyễn Song Hà </v>
      </c>
      <c r="BH23" s="197">
        <v>40961250</v>
      </c>
      <c r="BI23" s="196">
        <v>22</v>
      </c>
      <c r="BJ23" s="407">
        <f t="shared" si="24"/>
        <v>346837</v>
      </c>
      <c r="BK23" s="280" t="s">
        <v>450</v>
      </c>
      <c r="BL23" s="408"/>
      <c r="BM23" s="409" t="s">
        <v>232</v>
      </c>
      <c r="BN23" s="410">
        <v>19020074352016</v>
      </c>
      <c r="BO23" s="408"/>
      <c r="BP23" s="216"/>
      <c r="BQ23" s="216"/>
    </row>
    <row r="24" spans="1:69" ht="23.25" customHeight="1">
      <c r="A24" s="315">
        <v>16</v>
      </c>
      <c r="B24" s="411" t="s">
        <v>148</v>
      </c>
      <c r="C24" s="391" t="s">
        <v>149</v>
      </c>
      <c r="D24" s="389" t="s">
        <v>150</v>
      </c>
      <c r="E24" s="364">
        <v>0.1</v>
      </c>
      <c r="F24" s="365" t="s">
        <v>85</v>
      </c>
      <c r="G24" s="370"/>
      <c r="H24" s="370"/>
      <c r="I24" s="366">
        <f>L24*100%</f>
        <v>20000000</v>
      </c>
      <c r="J24" s="317"/>
      <c r="K24" s="318"/>
      <c r="L24" s="375">
        <f>18000000/0.9</f>
        <v>20000000</v>
      </c>
      <c r="M24" s="375">
        <f t="shared" si="0"/>
        <v>20000000</v>
      </c>
      <c r="N24" s="370"/>
      <c r="O24" s="370">
        <f>SUM(P20:S20)</f>
        <v>1880000</v>
      </c>
      <c r="P24" s="370"/>
      <c r="Q24" s="370"/>
      <c r="R24" s="370"/>
      <c r="S24" s="370"/>
      <c r="T24" s="372"/>
      <c r="U24" s="372">
        <f t="shared" si="3"/>
        <v>21</v>
      </c>
      <c r="V24" s="372">
        <v>21</v>
      </c>
      <c r="W24" s="390"/>
      <c r="X24" s="374">
        <f>VLOOKUP(B24, 'Bảng công_092024'!$AR$31:$AT$57, 3, FALSE)</f>
        <v>21</v>
      </c>
      <c r="Y24" s="412"/>
      <c r="Z24" s="413"/>
      <c r="AA24" s="414">
        <f t="shared" si="5"/>
        <v>20000000</v>
      </c>
      <c r="AB24" s="320">
        <f t="shared" si="6"/>
        <v>0</v>
      </c>
      <c r="AC24" s="376">
        <f t="shared" si="7"/>
        <v>20000000</v>
      </c>
      <c r="AD24" s="376">
        <f t="shared" si="8"/>
        <v>0</v>
      </c>
      <c r="AE24" s="370"/>
      <c r="AF24" s="402">
        <f t="shared" si="9"/>
        <v>-75000</v>
      </c>
      <c r="AG24" s="389"/>
      <c r="AH24" s="389"/>
      <c r="AI24" s="389"/>
      <c r="AJ24" s="320">
        <f>-VLOOKUP(B24,'Bảng công_092024'!$AR$31:$AS$57,2,0)</f>
        <v>-75000</v>
      </c>
      <c r="AK24" s="389"/>
      <c r="AL24" s="366"/>
      <c r="AM24" s="319">
        <f t="shared" si="10"/>
        <v>19925000</v>
      </c>
      <c r="AN24" s="370"/>
      <c r="AO24" s="376"/>
      <c r="AP24" s="376"/>
      <c r="AQ24" s="378"/>
      <c r="AR24" s="379">
        <f t="shared" si="13"/>
        <v>0</v>
      </c>
      <c r="AS24" s="379">
        <f t="shared" si="14"/>
        <v>19925000</v>
      </c>
      <c r="AT24" s="371">
        <f t="shared" si="15"/>
        <v>19925000</v>
      </c>
      <c r="AU24" s="367">
        <f t="shared" ref="AU24:AU36" si="25">IF(AT24&lt;2000000,0,(AT24*10%))</f>
        <v>1992500</v>
      </c>
      <c r="AV24" s="366"/>
      <c r="AW24" s="376">
        <f t="shared" si="17"/>
        <v>17932500</v>
      </c>
      <c r="AX24" s="366"/>
      <c r="AY24" s="389"/>
      <c r="AZ24" s="370">
        <f t="shared" si="18"/>
        <v>17932500</v>
      </c>
      <c r="BA24" s="367">
        <f t="shared" si="19"/>
        <v>19925000</v>
      </c>
      <c r="BB24" s="380" t="s">
        <v>137</v>
      </c>
      <c r="BC24" s="326">
        <f t="shared" si="20"/>
        <v>21</v>
      </c>
      <c r="BD24" s="326">
        <f t="shared" si="21"/>
        <v>-75000</v>
      </c>
      <c r="BE24" s="197">
        <v>-150000</v>
      </c>
      <c r="BF24" s="286">
        <f t="shared" si="22"/>
        <v>0</v>
      </c>
      <c r="BG24" s="196" t="str">
        <f t="shared" si="23"/>
        <v xml:space="preserve">Trần Thị Bảo Tâm </v>
      </c>
      <c r="BH24" s="197">
        <v>17865000</v>
      </c>
      <c r="BI24" s="196">
        <v>22</v>
      </c>
      <c r="BJ24" s="327">
        <f t="shared" si="24"/>
        <v>67500</v>
      </c>
      <c r="BK24" s="280" t="s">
        <v>450</v>
      </c>
      <c r="BL24" s="382"/>
      <c r="BM24" s="383" t="s">
        <v>239</v>
      </c>
      <c r="BN24" s="384" t="s">
        <v>240</v>
      </c>
      <c r="BO24" s="383" t="s">
        <v>444</v>
      </c>
      <c r="BP24" s="385" t="s">
        <v>190</v>
      </c>
      <c r="BQ24" s="386"/>
    </row>
    <row r="25" spans="1:69" ht="24" customHeight="1">
      <c r="A25" s="315">
        <v>17</v>
      </c>
      <c r="B25" s="415" t="s">
        <v>233</v>
      </c>
      <c r="C25" s="298" t="s">
        <v>234</v>
      </c>
      <c r="D25" s="356" t="s">
        <v>144</v>
      </c>
      <c r="E25" s="358">
        <v>0.1</v>
      </c>
      <c r="F25" s="415" t="s">
        <v>137</v>
      </c>
      <c r="G25" s="353"/>
      <c r="H25" s="353"/>
      <c r="I25" s="416">
        <f t="shared" ref="I25:I26" si="26">L25*85%</f>
        <v>15111111.11111111</v>
      </c>
      <c r="J25" s="317"/>
      <c r="K25" s="318"/>
      <c r="L25" s="417">
        <f>16000000/0.9</f>
        <v>17777777.777777776</v>
      </c>
      <c r="M25" s="352">
        <f t="shared" si="0"/>
        <v>17777777.777777776</v>
      </c>
      <c r="N25" s="353"/>
      <c r="O25" s="353"/>
      <c r="P25" s="353"/>
      <c r="Q25" s="353"/>
      <c r="R25" s="353"/>
      <c r="S25" s="353"/>
      <c r="T25" s="321"/>
      <c r="U25" s="321">
        <f t="shared" si="3"/>
        <v>21</v>
      </c>
      <c r="V25" s="321">
        <v>21</v>
      </c>
      <c r="W25" s="354"/>
      <c r="X25" s="374">
        <f>VLOOKUP(B25, 'Bảng công_092024'!$AR$31:$AT$57, 3, FALSE)</f>
        <v>21</v>
      </c>
      <c r="Y25" s="346"/>
      <c r="Z25" s="355"/>
      <c r="AA25" s="418">
        <f t="shared" si="5"/>
        <v>15111111</v>
      </c>
      <c r="AB25" s="320">
        <f t="shared" si="6"/>
        <v>0</v>
      </c>
      <c r="AC25" s="419">
        <f t="shared" si="7"/>
        <v>15111111</v>
      </c>
      <c r="AD25" s="376">
        <f t="shared" si="8"/>
        <v>0</v>
      </c>
      <c r="AE25" s="353"/>
      <c r="AF25" s="420">
        <f t="shared" si="9"/>
        <v>-225000</v>
      </c>
      <c r="AG25" s="356"/>
      <c r="AH25" s="356"/>
      <c r="AI25" s="356"/>
      <c r="AJ25" s="320">
        <f>-VLOOKUP(B25,'Bảng công_092024'!$AR$31:$AS$57,2,0)</f>
        <v>-225000</v>
      </c>
      <c r="AK25" s="356"/>
      <c r="AL25" s="351"/>
      <c r="AM25" s="319">
        <f t="shared" si="10"/>
        <v>14886111</v>
      </c>
      <c r="AN25" s="353"/>
      <c r="AO25" s="353"/>
      <c r="AP25" s="353"/>
      <c r="AQ25" s="356"/>
      <c r="AR25" s="324"/>
      <c r="AS25" s="324">
        <f t="shared" si="14"/>
        <v>14886111</v>
      </c>
      <c r="AT25" s="320">
        <f t="shared" si="15"/>
        <v>14886111</v>
      </c>
      <c r="AU25" s="421">
        <f t="shared" si="25"/>
        <v>1488611.1</v>
      </c>
      <c r="AV25" s="351"/>
      <c r="AW25" s="419">
        <f t="shared" si="17"/>
        <v>13397499.9</v>
      </c>
      <c r="AX25" s="351"/>
      <c r="AY25" s="356"/>
      <c r="AZ25" s="353">
        <f t="shared" si="18"/>
        <v>13397500</v>
      </c>
      <c r="BA25" s="421">
        <f t="shared" si="19"/>
        <v>14886111</v>
      </c>
      <c r="BB25" s="415" t="s">
        <v>137</v>
      </c>
      <c r="BC25" s="326">
        <f t="shared" si="20"/>
        <v>21</v>
      </c>
      <c r="BD25" s="326">
        <f t="shared" si="21"/>
        <v>-225000</v>
      </c>
      <c r="BE25" s="197">
        <v>0</v>
      </c>
      <c r="BF25" s="286">
        <f t="shared" si="22"/>
        <v>0</v>
      </c>
      <c r="BG25" s="196" t="str">
        <f t="shared" si="23"/>
        <v xml:space="preserve">Phạm Đăng Bình </v>
      </c>
      <c r="BH25" s="197">
        <v>11745455</v>
      </c>
      <c r="BI25" s="196">
        <v>19</v>
      </c>
      <c r="BJ25" s="327">
        <f t="shared" si="24"/>
        <v>1652045</v>
      </c>
      <c r="BK25" s="392" t="s">
        <v>454</v>
      </c>
      <c r="BL25" s="201"/>
      <c r="BM25" s="329"/>
      <c r="BN25" s="331"/>
      <c r="BO25" s="329"/>
      <c r="BP25" s="331"/>
      <c r="BQ25" s="202"/>
    </row>
    <row r="26" spans="1:69" ht="27.75" customHeight="1">
      <c r="A26" s="315">
        <v>18</v>
      </c>
      <c r="B26" s="415" t="s">
        <v>236</v>
      </c>
      <c r="C26" s="298" t="s">
        <v>237</v>
      </c>
      <c r="D26" s="356" t="s">
        <v>144</v>
      </c>
      <c r="E26" s="358">
        <v>0.1</v>
      </c>
      <c r="F26" s="415" t="s">
        <v>137</v>
      </c>
      <c r="G26" s="353"/>
      <c r="H26" s="353"/>
      <c r="I26" s="416">
        <f t="shared" si="26"/>
        <v>11050000</v>
      </c>
      <c r="J26" s="317"/>
      <c r="K26" s="318"/>
      <c r="L26" s="417">
        <v>13000000</v>
      </c>
      <c r="M26" s="352">
        <f t="shared" si="0"/>
        <v>13000000</v>
      </c>
      <c r="N26" s="353"/>
      <c r="O26" s="353"/>
      <c r="P26" s="353"/>
      <c r="Q26" s="353"/>
      <c r="R26" s="353"/>
      <c r="S26" s="353"/>
      <c r="T26" s="321"/>
      <c r="U26" s="321">
        <f t="shared" si="3"/>
        <v>21</v>
      </c>
      <c r="V26" s="321">
        <v>21</v>
      </c>
      <c r="W26" s="354"/>
      <c r="X26" s="374">
        <f>VLOOKUP(B26, 'Bảng công_092024'!$AR$31:$AT$57, 3, FALSE)</f>
        <v>21</v>
      </c>
      <c r="Y26" s="346"/>
      <c r="Z26" s="355"/>
      <c r="AA26" s="418">
        <f t="shared" si="5"/>
        <v>11050000</v>
      </c>
      <c r="AB26" s="320">
        <f t="shared" si="6"/>
        <v>0</v>
      </c>
      <c r="AC26" s="419">
        <f t="shared" si="7"/>
        <v>11050000</v>
      </c>
      <c r="AD26" s="376">
        <f t="shared" si="8"/>
        <v>0</v>
      </c>
      <c r="AE26" s="353"/>
      <c r="AF26" s="420">
        <f t="shared" si="9"/>
        <v>0</v>
      </c>
      <c r="AG26" s="356"/>
      <c r="AH26" s="356"/>
      <c r="AI26" s="356"/>
      <c r="AJ26" s="320">
        <f>-VLOOKUP(B26,'Bảng công_092024'!$AR$31:$AS$57,2,0)</f>
        <v>0</v>
      </c>
      <c r="AK26" s="356"/>
      <c r="AL26" s="351"/>
      <c r="AM26" s="319">
        <f t="shared" si="10"/>
        <v>11050000</v>
      </c>
      <c r="AN26" s="353"/>
      <c r="AO26" s="353"/>
      <c r="AP26" s="353"/>
      <c r="AQ26" s="356"/>
      <c r="AR26" s="324"/>
      <c r="AS26" s="324">
        <f t="shared" si="14"/>
        <v>11050000</v>
      </c>
      <c r="AT26" s="320">
        <f t="shared" si="15"/>
        <v>11050000</v>
      </c>
      <c r="AU26" s="421">
        <f t="shared" si="25"/>
        <v>1105000</v>
      </c>
      <c r="AV26" s="351"/>
      <c r="AW26" s="419">
        <f t="shared" si="17"/>
        <v>9945000</v>
      </c>
      <c r="AX26" s="351"/>
      <c r="AY26" s="356"/>
      <c r="AZ26" s="353">
        <f t="shared" si="18"/>
        <v>9945000</v>
      </c>
      <c r="BA26" s="421">
        <f t="shared" si="19"/>
        <v>11050000</v>
      </c>
      <c r="BB26" s="415" t="s">
        <v>137</v>
      </c>
      <c r="BC26" s="326">
        <f t="shared" si="20"/>
        <v>21</v>
      </c>
      <c r="BD26" s="326">
        <f t="shared" si="21"/>
        <v>0</v>
      </c>
      <c r="BE26" s="197">
        <v>-75000</v>
      </c>
      <c r="BF26" s="286">
        <f t="shared" si="22"/>
        <v>0</v>
      </c>
      <c r="BG26" s="196" t="str">
        <f t="shared" si="23"/>
        <v xml:space="preserve">Phạm Thị Mỹ Duyên </v>
      </c>
      <c r="BH26" s="197">
        <v>8973410</v>
      </c>
      <c r="BI26" s="196">
        <v>20</v>
      </c>
      <c r="BJ26" s="327">
        <f t="shared" si="24"/>
        <v>971590</v>
      </c>
      <c r="BK26" s="392" t="s">
        <v>454</v>
      </c>
      <c r="BL26" s="201"/>
      <c r="BM26" s="329"/>
      <c r="BN26" s="331"/>
      <c r="BO26" s="329"/>
      <c r="BP26" s="331"/>
      <c r="BQ26" s="202"/>
    </row>
    <row r="27" spans="1:69" ht="24.75" customHeight="1">
      <c r="A27" s="315">
        <v>19</v>
      </c>
      <c r="B27" s="415" t="s">
        <v>245</v>
      </c>
      <c r="C27" s="192" t="s">
        <v>455</v>
      </c>
      <c r="D27" s="316" t="s">
        <v>220</v>
      </c>
      <c r="E27" s="358">
        <v>0.1</v>
      </c>
      <c r="F27" s="415" t="s">
        <v>137</v>
      </c>
      <c r="G27" s="353"/>
      <c r="H27" s="353"/>
      <c r="I27" s="416">
        <f t="shared" ref="I27:I28" si="27">L27*100%</f>
        <v>27777777.777777776</v>
      </c>
      <c r="J27" s="317"/>
      <c r="K27" s="318"/>
      <c r="L27" s="417">
        <f>25000000/0.9</f>
        <v>27777777.777777776</v>
      </c>
      <c r="M27" s="352">
        <f t="shared" si="0"/>
        <v>27777777.777777776</v>
      </c>
      <c r="N27" s="353"/>
      <c r="O27" s="353"/>
      <c r="P27" s="353"/>
      <c r="Q27" s="353"/>
      <c r="R27" s="353"/>
      <c r="S27" s="353"/>
      <c r="T27" s="321"/>
      <c r="U27" s="321">
        <f t="shared" si="3"/>
        <v>21</v>
      </c>
      <c r="V27" s="321">
        <v>21</v>
      </c>
      <c r="W27" s="354"/>
      <c r="X27" s="374">
        <f>VLOOKUP(B27, 'Bảng công_092024'!$AR$31:$AT$57, 3, FALSE)</f>
        <v>21</v>
      </c>
      <c r="Y27" s="346"/>
      <c r="Z27" s="355"/>
      <c r="AA27" s="418">
        <f t="shared" si="5"/>
        <v>27777778</v>
      </c>
      <c r="AB27" s="320">
        <f t="shared" si="6"/>
        <v>0</v>
      </c>
      <c r="AC27" s="419">
        <f t="shared" si="7"/>
        <v>27777778</v>
      </c>
      <c r="AD27" s="376">
        <f t="shared" si="8"/>
        <v>0</v>
      </c>
      <c r="AE27" s="353"/>
      <c r="AF27" s="420">
        <f t="shared" si="9"/>
        <v>0</v>
      </c>
      <c r="AG27" s="356"/>
      <c r="AH27" s="356"/>
      <c r="AI27" s="356"/>
      <c r="AJ27" s="320">
        <f>-VLOOKUP(B27,'Bảng công_092024'!$AR$31:$AS$57,2,0)</f>
        <v>0</v>
      </c>
      <c r="AK27" s="356"/>
      <c r="AL27" s="351"/>
      <c r="AM27" s="319">
        <f t="shared" si="10"/>
        <v>27777778</v>
      </c>
      <c r="AN27" s="353"/>
      <c r="AO27" s="353"/>
      <c r="AP27" s="353"/>
      <c r="AQ27" s="356"/>
      <c r="AR27" s="324"/>
      <c r="AS27" s="324">
        <f t="shared" si="14"/>
        <v>27777778</v>
      </c>
      <c r="AT27" s="320">
        <f t="shared" si="15"/>
        <v>27777778</v>
      </c>
      <c r="AU27" s="421">
        <f t="shared" si="25"/>
        <v>2777777.8000000003</v>
      </c>
      <c r="AV27" s="351"/>
      <c r="AW27" s="419">
        <f t="shared" si="17"/>
        <v>25000000.199999999</v>
      </c>
      <c r="AX27" s="351"/>
      <c r="AY27" s="356"/>
      <c r="AZ27" s="353">
        <f t="shared" si="18"/>
        <v>25000000</v>
      </c>
      <c r="BA27" s="421">
        <f t="shared" si="19"/>
        <v>27777778</v>
      </c>
      <c r="BB27" s="415" t="s">
        <v>137</v>
      </c>
      <c r="BC27" s="326">
        <f t="shared" si="20"/>
        <v>21</v>
      </c>
      <c r="BD27" s="326">
        <f t="shared" si="21"/>
        <v>0</v>
      </c>
      <c r="BE27" s="197">
        <v>-75000</v>
      </c>
      <c r="BF27" s="286">
        <f t="shared" si="22"/>
        <v>0</v>
      </c>
      <c r="BG27" s="196" t="str">
        <f t="shared" si="23"/>
        <v xml:space="preserve">Nguyễn Phương Ly </v>
      </c>
      <c r="BH27" s="197">
        <v>3341591</v>
      </c>
      <c r="BI27" s="196">
        <v>3</v>
      </c>
      <c r="BJ27" s="327">
        <f t="shared" si="24"/>
        <v>21658409</v>
      </c>
      <c r="BK27" s="280" t="s">
        <v>456</v>
      </c>
      <c r="BL27" s="201"/>
      <c r="BM27" s="329"/>
      <c r="BN27" s="331"/>
      <c r="BO27" s="329"/>
      <c r="BP27" s="331"/>
      <c r="BQ27" s="202"/>
    </row>
    <row r="28" spans="1:69" ht="24" customHeight="1">
      <c r="A28" s="315">
        <v>20</v>
      </c>
      <c r="B28" s="380" t="s">
        <v>241</v>
      </c>
      <c r="C28" s="298" t="s">
        <v>242</v>
      </c>
      <c r="D28" s="316" t="s">
        <v>243</v>
      </c>
      <c r="E28" s="358">
        <v>0.1</v>
      </c>
      <c r="F28" s="415" t="s">
        <v>137</v>
      </c>
      <c r="G28" s="353"/>
      <c r="H28" s="353"/>
      <c r="I28" s="416">
        <f t="shared" si="27"/>
        <v>35555555.555555552</v>
      </c>
      <c r="J28" s="317"/>
      <c r="K28" s="318"/>
      <c r="L28" s="417">
        <f>32000000/0.9</f>
        <v>35555555.555555552</v>
      </c>
      <c r="M28" s="352">
        <f t="shared" si="0"/>
        <v>35555555.555555552</v>
      </c>
      <c r="N28" s="353"/>
      <c r="O28" s="353"/>
      <c r="P28" s="353"/>
      <c r="Q28" s="353"/>
      <c r="R28" s="353"/>
      <c r="S28" s="353"/>
      <c r="T28" s="321"/>
      <c r="U28" s="321">
        <f t="shared" si="3"/>
        <v>19</v>
      </c>
      <c r="V28" s="321">
        <v>21</v>
      </c>
      <c r="W28" s="354"/>
      <c r="X28" s="374">
        <f>VLOOKUP(B28, 'Bảng công_092024'!$AR$31:$AT$57, 3, FALSE)</f>
        <v>19</v>
      </c>
      <c r="Y28" s="346"/>
      <c r="Z28" s="355"/>
      <c r="AA28" s="418">
        <f t="shared" si="5"/>
        <v>32169312</v>
      </c>
      <c r="AB28" s="320">
        <f t="shared" si="6"/>
        <v>0</v>
      </c>
      <c r="AC28" s="419">
        <f t="shared" si="7"/>
        <v>32169312</v>
      </c>
      <c r="AD28" s="376">
        <f t="shared" si="8"/>
        <v>0</v>
      </c>
      <c r="AE28" s="353"/>
      <c r="AF28" s="420">
        <f t="shared" si="9"/>
        <v>0</v>
      </c>
      <c r="AG28" s="356"/>
      <c r="AH28" s="356"/>
      <c r="AI28" s="356"/>
      <c r="AJ28" s="320">
        <f>-VLOOKUP(B28,'Bảng công_092024'!$AR$31:$AS$57,2,0)</f>
        <v>0</v>
      </c>
      <c r="AK28" s="356"/>
      <c r="AL28" s="351"/>
      <c r="AM28" s="319">
        <f t="shared" si="10"/>
        <v>32169312</v>
      </c>
      <c r="AN28" s="353"/>
      <c r="AO28" s="353"/>
      <c r="AP28" s="353"/>
      <c r="AQ28" s="356"/>
      <c r="AR28" s="324"/>
      <c r="AS28" s="324">
        <f t="shared" si="14"/>
        <v>32169312</v>
      </c>
      <c r="AT28" s="320">
        <f t="shared" si="15"/>
        <v>32169312</v>
      </c>
      <c r="AU28" s="421">
        <f t="shared" si="25"/>
        <v>3216931.2</v>
      </c>
      <c r="AV28" s="351"/>
      <c r="AW28" s="419">
        <f t="shared" si="17"/>
        <v>28952380.800000001</v>
      </c>
      <c r="AX28" s="351"/>
      <c r="AY28" s="356"/>
      <c r="AZ28" s="353">
        <f t="shared" si="18"/>
        <v>28952381</v>
      </c>
      <c r="BA28" s="421">
        <f t="shared" si="19"/>
        <v>32169312</v>
      </c>
      <c r="BB28" s="359"/>
      <c r="BC28" s="326">
        <f t="shared" si="20"/>
        <v>19</v>
      </c>
      <c r="BD28" s="326">
        <f t="shared" si="21"/>
        <v>0</v>
      </c>
      <c r="BE28" s="197">
        <v>0</v>
      </c>
      <c r="BF28" s="286">
        <f t="shared" si="22"/>
        <v>0</v>
      </c>
      <c r="BG28" s="422" t="str">
        <f t="shared" si="23"/>
        <v>Nguyễn Thị Ngọc Ánh</v>
      </c>
      <c r="BH28" s="197">
        <v>0</v>
      </c>
      <c r="BI28" s="196">
        <v>0</v>
      </c>
      <c r="BJ28" s="327">
        <f t="shared" si="24"/>
        <v>28952381</v>
      </c>
      <c r="BK28" s="280" t="s">
        <v>457</v>
      </c>
      <c r="BL28" s="201"/>
      <c r="BM28" s="329"/>
      <c r="BN28" s="331"/>
      <c r="BO28" s="329"/>
      <c r="BP28" s="331"/>
      <c r="BQ28" s="202"/>
    </row>
    <row r="29" spans="1:69" ht="24" customHeight="1">
      <c r="A29" s="315">
        <v>21</v>
      </c>
      <c r="B29" s="423" t="s">
        <v>246</v>
      </c>
      <c r="C29" s="298" t="s">
        <v>247</v>
      </c>
      <c r="D29" s="316" t="s">
        <v>248</v>
      </c>
      <c r="E29" s="358">
        <v>0.1</v>
      </c>
      <c r="F29" s="415" t="s">
        <v>137</v>
      </c>
      <c r="G29" s="353"/>
      <c r="H29" s="353"/>
      <c r="I29" s="416">
        <f>L29*85%</f>
        <v>12750000</v>
      </c>
      <c r="J29" s="317"/>
      <c r="K29" s="318"/>
      <c r="L29" s="424">
        <v>15000000</v>
      </c>
      <c r="M29" s="352">
        <f t="shared" si="0"/>
        <v>15000000</v>
      </c>
      <c r="N29" s="353"/>
      <c r="O29" s="353"/>
      <c r="P29" s="353"/>
      <c r="Q29" s="353"/>
      <c r="R29" s="353"/>
      <c r="S29" s="353"/>
      <c r="T29" s="321"/>
      <c r="U29" s="321">
        <f t="shared" si="3"/>
        <v>9</v>
      </c>
      <c r="V29" s="321">
        <v>21</v>
      </c>
      <c r="W29" s="354"/>
      <c r="X29" s="374">
        <f>VLOOKUP(B29, 'Bảng công_092024'!$AR$31:$AT$57, 3, FALSE)</f>
        <v>9</v>
      </c>
      <c r="Y29" s="346"/>
      <c r="Z29" s="355"/>
      <c r="AA29" s="418">
        <f t="shared" si="5"/>
        <v>5464286</v>
      </c>
      <c r="AB29" s="320">
        <f t="shared" si="6"/>
        <v>0</v>
      </c>
      <c r="AC29" s="419">
        <f t="shared" si="7"/>
        <v>5464286</v>
      </c>
      <c r="AD29" s="376">
        <f t="shared" si="8"/>
        <v>0</v>
      </c>
      <c r="AE29" s="353"/>
      <c r="AF29" s="420">
        <f t="shared" si="9"/>
        <v>-150000</v>
      </c>
      <c r="AG29" s="356"/>
      <c r="AH29" s="356"/>
      <c r="AI29" s="356"/>
      <c r="AJ29" s="320">
        <f>-VLOOKUP(B29,'Bảng công_092024'!$AR$31:$AS$57,2,0)</f>
        <v>-150000</v>
      </c>
      <c r="AK29" s="356"/>
      <c r="AL29" s="351"/>
      <c r="AM29" s="319">
        <f t="shared" si="10"/>
        <v>5314286</v>
      </c>
      <c r="AN29" s="353"/>
      <c r="AO29" s="353"/>
      <c r="AP29" s="353"/>
      <c r="AQ29" s="356"/>
      <c r="AR29" s="324"/>
      <c r="AS29" s="324">
        <f t="shared" si="14"/>
        <v>5314286</v>
      </c>
      <c r="AT29" s="320">
        <f t="shared" si="15"/>
        <v>5314286</v>
      </c>
      <c r="AU29" s="421">
        <f t="shared" si="25"/>
        <v>531428.6</v>
      </c>
      <c r="AV29" s="351"/>
      <c r="AW29" s="419">
        <f t="shared" si="17"/>
        <v>4782857.4000000004</v>
      </c>
      <c r="AX29" s="351"/>
      <c r="AY29" s="356"/>
      <c r="AZ29" s="353">
        <f t="shared" si="18"/>
        <v>4782857</v>
      </c>
      <c r="BA29" s="421">
        <f t="shared" si="19"/>
        <v>5314286</v>
      </c>
      <c r="BB29" s="359"/>
      <c r="BC29" s="326">
        <f t="shared" si="20"/>
        <v>9</v>
      </c>
      <c r="BD29" s="326">
        <f t="shared" si="21"/>
        <v>-150000</v>
      </c>
      <c r="BE29" s="197">
        <v>0</v>
      </c>
      <c r="BF29" s="286">
        <f t="shared" si="22"/>
        <v>0</v>
      </c>
      <c r="BG29" s="422" t="str">
        <f t="shared" si="23"/>
        <v xml:space="preserve">Bùi Thị Nam Trang </v>
      </c>
      <c r="BH29" s="197">
        <v>0</v>
      </c>
      <c r="BI29" s="196">
        <v>0</v>
      </c>
      <c r="BJ29" s="327">
        <f t="shared" si="24"/>
        <v>4782857</v>
      </c>
      <c r="BK29" s="280" t="s">
        <v>457</v>
      </c>
      <c r="BL29" s="201"/>
      <c r="BM29" s="329"/>
      <c r="BN29" s="331"/>
      <c r="BO29" s="329"/>
      <c r="BP29" s="331"/>
      <c r="BQ29" s="202"/>
    </row>
    <row r="30" spans="1:69" ht="27" customHeight="1">
      <c r="A30" s="315">
        <v>22</v>
      </c>
      <c r="B30" s="391" t="s">
        <v>157</v>
      </c>
      <c r="C30" s="298" t="s">
        <v>158</v>
      </c>
      <c r="D30" s="316" t="s">
        <v>251</v>
      </c>
      <c r="E30" s="339">
        <v>0.1</v>
      </c>
      <c r="F30" s="425" t="s">
        <v>85</v>
      </c>
      <c r="G30" s="353">
        <f>6000000/0.9</f>
        <v>6666666.666666666</v>
      </c>
      <c r="H30" s="353"/>
      <c r="I30" s="351"/>
      <c r="J30" s="317"/>
      <c r="K30" s="318"/>
      <c r="L30" s="352">
        <f t="shared" ref="L30:L36" si="28">G30</f>
        <v>6666666.666666666</v>
      </c>
      <c r="M30" s="352"/>
      <c r="N30" s="353"/>
      <c r="O30" s="353"/>
      <c r="P30" s="353"/>
      <c r="Q30" s="353"/>
      <c r="R30" s="353"/>
      <c r="S30" s="353"/>
      <c r="T30" s="321"/>
      <c r="U30" s="321">
        <f t="shared" si="3"/>
        <v>18.5</v>
      </c>
      <c r="V30" s="321">
        <v>21</v>
      </c>
      <c r="W30" s="354">
        <f>VLOOKUP(B30, 'Bảng công_092024'!$AR$31:$AT$57, 3, FALSE)</f>
        <v>18.5</v>
      </c>
      <c r="X30" s="354"/>
      <c r="Y30" s="346"/>
      <c r="Z30" s="355"/>
      <c r="AA30" s="352">
        <f t="shared" ref="AA30:AA36" si="29">SUM(AB30:AE30)</f>
        <v>5873016</v>
      </c>
      <c r="AB30" s="353">
        <f t="shared" si="6"/>
        <v>5873016</v>
      </c>
      <c r="AC30" s="353">
        <f t="shared" si="7"/>
        <v>0</v>
      </c>
      <c r="AD30" s="353">
        <f t="shared" si="8"/>
        <v>0</v>
      </c>
      <c r="AE30" s="353"/>
      <c r="AF30" s="420">
        <f t="shared" si="9"/>
        <v>0</v>
      </c>
      <c r="AG30" s="356"/>
      <c r="AH30" s="356"/>
      <c r="AI30" s="356"/>
      <c r="AJ30" s="320">
        <f>-VLOOKUP(B30,'Bảng công_092024'!$AR$31:$AS$57,2,0)</f>
        <v>0</v>
      </c>
      <c r="AK30" s="356"/>
      <c r="AL30" s="351"/>
      <c r="AM30" s="319">
        <f t="shared" si="10"/>
        <v>5873016</v>
      </c>
      <c r="AN30" s="353"/>
      <c r="AO30" s="353"/>
      <c r="AP30" s="353"/>
      <c r="AQ30" s="356"/>
      <c r="AR30" s="324">
        <f t="shared" ref="AR30:AR36" si="30">IF($E30=10%,0,(AQ30*4400000+11000000))</f>
        <v>0</v>
      </c>
      <c r="AS30" s="324">
        <f t="shared" si="14"/>
        <v>5873016</v>
      </c>
      <c r="AT30" s="320">
        <f t="shared" si="15"/>
        <v>5873016</v>
      </c>
      <c r="AU30" s="421">
        <f t="shared" si="25"/>
        <v>587301.6</v>
      </c>
      <c r="AV30" s="351"/>
      <c r="AW30" s="353">
        <f t="shared" si="17"/>
        <v>5285714.4000000004</v>
      </c>
      <c r="AX30" s="351">
        <v>0</v>
      </c>
      <c r="AY30" s="351"/>
      <c r="AZ30" s="353">
        <f t="shared" si="18"/>
        <v>5285714</v>
      </c>
      <c r="BA30" s="351">
        <f t="shared" si="19"/>
        <v>5873016</v>
      </c>
      <c r="BB30" s="359" t="s">
        <v>155</v>
      </c>
      <c r="BC30" s="326">
        <f t="shared" si="20"/>
        <v>18.5</v>
      </c>
      <c r="BD30" s="326">
        <f t="shared" si="21"/>
        <v>0</v>
      </c>
      <c r="BE30" s="197">
        <v>0</v>
      </c>
      <c r="BF30" s="286">
        <f t="shared" si="22"/>
        <v>0</v>
      </c>
      <c r="BG30" s="196" t="str">
        <f t="shared" si="23"/>
        <v>Nguyễn Xuân Phong</v>
      </c>
      <c r="BH30" s="197">
        <v>4636364</v>
      </c>
      <c r="BI30" s="196">
        <v>17</v>
      </c>
      <c r="BJ30" s="327">
        <f t="shared" si="24"/>
        <v>649350</v>
      </c>
      <c r="BK30" s="280" t="s">
        <v>458</v>
      </c>
      <c r="BL30" s="201" t="s">
        <v>159</v>
      </c>
      <c r="BM30" s="329" t="s">
        <v>252</v>
      </c>
      <c r="BN30" s="330" t="s">
        <v>253</v>
      </c>
      <c r="BO30" s="329" t="s">
        <v>444</v>
      </c>
      <c r="BP30" s="331" t="s">
        <v>198</v>
      </c>
      <c r="BQ30" s="202"/>
    </row>
    <row r="31" spans="1:69" ht="29.25" customHeight="1">
      <c r="A31" s="315">
        <v>23</v>
      </c>
      <c r="B31" s="391" t="s">
        <v>161</v>
      </c>
      <c r="C31" s="310" t="s">
        <v>162</v>
      </c>
      <c r="D31" s="426" t="s">
        <v>170</v>
      </c>
      <c r="E31" s="339">
        <v>0.1</v>
      </c>
      <c r="F31" s="425" t="s">
        <v>85</v>
      </c>
      <c r="G31" s="370">
        <f>8000000/0.9</f>
        <v>8888888.8888888881</v>
      </c>
      <c r="H31" s="370"/>
      <c r="I31" s="366"/>
      <c r="J31" s="317"/>
      <c r="K31" s="318"/>
      <c r="L31" s="375">
        <f t="shared" si="28"/>
        <v>8888888.8888888881</v>
      </c>
      <c r="M31" s="352"/>
      <c r="N31" s="353"/>
      <c r="O31" s="353"/>
      <c r="P31" s="353"/>
      <c r="Q31" s="353"/>
      <c r="R31" s="353"/>
      <c r="S31" s="353"/>
      <c r="T31" s="321"/>
      <c r="U31" s="321">
        <f t="shared" si="3"/>
        <v>20</v>
      </c>
      <c r="V31" s="321">
        <v>21</v>
      </c>
      <c r="W31" s="354">
        <f>VLOOKUP(B31, 'Bảng công_092024'!$AR$31:$AT$57, 3, FALSE)</f>
        <v>20</v>
      </c>
      <c r="X31" s="354"/>
      <c r="Y31" s="346"/>
      <c r="Z31" s="355"/>
      <c r="AA31" s="352">
        <f t="shared" si="29"/>
        <v>8465608</v>
      </c>
      <c r="AB31" s="353">
        <f t="shared" si="6"/>
        <v>8465608</v>
      </c>
      <c r="AC31" s="353">
        <f t="shared" si="7"/>
        <v>0</v>
      </c>
      <c r="AD31" s="353">
        <f t="shared" si="8"/>
        <v>0</v>
      </c>
      <c r="AE31" s="353"/>
      <c r="AF31" s="420">
        <f t="shared" si="9"/>
        <v>0</v>
      </c>
      <c r="AG31" s="356"/>
      <c r="AH31" s="356"/>
      <c r="AI31" s="356"/>
      <c r="AJ31" s="320">
        <f>-VLOOKUP(B31,'Bảng công_092024'!$AR$31:$AS$57,2,0)</f>
        <v>0</v>
      </c>
      <c r="AK31" s="356"/>
      <c r="AL31" s="351"/>
      <c r="AM31" s="319">
        <f t="shared" si="10"/>
        <v>8465608</v>
      </c>
      <c r="AN31" s="353"/>
      <c r="AO31" s="353"/>
      <c r="AP31" s="353"/>
      <c r="AQ31" s="356"/>
      <c r="AR31" s="324">
        <f t="shared" si="30"/>
        <v>0</v>
      </c>
      <c r="AS31" s="324">
        <f t="shared" si="14"/>
        <v>8465608</v>
      </c>
      <c r="AT31" s="320">
        <f t="shared" si="15"/>
        <v>8465608</v>
      </c>
      <c r="AU31" s="421">
        <f t="shared" si="25"/>
        <v>846560.8</v>
      </c>
      <c r="AV31" s="351"/>
      <c r="AW31" s="353">
        <f t="shared" si="17"/>
        <v>7619047.2000000002</v>
      </c>
      <c r="AX31" s="351">
        <v>0</v>
      </c>
      <c r="AY31" s="351"/>
      <c r="AZ31" s="353">
        <f t="shared" si="18"/>
        <v>7619047</v>
      </c>
      <c r="BA31" s="351">
        <f t="shared" si="19"/>
        <v>8465608</v>
      </c>
      <c r="BB31" s="359" t="s">
        <v>155</v>
      </c>
      <c r="BC31" s="326">
        <f t="shared" si="20"/>
        <v>20</v>
      </c>
      <c r="BD31" s="326">
        <f t="shared" si="21"/>
        <v>0</v>
      </c>
      <c r="BE31" s="197">
        <v>0</v>
      </c>
      <c r="BF31" s="286">
        <f t="shared" si="22"/>
        <v>0</v>
      </c>
      <c r="BG31" s="196" t="str">
        <f t="shared" si="23"/>
        <v>Vương Tuấn Cường</v>
      </c>
      <c r="BH31" s="197">
        <v>7636363</v>
      </c>
      <c r="BI31" s="196">
        <v>21</v>
      </c>
      <c r="BJ31" s="327">
        <f t="shared" si="24"/>
        <v>-17316</v>
      </c>
      <c r="BK31" s="381" t="s">
        <v>459</v>
      </c>
      <c r="BL31" s="201" t="s">
        <v>159</v>
      </c>
      <c r="BM31" s="344" t="s">
        <v>460</v>
      </c>
      <c r="BN31" s="334" t="s">
        <v>461</v>
      </c>
      <c r="BO31" s="345"/>
      <c r="BP31" s="345"/>
      <c r="BQ31" s="202"/>
    </row>
    <row r="32" spans="1:69" ht="23.25" customHeight="1">
      <c r="A32" s="315">
        <v>24</v>
      </c>
      <c r="B32" s="362" t="s">
        <v>164</v>
      </c>
      <c r="C32" s="310" t="s">
        <v>165</v>
      </c>
      <c r="D32" s="316" t="s">
        <v>251</v>
      </c>
      <c r="E32" s="339">
        <v>0.1</v>
      </c>
      <c r="F32" s="425" t="s">
        <v>85</v>
      </c>
      <c r="G32" s="371">
        <f t="shared" ref="G32:G33" si="31">6000000/0.9</f>
        <v>6666666.666666666</v>
      </c>
      <c r="H32" s="376"/>
      <c r="I32" s="367"/>
      <c r="J32" s="317"/>
      <c r="K32" s="318"/>
      <c r="L32" s="375">
        <f t="shared" si="28"/>
        <v>6666666.666666666</v>
      </c>
      <c r="M32" s="418"/>
      <c r="N32" s="419"/>
      <c r="O32" s="419"/>
      <c r="P32" s="419"/>
      <c r="Q32" s="419"/>
      <c r="R32" s="419"/>
      <c r="S32" s="419"/>
      <c r="T32" s="321"/>
      <c r="U32" s="321">
        <f t="shared" si="3"/>
        <v>19</v>
      </c>
      <c r="V32" s="321">
        <v>21</v>
      </c>
      <c r="W32" s="354">
        <f>VLOOKUP(B32, 'Bảng công_092024'!$AR$31:$AT$57, 3, FALSE)</f>
        <v>19</v>
      </c>
      <c r="X32" s="427"/>
      <c r="Y32" s="346"/>
      <c r="Z32" s="428"/>
      <c r="AA32" s="352">
        <f t="shared" si="29"/>
        <v>6031746</v>
      </c>
      <c r="AB32" s="353">
        <f t="shared" si="6"/>
        <v>6031746</v>
      </c>
      <c r="AC32" s="353">
        <f t="shared" si="7"/>
        <v>0</v>
      </c>
      <c r="AD32" s="353">
        <f t="shared" si="8"/>
        <v>0</v>
      </c>
      <c r="AE32" s="353"/>
      <c r="AF32" s="420">
        <f t="shared" si="9"/>
        <v>0</v>
      </c>
      <c r="AG32" s="356"/>
      <c r="AH32" s="356"/>
      <c r="AI32" s="429"/>
      <c r="AJ32" s="320">
        <f>-VLOOKUP(B32,'Bảng công_092024'!$AR$31:$AS$57,2,0)</f>
        <v>0</v>
      </c>
      <c r="AK32" s="429"/>
      <c r="AL32" s="421"/>
      <c r="AM32" s="319">
        <f t="shared" si="10"/>
        <v>6031746</v>
      </c>
      <c r="AN32" s="353"/>
      <c r="AO32" s="419"/>
      <c r="AP32" s="419"/>
      <c r="AQ32" s="429"/>
      <c r="AR32" s="324">
        <f t="shared" si="30"/>
        <v>0</v>
      </c>
      <c r="AS32" s="324">
        <f t="shared" si="14"/>
        <v>6031746</v>
      </c>
      <c r="AT32" s="320">
        <f t="shared" si="15"/>
        <v>6031746</v>
      </c>
      <c r="AU32" s="421">
        <f t="shared" si="25"/>
        <v>603174.6</v>
      </c>
      <c r="AV32" s="351"/>
      <c r="AW32" s="353">
        <f t="shared" si="17"/>
        <v>5428571.4000000004</v>
      </c>
      <c r="AX32" s="351">
        <v>0</v>
      </c>
      <c r="AY32" s="351"/>
      <c r="AZ32" s="353">
        <f t="shared" si="18"/>
        <v>5428571</v>
      </c>
      <c r="BA32" s="421">
        <f t="shared" si="19"/>
        <v>6031746</v>
      </c>
      <c r="BB32" s="359" t="s">
        <v>155</v>
      </c>
      <c r="BC32" s="326">
        <f t="shared" si="20"/>
        <v>19</v>
      </c>
      <c r="BD32" s="326">
        <f t="shared" si="21"/>
        <v>0</v>
      </c>
      <c r="BE32" s="197">
        <v>-75000</v>
      </c>
      <c r="BF32" s="286">
        <f t="shared" si="22"/>
        <v>0</v>
      </c>
      <c r="BG32" s="196" t="str">
        <f t="shared" si="23"/>
        <v>Nguyễn Nam Anh</v>
      </c>
      <c r="BH32" s="197">
        <v>5659772</v>
      </c>
      <c r="BI32" s="196">
        <v>21</v>
      </c>
      <c r="BJ32" s="327">
        <f t="shared" si="24"/>
        <v>-231201</v>
      </c>
      <c r="BK32" s="381" t="s">
        <v>462</v>
      </c>
      <c r="BL32" s="201" t="s">
        <v>159</v>
      </c>
      <c r="BM32" s="344" t="s">
        <v>254</v>
      </c>
      <c r="BN32" s="334" t="s">
        <v>255</v>
      </c>
      <c r="BO32" s="345"/>
      <c r="BP32" s="345"/>
      <c r="BQ32" s="202"/>
    </row>
    <row r="33" spans="1:69" ht="21.75" customHeight="1">
      <c r="A33" s="315">
        <v>25</v>
      </c>
      <c r="B33" s="362" t="s">
        <v>167</v>
      </c>
      <c r="C33" s="340" t="s">
        <v>256</v>
      </c>
      <c r="D33" s="426" t="s">
        <v>170</v>
      </c>
      <c r="E33" s="339">
        <v>0.1</v>
      </c>
      <c r="F33" s="425" t="s">
        <v>85</v>
      </c>
      <c r="G33" s="371">
        <f t="shared" si="31"/>
        <v>6666666.666666666</v>
      </c>
      <c r="H33" s="376"/>
      <c r="I33" s="367"/>
      <c r="J33" s="317"/>
      <c r="K33" s="318"/>
      <c r="L33" s="375">
        <f t="shared" si="28"/>
        <v>6666666.666666666</v>
      </c>
      <c r="M33" s="418"/>
      <c r="N33" s="419"/>
      <c r="O33" s="419"/>
      <c r="P33" s="419"/>
      <c r="Q33" s="419"/>
      <c r="R33" s="419"/>
      <c r="S33" s="419"/>
      <c r="T33" s="321"/>
      <c r="U33" s="321">
        <f t="shared" si="3"/>
        <v>18.5</v>
      </c>
      <c r="V33" s="321">
        <v>21</v>
      </c>
      <c r="W33" s="354">
        <f>VLOOKUP(B33, 'Bảng công_092024'!$AR$31:$AT$57, 3, FALSE)</f>
        <v>18.5</v>
      </c>
      <c r="X33" s="427"/>
      <c r="Y33" s="346"/>
      <c r="Z33" s="428"/>
      <c r="AA33" s="352">
        <f t="shared" si="29"/>
        <v>5873016</v>
      </c>
      <c r="AB33" s="353">
        <f t="shared" si="6"/>
        <v>5873016</v>
      </c>
      <c r="AC33" s="353">
        <f t="shared" si="7"/>
        <v>0</v>
      </c>
      <c r="AD33" s="353">
        <f t="shared" si="8"/>
        <v>0</v>
      </c>
      <c r="AE33" s="353"/>
      <c r="AF33" s="420">
        <f t="shared" si="9"/>
        <v>-75000</v>
      </c>
      <c r="AG33" s="356"/>
      <c r="AH33" s="356"/>
      <c r="AI33" s="429"/>
      <c r="AJ33" s="320">
        <f>-VLOOKUP(B33,'Bảng công_092024'!$AR$31:$AS$57,2,0)</f>
        <v>-75000</v>
      </c>
      <c r="AK33" s="429"/>
      <c r="AL33" s="421"/>
      <c r="AM33" s="319">
        <f t="shared" si="10"/>
        <v>5798016</v>
      </c>
      <c r="AN33" s="353"/>
      <c r="AO33" s="419"/>
      <c r="AP33" s="419"/>
      <c r="AQ33" s="429"/>
      <c r="AR33" s="324">
        <f t="shared" si="30"/>
        <v>0</v>
      </c>
      <c r="AS33" s="324">
        <f t="shared" si="14"/>
        <v>5798016</v>
      </c>
      <c r="AT33" s="320">
        <f t="shared" si="15"/>
        <v>5798016</v>
      </c>
      <c r="AU33" s="421">
        <f t="shared" si="25"/>
        <v>579801.59999999998</v>
      </c>
      <c r="AV33" s="351"/>
      <c r="AW33" s="353">
        <f t="shared" si="17"/>
        <v>5218214.4000000004</v>
      </c>
      <c r="AX33" s="351">
        <v>0</v>
      </c>
      <c r="AY33" s="351"/>
      <c r="AZ33" s="353">
        <f t="shared" si="18"/>
        <v>5218214</v>
      </c>
      <c r="BA33" s="421">
        <f t="shared" si="19"/>
        <v>5798016</v>
      </c>
      <c r="BB33" s="359" t="s">
        <v>155</v>
      </c>
      <c r="BC33" s="326">
        <f t="shared" si="20"/>
        <v>18.5</v>
      </c>
      <c r="BD33" s="326">
        <f t="shared" si="21"/>
        <v>-75000</v>
      </c>
      <c r="BE33" s="197">
        <v>0</v>
      </c>
      <c r="BF33" s="286">
        <f t="shared" si="22"/>
        <v>0</v>
      </c>
      <c r="BG33" s="196" t="str">
        <f t="shared" si="23"/>
        <v>Ngô Phương Anh</v>
      </c>
      <c r="BH33" s="197">
        <v>5045455</v>
      </c>
      <c r="BI33" s="196">
        <v>18.5</v>
      </c>
      <c r="BJ33" s="327">
        <f t="shared" si="24"/>
        <v>172759</v>
      </c>
      <c r="BK33" s="381" t="s">
        <v>463</v>
      </c>
      <c r="BL33" s="201" t="s">
        <v>159</v>
      </c>
      <c r="BM33" s="329" t="s">
        <v>257</v>
      </c>
      <c r="BN33" s="330" t="s">
        <v>258</v>
      </c>
      <c r="BO33" s="329" t="s">
        <v>444</v>
      </c>
      <c r="BP33" s="331" t="s">
        <v>211</v>
      </c>
      <c r="BQ33" s="202"/>
    </row>
    <row r="34" spans="1:69" ht="24.75" customHeight="1">
      <c r="A34" s="315">
        <v>26</v>
      </c>
      <c r="B34" s="391" t="s">
        <v>259</v>
      </c>
      <c r="C34" s="430" t="s">
        <v>260</v>
      </c>
      <c r="D34" s="426" t="s">
        <v>170</v>
      </c>
      <c r="E34" s="339">
        <v>0.1</v>
      </c>
      <c r="F34" s="350" t="s">
        <v>135</v>
      </c>
      <c r="G34" s="370">
        <v>4000000</v>
      </c>
      <c r="H34" s="370"/>
      <c r="I34" s="366"/>
      <c r="J34" s="317"/>
      <c r="K34" s="318"/>
      <c r="L34" s="375">
        <f t="shared" si="28"/>
        <v>4000000</v>
      </c>
      <c r="M34" s="352"/>
      <c r="N34" s="353"/>
      <c r="O34" s="353"/>
      <c r="P34" s="353"/>
      <c r="Q34" s="353"/>
      <c r="R34" s="353"/>
      <c r="S34" s="353"/>
      <c r="T34" s="321"/>
      <c r="U34" s="321">
        <f t="shared" si="3"/>
        <v>19</v>
      </c>
      <c r="V34" s="321">
        <v>21</v>
      </c>
      <c r="W34" s="354">
        <f>VLOOKUP(B34, 'Bảng công_092024'!$AR$31:$AT$57, 3, FALSE)</f>
        <v>19</v>
      </c>
      <c r="X34" s="354"/>
      <c r="Y34" s="346"/>
      <c r="Z34" s="355"/>
      <c r="AA34" s="352">
        <f t="shared" si="29"/>
        <v>3619048</v>
      </c>
      <c r="AB34" s="353">
        <f t="shared" si="6"/>
        <v>3619048</v>
      </c>
      <c r="AC34" s="353">
        <f t="shared" si="7"/>
        <v>0</v>
      </c>
      <c r="AD34" s="353">
        <f t="shared" si="8"/>
        <v>0</v>
      </c>
      <c r="AE34" s="353"/>
      <c r="AF34" s="420">
        <f t="shared" si="9"/>
        <v>0</v>
      </c>
      <c r="AG34" s="356"/>
      <c r="AH34" s="356"/>
      <c r="AI34" s="356"/>
      <c r="AJ34" s="320">
        <f>-VLOOKUP(B34,'Bảng công_092024'!$AR$31:$AS$57,2,0)</f>
        <v>0</v>
      </c>
      <c r="AK34" s="351"/>
      <c r="AL34" s="353"/>
      <c r="AM34" s="319">
        <f t="shared" si="10"/>
        <v>3619048</v>
      </c>
      <c r="AN34" s="353"/>
      <c r="AO34" s="353"/>
      <c r="AP34" s="356"/>
      <c r="AQ34" s="351"/>
      <c r="AR34" s="324">
        <f t="shared" si="30"/>
        <v>0</v>
      </c>
      <c r="AS34" s="324">
        <f t="shared" si="14"/>
        <v>3619048</v>
      </c>
      <c r="AT34" s="320">
        <f t="shared" si="15"/>
        <v>3619048</v>
      </c>
      <c r="AU34" s="421">
        <f t="shared" si="25"/>
        <v>361904.80000000005</v>
      </c>
      <c r="AV34" s="351"/>
      <c r="AW34" s="353">
        <f t="shared" si="17"/>
        <v>3257143.2</v>
      </c>
      <c r="AX34" s="351">
        <v>0</v>
      </c>
      <c r="AY34" s="351"/>
      <c r="AZ34" s="353">
        <f t="shared" si="18"/>
        <v>3257143</v>
      </c>
      <c r="BA34" s="421">
        <f t="shared" si="19"/>
        <v>3619048</v>
      </c>
      <c r="BB34" s="359" t="s">
        <v>155</v>
      </c>
      <c r="BC34" s="326">
        <f t="shared" si="20"/>
        <v>19</v>
      </c>
      <c r="BD34" s="326">
        <f t="shared" si="21"/>
        <v>0</v>
      </c>
      <c r="BE34" s="197">
        <v>0</v>
      </c>
      <c r="BF34" s="286">
        <f t="shared" si="22"/>
        <v>0</v>
      </c>
      <c r="BG34" s="196" t="str">
        <f t="shared" si="23"/>
        <v xml:space="preserve">Nguyễn Gia Bình </v>
      </c>
      <c r="BH34" s="197">
        <v>3027272</v>
      </c>
      <c r="BI34" s="196">
        <v>18.5</v>
      </c>
      <c r="BJ34" s="327">
        <f t="shared" si="24"/>
        <v>229871</v>
      </c>
      <c r="BK34" s="280" t="s">
        <v>244</v>
      </c>
      <c r="BL34" s="202" t="s">
        <v>261</v>
      </c>
      <c r="BM34" s="431"/>
      <c r="BN34" s="431"/>
      <c r="BO34" s="431"/>
      <c r="BP34" s="432"/>
      <c r="BQ34" s="202"/>
    </row>
    <row r="35" spans="1:69" ht="24" customHeight="1">
      <c r="A35" s="315">
        <v>27</v>
      </c>
      <c r="B35" s="433" t="s">
        <v>464</v>
      </c>
      <c r="C35" s="430" t="s">
        <v>465</v>
      </c>
      <c r="D35" s="426" t="s">
        <v>170</v>
      </c>
      <c r="E35" s="339">
        <v>0.1</v>
      </c>
      <c r="F35" s="350" t="s">
        <v>135</v>
      </c>
      <c r="G35" s="353">
        <v>4000000</v>
      </c>
      <c r="H35" s="353"/>
      <c r="I35" s="351"/>
      <c r="J35" s="317"/>
      <c r="K35" s="318"/>
      <c r="L35" s="352">
        <f t="shared" si="28"/>
        <v>4000000</v>
      </c>
      <c r="M35" s="352"/>
      <c r="N35" s="353"/>
      <c r="O35" s="353"/>
      <c r="P35" s="353"/>
      <c r="Q35" s="353"/>
      <c r="R35" s="353"/>
      <c r="S35" s="353"/>
      <c r="T35" s="321"/>
      <c r="U35" s="321">
        <f t="shared" si="3"/>
        <v>20</v>
      </c>
      <c r="V35" s="321">
        <v>21</v>
      </c>
      <c r="W35" s="354">
        <f>VLOOKUP(B35, 'Bảng công_092024'!$AR$31:$AT$57, 3, FALSE)</f>
        <v>20</v>
      </c>
      <c r="X35" s="354"/>
      <c r="Y35" s="346"/>
      <c r="Z35" s="355"/>
      <c r="AA35" s="352">
        <f t="shared" si="29"/>
        <v>3809524</v>
      </c>
      <c r="AB35" s="353">
        <f t="shared" si="6"/>
        <v>3809524</v>
      </c>
      <c r="AC35" s="353">
        <f t="shared" si="7"/>
        <v>0</v>
      </c>
      <c r="AD35" s="353">
        <f t="shared" si="8"/>
        <v>0</v>
      </c>
      <c r="AE35" s="353"/>
      <c r="AF35" s="420">
        <f t="shared" si="9"/>
        <v>0</v>
      </c>
      <c r="AG35" s="356"/>
      <c r="AH35" s="356"/>
      <c r="AI35" s="356"/>
      <c r="AJ35" s="320">
        <f>-VLOOKUP(B35,'Bảng công_092024'!$AR$31:$AS$57,2,0)</f>
        <v>0</v>
      </c>
      <c r="AK35" s="351"/>
      <c r="AL35" s="353"/>
      <c r="AM35" s="319">
        <f t="shared" si="10"/>
        <v>3809524</v>
      </c>
      <c r="AN35" s="353"/>
      <c r="AO35" s="353"/>
      <c r="AP35" s="356"/>
      <c r="AQ35" s="351"/>
      <c r="AR35" s="324">
        <f t="shared" si="30"/>
        <v>0</v>
      </c>
      <c r="AS35" s="324">
        <f t="shared" si="14"/>
        <v>3809524</v>
      </c>
      <c r="AT35" s="320">
        <f t="shared" si="15"/>
        <v>3809524</v>
      </c>
      <c r="AU35" s="421">
        <f t="shared" si="25"/>
        <v>380952.4</v>
      </c>
      <c r="AV35" s="351"/>
      <c r="AW35" s="353">
        <f t="shared" si="17"/>
        <v>3428571.6</v>
      </c>
      <c r="AX35" s="351">
        <v>0</v>
      </c>
      <c r="AY35" s="351"/>
      <c r="AZ35" s="353">
        <f t="shared" si="18"/>
        <v>3428572</v>
      </c>
      <c r="BA35" s="421">
        <f t="shared" si="19"/>
        <v>3809524</v>
      </c>
      <c r="BB35" s="359" t="s">
        <v>155</v>
      </c>
      <c r="BC35" s="326">
        <f t="shared" si="20"/>
        <v>20</v>
      </c>
      <c r="BD35" s="326">
        <f t="shared" si="21"/>
        <v>0</v>
      </c>
      <c r="BE35" s="197">
        <v>-150000</v>
      </c>
      <c r="BF35" s="286">
        <f t="shared" si="22"/>
        <v>0</v>
      </c>
      <c r="BG35" s="196" t="str">
        <f t="shared" si="23"/>
        <v xml:space="preserve">Nguyễn Thị Duyên </v>
      </c>
      <c r="BH35" s="197">
        <v>3465000</v>
      </c>
      <c r="BI35" s="196">
        <v>22</v>
      </c>
      <c r="BJ35" s="327">
        <f t="shared" si="24"/>
        <v>-36428</v>
      </c>
      <c r="BK35" s="280" t="s">
        <v>244</v>
      </c>
      <c r="BL35" s="202" t="s">
        <v>261</v>
      </c>
      <c r="BM35" s="333" t="s">
        <v>466</v>
      </c>
      <c r="BN35" s="334" t="s">
        <v>467</v>
      </c>
      <c r="BO35" s="201"/>
      <c r="BP35" s="202"/>
      <c r="BQ35" s="202"/>
    </row>
    <row r="36" spans="1:69" ht="26.25" customHeight="1">
      <c r="A36" s="315">
        <v>28</v>
      </c>
      <c r="B36" s="434" t="s">
        <v>468</v>
      </c>
      <c r="C36" s="435" t="s">
        <v>263</v>
      </c>
      <c r="D36" s="426" t="s">
        <v>264</v>
      </c>
      <c r="E36" s="339">
        <v>0.1</v>
      </c>
      <c r="F36" s="415" t="s">
        <v>137</v>
      </c>
      <c r="G36" s="436">
        <v>4000000</v>
      </c>
      <c r="H36" s="317"/>
      <c r="I36" s="317"/>
      <c r="J36" s="317"/>
      <c r="K36" s="318"/>
      <c r="L36" s="417">
        <f t="shared" si="28"/>
        <v>4000000</v>
      </c>
      <c r="M36" s="352"/>
      <c r="N36" s="352"/>
      <c r="O36" s="352"/>
      <c r="P36" s="352"/>
      <c r="Q36" s="352"/>
      <c r="R36" s="352"/>
      <c r="S36" s="352"/>
      <c r="T36" s="352"/>
      <c r="U36" s="321">
        <f t="shared" si="3"/>
        <v>20.5</v>
      </c>
      <c r="V36" s="321">
        <v>21</v>
      </c>
      <c r="W36" s="354">
        <f>VLOOKUP(B36, 'Bảng công_092024'!$AR$31:$AT$57, 3, FALSE)</f>
        <v>20.5</v>
      </c>
      <c r="X36" s="352"/>
      <c r="Y36" s="352"/>
      <c r="Z36" s="352"/>
      <c r="AA36" s="352">
        <f t="shared" si="29"/>
        <v>3904762</v>
      </c>
      <c r="AB36" s="353">
        <f t="shared" si="6"/>
        <v>3904762</v>
      </c>
      <c r="AC36" s="353">
        <f t="shared" si="7"/>
        <v>0</v>
      </c>
      <c r="AD36" s="353">
        <f t="shared" si="8"/>
        <v>0</v>
      </c>
      <c r="AE36" s="352"/>
      <c r="AF36" s="420">
        <f t="shared" si="9"/>
        <v>0</v>
      </c>
      <c r="AG36" s="352"/>
      <c r="AH36" s="352"/>
      <c r="AI36" s="352"/>
      <c r="AJ36" s="320">
        <f>-VLOOKUP(B36,'Bảng công_092024'!$AR$31:$AS$57,2,0)</f>
        <v>0</v>
      </c>
      <c r="AK36" s="352"/>
      <c r="AL36" s="352"/>
      <c r="AM36" s="319">
        <f t="shared" si="10"/>
        <v>3904762</v>
      </c>
      <c r="AN36" s="352"/>
      <c r="AO36" s="352"/>
      <c r="AP36" s="352"/>
      <c r="AQ36" s="352"/>
      <c r="AR36" s="324">
        <f t="shared" si="30"/>
        <v>0</v>
      </c>
      <c r="AS36" s="324">
        <f t="shared" si="14"/>
        <v>3904762</v>
      </c>
      <c r="AT36" s="320">
        <f t="shared" si="15"/>
        <v>3904762</v>
      </c>
      <c r="AU36" s="421">
        <f t="shared" si="25"/>
        <v>390476.2</v>
      </c>
      <c r="AV36" s="351"/>
      <c r="AW36" s="353">
        <f t="shared" si="17"/>
        <v>3514285.8</v>
      </c>
      <c r="AX36" s="351">
        <v>0</v>
      </c>
      <c r="AY36" s="351"/>
      <c r="AZ36" s="353">
        <f t="shared" si="18"/>
        <v>3514286</v>
      </c>
      <c r="BA36" s="421">
        <f t="shared" si="19"/>
        <v>3904762</v>
      </c>
      <c r="BB36" s="359" t="s">
        <v>155</v>
      </c>
      <c r="BC36" s="326">
        <f t="shared" si="20"/>
        <v>20.5</v>
      </c>
      <c r="BD36" s="326">
        <f t="shared" si="21"/>
        <v>0</v>
      </c>
      <c r="BE36" s="197">
        <v>0</v>
      </c>
      <c r="BF36" s="286">
        <f t="shared" si="22"/>
        <v>0</v>
      </c>
      <c r="BG36" s="196" t="str">
        <f t="shared" si="23"/>
        <v xml:space="preserve">Phan Thị Nguyệt Ánh </v>
      </c>
      <c r="BH36" s="197">
        <v>1545455</v>
      </c>
      <c r="BI36" s="196">
        <v>8.5</v>
      </c>
      <c r="BJ36" s="327">
        <f t="shared" si="24"/>
        <v>1968831</v>
      </c>
      <c r="BK36" s="280" t="s">
        <v>244</v>
      </c>
      <c r="BL36" s="202" t="s">
        <v>261</v>
      </c>
      <c r="BM36" s="201"/>
      <c r="BN36" s="201"/>
      <c r="BO36" s="201"/>
      <c r="BP36" s="202"/>
      <c r="BQ36" s="192"/>
    </row>
    <row r="37" spans="1:69" ht="26.25" customHeight="1">
      <c r="A37" s="437"/>
      <c r="B37" s="438" t="s">
        <v>180</v>
      </c>
      <c r="C37" s="438"/>
      <c r="D37" s="439"/>
      <c r="E37" s="438"/>
      <c r="F37" s="438"/>
      <c r="G37" s="317">
        <f t="shared" ref="G37:BF37" si="32">SUM(G9:G36)</f>
        <v>40888888.888888888</v>
      </c>
      <c r="H37" s="317">
        <f t="shared" si="32"/>
        <v>0</v>
      </c>
      <c r="I37" s="317">
        <f t="shared" si="32"/>
        <v>122244444.44444445</v>
      </c>
      <c r="J37" s="317">
        <f t="shared" si="32"/>
        <v>0</v>
      </c>
      <c r="K37" s="317">
        <f t="shared" si="32"/>
        <v>0</v>
      </c>
      <c r="L37" s="317">
        <f t="shared" si="32"/>
        <v>626648999.99999988</v>
      </c>
      <c r="M37" s="317">
        <f t="shared" si="32"/>
        <v>585760111.11111116</v>
      </c>
      <c r="N37" s="317" t="e">
        <f t="shared" si="32"/>
        <v>#N/A</v>
      </c>
      <c r="O37" s="317" t="e">
        <f t="shared" si="32"/>
        <v>#N/A</v>
      </c>
      <c r="P37" s="317">
        <f t="shared" si="32"/>
        <v>4250000</v>
      </c>
      <c r="Q37" s="317">
        <f t="shared" si="32"/>
        <v>6000000</v>
      </c>
      <c r="R37" s="317">
        <f t="shared" si="32"/>
        <v>9500000</v>
      </c>
      <c r="S37" s="317">
        <f t="shared" si="32"/>
        <v>10950000</v>
      </c>
      <c r="T37" s="317">
        <f t="shared" si="32"/>
        <v>26450000</v>
      </c>
      <c r="U37" s="317">
        <f t="shared" si="32"/>
        <v>551.5</v>
      </c>
      <c r="V37" s="317">
        <f t="shared" si="32"/>
        <v>588</v>
      </c>
      <c r="W37" s="317">
        <f t="shared" si="32"/>
        <v>135.5</v>
      </c>
      <c r="X37" s="317">
        <f t="shared" si="32"/>
        <v>112</v>
      </c>
      <c r="Y37" s="317">
        <f t="shared" si="32"/>
        <v>304</v>
      </c>
      <c r="Z37" s="317">
        <f t="shared" si="32"/>
        <v>430199000</v>
      </c>
      <c r="AA37" s="317">
        <f t="shared" si="32"/>
        <v>594798207</v>
      </c>
      <c r="AB37" s="317">
        <f t="shared" si="32"/>
        <v>37576720</v>
      </c>
      <c r="AC37" s="317">
        <f t="shared" si="32"/>
        <v>111572487</v>
      </c>
      <c r="AD37" s="317">
        <f t="shared" si="32"/>
        <v>445649000</v>
      </c>
      <c r="AE37" s="317">
        <f t="shared" si="32"/>
        <v>0</v>
      </c>
      <c r="AF37" s="317">
        <f t="shared" si="32"/>
        <v>-708310</v>
      </c>
      <c r="AG37" s="317">
        <f t="shared" si="32"/>
        <v>941690</v>
      </c>
      <c r="AH37" s="317">
        <f t="shared" si="32"/>
        <v>0</v>
      </c>
      <c r="AI37" s="317">
        <f t="shared" si="32"/>
        <v>0</v>
      </c>
      <c r="AJ37" s="317">
        <f t="shared" si="32"/>
        <v>-1650000</v>
      </c>
      <c r="AK37" s="317">
        <f t="shared" si="32"/>
        <v>0</v>
      </c>
      <c r="AL37" s="317">
        <f t="shared" si="32"/>
        <v>0</v>
      </c>
      <c r="AM37" s="317">
        <f t="shared" si="32"/>
        <v>594089897</v>
      </c>
      <c r="AN37" s="317" t="e">
        <f t="shared" si="32"/>
        <v>#N/A</v>
      </c>
      <c r="AO37" s="317" t="e">
        <f t="shared" si="32"/>
        <v>#N/A</v>
      </c>
      <c r="AP37" s="317" t="e">
        <f t="shared" si="32"/>
        <v>#N/A</v>
      </c>
      <c r="AQ37" s="317">
        <f t="shared" si="32"/>
        <v>7</v>
      </c>
      <c r="AR37" s="317">
        <f t="shared" si="32"/>
        <v>195800000</v>
      </c>
      <c r="AS37" s="317">
        <f t="shared" si="32"/>
        <v>568493706.52380955</v>
      </c>
      <c r="AT37" s="317" t="e">
        <f t="shared" si="32"/>
        <v>#N/A</v>
      </c>
      <c r="AU37" s="317">
        <f t="shared" si="32"/>
        <v>14862420.700000001</v>
      </c>
      <c r="AV37" s="317" t="e">
        <f t="shared" si="32"/>
        <v>#N/A</v>
      </c>
      <c r="AW37" s="317" t="e">
        <f t="shared" si="32"/>
        <v>#N/A</v>
      </c>
      <c r="AX37" s="317">
        <f t="shared" si="32"/>
        <v>0</v>
      </c>
      <c r="AY37" s="317">
        <f t="shared" si="32"/>
        <v>0</v>
      </c>
      <c r="AZ37" s="317" t="e">
        <f t="shared" si="32"/>
        <v>#N/A</v>
      </c>
      <c r="BA37" s="317" t="e">
        <f t="shared" si="32"/>
        <v>#N/A</v>
      </c>
      <c r="BB37" s="317">
        <f t="shared" si="32"/>
        <v>0</v>
      </c>
      <c r="BC37" s="418">
        <f t="shared" si="32"/>
        <v>551.5</v>
      </c>
      <c r="BD37" s="418">
        <f t="shared" si="32"/>
        <v>-1650000</v>
      </c>
      <c r="BE37" s="418">
        <f t="shared" si="32"/>
        <v>-2700000</v>
      </c>
      <c r="BF37" s="352">
        <f t="shared" si="32"/>
        <v>25596190.476190478</v>
      </c>
      <c r="BG37" s="196"/>
      <c r="BH37" s="418">
        <f t="shared" ref="BH37:BJ37" si="33">SUM(BH9:BH36)</f>
        <v>477344416</v>
      </c>
      <c r="BI37" s="418">
        <f t="shared" si="33"/>
        <v>520</v>
      </c>
      <c r="BJ37" s="440" t="e">
        <f t="shared" si="33"/>
        <v>#N/A</v>
      </c>
      <c r="BK37" s="440">
        <f>SUM(BK9:BK20)</f>
        <v>0</v>
      </c>
      <c r="BL37" s="202"/>
      <c r="BM37" s="201"/>
      <c r="BN37" s="201"/>
      <c r="BO37" s="201"/>
      <c r="BP37" s="202"/>
      <c r="BQ37" s="192"/>
    </row>
    <row r="38" spans="1:69" ht="18.75" customHeight="1">
      <c r="A38" s="192"/>
      <c r="B38" s="192"/>
      <c r="C38" s="192"/>
      <c r="D38" s="192"/>
      <c r="E38" s="192"/>
      <c r="F38" s="192"/>
      <c r="G38" s="192"/>
      <c r="H38" s="192"/>
      <c r="I38" s="192"/>
      <c r="J38" s="193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4">
        <f>AF37+AA37</f>
        <v>594089897</v>
      </c>
      <c r="AN38" s="192"/>
      <c r="AO38" s="194" t="e">
        <f>AO37/10.5*21.5</f>
        <v>#N/A</v>
      </c>
      <c r="AP38" s="192"/>
      <c r="AQ38" s="192"/>
      <c r="AR38" s="194"/>
      <c r="AS38" s="195">
        <f>AM37-BF37</f>
        <v>568493706.52380955</v>
      </c>
      <c r="AT38" s="195"/>
      <c r="AU38" s="192"/>
      <c r="AV38" s="192"/>
      <c r="AW38" s="192"/>
      <c r="AX38" s="192"/>
      <c r="AY38" s="192"/>
      <c r="AZ38" s="194">
        <v>484253507</v>
      </c>
      <c r="BA38" s="192"/>
      <c r="BB38" s="192"/>
      <c r="BC38" s="192"/>
      <c r="BD38" s="192"/>
      <c r="BE38" s="192"/>
      <c r="BF38" s="192"/>
      <c r="BG38" s="196" t="s">
        <v>104</v>
      </c>
      <c r="BH38" s="197">
        <v>6909091</v>
      </c>
      <c r="BI38" s="198"/>
      <c r="BJ38" s="199"/>
      <c r="BK38" s="200"/>
      <c r="BL38" s="192"/>
      <c r="BM38" s="201"/>
      <c r="BN38" s="201"/>
      <c r="BO38" s="201"/>
      <c r="BP38" s="202"/>
      <c r="BQ38" s="192"/>
    </row>
    <row r="39" spans="1:69" ht="18.75" customHeight="1">
      <c r="A39" s="192"/>
      <c r="B39" s="192"/>
      <c r="C39" s="192"/>
      <c r="D39" s="192"/>
      <c r="E39" s="192"/>
      <c r="F39" s="192"/>
      <c r="G39" s="192"/>
      <c r="H39" s="192"/>
      <c r="I39" s="192"/>
      <c r="J39" s="193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4">
        <f>-AJ37</f>
        <v>1650000</v>
      </c>
      <c r="AK39" s="192"/>
      <c r="AL39" s="192"/>
      <c r="AM39" s="194">
        <f>AM38-AJ37</f>
        <v>595739897</v>
      </c>
      <c r="AN39" s="203"/>
      <c r="AO39" s="195"/>
      <c r="AP39" s="192"/>
      <c r="AQ39" s="192"/>
      <c r="AR39" s="192"/>
      <c r="AS39" s="195">
        <f>AS37-AS38</f>
        <v>0</v>
      </c>
      <c r="AT39" s="192"/>
      <c r="AU39" s="192"/>
      <c r="AV39" s="192"/>
      <c r="AW39" s="192"/>
      <c r="AX39" s="192"/>
      <c r="AY39" s="192"/>
      <c r="AZ39" s="195" t="e">
        <f>AZ37-AZ38</f>
        <v>#N/A</v>
      </c>
      <c r="BA39" s="194"/>
      <c r="BB39" s="192"/>
      <c r="BC39" s="192"/>
      <c r="BD39" s="192"/>
      <c r="BE39" s="192"/>
      <c r="BF39" s="192"/>
      <c r="BG39" s="196"/>
      <c r="BH39" s="204">
        <f>BH38+BH37</f>
        <v>484253507</v>
      </c>
      <c r="BI39" s="198"/>
      <c r="BJ39" s="199"/>
      <c r="BK39" s="200"/>
      <c r="BL39" s="192"/>
      <c r="BM39" s="201"/>
      <c r="BN39" s="201"/>
      <c r="BO39" s="201"/>
      <c r="BP39" s="202"/>
      <c r="BQ39" s="192"/>
    </row>
    <row r="40" spans="1:69" ht="18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2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206"/>
      <c r="BH40" s="207"/>
      <c r="BI40" s="206"/>
      <c r="BJ40" s="208"/>
      <c r="BK40" s="209"/>
      <c r="BL40" s="105"/>
      <c r="BM40" s="11"/>
      <c r="BN40" s="11"/>
      <c r="BO40" s="11"/>
      <c r="BP40" s="11"/>
      <c r="BQ40" s="105"/>
    </row>
    <row r="41" spans="1:69" ht="18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2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207"/>
      <c r="BH41" s="210"/>
      <c r="BI41" s="210"/>
      <c r="BJ41" s="208"/>
      <c r="BK41" s="209"/>
      <c r="BL41" s="105"/>
      <c r="BM41" s="11"/>
      <c r="BN41" s="11"/>
      <c r="BO41" s="11"/>
      <c r="BP41" s="11"/>
      <c r="BQ41" s="105"/>
    </row>
    <row r="42" spans="1:69" ht="18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2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206"/>
      <c r="BH42" s="206"/>
      <c r="BI42" s="206"/>
      <c r="BJ42" s="208"/>
      <c r="BK42" s="209"/>
      <c r="BL42" s="105"/>
      <c r="BM42" s="11"/>
      <c r="BN42" s="11"/>
      <c r="BO42" s="11"/>
      <c r="BP42" s="11"/>
      <c r="BQ42" s="105"/>
    </row>
    <row r="43" spans="1:69" ht="18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2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206"/>
      <c r="BH43" s="206"/>
      <c r="BI43" s="206"/>
      <c r="BJ43" s="208"/>
      <c r="BK43" s="209"/>
      <c r="BL43" s="105"/>
      <c r="BM43" s="105"/>
      <c r="BN43" s="105"/>
      <c r="BO43" s="105"/>
      <c r="BP43" s="105"/>
      <c r="BQ43" s="105"/>
    </row>
    <row r="44" spans="1:69" ht="18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2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206"/>
      <c r="BH44" s="206"/>
      <c r="BI44" s="206"/>
      <c r="BJ44" s="208"/>
      <c r="BK44" s="209"/>
      <c r="BL44" s="105"/>
      <c r="BM44" s="105"/>
      <c r="BN44" s="105"/>
      <c r="BO44" s="105"/>
      <c r="BP44" s="105"/>
      <c r="BQ44" s="105"/>
    </row>
    <row r="45" spans="1:69" ht="18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2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206"/>
      <c r="BH45" s="206"/>
      <c r="BI45" s="206"/>
      <c r="BJ45" s="208"/>
      <c r="BK45" s="209"/>
      <c r="BL45" s="105"/>
      <c r="BM45" s="105"/>
      <c r="BN45" s="105"/>
      <c r="BO45" s="105"/>
      <c r="BP45" s="105"/>
      <c r="BQ45" s="105"/>
    </row>
    <row r="46" spans="1:69" ht="18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2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206"/>
      <c r="BH46" s="206"/>
      <c r="BI46" s="206"/>
      <c r="BJ46" s="208"/>
      <c r="BK46" s="209"/>
      <c r="BL46" s="105"/>
      <c r="BM46" s="105"/>
      <c r="BN46" s="105"/>
      <c r="BO46" s="105"/>
      <c r="BP46" s="105"/>
      <c r="BQ46" s="105"/>
    </row>
    <row r="47" spans="1:69" ht="18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2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206"/>
      <c r="BH47" s="206"/>
      <c r="BI47" s="206"/>
      <c r="BJ47" s="208"/>
      <c r="BK47" s="209"/>
      <c r="BL47" s="105"/>
      <c r="BM47" s="105"/>
      <c r="BN47" s="105"/>
      <c r="BO47" s="105"/>
      <c r="BP47" s="105"/>
      <c r="BQ47" s="105"/>
    </row>
    <row r="48" spans="1:69" ht="18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2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206"/>
      <c r="BH48" s="206"/>
      <c r="BI48" s="206"/>
      <c r="BJ48" s="208"/>
      <c r="BK48" s="209"/>
      <c r="BL48" s="105"/>
      <c r="BM48" s="105"/>
      <c r="BN48" s="105"/>
      <c r="BO48" s="105"/>
      <c r="BP48" s="105"/>
      <c r="BQ48" s="105"/>
    </row>
    <row r="49" spans="1:69" ht="18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2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206"/>
      <c r="BH49" s="206"/>
      <c r="BI49" s="206"/>
      <c r="BJ49" s="208"/>
      <c r="BK49" s="209"/>
      <c r="BL49" s="105"/>
      <c r="BM49" s="105"/>
      <c r="BN49" s="105"/>
      <c r="BO49" s="105"/>
      <c r="BP49" s="105"/>
      <c r="BQ49" s="105"/>
    </row>
    <row r="50" spans="1:69" ht="18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2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206"/>
      <c r="BH50" s="206"/>
      <c r="BI50" s="206"/>
      <c r="BJ50" s="208"/>
      <c r="BK50" s="209"/>
      <c r="BL50" s="105"/>
      <c r="BM50" s="105"/>
      <c r="BN50" s="105"/>
      <c r="BO50" s="105"/>
      <c r="BP50" s="105"/>
      <c r="BQ50" s="105"/>
    </row>
    <row r="51" spans="1:69" ht="18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2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206"/>
      <c r="BH51" s="206"/>
      <c r="BI51" s="206"/>
      <c r="BJ51" s="208"/>
      <c r="BK51" s="209"/>
      <c r="BL51" s="105"/>
      <c r="BM51" s="105"/>
      <c r="BN51" s="105"/>
      <c r="BO51" s="105"/>
      <c r="BP51" s="105"/>
      <c r="BQ51" s="105"/>
    </row>
    <row r="52" spans="1:69" ht="18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2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206"/>
      <c r="BH52" s="206"/>
      <c r="BI52" s="206"/>
      <c r="BJ52" s="208"/>
      <c r="BK52" s="209"/>
      <c r="BL52" s="105"/>
      <c r="BM52" s="105"/>
      <c r="BN52" s="105"/>
      <c r="BO52" s="105"/>
      <c r="BP52" s="105"/>
      <c r="BQ52" s="105"/>
    </row>
    <row r="53" spans="1:69" ht="18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2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206"/>
      <c r="BH53" s="206"/>
      <c r="BI53" s="206"/>
      <c r="BJ53" s="208"/>
      <c r="BK53" s="209"/>
      <c r="BL53" s="105"/>
      <c r="BM53" s="105"/>
      <c r="BN53" s="105"/>
      <c r="BO53" s="105"/>
      <c r="BP53" s="105"/>
      <c r="BQ53" s="105"/>
    </row>
    <row r="54" spans="1:69" ht="18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2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206"/>
      <c r="BH54" s="206"/>
      <c r="BI54" s="206"/>
      <c r="BJ54" s="208"/>
      <c r="BK54" s="209"/>
      <c r="BL54" s="105"/>
      <c r="BM54" s="105"/>
      <c r="BN54" s="105"/>
      <c r="BO54" s="105"/>
      <c r="BP54" s="105"/>
      <c r="BQ54" s="105"/>
    </row>
    <row r="55" spans="1:69" ht="18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2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206"/>
      <c r="BH55" s="206"/>
      <c r="BI55" s="206"/>
      <c r="BJ55" s="208"/>
      <c r="BK55" s="209"/>
      <c r="BL55" s="105"/>
      <c r="BM55" s="105"/>
      <c r="BN55" s="105"/>
      <c r="BO55" s="105"/>
      <c r="BP55" s="105"/>
      <c r="BQ55" s="105"/>
    </row>
    <row r="56" spans="1:69" ht="18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2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206"/>
      <c r="BH56" s="206"/>
      <c r="BI56" s="206"/>
      <c r="BJ56" s="208"/>
      <c r="BK56" s="209"/>
      <c r="BL56" s="105"/>
      <c r="BM56" s="105"/>
      <c r="BN56" s="105"/>
      <c r="BO56" s="105"/>
      <c r="BP56" s="105"/>
      <c r="BQ56" s="105"/>
    </row>
    <row r="57" spans="1:69" ht="18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2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206"/>
      <c r="BH57" s="206"/>
      <c r="BI57" s="206"/>
      <c r="BJ57" s="208"/>
      <c r="BK57" s="209"/>
      <c r="BL57" s="105"/>
      <c r="BM57" s="105"/>
      <c r="BN57" s="105"/>
      <c r="BO57" s="105"/>
      <c r="BP57" s="105"/>
      <c r="BQ57" s="105"/>
    </row>
    <row r="58" spans="1:69" ht="18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2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206"/>
      <c r="BH58" s="206"/>
      <c r="BI58" s="206"/>
      <c r="BJ58" s="208"/>
      <c r="BK58" s="209"/>
      <c r="BL58" s="105"/>
      <c r="BM58" s="105"/>
      <c r="BN58" s="105"/>
      <c r="BO58" s="105"/>
      <c r="BP58" s="105"/>
      <c r="BQ58" s="105"/>
    </row>
    <row r="59" spans="1:69" ht="18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2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206"/>
      <c r="BH59" s="206"/>
      <c r="BI59" s="206"/>
      <c r="BJ59" s="208"/>
      <c r="BK59" s="209"/>
      <c r="BL59" s="105"/>
      <c r="BM59" s="105"/>
      <c r="BN59" s="105"/>
      <c r="BO59" s="105"/>
      <c r="BP59" s="105"/>
      <c r="BQ59" s="105"/>
    </row>
    <row r="60" spans="1:69" ht="18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2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206"/>
      <c r="BH60" s="206"/>
      <c r="BI60" s="206"/>
      <c r="BJ60" s="208"/>
      <c r="BK60" s="209"/>
      <c r="BL60" s="105"/>
      <c r="BM60" s="105"/>
      <c r="BN60" s="105"/>
      <c r="BO60" s="105"/>
      <c r="BP60" s="105"/>
      <c r="BQ60" s="105"/>
    </row>
    <row r="61" spans="1:69" ht="18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2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206"/>
      <c r="BH61" s="206"/>
      <c r="BI61" s="206"/>
      <c r="BJ61" s="208"/>
      <c r="BK61" s="209"/>
      <c r="BL61" s="105"/>
      <c r="BM61" s="105"/>
      <c r="BN61" s="105"/>
      <c r="BO61" s="105"/>
      <c r="BP61" s="105"/>
      <c r="BQ61" s="105"/>
    </row>
    <row r="62" spans="1:69" ht="18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2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206"/>
      <c r="BH62" s="206"/>
      <c r="BI62" s="206"/>
      <c r="BJ62" s="208"/>
      <c r="BK62" s="209"/>
      <c r="BL62" s="105"/>
      <c r="BM62" s="105"/>
      <c r="BN62" s="105"/>
      <c r="BO62" s="105"/>
      <c r="BP62" s="105"/>
      <c r="BQ62" s="105"/>
    </row>
    <row r="63" spans="1:69" ht="18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2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206"/>
      <c r="BH63" s="206"/>
      <c r="BI63" s="206"/>
      <c r="BJ63" s="208"/>
      <c r="BK63" s="209"/>
      <c r="BL63" s="105"/>
      <c r="BM63" s="105"/>
      <c r="BN63" s="105"/>
      <c r="BO63" s="105"/>
      <c r="BP63" s="105"/>
      <c r="BQ63" s="105"/>
    </row>
    <row r="64" spans="1:69" ht="18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2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206"/>
      <c r="BH64" s="206"/>
      <c r="BI64" s="206"/>
      <c r="BJ64" s="208"/>
      <c r="BK64" s="209"/>
      <c r="BL64" s="105"/>
      <c r="BM64" s="105"/>
      <c r="BN64" s="105"/>
      <c r="BO64" s="105"/>
      <c r="BP64" s="105"/>
      <c r="BQ64" s="105"/>
    </row>
    <row r="65" spans="1:69" ht="18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2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206"/>
      <c r="BH65" s="206"/>
      <c r="BI65" s="206"/>
      <c r="BJ65" s="208"/>
      <c r="BK65" s="209"/>
      <c r="BL65" s="105"/>
      <c r="BM65" s="105"/>
      <c r="BN65" s="105"/>
      <c r="BO65" s="105"/>
      <c r="BP65" s="105"/>
      <c r="BQ65" s="105"/>
    </row>
    <row r="66" spans="1:69" ht="18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2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206"/>
      <c r="BH66" s="206"/>
      <c r="BI66" s="206"/>
      <c r="BJ66" s="208"/>
      <c r="BK66" s="209"/>
      <c r="BL66" s="105"/>
      <c r="BM66" s="105"/>
      <c r="BN66" s="105"/>
      <c r="BO66" s="105"/>
      <c r="BP66" s="105"/>
      <c r="BQ66" s="105"/>
    </row>
    <row r="67" spans="1:69" ht="18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2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206"/>
      <c r="BH67" s="206"/>
      <c r="BI67" s="206"/>
      <c r="BJ67" s="208"/>
      <c r="BK67" s="209"/>
      <c r="BL67" s="105"/>
      <c r="BM67" s="105"/>
      <c r="BN67" s="105"/>
      <c r="BO67" s="105"/>
      <c r="BP67" s="105"/>
      <c r="BQ67" s="105"/>
    </row>
    <row r="68" spans="1:69" ht="18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2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206"/>
      <c r="BH68" s="206"/>
      <c r="BI68" s="206"/>
      <c r="BJ68" s="208"/>
      <c r="BK68" s="209"/>
      <c r="BL68" s="105"/>
      <c r="BM68" s="105"/>
      <c r="BN68" s="105"/>
      <c r="BO68" s="105"/>
      <c r="BP68" s="105"/>
      <c r="BQ68" s="105"/>
    </row>
    <row r="69" spans="1:69" ht="18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2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206"/>
      <c r="BH69" s="206"/>
      <c r="BI69" s="206"/>
      <c r="BJ69" s="208"/>
      <c r="BK69" s="209"/>
      <c r="BL69" s="105"/>
      <c r="BM69" s="105"/>
      <c r="BN69" s="105"/>
      <c r="BO69" s="105"/>
      <c r="BP69" s="105"/>
      <c r="BQ69" s="105"/>
    </row>
    <row r="70" spans="1:69" ht="18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2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206"/>
      <c r="BH70" s="206"/>
      <c r="BI70" s="206"/>
      <c r="BJ70" s="208"/>
      <c r="BK70" s="209"/>
      <c r="BL70" s="105"/>
      <c r="BM70" s="105"/>
      <c r="BN70" s="105"/>
      <c r="BO70" s="105"/>
      <c r="BP70" s="105"/>
      <c r="BQ70" s="105"/>
    </row>
    <row r="71" spans="1:69" ht="18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2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206"/>
      <c r="BH71" s="206"/>
      <c r="BI71" s="206"/>
      <c r="BJ71" s="208"/>
      <c r="BK71" s="209"/>
      <c r="BL71" s="105"/>
      <c r="BM71" s="105"/>
      <c r="BN71" s="105"/>
      <c r="BO71" s="105"/>
      <c r="BP71" s="105"/>
      <c r="BQ71" s="105"/>
    </row>
    <row r="72" spans="1:69" ht="18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2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206"/>
      <c r="BH72" s="206"/>
      <c r="BI72" s="206"/>
      <c r="BJ72" s="208"/>
      <c r="BK72" s="209"/>
      <c r="BL72" s="105"/>
      <c r="BM72" s="105"/>
      <c r="BN72" s="105"/>
      <c r="BO72" s="105"/>
      <c r="BP72" s="105"/>
      <c r="BQ72" s="105"/>
    </row>
    <row r="73" spans="1:69" ht="18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2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206"/>
      <c r="BH73" s="206"/>
      <c r="BI73" s="206"/>
      <c r="BJ73" s="208"/>
      <c r="BK73" s="209"/>
      <c r="BL73" s="105"/>
      <c r="BM73" s="105"/>
      <c r="BN73" s="105"/>
      <c r="BO73" s="105"/>
      <c r="BP73" s="105"/>
      <c r="BQ73" s="105"/>
    </row>
    <row r="74" spans="1:69" ht="18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2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206"/>
      <c r="BH74" s="206"/>
      <c r="BI74" s="206"/>
      <c r="BJ74" s="208"/>
      <c r="BK74" s="209"/>
      <c r="BL74" s="105"/>
      <c r="BM74" s="105"/>
      <c r="BN74" s="105"/>
      <c r="BO74" s="105"/>
      <c r="BP74" s="105"/>
      <c r="BQ74" s="105"/>
    </row>
    <row r="75" spans="1:69" ht="18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2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206"/>
      <c r="BH75" s="206"/>
      <c r="BI75" s="206"/>
      <c r="BJ75" s="208"/>
      <c r="BK75" s="209"/>
      <c r="BL75" s="105"/>
      <c r="BM75" s="105"/>
      <c r="BN75" s="105"/>
      <c r="BO75" s="105"/>
      <c r="BP75" s="105"/>
      <c r="BQ75" s="105"/>
    </row>
    <row r="76" spans="1:69" ht="18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2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206"/>
      <c r="BH76" s="206"/>
      <c r="BI76" s="206"/>
      <c r="BJ76" s="208"/>
      <c r="BK76" s="209"/>
      <c r="BL76" s="105"/>
      <c r="BM76" s="105"/>
      <c r="BN76" s="105"/>
      <c r="BO76" s="105"/>
      <c r="BP76" s="105"/>
      <c r="BQ76" s="105"/>
    </row>
    <row r="77" spans="1:69" ht="18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2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206"/>
      <c r="BH77" s="206"/>
      <c r="BI77" s="206"/>
      <c r="BJ77" s="208"/>
      <c r="BK77" s="209"/>
      <c r="BL77" s="105"/>
      <c r="BM77" s="105"/>
      <c r="BN77" s="105"/>
      <c r="BO77" s="105"/>
      <c r="BP77" s="105"/>
      <c r="BQ77" s="105"/>
    </row>
    <row r="78" spans="1:69" ht="18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2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206"/>
      <c r="BH78" s="206"/>
      <c r="BI78" s="206"/>
      <c r="BJ78" s="208"/>
      <c r="BK78" s="209"/>
      <c r="BL78" s="105"/>
      <c r="BM78" s="105"/>
      <c r="BN78" s="105"/>
      <c r="BO78" s="105"/>
      <c r="BP78" s="105"/>
      <c r="BQ78" s="105"/>
    </row>
    <row r="79" spans="1:69" ht="18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2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206"/>
      <c r="BH79" s="206"/>
      <c r="BI79" s="206"/>
      <c r="BJ79" s="208"/>
      <c r="BK79" s="209"/>
      <c r="BL79" s="105"/>
      <c r="BM79" s="105"/>
      <c r="BN79" s="105"/>
      <c r="BO79" s="105"/>
      <c r="BP79" s="105"/>
      <c r="BQ79" s="105"/>
    </row>
    <row r="80" spans="1:69" ht="18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2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206"/>
      <c r="BH80" s="206"/>
      <c r="BI80" s="206"/>
      <c r="BJ80" s="208"/>
      <c r="BK80" s="209"/>
      <c r="BL80" s="105"/>
      <c r="BM80" s="105"/>
      <c r="BN80" s="105"/>
      <c r="BO80" s="105"/>
      <c r="BP80" s="105"/>
      <c r="BQ80" s="105"/>
    </row>
    <row r="81" spans="1:69" ht="18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2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206"/>
      <c r="BH81" s="206"/>
      <c r="BI81" s="206"/>
      <c r="BJ81" s="208"/>
      <c r="BK81" s="209"/>
      <c r="BL81" s="105"/>
      <c r="BM81" s="105"/>
      <c r="BN81" s="105"/>
      <c r="BO81" s="105"/>
      <c r="BP81" s="105"/>
      <c r="BQ81" s="105"/>
    </row>
    <row r="82" spans="1:69" ht="18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2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206"/>
      <c r="BH82" s="206"/>
      <c r="BI82" s="206"/>
      <c r="BJ82" s="208"/>
      <c r="BK82" s="209"/>
      <c r="BL82" s="105"/>
      <c r="BM82" s="105"/>
      <c r="BN82" s="105"/>
      <c r="BO82" s="105"/>
      <c r="BP82" s="105"/>
      <c r="BQ82" s="105"/>
    </row>
    <row r="83" spans="1:69" ht="18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2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206"/>
      <c r="BH83" s="206"/>
      <c r="BI83" s="206"/>
      <c r="BJ83" s="208"/>
      <c r="BK83" s="209"/>
      <c r="BL83" s="105"/>
      <c r="BM83" s="105"/>
      <c r="BN83" s="105"/>
      <c r="BO83" s="105"/>
      <c r="BP83" s="105"/>
      <c r="BQ83" s="105"/>
    </row>
    <row r="84" spans="1:69" ht="18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2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206"/>
      <c r="BH84" s="206"/>
      <c r="BI84" s="206"/>
      <c r="BJ84" s="208"/>
      <c r="BK84" s="209"/>
      <c r="BL84" s="105"/>
      <c r="BM84" s="105"/>
      <c r="BN84" s="105"/>
      <c r="BO84" s="105"/>
      <c r="BP84" s="105"/>
      <c r="BQ84" s="105"/>
    </row>
    <row r="85" spans="1:69" ht="18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2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206"/>
      <c r="BH85" s="206"/>
      <c r="BI85" s="206"/>
      <c r="BJ85" s="208"/>
      <c r="BK85" s="209"/>
      <c r="BL85" s="105"/>
      <c r="BM85" s="105"/>
      <c r="BN85" s="105"/>
      <c r="BO85" s="105"/>
      <c r="BP85" s="105"/>
      <c r="BQ85" s="105"/>
    </row>
    <row r="86" spans="1:69" ht="18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2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206"/>
      <c r="BH86" s="206"/>
      <c r="BI86" s="206"/>
      <c r="BJ86" s="208"/>
      <c r="BK86" s="209"/>
      <c r="BL86" s="105"/>
      <c r="BM86" s="105"/>
      <c r="BN86" s="105"/>
      <c r="BO86" s="105"/>
      <c r="BP86" s="105"/>
      <c r="BQ86" s="105"/>
    </row>
    <row r="87" spans="1:69" ht="18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2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206"/>
      <c r="BH87" s="206"/>
      <c r="BI87" s="206"/>
      <c r="BJ87" s="208"/>
      <c r="BK87" s="209"/>
      <c r="BL87" s="105"/>
      <c r="BM87" s="105"/>
      <c r="BN87" s="105"/>
      <c r="BO87" s="105"/>
      <c r="BP87" s="105"/>
      <c r="BQ87" s="105"/>
    </row>
    <row r="88" spans="1:69" ht="18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2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206"/>
      <c r="BH88" s="206"/>
      <c r="BI88" s="206"/>
      <c r="BJ88" s="208"/>
      <c r="BK88" s="209"/>
      <c r="BL88" s="105"/>
      <c r="BM88" s="105"/>
      <c r="BN88" s="105"/>
      <c r="BO88" s="105"/>
      <c r="BP88" s="105"/>
      <c r="BQ88" s="105"/>
    </row>
    <row r="89" spans="1:69" ht="18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2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206"/>
      <c r="BH89" s="206"/>
      <c r="BI89" s="206"/>
      <c r="BJ89" s="208"/>
      <c r="BK89" s="209"/>
      <c r="BL89" s="105"/>
      <c r="BM89" s="105"/>
      <c r="BN89" s="105"/>
      <c r="BO89" s="105"/>
      <c r="BP89" s="105"/>
      <c r="BQ89" s="105"/>
    </row>
    <row r="90" spans="1:69" ht="18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2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206"/>
      <c r="BH90" s="206"/>
      <c r="BI90" s="206"/>
      <c r="BJ90" s="208"/>
      <c r="BK90" s="209"/>
      <c r="BL90" s="105"/>
      <c r="BM90" s="105"/>
      <c r="BN90" s="105"/>
      <c r="BO90" s="105"/>
      <c r="BP90" s="105"/>
      <c r="BQ90" s="105"/>
    </row>
    <row r="91" spans="1:69" ht="18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2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206"/>
      <c r="BH91" s="206"/>
      <c r="BI91" s="206"/>
      <c r="BJ91" s="208"/>
      <c r="BK91" s="209"/>
      <c r="BL91" s="105"/>
      <c r="BM91" s="105"/>
      <c r="BN91" s="105"/>
      <c r="BO91" s="105"/>
      <c r="BP91" s="105"/>
      <c r="BQ91" s="105"/>
    </row>
    <row r="92" spans="1:69" ht="18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2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206"/>
      <c r="BH92" s="206"/>
      <c r="BI92" s="206"/>
      <c r="BJ92" s="208"/>
      <c r="BK92" s="209"/>
      <c r="BL92" s="105"/>
      <c r="BM92" s="105"/>
      <c r="BN92" s="105"/>
      <c r="BO92" s="105"/>
      <c r="BP92" s="105"/>
      <c r="BQ92" s="105"/>
    </row>
    <row r="93" spans="1:69" ht="18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2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206"/>
      <c r="BH93" s="206"/>
      <c r="BI93" s="206"/>
      <c r="BJ93" s="208"/>
      <c r="BK93" s="209"/>
      <c r="BL93" s="105"/>
      <c r="BM93" s="105"/>
      <c r="BN93" s="105"/>
      <c r="BO93" s="105"/>
      <c r="BP93" s="105"/>
      <c r="BQ93" s="105"/>
    </row>
    <row r="94" spans="1:69" ht="18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2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206"/>
      <c r="BH94" s="206"/>
      <c r="BI94" s="206"/>
      <c r="BJ94" s="208"/>
      <c r="BK94" s="209"/>
      <c r="BL94" s="105"/>
      <c r="BM94" s="105"/>
      <c r="BN94" s="105"/>
      <c r="BO94" s="105"/>
      <c r="BP94" s="105"/>
      <c r="BQ94" s="105"/>
    </row>
    <row r="95" spans="1:69" ht="18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2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206"/>
      <c r="BH95" s="206"/>
      <c r="BI95" s="206"/>
      <c r="BJ95" s="208"/>
      <c r="BK95" s="209"/>
      <c r="BL95" s="105"/>
      <c r="BM95" s="105"/>
      <c r="BN95" s="105"/>
      <c r="BO95" s="105"/>
      <c r="BP95" s="105"/>
      <c r="BQ95" s="105"/>
    </row>
    <row r="96" spans="1:69" ht="18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2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206"/>
      <c r="BH96" s="206"/>
      <c r="BI96" s="206"/>
      <c r="BJ96" s="208"/>
      <c r="BK96" s="209"/>
      <c r="BL96" s="105"/>
      <c r="BM96" s="105"/>
      <c r="BN96" s="105"/>
      <c r="BO96" s="105"/>
      <c r="BP96" s="105"/>
      <c r="BQ96" s="105"/>
    </row>
    <row r="97" spans="1:69" ht="18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2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206"/>
      <c r="BH97" s="206"/>
      <c r="BI97" s="206"/>
      <c r="BJ97" s="208"/>
      <c r="BK97" s="209"/>
      <c r="BL97" s="105"/>
      <c r="BM97" s="105"/>
      <c r="BN97" s="105"/>
      <c r="BO97" s="105"/>
      <c r="BP97" s="105"/>
      <c r="BQ97" s="105"/>
    </row>
    <row r="98" spans="1:69" ht="18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2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206"/>
      <c r="BH98" s="206"/>
      <c r="BI98" s="206"/>
      <c r="BJ98" s="208"/>
      <c r="BK98" s="209"/>
      <c r="BL98" s="105"/>
      <c r="BM98" s="105"/>
      <c r="BN98" s="105"/>
      <c r="BO98" s="105"/>
      <c r="BP98" s="105"/>
      <c r="BQ98" s="105"/>
    </row>
    <row r="99" spans="1:69" ht="18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2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206"/>
      <c r="BH99" s="206"/>
      <c r="BI99" s="206"/>
      <c r="BJ99" s="208"/>
      <c r="BK99" s="209"/>
      <c r="BL99" s="105"/>
      <c r="BM99" s="105"/>
      <c r="BN99" s="105"/>
      <c r="BO99" s="105"/>
      <c r="BP99" s="105"/>
      <c r="BQ99" s="105"/>
    </row>
    <row r="100" spans="1:69" ht="18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2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206"/>
      <c r="BH100" s="206"/>
      <c r="BI100" s="206"/>
      <c r="BJ100" s="208"/>
      <c r="BK100" s="209"/>
      <c r="BL100" s="105"/>
      <c r="BM100" s="105"/>
      <c r="BN100" s="105"/>
      <c r="BO100" s="105"/>
      <c r="BP100" s="105"/>
      <c r="BQ100" s="105"/>
    </row>
    <row r="101" spans="1:69" ht="18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2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206"/>
      <c r="BH101" s="206"/>
      <c r="BI101" s="206"/>
      <c r="BJ101" s="208"/>
      <c r="BK101" s="209"/>
      <c r="BL101" s="105"/>
      <c r="BM101" s="105"/>
      <c r="BN101" s="105"/>
      <c r="BO101" s="105"/>
      <c r="BP101" s="105"/>
      <c r="BQ101" s="105"/>
    </row>
    <row r="102" spans="1:69" ht="18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2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206"/>
      <c r="BH102" s="206"/>
      <c r="BI102" s="206"/>
      <c r="BJ102" s="208"/>
      <c r="BK102" s="209"/>
      <c r="BL102" s="105"/>
      <c r="BM102" s="105"/>
      <c r="BN102" s="105"/>
      <c r="BO102" s="105"/>
      <c r="BP102" s="105"/>
      <c r="BQ102" s="105"/>
    </row>
    <row r="103" spans="1:69" ht="18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2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206"/>
      <c r="BH103" s="206"/>
      <c r="BI103" s="206"/>
      <c r="BJ103" s="208"/>
      <c r="BK103" s="209"/>
      <c r="BL103" s="105"/>
      <c r="BM103" s="105"/>
      <c r="BN103" s="105"/>
      <c r="BO103" s="105"/>
      <c r="BP103" s="105"/>
      <c r="BQ103" s="105"/>
    </row>
    <row r="104" spans="1:69" ht="18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2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206"/>
      <c r="BH104" s="206"/>
      <c r="BI104" s="206"/>
      <c r="BJ104" s="208"/>
      <c r="BK104" s="209"/>
      <c r="BL104" s="105"/>
      <c r="BM104" s="105"/>
      <c r="BN104" s="105"/>
      <c r="BO104" s="105"/>
      <c r="BP104" s="105"/>
      <c r="BQ104" s="105"/>
    </row>
    <row r="105" spans="1:69" ht="18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2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206"/>
      <c r="BH105" s="206"/>
      <c r="BI105" s="206"/>
      <c r="BJ105" s="208"/>
      <c r="BK105" s="209"/>
      <c r="BL105" s="105"/>
      <c r="BM105" s="105"/>
      <c r="BN105" s="105"/>
      <c r="BO105" s="105"/>
      <c r="BP105" s="105"/>
      <c r="BQ105" s="105"/>
    </row>
    <row r="106" spans="1:69" ht="18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2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206"/>
      <c r="BH106" s="206"/>
      <c r="BI106" s="206"/>
      <c r="BJ106" s="208"/>
      <c r="BK106" s="209"/>
      <c r="BL106" s="105"/>
      <c r="BM106" s="105"/>
      <c r="BN106" s="105"/>
      <c r="BO106" s="105"/>
      <c r="BP106" s="105"/>
      <c r="BQ106" s="105"/>
    </row>
    <row r="107" spans="1:69" ht="18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2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206"/>
      <c r="BH107" s="206"/>
      <c r="BI107" s="206"/>
      <c r="BJ107" s="208"/>
      <c r="BK107" s="209"/>
      <c r="BL107" s="105"/>
      <c r="BM107" s="105"/>
      <c r="BN107" s="105"/>
      <c r="BO107" s="105"/>
      <c r="BP107" s="105"/>
      <c r="BQ107" s="105"/>
    </row>
    <row r="108" spans="1:69" ht="18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2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206"/>
      <c r="BH108" s="206"/>
      <c r="BI108" s="206"/>
      <c r="BJ108" s="208"/>
      <c r="BK108" s="209"/>
      <c r="BL108" s="105"/>
      <c r="BM108" s="105"/>
      <c r="BN108" s="105"/>
      <c r="BO108" s="105"/>
      <c r="BP108" s="105"/>
      <c r="BQ108" s="105"/>
    </row>
    <row r="109" spans="1:69" ht="18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2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206"/>
      <c r="BH109" s="206"/>
      <c r="BI109" s="206"/>
      <c r="BJ109" s="208"/>
      <c r="BK109" s="209"/>
      <c r="BL109" s="105"/>
      <c r="BM109" s="105"/>
      <c r="BN109" s="105"/>
      <c r="BO109" s="105"/>
      <c r="BP109" s="105"/>
      <c r="BQ109" s="105"/>
    </row>
    <row r="110" spans="1:69" ht="18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2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206"/>
      <c r="BH110" s="206"/>
      <c r="BI110" s="206"/>
      <c r="BJ110" s="208"/>
      <c r="BK110" s="209"/>
      <c r="BL110" s="105"/>
      <c r="BM110" s="105"/>
      <c r="BN110" s="105"/>
      <c r="BO110" s="105"/>
      <c r="BP110" s="105"/>
      <c r="BQ110" s="105"/>
    </row>
    <row r="111" spans="1:69" ht="18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2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206"/>
      <c r="BH111" s="206"/>
      <c r="BI111" s="206"/>
      <c r="BJ111" s="208"/>
      <c r="BK111" s="209"/>
      <c r="BL111" s="105"/>
      <c r="BM111" s="105"/>
      <c r="BN111" s="105"/>
      <c r="BO111" s="105"/>
      <c r="BP111" s="105"/>
      <c r="BQ111" s="105"/>
    </row>
    <row r="112" spans="1:69" ht="18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2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206"/>
      <c r="BH112" s="206"/>
      <c r="BI112" s="206"/>
      <c r="BJ112" s="208"/>
      <c r="BK112" s="209"/>
      <c r="BL112" s="105"/>
      <c r="BM112" s="105"/>
      <c r="BN112" s="105"/>
      <c r="BO112" s="105"/>
      <c r="BP112" s="105"/>
      <c r="BQ112" s="105"/>
    </row>
    <row r="113" spans="1:69" ht="18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2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206"/>
      <c r="BH113" s="206"/>
      <c r="BI113" s="206"/>
      <c r="BJ113" s="208"/>
      <c r="BK113" s="209"/>
      <c r="BL113" s="105"/>
      <c r="BM113" s="105"/>
      <c r="BN113" s="105"/>
      <c r="BO113" s="105"/>
      <c r="BP113" s="105"/>
      <c r="BQ113" s="105"/>
    </row>
    <row r="114" spans="1:69" ht="18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2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206"/>
      <c r="BH114" s="206"/>
      <c r="BI114" s="206"/>
      <c r="BJ114" s="208"/>
      <c r="BK114" s="209"/>
      <c r="BL114" s="105"/>
      <c r="BM114" s="105"/>
      <c r="BN114" s="105"/>
      <c r="BO114" s="105"/>
      <c r="BP114" s="105"/>
      <c r="BQ114" s="105"/>
    </row>
    <row r="115" spans="1:69" ht="18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2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206"/>
      <c r="BH115" s="206"/>
      <c r="BI115" s="206"/>
      <c r="BJ115" s="208"/>
      <c r="BK115" s="209"/>
      <c r="BL115" s="105"/>
      <c r="BM115" s="105"/>
      <c r="BN115" s="105"/>
      <c r="BO115" s="105"/>
      <c r="BP115" s="105"/>
      <c r="BQ115" s="105"/>
    </row>
    <row r="116" spans="1:69" ht="18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2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206"/>
      <c r="BH116" s="206"/>
      <c r="BI116" s="206"/>
      <c r="BJ116" s="208"/>
      <c r="BK116" s="209"/>
      <c r="BL116" s="105"/>
      <c r="BM116" s="105"/>
      <c r="BN116" s="105"/>
      <c r="BO116" s="105"/>
      <c r="BP116" s="105"/>
      <c r="BQ116" s="105"/>
    </row>
    <row r="117" spans="1:69" ht="18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2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206"/>
      <c r="BH117" s="206"/>
      <c r="BI117" s="206"/>
      <c r="BJ117" s="208"/>
      <c r="BK117" s="209"/>
      <c r="BL117" s="105"/>
      <c r="BM117" s="105"/>
      <c r="BN117" s="105"/>
      <c r="BO117" s="105"/>
      <c r="BP117" s="105"/>
      <c r="BQ117" s="105"/>
    </row>
    <row r="118" spans="1:69" ht="18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2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206"/>
      <c r="BH118" s="206"/>
      <c r="BI118" s="206"/>
      <c r="BJ118" s="208"/>
      <c r="BK118" s="209"/>
      <c r="BL118" s="105"/>
      <c r="BM118" s="105"/>
      <c r="BN118" s="105"/>
      <c r="BO118" s="105"/>
      <c r="BP118" s="105"/>
      <c r="BQ118" s="105"/>
    </row>
    <row r="119" spans="1:69" ht="18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2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206"/>
      <c r="BH119" s="206"/>
      <c r="BI119" s="206"/>
      <c r="BJ119" s="208"/>
      <c r="BK119" s="209"/>
      <c r="BL119" s="105"/>
      <c r="BM119" s="105"/>
      <c r="BN119" s="105"/>
      <c r="BO119" s="105"/>
      <c r="BP119" s="105"/>
      <c r="BQ119" s="105"/>
    </row>
    <row r="120" spans="1:69" ht="18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2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206"/>
      <c r="BH120" s="206"/>
      <c r="BI120" s="206"/>
      <c r="BJ120" s="208"/>
      <c r="BK120" s="209"/>
      <c r="BL120" s="105"/>
      <c r="BM120" s="105"/>
      <c r="BN120" s="105"/>
      <c r="BO120" s="105"/>
      <c r="BP120" s="105"/>
      <c r="BQ120" s="105"/>
    </row>
    <row r="121" spans="1:69" ht="18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2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206"/>
      <c r="BH121" s="206"/>
      <c r="BI121" s="206"/>
      <c r="BJ121" s="208"/>
      <c r="BK121" s="209"/>
      <c r="BL121" s="105"/>
      <c r="BM121" s="105"/>
      <c r="BN121" s="105"/>
      <c r="BO121" s="105"/>
      <c r="BP121" s="105"/>
      <c r="BQ121" s="105"/>
    </row>
    <row r="122" spans="1:69" ht="18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2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206"/>
      <c r="BH122" s="206"/>
      <c r="BI122" s="206"/>
      <c r="BJ122" s="208"/>
      <c r="BK122" s="209"/>
      <c r="BL122" s="105"/>
      <c r="BM122" s="105"/>
      <c r="BN122" s="105"/>
      <c r="BO122" s="105"/>
      <c r="BP122" s="105"/>
      <c r="BQ122" s="105"/>
    </row>
    <row r="123" spans="1:69" ht="18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2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206"/>
      <c r="BH123" s="206"/>
      <c r="BI123" s="206"/>
      <c r="BJ123" s="208"/>
      <c r="BK123" s="209"/>
      <c r="BL123" s="105"/>
      <c r="BM123" s="105"/>
      <c r="BN123" s="105"/>
      <c r="BO123" s="105"/>
      <c r="BP123" s="105"/>
      <c r="BQ123" s="105"/>
    </row>
    <row r="124" spans="1:69" ht="18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2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206"/>
      <c r="BH124" s="206"/>
      <c r="BI124" s="206"/>
      <c r="BJ124" s="208"/>
      <c r="BK124" s="209"/>
      <c r="BL124" s="105"/>
      <c r="BM124" s="105"/>
      <c r="BN124" s="105"/>
      <c r="BO124" s="105"/>
      <c r="BP124" s="105"/>
      <c r="BQ124" s="105"/>
    </row>
    <row r="125" spans="1:69" ht="18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2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206"/>
      <c r="BH125" s="206"/>
      <c r="BI125" s="206"/>
      <c r="BJ125" s="208"/>
      <c r="BK125" s="209"/>
      <c r="BL125" s="105"/>
      <c r="BM125" s="105"/>
      <c r="BN125" s="105"/>
      <c r="BO125" s="105"/>
      <c r="BP125" s="105"/>
      <c r="BQ125" s="105"/>
    </row>
    <row r="126" spans="1:69" ht="18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2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206"/>
      <c r="BH126" s="206"/>
      <c r="BI126" s="206"/>
      <c r="BJ126" s="208"/>
      <c r="BK126" s="209"/>
      <c r="BL126" s="105"/>
      <c r="BM126" s="105"/>
      <c r="BN126" s="105"/>
      <c r="BO126" s="105"/>
      <c r="BP126" s="105"/>
      <c r="BQ126" s="105"/>
    </row>
    <row r="127" spans="1:69" ht="18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2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206"/>
      <c r="BH127" s="206"/>
      <c r="BI127" s="206"/>
      <c r="BJ127" s="208"/>
      <c r="BK127" s="209"/>
      <c r="BL127" s="105"/>
      <c r="BM127" s="105"/>
      <c r="BN127" s="105"/>
      <c r="BO127" s="105"/>
      <c r="BP127" s="105"/>
      <c r="BQ127" s="105"/>
    </row>
    <row r="128" spans="1:69" ht="18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2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206"/>
      <c r="BH128" s="206"/>
      <c r="BI128" s="206"/>
      <c r="BJ128" s="208"/>
      <c r="BK128" s="209"/>
      <c r="BL128" s="105"/>
      <c r="BM128" s="105"/>
      <c r="BN128" s="105"/>
      <c r="BO128" s="105"/>
      <c r="BP128" s="105"/>
      <c r="BQ128" s="105"/>
    </row>
    <row r="129" spans="1:69" ht="18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2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206"/>
      <c r="BH129" s="206"/>
      <c r="BI129" s="206"/>
      <c r="BJ129" s="208"/>
      <c r="BK129" s="209"/>
      <c r="BL129" s="105"/>
      <c r="BM129" s="105"/>
      <c r="BN129" s="105"/>
      <c r="BO129" s="105"/>
      <c r="BP129" s="105"/>
      <c r="BQ129" s="105"/>
    </row>
    <row r="130" spans="1:69" ht="18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2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206"/>
      <c r="BH130" s="206"/>
      <c r="BI130" s="206"/>
      <c r="BJ130" s="208"/>
      <c r="BK130" s="209"/>
      <c r="BL130" s="105"/>
      <c r="BM130" s="105"/>
      <c r="BN130" s="105"/>
      <c r="BO130" s="105"/>
      <c r="BP130" s="105"/>
      <c r="BQ130" s="105"/>
    </row>
    <row r="131" spans="1:69" ht="18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2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206"/>
      <c r="BH131" s="206"/>
      <c r="BI131" s="206"/>
      <c r="BJ131" s="208"/>
      <c r="BK131" s="209"/>
      <c r="BL131" s="105"/>
      <c r="BM131" s="105"/>
      <c r="BN131" s="105"/>
      <c r="BO131" s="105"/>
      <c r="BP131" s="105"/>
      <c r="BQ131" s="105"/>
    </row>
    <row r="132" spans="1:69" ht="18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2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206"/>
      <c r="BH132" s="206"/>
      <c r="BI132" s="206"/>
      <c r="BJ132" s="208"/>
      <c r="BK132" s="209"/>
      <c r="BL132" s="105"/>
      <c r="BM132" s="105"/>
      <c r="BN132" s="105"/>
      <c r="BO132" s="105"/>
      <c r="BP132" s="105"/>
      <c r="BQ132" s="105"/>
    </row>
    <row r="133" spans="1:69" ht="18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2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206"/>
      <c r="BH133" s="206"/>
      <c r="BI133" s="206"/>
      <c r="BJ133" s="208"/>
      <c r="BK133" s="209"/>
      <c r="BL133" s="105"/>
      <c r="BM133" s="105"/>
      <c r="BN133" s="105"/>
      <c r="BO133" s="105"/>
      <c r="BP133" s="105"/>
      <c r="BQ133" s="105"/>
    </row>
    <row r="134" spans="1:69" ht="18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2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206"/>
      <c r="BH134" s="206"/>
      <c r="BI134" s="206"/>
      <c r="BJ134" s="208"/>
      <c r="BK134" s="209"/>
      <c r="BL134" s="105"/>
      <c r="BM134" s="105"/>
      <c r="BN134" s="105"/>
      <c r="BO134" s="105"/>
      <c r="BP134" s="105"/>
      <c r="BQ134" s="105"/>
    </row>
    <row r="135" spans="1:69" ht="18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2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206"/>
      <c r="BH135" s="206"/>
      <c r="BI135" s="206"/>
      <c r="BJ135" s="208"/>
      <c r="BK135" s="209"/>
      <c r="BL135" s="105"/>
      <c r="BM135" s="105"/>
      <c r="BN135" s="105"/>
      <c r="BO135" s="105"/>
      <c r="BP135" s="105"/>
      <c r="BQ135" s="105"/>
    </row>
    <row r="136" spans="1:69" ht="18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2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206"/>
      <c r="BH136" s="206"/>
      <c r="BI136" s="206"/>
      <c r="BJ136" s="208"/>
      <c r="BK136" s="209"/>
      <c r="BL136" s="105"/>
      <c r="BM136" s="105"/>
      <c r="BN136" s="105"/>
      <c r="BO136" s="105"/>
      <c r="BP136" s="105"/>
      <c r="BQ136" s="105"/>
    </row>
    <row r="137" spans="1:69" ht="18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2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206"/>
      <c r="BH137" s="206"/>
      <c r="BI137" s="206"/>
      <c r="BJ137" s="208"/>
      <c r="BK137" s="209"/>
      <c r="BL137" s="105"/>
      <c r="BM137" s="105"/>
      <c r="BN137" s="105"/>
      <c r="BO137" s="105"/>
      <c r="BP137" s="105"/>
      <c r="BQ137" s="105"/>
    </row>
    <row r="138" spans="1:69" ht="18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2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206"/>
      <c r="BH138" s="206"/>
      <c r="BI138" s="206"/>
      <c r="BJ138" s="208"/>
      <c r="BK138" s="209"/>
      <c r="BL138" s="105"/>
      <c r="BM138" s="105"/>
      <c r="BN138" s="105"/>
      <c r="BO138" s="105"/>
      <c r="BP138" s="105"/>
      <c r="BQ138" s="105"/>
    </row>
    <row r="139" spans="1:69" ht="18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2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206"/>
      <c r="BH139" s="206"/>
      <c r="BI139" s="206"/>
      <c r="BJ139" s="208"/>
      <c r="BK139" s="209"/>
      <c r="BL139" s="105"/>
      <c r="BM139" s="105"/>
      <c r="BN139" s="105"/>
      <c r="BO139" s="105"/>
      <c r="BP139" s="105"/>
      <c r="BQ139" s="105"/>
    </row>
    <row r="140" spans="1:69" ht="18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2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206"/>
      <c r="BH140" s="206"/>
      <c r="BI140" s="206"/>
      <c r="BJ140" s="208"/>
      <c r="BK140" s="209"/>
      <c r="BL140" s="105"/>
      <c r="BM140" s="105"/>
      <c r="BN140" s="105"/>
      <c r="BO140" s="105"/>
      <c r="BP140" s="105"/>
      <c r="BQ140" s="105"/>
    </row>
    <row r="141" spans="1:69" ht="18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2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206"/>
      <c r="BH141" s="206"/>
      <c r="BI141" s="206"/>
      <c r="BJ141" s="208"/>
      <c r="BK141" s="209"/>
      <c r="BL141" s="105"/>
      <c r="BM141" s="105"/>
      <c r="BN141" s="105"/>
      <c r="BO141" s="105"/>
      <c r="BP141" s="105"/>
      <c r="BQ141" s="105"/>
    </row>
    <row r="142" spans="1:69" ht="18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2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206"/>
      <c r="BH142" s="206"/>
      <c r="BI142" s="206"/>
      <c r="BJ142" s="208"/>
      <c r="BK142" s="209"/>
      <c r="BL142" s="105"/>
      <c r="BM142" s="105"/>
      <c r="BN142" s="105"/>
      <c r="BO142" s="105"/>
      <c r="BP142" s="105"/>
      <c r="BQ142" s="105"/>
    </row>
    <row r="143" spans="1:69" ht="18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2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206"/>
      <c r="BH143" s="206"/>
      <c r="BI143" s="206"/>
      <c r="BJ143" s="208"/>
      <c r="BK143" s="209"/>
      <c r="BL143" s="105"/>
      <c r="BM143" s="105"/>
      <c r="BN143" s="105"/>
      <c r="BO143" s="105"/>
      <c r="BP143" s="105"/>
      <c r="BQ143" s="105"/>
    </row>
    <row r="144" spans="1:69" ht="18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2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206"/>
      <c r="BH144" s="206"/>
      <c r="BI144" s="206"/>
      <c r="BJ144" s="208"/>
      <c r="BK144" s="209"/>
      <c r="BL144" s="105"/>
      <c r="BM144" s="105"/>
      <c r="BN144" s="105"/>
      <c r="BO144" s="105"/>
      <c r="BP144" s="105"/>
      <c r="BQ144" s="105"/>
    </row>
    <row r="145" spans="1:69" ht="18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2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206"/>
      <c r="BH145" s="206"/>
      <c r="BI145" s="206"/>
      <c r="BJ145" s="208"/>
      <c r="BK145" s="209"/>
      <c r="BL145" s="105"/>
      <c r="BM145" s="105"/>
      <c r="BN145" s="105"/>
      <c r="BO145" s="105"/>
      <c r="BP145" s="105"/>
      <c r="BQ145" s="105"/>
    </row>
    <row r="146" spans="1:69" ht="18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2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206"/>
      <c r="BH146" s="206"/>
      <c r="BI146" s="206"/>
      <c r="BJ146" s="208"/>
      <c r="BK146" s="209"/>
      <c r="BL146" s="105"/>
      <c r="BM146" s="105"/>
      <c r="BN146" s="105"/>
      <c r="BO146" s="105"/>
      <c r="BP146" s="105"/>
      <c r="BQ146" s="105"/>
    </row>
    <row r="147" spans="1:69" ht="18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2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206"/>
      <c r="BH147" s="206"/>
      <c r="BI147" s="206"/>
      <c r="BJ147" s="208"/>
      <c r="BK147" s="209"/>
      <c r="BL147" s="105"/>
      <c r="BM147" s="105"/>
      <c r="BN147" s="105"/>
      <c r="BO147" s="105"/>
      <c r="BP147" s="105"/>
      <c r="BQ147" s="105"/>
    </row>
    <row r="148" spans="1:69" ht="18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2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206"/>
      <c r="BH148" s="206"/>
      <c r="BI148" s="206"/>
      <c r="BJ148" s="208"/>
      <c r="BK148" s="209"/>
      <c r="BL148" s="105"/>
      <c r="BM148" s="105"/>
      <c r="BN148" s="105"/>
      <c r="BO148" s="105"/>
      <c r="BP148" s="105"/>
      <c r="BQ148" s="105"/>
    </row>
    <row r="149" spans="1:69" ht="18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2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206"/>
      <c r="BH149" s="206"/>
      <c r="BI149" s="206"/>
      <c r="BJ149" s="208"/>
      <c r="BK149" s="209"/>
      <c r="BL149" s="105"/>
      <c r="BM149" s="105"/>
      <c r="BN149" s="105"/>
      <c r="BO149" s="105"/>
      <c r="BP149" s="105"/>
      <c r="BQ149" s="105"/>
    </row>
    <row r="150" spans="1:69" ht="18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2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206"/>
      <c r="BH150" s="206"/>
      <c r="BI150" s="206"/>
      <c r="BJ150" s="208"/>
      <c r="BK150" s="209"/>
      <c r="BL150" s="105"/>
      <c r="BM150" s="105"/>
      <c r="BN150" s="105"/>
      <c r="BO150" s="105"/>
      <c r="BP150" s="105"/>
      <c r="BQ150" s="105"/>
    </row>
    <row r="151" spans="1:69" ht="18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2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206"/>
      <c r="BH151" s="206"/>
      <c r="BI151" s="206"/>
      <c r="BJ151" s="208"/>
      <c r="BK151" s="209"/>
      <c r="BL151" s="105"/>
      <c r="BM151" s="105"/>
      <c r="BN151" s="105"/>
      <c r="BO151" s="105"/>
      <c r="BP151" s="105"/>
      <c r="BQ151" s="105"/>
    </row>
    <row r="152" spans="1:69" ht="18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2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206"/>
      <c r="BH152" s="206"/>
      <c r="BI152" s="206"/>
      <c r="BJ152" s="208"/>
      <c r="BK152" s="209"/>
      <c r="BL152" s="105"/>
      <c r="BM152" s="105"/>
      <c r="BN152" s="105"/>
      <c r="BO152" s="105"/>
      <c r="BP152" s="105"/>
      <c r="BQ152" s="105"/>
    </row>
    <row r="153" spans="1:69" ht="18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2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206"/>
      <c r="BH153" s="206"/>
      <c r="BI153" s="206"/>
      <c r="BJ153" s="208"/>
      <c r="BK153" s="209"/>
      <c r="BL153" s="105"/>
      <c r="BM153" s="105"/>
      <c r="BN153" s="105"/>
      <c r="BO153" s="105"/>
      <c r="BP153" s="105"/>
      <c r="BQ153" s="105"/>
    </row>
    <row r="154" spans="1:69" ht="18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2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206"/>
      <c r="BH154" s="206"/>
      <c r="BI154" s="206"/>
      <c r="BJ154" s="208"/>
      <c r="BK154" s="209"/>
      <c r="BL154" s="105"/>
      <c r="BM154" s="105"/>
      <c r="BN154" s="105"/>
      <c r="BO154" s="105"/>
      <c r="BP154" s="105"/>
      <c r="BQ154" s="105"/>
    </row>
    <row r="155" spans="1:69" ht="18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2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206"/>
      <c r="BH155" s="206"/>
      <c r="BI155" s="206"/>
      <c r="BJ155" s="208"/>
      <c r="BK155" s="209"/>
      <c r="BL155" s="105"/>
      <c r="BM155" s="105"/>
      <c r="BN155" s="105"/>
      <c r="BO155" s="105"/>
      <c r="BP155" s="105"/>
      <c r="BQ155" s="105"/>
    </row>
    <row r="156" spans="1:69" ht="18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2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206"/>
      <c r="BH156" s="206"/>
      <c r="BI156" s="206"/>
      <c r="BJ156" s="208"/>
      <c r="BK156" s="209"/>
      <c r="BL156" s="105"/>
      <c r="BM156" s="105"/>
      <c r="BN156" s="105"/>
      <c r="BO156" s="105"/>
      <c r="BP156" s="105"/>
      <c r="BQ156" s="105"/>
    </row>
    <row r="157" spans="1:69" ht="18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2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206"/>
      <c r="BH157" s="206"/>
      <c r="BI157" s="206"/>
      <c r="BJ157" s="208"/>
      <c r="BK157" s="209"/>
      <c r="BL157" s="105"/>
      <c r="BM157" s="105"/>
      <c r="BN157" s="105"/>
      <c r="BO157" s="105"/>
      <c r="BP157" s="105"/>
      <c r="BQ157" s="105"/>
    </row>
    <row r="158" spans="1:69" ht="18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2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206"/>
      <c r="BH158" s="206"/>
      <c r="BI158" s="206"/>
      <c r="BJ158" s="208"/>
      <c r="BK158" s="209"/>
      <c r="BL158" s="105"/>
      <c r="BM158" s="105"/>
      <c r="BN158" s="105"/>
      <c r="BO158" s="105"/>
      <c r="BP158" s="105"/>
      <c r="BQ158" s="105"/>
    </row>
    <row r="159" spans="1:69" ht="18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2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206"/>
      <c r="BH159" s="206"/>
      <c r="BI159" s="206"/>
      <c r="BJ159" s="208"/>
      <c r="BK159" s="209"/>
      <c r="BL159" s="105"/>
      <c r="BM159" s="105"/>
      <c r="BN159" s="105"/>
      <c r="BO159" s="105"/>
      <c r="BP159" s="105"/>
      <c r="BQ159" s="105"/>
    </row>
    <row r="160" spans="1:69" ht="18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2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206"/>
      <c r="BH160" s="206"/>
      <c r="BI160" s="206"/>
      <c r="BJ160" s="208"/>
      <c r="BK160" s="209"/>
      <c r="BL160" s="105"/>
      <c r="BM160" s="105"/>
      <c r="BN160" s="105"/>
      <c r="BO160" s="105"/>
      <c r="BP160" s="105"/>
      <c r="BQ160" s="105"/>
    </row>
    <row r="161" spans="1:69" ht="18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2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206"/>
      <c r="BH161" s="206"/>
      <c r="BI161" s="206"/>
      <c r="BJ161" s="208"/>
      <c r="BK161" s="209"/>
      <c r="BL161" s="105"/>
      <c r="BM161" s="105"/>
      <c r="BN161" s="105"/>
      <c r="BO161" s="105"/>
      <c r="BP161" s="105"/>
      <c r="BQ161" s="105"/>
    </row>
    <row r="162" spans="1:69" ht="18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2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206"/>
      <c r="BH162" s="206"/>
      <c r="BI162" s="206"/>
      <c r="BJ162" s="208"/>
      <c r="BK162" s="209"/>
      <c r="BL162" s="105"/>
      <c r="BM162" s="105"/>
      <c r="BN162" s="105"/>
      <c r="BO162" s="105"/>
      <c r="BP162" s="105"/>
      <c r="BQ162" s="105"/>
    </row>
    <row r="163" spans="1:69" ht="18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2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206"/>
      <c r="BH163" s="206"/>
      <c r="BI163" s="206"/>
      <c r="BJ163" s="208"/>
      <c r="BK163" s="209"/>
      <c r="BL163" s="105"/>
      <c r="BM163" s="105"/>
      <c r="BN163" s="105"/>
      <c r="BO163" s="105"/>
      <c r="BP163" s="105"/>
      <c r="BQ163" s="105"/>
    </row>
    <row r="164" spans="1:69" ht="18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2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206"/>
      <c r="BH164" s="206"/>
      <c r="BI164" s="206"/>
      <c r="BJ164" s="208"/>
      <c r="BK164" s="209"/>
      <c r="BL164" s="105"/>
      <c r="BM164" s="105"/>
      <c r="BN164" s="105"/>
      <c r="BO164" s="105"/>
      <c r="BP164" s="105"/>
      <c r="BQ164" s="105"/>
    </row>
    <row r="165" spans="1:69" ht="18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2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206"/>
      <c r="BH165" s="206"/>
      <c r="BI165" s="206"/>
      <c r="BJ165" s="208"/>
      <c r="BK165" s="209"/>
      <c r="BL165" s="105"/>
      <c r="BM165" s="105"/>
      <c r="BN165" s="105"/>
      <c r="BO165" s="105"/>
      <c r="BP165" s="105"/>
      <c r="BQ165" s="105"/>
    </row>
    <row r="166" spans="1:69" ht="18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2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206"/>
      <c r="BH166" s="206"/>
      <c r="BI166" s="206"/>
      <c r="BJ166" s="208"/>
      <c r="BK166" s="209"/>
      <c r="BL166" s="105"/>
      <c r="BM166" s="105"/>
      <c r="BN166" s="105"/>
      <c r="BO166" s="105"/>
      <c r="BP166" s="105"/>
      <c r="BQ166" s="105"/>
    </row>
    <row r="167" spans="1:69" ht="18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2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206"/>
      <c r="BH167" s="206"/>
      <c r="BI167" s="206"/>
      <c r="BJ167" s="208"/>
      <c r="BK167" s="209"/>
      <c r="BL167" s="105"/>
      <c r="BM167" s="105"/>
      <c r="BN167" s="105"/>
      <c r="BO167" s="105"/>
      <c r="BP167" s="105"/>
      <c r="BQ167" s="105"/>
    </row>
    <row r="168" spans="1:69" ht="18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2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206"/>
      <c r="BH168" s="206"/>
      <c r="BI168" s="206"/>
      <c r="BJ168" s="208"/>
      <c r="BK168" s="209"/>
      <c r="BL168" s="105"/>
      <c r="BM168" s="105"/>
      <c r="BN168" s="105"/>
      <c r="BO168" s="105"/>
      <c r="BP168" s="105"/>
      <c r="BQ168" s="105"/>
    </row>
    <row r="169" spans="1:69" ht="18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2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206"/>
      <c r="BH169" s="206"/>
      <c r="BI169" s="206"/>
      <c r="BJ169" s="208"/>
      <c r="BK169" s="209"/>
      <c r="BL169" s="105"/>
      <c r="BM169" s="105"/>
      <c r="BN169" s="105"/>
      <c r="BO169" s="105"/>
      <c r="BP169" s="105"/>
      <c r="BQ169" s="105"/>
    </row>
    <row r="170" spans="1:69" ht="18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2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206"/>
      <c r="BH170" s="206"/>
      <c r="BI170" s="206"/>
      <c r="BJ170" s="208"/>
      <c r="BK170" s="209"/>
      <c r="BL170" s="105"/>
      <c r="BM170" s="105"/>
      <c r="BN170" s="105"/>
      <c r="BO170" s="105"/>
      <c r="BP170" s="105"/>
      <c r="BQ170" s="105"/>
    </row>
    <row r="171" spans="1:69" ht="18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2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206"/>
      <c r="BH171" s="206"/>
      <c r="BI171" s="206"/>
      <c r="BJ171" s="208"/>
      <c r="BK171" s="209"/>
      <c r="BL171" s="105"/>
      <c r="BM171" s="105"/>
      <c r="BN171" s="105"/>
      <c r="BO171" s="105"/>
      <c r="BP171" s="105"/>
      <c r="BQ171" s="105"/>
    </row>
    <row r="172" spans="1:69" ht="18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2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206"/>
      <c r="BH172" s="206"/>
      <c r="BI172" s="206"/>
      <c r="BJ172" s="208"/>
      <c r="BK172" s="209"/>
      <c r="BL172" s="105"/>
      <c r="BM172" s="105"/>
      <c r="BN172" s="105"/>
      <c r="BO172" s="105"/>
      <c r="BP172" s="105"/>
      <c r="BQ172" s="105"/>
    </row>
    <row r="173" spans="1:69" ht="18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2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206"/>
      <c r="BH173" s="206"/>
      <c r="BI173" s="206"/>
      <c r="BJ173" s="208"/>
      <c r="BK173" s="209"/>
      <c r="BL173" s="105"/>
      <c r="BM173" s="105"/>
      <c r="BN173" s="105"/>
      <c r="BO173" s="105"/>
      <c r="BP173" s="105"/>
      <c r="BQ173" s="105"/>
    </row>
    <row r="174" spans="1:69" ht="18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2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206"/>
      <c r="BH174" s="206"/>
      <c r="BI174" s="206"/>
      <c r="BJ174" s="208"/>
      <c r="BK174" s="209"/>
      <c r="BL174" s="105"/>
      <c r="BM174" s="105"/>
      <c r="BN174" s="105"/>
      <c r="BO174" s="105"/>
      <c r="BP174" s="105"/>
      <c r="BQ174" s="105"/>
    </row>
    <row r="175" spans="1:69" ht="18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2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206"/>
      <c r="BH175" s="206"/>
      <c r="BI175" s="206"/>
      <c r="BJ175" s="208"/>
      <c r="BK175" s="209"/>
      <c r="BL175" s="105"/>
      <c r="BM175" s="105"/>
      <c r="BN175" s="105"/>
      <c r="BO175" s="105"/>
      <c r="BP175" s="105"/>
      <c r="BQ175" s="105"/>
    </row>
    <row r="176" spans="1:69" ht="18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2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206"/>
      <c r="BH176" s="206"/>
      <c r="BI176" s="206"/>
      <c r="BJ176" s="208"/>
      <c r="BK176" s="209"/>
      <c r="BL176" s="105"/>
      <c r="BM176" s="105"/>
      <c r="BN176" s="105"/>
      <c r="BO176" s="105"/>
      <c r="BP176" s="105"/>
      <c r="BQ176" s="105"/>
    </row>
    <row r="177" spans="1:69" ht="18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2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206"/>
      <c r="BH177" s="206"/>
      <c r="BI177" s="206"/>
      <c r="BJ177" s="208"/>
      <c r="BK177" s="209"/>
      <c r="BL177" s="105"/>
      <c r="BM177" s="105"/>
      <c r="BN177" s="105"/>
      <c r="BO177" s="105"/>
      <c r="BP177" s="105"/>
      <c r="BQ177" s="105"/>
    </row>
    <row r="178" spans="1:69" ht="18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2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206"/>
      <c r="BH178" s="206"/>
      <c r="BI178" s="206"/>
      <c r="BJ178" s="208"/>
      <c r="BK178" s="209"/>
      <c r="BL178" s="105"/>
      <c r="BM178" s="105"/>
      <c r="BN178" s="105"/>
      <c r="BO178" s="105"/>
      <c r="BP178" s="105"/>
      <c r="BQ178" s="105"/>
    </row>
    <row r="179" spans="1:69" ht="18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2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206"/>
      <c r="BH179" s="206"/>
      <c r="BI179" s="206"/>
      <c r="BJ179" s="208"/>
      <c r="BK179" s="209"/>
      <c r="BL179" s="105"/>
      <c r="BM179" s="105"/>
      <c r="BN179" s="105"/>
      <c r="BO179" s="105"/>
      <c r="BP179" s="105"/>
      <c r="BQ179" s="105"/>
    </row>
    <row r="180" spans="1:69" ht="18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2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206"/>
      <c r="BH180" s="206"/>
      <c r="BI180" s="206"/>
      <c r="BJ180" s="208"/>
      <c r="BK180" s="209"/>
      <c r="BL180" s="105"/>
      <c r="BM180" s="105"/>
      <c r="BN180" s="105"/>
      <c r="BO180" s="105"/>
      <c r="BP180" s="105"/>
      <c r="BQ180" s="105"/>
    </row>
    <row r="181" spans="1:69" ht="18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2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206"/>
      <c r="BH181" s="206"/>
      <c r="BI181" s="206"/>
      <c r="BJ181" s="208"/>
      <c r="BK181" s="209"/>
      <c r="BL181" s="105"/>
      <c r="BM181" s="105"/>
      <c r="BN181" s="105"/>
      <c r="BO181" s="105"/>
      <c r="BP181" s="105"/>
      <c r="BQ181" s="105"/>
    </row>
    <row r="182" spans="1:69" ht="18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2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206"/>
      <c r="BH182" s="206"/>
      <c r="BI182" s="206"/>
      <c r="BJ182" s="208"/>
      <c r="BK182" s="209"/>
      <c r="BL182" s="105"/>
      <c r="BM182" s="105"/>
      <c r="BN182" s="105"/>
      <c r="BO182" s="105"/>
      <c r="BP182" s="105"/>
      <c r="BQ182" s="105"/>
    </row>
    <row r="183" spans="1:69" ht="18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2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206"/>
      <c r="BH183" s="206"/>
      <c r="BI183" s="206"/>
      <c r="BJ183" s="208"/>
      <c r="BK183" s="209"/>
      <c r="BL183" s="105"/>
      <c r="BM183" s="105"/>
      <c r="BN183" s="105"/>
      <c r="BO183" s="105"/>
      <c r="BP183" s="105"/>
      <c r="BQ183" s="105"/>
    </row>
    <row r="184" spans="1:69" ht="18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2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206"/>
      <c r="BH184" s="206"/>
      <c r="BI184" s="206"/>
      <c r="BJ184" s="208"/>
      <c r="BK184" s="209"/>
      <c r="BL184" s="105"/>
      <c r="BM184" s="105"/>
      <c r="BN184" s="105"/>
      <c r="BO184" s="105"/>
      <c r="BP184" s="105"/>
      <c r="BQ184" s="105"/>
    </row>
    <row r="185" spans="1:69" ht="18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2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206"/>
      <c r="BH185" s="206"/>
      <c r="BI185" s="206"/>
      <c r="BJ185" s="208"/>
      <c r="BK185" s="209"/>
      <c r="BL185" s="105"/>
      <c r="BM185" s="105"/>
      <c r="BN185" s="105"/>
      <c r="BO185" s="105"/>
      <c r="BP185" s="105"/>
      <c r="BQ185" s="105"/>
    </row>
    <row r="186" spans="1:69" ht="18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2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206"/>
      <c r="BH186" s="206"/>
      <c r="BI186" s="206"/>
      <c r="BJ186" s="208"/>
      <c r="BK186" s="209"/>
      <c r="BL186" s="105"/>
      <c r="BM186" s="105"/>
      <c r="BN186" s="105"/>
      <c r="BO186" s="105"/>
      <c r="BP186" s="105"/>
      <c r="BQ186" s="105"/>
    </row>
    <row r="187" spans="1:69" ht="18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2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206"/>
      <c r="BH187" s="206"/>
      <c r="BI187" s="206"/>
      <c r="BJ187" s="208"/>
      <c r="BK187" s="209"/>
      <c r="BL187" s="105"/>
      <c r="BM187" s="105"/>
      <c r="BN187" s="105"/>
      <c r="BO187" s="105"/>
      <c r="BP187" s="105"/>
      <c r="BQ187" s="105"/>
    </row>
    <row r="188" spans="1:69" ht="18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2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206"/>
      <c r="BH188" s="206"/>
      <c r="BI188" s="206"/>
      <c r="BJ188" s="208"/>
      <c r="BK188" s="209"/>
      <c r="BL188" s="105"/>
      <c r="BM188" s="105"/>
      <c r="BN188" s="105"/>
      <c r="BO188" s="105"/>
      <c r="BP188" s="105"/>
      <c r="BQ188" s="105"/>
    </row>
    <row r="189" spans="1:69" ht="18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2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206"/>
      <c r="BH189" s="206"/>
      <c r="BI189" s="206"/>
      <c r="BJ189" s="208"/>
      <c r="BK189" s="209"/>
      <c r="BL189" s="105"/>
      <c r="BM189" s="105"/>
      <c r="BN189" s="105"/>
      <c r="BO189" s="105"/>
      <c r="BP189" s="105"/>
      <c r="BQ189" s="105"/>
    </row>
    <row r="190" spans="1:69" ht="18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2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206"/>
      <c r="BH190" s="206"/>
      <c r="BI190" s="206"/>
      <c r="BJ190" s="208"/>
      <c r="BK190" s="209"/>
      <c r="BL190" s="105"/>
      <c r="BM190" s="105"/>
      <c r="BN190" s="105"/>
      <c r="BO190" s="105"/>
      <c r="BP190" s="105"/>
      <c r="BQ190" s="105"/>
    </row>
    <row r="191" spans="1:69" ht="18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2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206"/>
      <c r="BH191" s="206"/>
      <c r="BI191" s="206"/>
      <c r="BJ191" s="208"/>
      <c r="BK191" s="209"/>
      <c r="BL191" s="105"/>
      <c r="BM191" s="105"/>
      <c r="BN191" s="105"/>
      <c r="BO191" s="105"/>
      <c r="BP191" s="105"/>
      <c r="BQ191" s="105"/>
    </row>
    <row r="192" spans="1:69" ht="18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2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206"/>
      <c r="BH192" s="206"/>
      <c r="BI192" s="206"/>
      <c r="BJ192" s="208"/>
      <c r="BK192" s="209"/>
      <c r="BL192" s="105"/>
      <c r="BM192" s="105"/>
      <c r="BN192" s="105"/>
      <c r="BO192" s="105"/>
      <c r="BP192" s="105"/>
      <c r="BQ192" s="105"/>
    </row>
    <row r="193" spans="1:69" ht="18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2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206"/>
      <c r="BH193" s="206"/>
      <c r="BI193" s="206"/>
      <c r="BJ193" s="208"/>
      <c r="BK193" s="209"/>
      <c r="BL193" s="105"/>
      <c r="BM193" s="105"/>
      <c r="BN193" s="105"/>
      <c r="BO193" s="105"/>
      <c r="BP193" s="105"/>
      <c r="BQ193" s="105"/>
    </row>
    <row r="194" spans="1:69" ht="18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2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206"/>
      <c r="BH194" s="206"/>
      <c r="BI194" s="206"/>
      <c r="BJ194" s="208"/>
      <c r="BK194" s="209"/>
      <c r="BL194" s="105"/>
      <c r="BM194" s="105"/>
      <c r="BN194" s="105"/>
      <c r="BO194" s="105"/>
      <c r="BP194" s="105"/>
      <c r="BQ194" s="105"/>
    </row>
    <row r="195" spans="1:69" ht="18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2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206"/>
      <c r="BH195" s="206"/>
      <c r="BI195" s="206"/>
      <c r="BJ195" s="208"/>
      <c r="BK195" s="209"/>
      <c r="BL195" s="105"/>
      <c r="BM195" s="105"/>
      <c r="BN195" s="105"/>
      <c r="BO195" s="105"/>
      <c r="BP195" s="105"/>
      <c r="BQ195" s="105"/>
    </row>
    <row r="196" spans="1:69" ht="18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2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206"/>
      <c r="BH196" s="206"/>
      <c r="BI196" s="206"/>
      <c r="BJ196" s="208"/>
      <c r="BK196" s="209"/>
      <c r="BL196" s="105"/>
      <c r="BM196" s="105"/>
      <c r="BN196" s="105"/>
      <c r="BO196" s="105"/>
      <c r="BP196" s="105"/>
      <c r="BQ196" s="105"/>
    </row>
    <row r="197" spans="1:69" ht="18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2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206"/>
      <c r="BH197" s="206"/>
      <c r="BI197" s="206"/>
      <c r="BJ197" s="208"/>
      <c r="BK197" s="209"/>
      <c r="BL197" s="105"/>
      <c r="BM197" s="105"/>
      <c r="BN197" s="105"/>
      <c r="BO197" s="105"/>
      <c r="BP197" s="105"/>
      <c r="BQ197" s="105"/>
    </row>
    <row r="198" spans="1:69" ht="18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2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206"/>
      <c r="BH198" s="206"/>
      <c r="BI198" s="206"/>
      <c r="BJ198" s="208"/>
      <c r="BK198" s="209"/>
      <c r="BL198" s="105"/>
      <c r="BM198" s="105"/>
      <c r="BN198" s="105"/>
      <c r="BO198" s="105"/>
      <c r="BP198" s="105"/>
      <c r="BQ198" s="105"/>
    </row>
    <row r="199" spans="1:69" ht="18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2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206"/>
      <c r="BH199" s="206"/>
      <c r="BI199" s="206"/>
      <c r="BJ199" s="208"/>
      <c r="BK199" s="209"/>
      <c r="BL199" s="105"/>
      <c r="BM199" s="105"/>
      <c r="BN199" s="105"/>
      <c r="BO199" s="105"/>
      <c r="BP199" s="105"/>
      <c r="BQ199" s="105"/>
    </row>
    <row r="200" spans="1:69" ht="18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2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206"/>
      <c r="BH200" s="206"/>
      <c r="BI200" s="206"/>
      <c r="BJ200" s="208"/>
      <c r="BK200" s="209"/>
      <c r="BL200" s="105"/>
      <c r="BM200" s="105"/>
      <c r="BN200" s="105"/>
      <c r="BO200" s="105"/>
      <c r="BP200" s="105"/>
      <c r="BQ200" s="105"/>
    </row>
    <row r="201" spans="1:69" ht="18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2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206"/>
      <c r="BH201" s="206"/>
      <c r="BI201" s="206"/>
      <c r="BJ201" s="208"/>
      <c r="BK201" s="209"/>
      <c r="BL201" s="105"/>
      <c r="BM201" s="105"/>
      <c r="BN201" s="105"/>
      <c r="BO201" s="105"/>
      <c r="BP201" s="105"/>
      <c r="BQ201" s="105"/>
    </row>
    <row r="202" spans="1:69" ht="18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2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206"/>
      <c r="BH202" s="206"/>
      <c r="BI202" s="206"/>
      <c r="BJ202" s="208"/>
      <c r="BK202" s="209"/>
      <c r="BL202" s="105"/>
      <c r="BM202" s="105"/>
      <c r="BN202" s="105"/>
      <c r="BO202" s="105"/>
      <c r="BP202" s="105"/>
      <c r="BQ202" s="105"/>
    </row>
    <row r="203" spans="1:69" ht="18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2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206"/>
      <c r="BH203" s="206"/>
      <c r="BI203" s="206"/>
      <c r="BJ203" s="208"/>
      <c r="BK203" s="209"/>
      <c r="BL203" s="105"/>
      <c r="BM203" s="105"/>
      <c r="BN203" s="105"/>
      <c r="BO203" s="105"/>
      <c r="BP203" s="105"/>
      <c r="BQ203" s="105"/>
    </row>
    <row r="204" spans="1:69" ht="18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2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206"/>
      <c r="BH204" s="206"/>
      <c r="BI204" s="206"/>
      <c r="BJ204" s="208"/>
      <c r="BK204" s="209"/>
      <c r="BL204" s="105"/>
      <c r="BM204" s="105"/>
      <c r="BN204" s="105"/>
      <c r="BO204" s="105"/>
      <c r="BP204" s="105"/>
      <c r="BQ204" s="105"/>
    </row>
    <row r="205" spans="1:69" ht="18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2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206"/>
      <c r="BH205" s="206"/>
      <c r="BI205" s="206"/>
      <c r="BJ205" s="208"/>
      <c r="BK205" s="209"/>
      <c r="BL205" s="105"/>
      <c r="BM205" s="105"/>
      <c r="BN205" s="105"/>
      <c r="BO205" s="105"/>
      <c r="BP205" s="105"/>
      <c r="BQ205" s="105"/>
    </row>
    <row r="206" spans="1:69" ht="18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2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206"/>
      <c r="BH206" s="206"/>
      <c r="BI206" s="206"/>
      <c r="BJ206" s="208"/>
      <c r="BK206" s="209"/>
      <c r="BL206" s="105"/>
      <c r="BM206" s="105"/>
      <c r="BN206" s="105"/>
      <c r="BO206" s="105"/>
      <c r="BP206" s="105"/>
      <c r="BQ206" s="105"/>
    </row>
    <row r="207" spans="1:69" ht="18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2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206"/>
      <c r="BH207" s="206"/>
      <c r="BI207" s="206"/>
      <c r="BJ207" s="208"/>
      <c r="BK207" s="209"/>
      <c r="BL207" s="105"/>
      <c r="BM207" s="105"/>
      <c r="BN207" s="105"/>
      <c r="BO207" s="105"/>
      <c r="BP207" s="105"/>
      <c r="BQ207" s="105"/>
    </row>
    <row r="208" spans="1:69" ht="18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2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206"/>
      <c r="BH208" s="206"/>
      <c r="BI208" s="206"/>
      <c r="BJ208" s="208"/>
      <c r="BK208" s="209"/>
      <c r="BL208" s="105"/>
      <c r="BM208" s="105"/>
      <c r="BN208" s="105"/>
      <c r="BO208" s="105"/>
      <c r="BP208" s="105"/>
      <c r="BQ208" s="105"/>
    </row>
    <row r="209" spans="1:69" ht="18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2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206"/>
      <c r="BH209" s="206"/>
      <c r="BI209" s="206"/>
      <c r="BJ209" s="208"/>
      <c r="BK209" s="209"/>
      <c r="BL209" s="105"/>
      <c r="BM209" s="105"/>
      <c r="BN209" s="105"/>
      <c r="BO209" s="105"/>
      <c r="BP209" s="105"/>
      <c r="BQ209" s="105"/>
    </row>
    <row r="210" spans="1:69" ht="18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2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206"/>
      <c r="BH210" s="206"/>
      <c r="BI210" s="206"/>
      <c r="BJ210" s="208"/>
      <c r="BK210" s="209"/>
      <c r="BL210" s="105"/>
      <c r="BM210" s="105"/>
      <c r="BN210" s="105"/>
      <c r="BO210" s="105"/>
      <c r="BP210" s="105"/>
      <c r="BQ210" s="105"/>
    </row>
    <row r="211" spans="1:69" ht="18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2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206"/>
      <c r="BH211" s="206"/>
      <c r="BI211" s="206"/>
      <c r="BJ211" s="208"/>
      <c r="BK211" s="209"/>
      <c r="BL211" s="105"/>
      <c r="BM211" s="105"/>
      <c r="BN211" s="105"/>
      <c r="BO211" s="105"/>
      <c r="BP211" s="105"/>
      <c r="BQ211" s="105"/>
    </row>
    <row r="212" spans="1:69" ht="18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2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206"/>
      <c r="BH212" s="206"/>
      <c r="BI212" s="206"/>
      <c r="BJ212" s="208"/>
      <c r="BK212" s="209"/>
      <c r="BL212" s="105"/>
      <c r="BM212" s="105"/>
      <c r="BN212" s="105"/>
      <c r="BO212" s="105"/>
      <c r="BP212" s="105"/>
      <c r="BQ212" s="105"/>
    </row>
    <row r="213" spans="1:69" ht="18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2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206"/>
      <c r="BH213" s="206"/>
      <c r="BI213" s="206"/>
      <c r="BJ213" s="208"/>
      <c r="BK213" s="209"/>
      <c r="BL213" s="105"/>
      <c r="BM213" s="105"/>
      <c r="BN213" s="105"/>
      <c r="BO213" s="105"/>
      <c r="BP213" s="105"/>
      <c r="BQ213" s="105"/>
    </row>
    <row r="214" spans="1:69" ht="18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2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206"/>
      <c r="BH214" s="206"/>
      <c r="BI214" s="206"/>
      <c r="BJ214" s="208"/>
      <c r="BK214" s="209"/>
      <c r="BL214" s="105"/>
      <c r="BM214" s="105"/>
      <c r="BN214" s="105"/>
      <c r="BO214" s="105"/>
      <c r="BP214" s="105"/>
      <c r="BQ214" s="105"/>
    </row>
    <row r="215" spans="1:69" ht="18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2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206"/>
      <c r="BH215" s="206"/>
      <c r="BI215" s="206"/>
      <c r="BJ215" s="208"/>
      <c r="BK215" s="209"/>
      <c r="BL215" s="105"/>
      <c r="BM215" s="105"/>
      <c r="BN215" s="105"/>
      <c r="BO215" s="105"/>
      <c r="BP215" s="105"/>
      <c r="BQ215" s="105"/>
    </row>
    <row r="216" spans="1:69" ht="18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2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206"/>
      <c r="BH216" s="206"/>
      <c r="BI216" s="206"/>
      <c r="BJ216" s="208"/>
      <c r="BK216" s="209"/>
      <c r="BL216" s="105"/>
      <c r="BM216" s="105"/>
      <c r="BN216" s="105"/>
      <c r="BO216" s="105"/>
      <c r="BP216" s="105"/>
      <c r="BQ216" s="105"/>
    </row>
    <row r="217" spans="1:69" ht="18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2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206"/>
      <c r="BH217" s="206"/>
      <c r="BI217" s="206"/>
      <c r="BJ217" s="208"/>
      <c r="BK217" s="209"/>
      <c r="BL217" s="105"/>
      <c r="BM217" s="105"/>
      <c r="BN217" s="105"/>
      <c r="BO217" s="105"/>
      <c r="BP217" s="105"/>
      <c r="BQ217" s="105"/>
    </row>
    <row r="218" spans="1:69" ht="18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2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206"/>
      <c r="BH218" s="206"/>
      <c r="BI218" s="206"/>
      <c r="BJ218" s="208"/>
      <c r="BK218" s="209"/>
      <c r="BL218" s="105"/>
      <c r="BM218" s="105"/>
      <c r="BN218" s="105"/>
      <c r="BO218" s="105"/>
      <c r="BP218" s="105"/>
      <c r="BQ218" s="105"/>
    </row>
    <row r="219" spans="1:69" ht="18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2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206"/>
      <c r="BH219" s="206"/>
      <c r="BI219" s="206"/>
      <c r="BJ219" s="208"/>
      <c r="BK219" s="209"/>
      <c r="BL219" s="105"/>
      <c r="BM219" s="105"/>
      <c r="BN219" s="105"/>
      <c r="BO219" s="105"/>
      <c r="BP219" s="105"/>
      <c r="BQ219" s="105"/>
    </row>
    <row r="220" spans="1:69" ht="18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2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206"/>
      <c r="BH220" s="206"/>
      <c r="BI220" s="206"/>
      <c r="BJ220" s="208"/>
      <c r="BK220" s="209"/>
      <c r="BL220" s="105"/>
      <c r="BM220" s="105"/>
      <c r="BN220" s="105"/>
      <c r="BO220" s="105"/>
      <c r="BP220" s="105"/>
      <c r="BQ220" s="105"/>
    </row>
    <row r="221" spans="1:69" ht="18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2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206"/>
      <c r="BH221" s="206"/>
      <c r="BI221" s="206"/>
      <c r="BJ221" s="208"/>
      <c r="BK221" s="209"/>
      <c r="BL221" s="105"/>
      <c r="BM221" s="105"/>
      <c r="BN221" s="105"/>
      <c r="BO221" s="105"/>
      <c r="BP221" s="105"/>
      <c r="BQ221" s="105"/>
    </row>
    <row r="222" spans="1:69" ht="18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2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206"/>
      <c r="BH222" s="206"/>
      <c r="BI222" s="206"/>
      <c r="BJ222" s="208"/>
      <c r="BK222" s="209"/>
      <c r="BL222" s="105"/>
      <c r="BM222" s="105"/>
      <c r="BN222" s="105"/>
      <c r="BO222" s="105"/>
      <c r="BP222" s="105"/>
      <c r="BQ222" s="105"/>
    </row>
    <row r="223" spans="1:69" ht="18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2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206"/>
      <c r="BH223" s="206"/>
      <c r="BI223" s="206"/>
      <c r="BJ223" s="208"/>
      <c r="BK223" s="209"/>
      <c r="BL223" s="105"/>
      <c r="BM223" s="105"/>
      <c r="BN223" s="105"/>
      <c r="BO223" s="105"/>
      <c r="BP223" s="105"/>
      <c r="BQ223" s="105"/>
    </row>
    <row r="224" spans="1:69" ht="18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2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206"/>
      <c r="BH224" s="206"/>
      <c r="BI224" s="206"/>
      <c r="BJ224" s="208"/>
      <c r="BK224" s="209"/>
      <c r="BL224" s="105"/>
      <c r="BM224" s="105"/>
      <c r="BN224" s="105"/>
      <c r="BO224" s="105"/>
      <c r="BP224" s="105"/>
      <c r="BQ224" s="105"/>
    </row>
    <row r="225" spans="1:69" ht="18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2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206"/>
      <c r="BH225" s="206"/>
      <c r="BI225" s="206"/>
      <c r="BJ225" s="208"/>
      <c r="BK225" s="209"/>
      <c r="BL225" s="105"/>
      <c r="BM225" s="105"/>
      <c r="BN225" s="105"/>
      <c r="BO225" s="105"/>
      <c r="BP225" s="105"/>
      <c r="BQ225" s="105"/>
    </row>
    <row r="226" spans="1:69" ht="18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2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206"/>
      <c r="BH226" s="206"/>
      <c r="BI226" s="206"/>
      <c r="BJ226" s="208"/>
      <c r="BK226" s="209"/>
      <c r="BL226" s="105"/>
      <c r="BM226" s="105"/>
      <c r="BN226" s="105"/>
      <c r="BO226" s="105"/>
      <c r="BP226" s="105"/>
      <c r="BQ226" s="105"/>
    </row>
    <row r="227" spans="1:69" ht="18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2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206"/>
      <c r="BH227" s="206"/>
      <c r="BI227" s="206"/>
      <c r="BJ227" s="208"/>
      <c r="BK227" s="209"/>
      <c r="BL227" s="105"/>
      <c r="BM227" s="105"/>
      <c r="BN227" s="105"/>
      <c r="BO227" s="105"/>
      <c r="BP227" s="105"/>
      <c r="BQ227" s="105"/>
    </row>
    <row r="228" spans="1:69" ht="18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2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206"/>
      <c r="BH228" s="206"/>
      <c r="BI228" s="206"/>
      <c r="BJ228" s="208"/>
      <c r="BK228" s="209"/>
      <c r="BL228" s="105"/>
      <c r="BM228" s="105"/>
      <c r="BN228" s="105"/>
      <c r="BO228" s="105"/>
      <c r="BP228" s="105"/>
      <c r="BQ228" s="105"/>
    </row>
    <row r="229" spans="1:69" ht="18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2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206"/>
      <c r="BH229" s="206"/>
      <c r="BI229" s="206"/>
      <c r="BJ229" s="208"/>
      <c r="BK229" s="209"/>
      <c r="BL229" s="105"/>
      <c r="BM229" s="105"/>
      <c r="BN229" s="105"/>
      <c r="BO229" s="105"/>
      <c r="BP229" s="105"/>
      <c r="BQ229" s="105"/>
    </row>
    <row r="230" spans="1:69" ht="18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2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206"/>
      <c r="BH230" s="206"/>
      <c r="BI230" s="206"/>
      <c r="BJ230" s="208"/>
      <c r="BK230" s="209"/>
      <c r="BL230" s="105"/>
      <c r="BM230" s="105"/>
      <c r="BN230" s="105"/>
      <c r="BO230" s="105"/>
      <c r="BP230" s="105"/>
      <c r="BQ230" s="105"/>
    </row>
    <row r="231" spans="1:69" ht="18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2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206"/>
      <c r="BH231" s="206"/>
      <c r="BI231" s="206"/>
      <c r="BJ231" s="208"/>
      <c r="BK231" s="209"/>
      <c r="BL231" s="105"/>
      <c r="BM231" s="105"/>
      <c r="BN231" s="105"/>
      <c r="BO231" s="105"/>
      <c r="BP231" s="105"/>
      <c r="BQ231" s="105"/>
    </row>
    <row r="232" spans="1:69" ht="18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2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206"/>
      <c r="BH232" s="206"/>
      <c r="BI232" s="206"/>
      <c r="BJ232" s="208"/>
      <c r="BK232" s="209"/>
      <c r="BL232" s="105"/>
      <c r="BM232" s="105"/>
      <c r="BN232" s="105"/>
      <c r="BO232" s="105"/>
      <c r="BP232" s="105"/>
      <c r="BQ232" s="105"/>
    </row>
    <row r="233" spans="1:69" ht="18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2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206"/>
      <c r="BH233" s="206"/>
      <c r="BI233" s="206"/>
      <c r="BJ233" s="208"/>
      <c r="BK233" s="209"/>
      <c r="BL233" s="105"/>
      <c r="BM233" s="105"/>
      <c r="BN233" s="105"/>
      <c r="BO233" s="105"/>
      <c r="BP233" s="105"/>
      <c r="BQ233" s="105"/>
    </row>
    <row r="234" spans="1:69" ht="18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2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206"/>
      <c r="BH234" s="206"/>
      <c r="BI234" s="206"/>
      <c r="BJ234" s="208"/>
      <c r="BK234" s="209"/>
      <c r="BL234" s="105"/>
      <c r="BM234" s="105"/>
      <c r="BN234" s="105"/>
      <c r="BO234" s="105"/>
      <c r="BP234" s="105"/>
    </row>
    <row r="235" spans="1:69" ht="15.75" customHeight="1">
      <c r="J235" s="211"/>
      <c r="BG235" s="206"/>
      <c r="BH235" s="206"/>
      <c r="BI235" s="212"/>
      <c r="BJ235" s="213"/>
      <c r="BK235" s="214"/>
      <c r="BM235" s="105"/>
      <c r="BN235" s="105"/>
      <c r="BO235" s="105"/>
      <c r="BP235" s="105"/>
    </row>
    <row r="236" spans="1:69" ht="15.75" customHeight="1">
      <c r="J236" s="211"/>
      <c r="BG236" s="206"/>
      <c r="BH236" s="206"/>
      <c r="BI236" s="212"/>
      <c r="BJ236" s="213"/>
      <c r="BK236" s="214"/>
      <c r="BM236" s="105"/>
      <c r="BN236" s="105"/>
      <c r="BO236" s="105"/>
      <c r="BP236" s="105"/>
    </row>
    <row r="237" spans="1:69" ht="15.75" customHeight="1">
      <c r="J237" s="211"/>
      <c r="BG237" s="206"/>
      <c r="BH237" s="206"/>
      <c r="BI237" s="212"/>
      <c r="BJ237" s="213"/>
      <c r="BK237" s="214"/>
      <c r="BM237" s="105"/>
      <c r="BN237" s="105"/>
      <c r="BO237" s="105"/>
      <c r="BP237" s="105"/>
    </row>
    <row r="238" spans="1:69" ht="15.75" customHeight="1">
      <c r="J238" s="211"/>
      <c r="BG238" s="212"/>
      <c r="BH238" s="212"/>
      <c r="BI238" s="212"/>
      <c r="BJ238" s="213"/>
      <c r="BK238" s="214"/>
      <c r="BM238" s="105"/>
      <c r="BN238" s="105"/>
      <c r="BO238" s="105"/>
      <c r="BP238" s="105"/>
    </row>
    <row r="239" spans="1:69" ht="15.75" customHeight="1">
      <c r="J239" s="211"/>
      <c r="BG239" s="212"/>
      <c r="BH239" s="212"/>
      <c r="BI239" s="212"/>
      <c r="BJ239" s="213"/>
      <c r="BK239" s="214"/>
      <c r="BM239" s="105"/>
      <c r="BN239" s="105"/>
      <c r="BO239" s="105"/>
      <c r="BP239" s="105"/>
    </row>
    <row r="240" spans="1:6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M5:S5"/>
    <mergeCell ref="U5:U6"/>
    <mergeCell ref="AB5:AB6"/>
    <mergeCell ref="AC5:AC6"/>
    <mergeCell ref="AD5:AD6"/>
    <mergeCell ref="X5:X6"/>
    <mergeCell ref="Y5:Y6"/>
    <mergeCell ref="Z5:Z6"/>
    <mergeCell ref="AA5:AA6"/>
    <mergeCell ref="AE5:AE6"/>
    <mergeCell ref="AF5:AF6"/>
    <mergeCell ref="AG5:AG6"/>
    <mergeCell ref="AH5:AH6"/>
    <mergeCell ref="AI5:AI6"/>
    <mergeCell ref="AJ5:AJ6"/>
    <mergeCell ref="AK5:AK6"/>
    <mergeCell ref="AF4:AL4"/>
    <mergeCell ref="AM4:AM6"/>
    <mergeCell ref="A5:A6"/>
    <mergeCell ref="B5:B6"/>
    <mergeCell ref="C5:C6"/>
    <mergeCell ref="D5:D6"/>
    <mergeCell ref="E5:E6"/>
    <mergeCell ref="AL5:AL6"/>
    <mergeCell ref="F5:F6"/>
    <mergeCell ref="G5:H5"/>
    <mergeCell ref="I5:K5"/>
    <mergeCell ref="L5:L6"/>
    <mergeCell ref="V5:V6"/>
    <mergeCell ref="W5:W6"/>
    <mergeCell ref="AY5:AY6"/>
    <mergeCell ref="AN4:AP4"/>
    <mergeCell ref="AQ4:AV4"/>
    <mergeCell ref="BA4:BA6"/>
    <mergeCell ref="BB4:BB6"/>
    <mergeCell ref="AN5:AN6"/>
    <mergeCell ref="AO5:AO6"/>
    <mergeCell ref="AP5:AP6"/>
    <mergeCell ref="AZ5:AZ6"/>
    <mergeCell ref="AQ5:AQ6"/>
    <mergeCell ref="AR5:AR6"/>
    <mergeCell ref="AS5:AS6"/>
    <mergeCell ref="AT5:AT6"/>
    <mergeCell ref="AU5:AV5"/>
    <mergeCell ref="AW5:AW6"/>
    <mergeCell ref="AX5:AX6"/>
    <mergeCell ref="A2:B2"/>
    <mergeCell ref="BM2:BN2"/>
    <mergeCell ref="A3:BA3"/>
    <mergeCell ref="A4:B4"/>
    <mergeCell ref="G4:S4"/>
    <mergeCell ref="U4:Y4"/>
    <mergeCell ref="AA4:AD4"/>
    <mergeCell ref="AW4:AZ4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0"/>
  <sheetViews>
    <sheetView workbookViewId="0"/>
  </sheetViews>
  <sheetFormatPr defaultColWidth="14.44140625" defaultRowHeight="15" customHeight="1"/>
  <cols>
    <col min="1" max="1" width="10.6640625" customWidth="1"/>
    <col min="2" max="2" width="25.6640625" customWidth="1"/>
    <col min="3" max="7" width="15" hidden="1" customWidth="1"/>
    <col min="8" max="8" width="16.44140625" hidden="1" customWidth="1"/>
    <col min="9" max="11" width="15" hidden="1" customWidth="1"/>
    <col min="12" max="12" width="20.109375" customWidth="1"/>
    <col min="13" max="13" width="15" customWidth="1"/>
    <col min="14" max="23" width="15" hidden="1" customWidth="1"/>
    <col min="24" max="24" width="15" customWidth="1"/>
    <col min="25" max="25" width="10.5546875" customWidth="1"/>
    <col min="26" max="26" width="15" hidden="1" customWidth="1"/>
    <col min="27" max="27" width="15" customWidth="1"/>
    <col min="28" max="28" width="15.109375" customWidth="1"/>
    <col min="29" max="30" width="17" customWidth="1"/>
    <col min="31" max="32" width="15" customWidth="1"/>
    <col min="33" max="33" width="19.44140625" customWidth="1"/>
    <col min="34" max="34" width="23.5546875" customWidth="1"/>
    <col min="35" max="35" width="17.88671875" customWidth="1"/>
    <col min="36" max="36" width="15" customWidth="1"/>
    <col min="37" max="37" width="14.109375" customWidth="1"/>
    <col min="38" max="38" width="15" customWidth="1"/>
    <col min="39" max="39" width="15.44140625" customWidth="1"/>
    <col min="40" max="43" width="15" customWidth="1"/>
    <col min="44" max="44" width="22.44140625" customWidth="1"/>
    <col min="45" max="45" width="17" customWidth="1"/>
    <col min="46" max="56" width="15" customWidth="1"/>
  </cols>
  <sheetData>
    <row r="1" spans="1:56" ht="14.25" customHeight="1">
      <c r="A1" s="1224" t="s">
        <v>298</v>
      </c>
      <c r="B1" s="1226" t="s">
        <v>268</v>
      </c>
      <c r="C1" s="441" t="s">
        <v>469</v>
      </c>
      <c r="D1" s="1227" t="s">
        <v>299</v>
      </c>
      <c r="E1" s="1228"/>
      <c r="F1" s="1228"/>
      <c r="G1" s="1228"/>
      <c r="H1" s="1228"/>
      <c r="I1" s="1228"/>
      <c r="J1" s="1228"/>
      <c r="K1" s="1228"/>
      <c r="L1" s="1227" t="s">
        <v>470</v>
      </c>
      <c r="M1" s="1228"/>
      <c r="N1" s="1228"/>
      <c r="O1" s="1228"/>
      <c r="P1" s="1228"/>
      <c r="Q1" s="1228"/>
      <c r="R1" s="1228"/>
      <c r="S1" s="1228"/>
      <c r="T1" s="1228"/>
      <c r="U1" s="1228"/>
      <c r="V1" s="1227" t="s">
        <v>300</v>
      </c>
      <c r="W1" s="1228"/>
      <c r="X1" s="1228"/>
      <c r="Y1" s="1228"/>
      <c r="Z1" s="1228"/>
      <c r="AA1" s="1227" t="s">
        <v>301</v>
      </c>
      <c r="AB1" s="1228"/>
      <c r="AC1" s="1228"/>
      <c r="AD1" s="1228"/>
      <c r="AE1" s="1228"/>
      <c r="AF1" s="1228"/>
      <c r="AG1" s="1228"/>
      <c r="AH1" s="1228"/>
      <c r="AI1" s="1228"/>
      <c r="AJ1" s="1228"/>
      <c r="AK1" s="1228"/>
      <c r="AL1" s="1228"/>
      <c r="AM1" s="1228"/>
      <c r="AN1" s="1228"/>
      <c r="AO1" s="1228"/>
      <c r="AP1" s="1228"/>
      <c r="AQ1" s="1228"/>
      <c r="AR1" s="1228"/>
      <c r="AS1" s="1228"/>
      <c r="AT1" s="1228"/>
      <c r="AU1" s="1228"/>
      <c r="AV1" s="1228"/>
      <c r="AW1" s="1228"/>
      <c r="AX1" s="1228"/>
      <c r="AY1" s="1228"/>
      <c r="AZ1" s="1228"/>
      <c r="BA1" s="1228"/>
      <c r="BB1" s="1228"/>
      <c r="BC1" s="1228"/>
      <c r="BD1" s="1228"/>
    </row>
    <row r="2" spans="1:56" ht="14.25" customHeight="1">
      <c r="A2" s="1225"/>
      <c r="B2" s="1225"/>
      <c r="C2" s="442" t="s">
        <v>471</v>
      </c>
      <c r="D2" s="442" t="s">
        <v>302</v>
      </c>
      <c r="E2" s="442" t="s">
        <v>472</v>
      </c>
      <c r="F2" s="442" t="s">
        <v>473</v>
      </c>
      <c r="G2" s="442" t="s">
        <v>474</v>
      </c>
      <c r="H2" s="442" t="s">
        <v>475</v>
      </c>
      <c r="I2" s="442" t="s">
        <v>476</v>
      </c>
      <c r="J2" s="442" t="s">
        <v>477</v>
      </c>
      <c r="K2" s="442" t="s">
        <v>478</v>
      </c>
      <c r="L2" s="442" t="s">
        <v>479</v>
      </c>
      <c r="M2" s="442" t="s">
        <v>480</v>
      </c>
      <c r="N2" s="442" t="s">
        <v>481</v>
      </c>
      <c r="O2" s="442" t="s">
        <v>482</v>
      </c>
      <c r="P2" s="442" t="s">
        <v>483</v>
      </c>
      <c r="Q2" s="442" t="s">
        <v>484</v>
      </c>
      <c r="R2" s="442" t="s">
        <v>485</v>
      </c>
      <c r="S2" s="442" t="s">
        <v>486</v>
      </c>
      <c r="T2" s="442" t="s">
        <v>487</v>
      </c>
      <c r="U2" s="442" t="s">
        <v>488</v>
      </c>
      <c r="V2" s="442" t="s">
        <v>303</v>
      </c>
      <c r="W2" s="442" t="s">
        <v>489</v>
      </c>
      <c r="X2" s="442" t="s">
        <v>304</v>
      </c>
      <c r="Y2" s="442" t="s">
        <v>490</v>
      </c>
      <c r="Z2" s="442" t="s">
        <v>305</v>
      </c>
      <c r="AA2" s="442" t="s">
        <v>491</v>
      </c>
      <c r="AB2" s="442" t="s">
        <v>492</v>
      </c>
      <c r="AC2" s="442" t="s">
        <v>493</v>
      </c>
      <c r="AD2" s="442" t="s">
        <v>494</v>
      </c>
      <c r="AE2" s="442" t="s">
        <v>495</v>
      </c>
      <c r="AF2" s="442" t="s">
        <v>496</v>
      </c>
      <c r="AG2" s="443">
        <v>45542</v>
      </c>
      <c r="AH2" s="443">
        <v>45543</v>
      </c>
      <c r="AI2" s="442" t="s">
        <v>497</v>
      </c>
      <c r="AJ2" s="442" t="s">
        <v>498</v>
      </c>
      <c r="AK2" s="442" t="s">
        <v>499</v>
      </c>
      <c r="AL2" s="442" t="s">
        <v>500</v>
      </c>
      <c r="AM2" s="442" t="s">
        <v>501</v>
      </c>
      <c r="AN2" s="444" t="s">
        <v>502</v>
      </c>
      <c r="AO2" s="444" t="s">
        <v>503</v>
      </c>
      <c r="AP2" s="442" t="s">
        <v>504</v>
      </c>
      <c r="AQ2" s="442" t="s">
        <v>505</v>
      </c>
      <c r="AR2" s="442" t="s">
        <v>506</v>
      </c>
      <c r="AS2" s="442" t="s">
        <v>507</v>
      </c>
      <c r="AT2" s="442" t="s">
        <v>508</v>
      </c>
      <c r="AU2" s="445">
        <v>45556</v>
      </c>
      <c r="AV2" s="445">
        <v>45557</v>
      </c>
      <c r="AW2" s="442" t="s">
        <v>509</v>
      </c>
      <c r="AX2" s="442" t="s">
        <v>510</v>
      </c>
      <c r="AY2" s="442" t="s">
        <v>511</v>
      </c>
      <c r="AZ2" s="442" t="s">
        <v>512</v>
      </c>
      <c r="BA2" s="442" t="s">
        <v>513</v>
      </c>
      <c r="BB2" s="446">
        <v>45563</v>
      </c>
      <c r="BC2" s="446">
        <v>45564</v>
      </c>
      <c r="BD2" s="442" t="s">
        <v>514</v>
      </c>
    </row>
    <row r="3" spans="1:56" ht="14.25" customHeight="1">
      <c r="A3" s="447">
        <v>1</v>
      </c>
      <c r="B3" s="448" t="s">
        <v>515</v>
      </c>
      <c r="C3" s="449" t="s">
        <v>310</v>
      </c>
      <c r="D3" s="449" t="s">
        <v>516</v>
      </c>
      <c r="E3" s="449" t="s">
        <v>517</v>
      </c>
      <c r="F3" s="449" t="s">
        <v>518</v>
      </c>
      <c r="G3" s="449" t="s">
        <v>308</v>
      </c>
      <c r="H3" s="449" t="s">
        <v>519</v>
      </c>
      <c r="I3" s="449" t="s">
        <v>520</v>
      </c>
      <c r="J3" s="449" t="s">
        <v>521</v>
      </c>
      <c r="K3" s="449" t="s">
        <v>308</v>
      </c>
      <c r="L3" s="449" t="s">
        <v>522</v>
      </c>
      <c r="M3" s="449" t="s">
        <v>523</v>
      </c>
      <c r="N3" s="449" t="s">
        <v>308</v>
      </c>
      <c r="O3" s="449" t="s">
        <v>308</v>
      </c>
      <c r="P3" s="449" t="s">
        <v>308</v>
      </c>
      <c r="Q3" s="449" t="s">
        <v>308</v>
      </c>
      <c r="R3" s="449" t="s">
        <v>524</v>
      </c>
      <c r="S3" s="449" t="s">
        <v>525</v>
      </c>
      <c r="T3" s="449" t="s">
        <v>526</v>
      </c>
      <c r="U3" s="449" t="s">
        <v>527</v>
      </c>
      <c r="V3" s="449" t="s">
        <v>308</v>
      </c>
      <c r="W3" s="449" t="s">
        <v>308</v>
      </c>
      <c r="X3" s="449" t="s">
        <v>309</v>
      </c>
      <c r="Y3" s="449" t="s">
        <v>308</v>
      </c>
      <c r="Z3" s="449" t="s">
        <v>528</v>
      </c>
      <c r="AA3" s="449" t="s">
        <v>310</v>
      </c>
      <c r="AB3" s="449" t="s">
        <v>310</v>
      </c>
      <c r="AC3" s="449" t="s">
        <v>310</v>
      </c>
      <c r="AD3" s="449" t="s">
        <v>364</v>
      </c>
      <c r="AE3" s="449" t="s">
        <v>416</v>
      </c>
      <c r="AF3" s="449" t="s">
        <v>313</v>
      </c>
      <c r="AG3" s="450" t="s">
        <v>310</v>
      </c>
      <c r="AH3" s="450" t="s">
        <v>310</v>
      </c>
      <c r="AI3" s="449" t="s">
        <v>318</v>
      </c>
      <c r="AJ3" s="449" t="s">
        <v>360</v>
      </c>
      <c r="AK3" s="449" t="s">
        <v>310</v>
      </c>
      <c r="AL3" s="449" t="s">
        <v>392</v>
      </c>
      <c r="AM3" s="449" t="s">
        <v>529</v>
      </c>
      <c r="AN3" s="451" t="s">
        <v>310</v>
      </c>
      <c r="AO3" s="451" t="s">
        <v>310</v>
      </c>
      <c r="AP3" s="448" t="s">
        <v>310</v>
      </c>
      <c r="AQ3" s="448" t="s">
        <v>310</v>
      </c>
      <c r="AR3" s="448" t="s">
        <v>310</v>
      </c>
      <c r="AS3" s="448" t="s">
        <v>310</v>
      </c>
      <c r="AT3" s="448" t="s">
        <v>310</v>
      </c>
      <c r="AU3" s="451" t="s">
        <v>310</v>
      </c>
      <c r="AV3" s="451" t="s">
        <v>310</v>
      </c>
      <c r="AW3" s="449" t="s">
        <v>310</v>
      </c>
      <c r="AX3" s="449" t="s">
        <v>310</v>
      </c>
      <c r="AY3" s="449" t="s">
        <v>310</v>
      </c>
      <c r="AZ3" s="449" t="s">
        <v>310</v>
      </c>
      <c r="BA3" s="449" t="s">
        <v>310</v>
      </c>
      <c r="BB3" s="451" t="s">
        <v>310</v>
      </c>
      <c r="BC3" s="451" t="s">
        <v>310</v>
      </c>
      <c r="BD3" s="449" t="s">
        <v>310</v>
      </c>
    </row>
    <row r="4" spans="1:56" ht="14.25" customHeight="1">
      <c r="A4" s="447">
        <v>2</v>
      </c>
      <c r="B4" s="448" t="s">
        <v>306</v>
      </c>
      <c r="C4" s="449" t="s">
        <v>310</v>
      </c>
      <c r="D4" s="449" t="s">
        <v>516</v>
      </c>
      <c r="E4" s="449" t="s">
        <v>517</v>
      </c>
      <c r="F4" s="449" t="s">
        <v>530</v>
      </c>
      <c r="G4" s="449" t="s">
        <v>308</v>
      </c>
      <c r="H4" s="449" t="s">
        <v>519</v>
      </c>
      <c r="I4" s="449" t="s">
        <v>531</v>
      </c>
      <c r="J4" s="449" t="s">
        <v>532</v>
      </c>
      <c r="K4" s="449" t="s">
        <v>308</v>
      </c>
      <c r="L4" s="449" t="s">
        <v>308</v>
      </c>
      <c r="M4" s="449" t="s">
        <v>308</v>
      </c>
      <c r="N4" s="449" t="s">
        <v>308</v>
      </c>
      <c r="O4" s="449" t="s">
        <v>308</v>
      </c>
      <c r="P4" s="449" t="s">
        <v>308</v>
      </c>
      <c r="Q4" s="449" t="s">
        <v>308</v>
      </c>
      <c r="R4" s="449" t="s">
        <v>533</v>
      </c>
      <c r="S4" s="449" t="s">
        <v>340</v>
      </c>
      <c r="T4" s="449" t="s">
        <v>309</v>
      </c>
      <c r="U4" s="449" t="s">
        <v>309</v>
      </c>
      <c r="V4" s="449" t="s">
        <v>308</v>
      </c>
      <c r="W4" s="449" t="s">
        <v>308</v>
      </c>
      <c r="X4" s="449" t="s">
        <v>308</v>
      </c>
      <c r="Y4" s="449" t="s">
        <v>534</v>
      </c>
      <c r="Z4" s="449" t="s">
        <v>378</v>
      </c>
      <c r="AA4" s="449" t="s">
        <v>310</v>
      </c>
      <c r="AB4" s="449" t="s">
        <v>310</v>
      </c>
      <c r="AC4" s="449" t="s">
        <v>310</v>
      </c>
      <c r="AD4" s="449" t="s">
        <v>535</v>
      </c>
      <c r="AE4" s="449" t="s">
        <v>422</v>
      </c>
      <c r="AF4" s="449" t="s">
        <v>408</v>
      </c>
      <c r="AG4" s="450" t="s">
        <v>310</v>
      </c>
      <c r="AH4" s="450" t="s">
        <v>310</v>
      </c>
      <c r="AI4" s="449" t="s">
        <v>536</v>
      </c>
      <c r="AJ4" s="449" t="s">
        <v>537</v>
      </c>
      <c r="AK4" s="449" t="s">
        <v>310</v>
      </c>
      <c r="AL4" s="449" t="s">
        <v>332</v>
      </c>
      <c r="AM4" s="449" t="s">
        <v>538</v>
      </c>
      <c r="AN4" s="451" t="s">
        <v>310</v>
      </c>
      <c r="AO4" s="451" t="s">
        <v>310</v>
      </c>
      <c r="AP4" s="449" t="s">
        <v>539</v>
      </c>
      <c r="AQ4" s="449" t="s">
        <v>379</v>
      </c>
      <c r="AR4" s="449" t="s">
        <v>540</v>
      </c>
      <c r="AS4" s="449" t="s">
        <v>318</v>
      </c>
      <c r="AT4" s="449" t="s">
        <v>316</v>
      </c>
      <c r="AU4" s="451" t="s">
        <v>310</v>
      </c>
      <c r="AV4" s="451" t="s">
        <v>310</v>
      </c>
      <c r="AW4" s="449" t="s">
        <v>319</v>
      </c>
      <c r="AX4" s="449" t="s">
        <v>541</v>
      </c>
      <c r="AY4" s="449" t="s">
        <v>542</v>
      </c>
      <c r="AZ4" s="449" t="s">
        <v>543</v>
      </c>
      <c r="BA4" s="449" t="s">
        <v>544</v>
      </c>
      <c r="BB4" s="451" t="s">
        <v>310</v>
      </c>
      <c r="BC4" s="451" t="s">
        <v>310</v>
      </c>
      <c r="BD4" s="449" t="s">
        <v>545</v>
      </c>
    </row>
    <row r="5" spans="1:56" ht="14.25" customHeight="1">
      <c r="A5" s="447">
        <v>3</v>
      </c>
      <c r="B5" s="448" t="s">
        <v>546</v>
      </c>
      <c r="C5" s="449" t="s">
        <v>310</v>
      </c>
      <c r="D5" s="449" t="s">
        <v>516</v>
      </c>
      <c r="E5" s="449" t="s">
        <v>517</v>
      </c>
      <c r="F5" s="449" t="s">
        <v>547</v>
      </c>
      <c r="G5" s="449" t="s">
        <v>308</v>
      </c>
      <c r="H5" s="449" t="s">
        <v>519</v>
      </c>
      <c r="I5" s="449" t="s">
        <v>548</v>
      </c>
      <c r="J5" s="449" t="s">
        <v>549</v>
      </c>
      <c r="K5" s="449" t="s">
        <v>308</v>
      </c>
      <c r="L5" s="449" t="s">
        <v>308</v>
      </c>
      <c r="M5" s="449" t="s">
        <v>308</v>
      </c>
      <c r="N5" s="449" t="s">
        <v>308</v>
      </c>
      <c r="O5" s="449" t="s">
        <v>308</v>
      </c>
      <c r="P5" s="449" t="s">
        <v>308</v>
      </c>
      <c r="Q5" s="449" t="s">
        <v>308</v>
      </c>
      <c r="R5" s="449" t="s">
        <v>550</v>
      </c>
      <c r="S5" s="449" t="s">
        <v>308</v>
      </c>
      <c r="T5" s="449" t="s">
        <v>309</v>
      </c>
      <c r="U5" s="449" t="s">
        <v>308</v>
      </c>
      <c r="V5" s="449" t="s">
        <v>377</v>
      </c>
      <c r="W5" s="449" t="s">
        <v>308</v>
      </c>
      <c r="X5" s="449" t="s">
        <v>377</v>
      </c>
      <c r="Y5" s="449" t="s">
        <v>534</v>
      </c>
      <c r="Z5" s="449" t="s">
        <v>551</v>
      </c>
      <c r="AA5" s="449" t="s">
        <v>310</v>
      </c>
      <c r="AB5" s="449" t="s">
        <v>310</v>
      </c>
      <c r="AC5" s="449" t="s">
        <v>394</v>
      </c>
      <c r="AD5" s="449" t="s">
        <v>552</v>
      </c>
      <c r="AE5" s="449" t="s">
        <v>553</v>
      </c>
      <c r="AF5" s="449" t="s">
        <v>318</v>
      </c>
      <c r="AG5" s="450" t="s">
        <v>310</v>
      </c>
      <c r="AH5" s="450" t="s">
        <v>310</v>
      </c>
      <c r="AI5" s="449" t="s">
        <v>554</v>
      </c>
      <c r="AJ5" s="449" t="s">
        <v>318</v>
      </c>
      <c r="AK5" s="449" t="s">
        <v>555</v>
      </c>
      <c r="AL5" s="449" t="s">
        <v>556</v>
      </c>
      <c r="AM5" s="449" t="s">
        <v>310</v>
      </c>
      <c r="AN5" s="451" t="s">
        <v>310</v>
      </c>
      <c r="AO5" s="451" t="s">
        <v>310</v>
      </c>
      <c r="AP5" s="449" t="s">
        <v>310</v>
      </c>
      <c r="AQ5" s="449" t="s">
        <v>557</v>
      </c>
      <c r="AR5" s="449" t="s">
        <v>558</v>
      </c>
      <c r="AS5" s="449" t="s">
        <v>386</v>
      </c>
      <c r="AT5" s="449" t="s">
        <v>310</v>
      </c>
      <c r="AU5" s="451" t="s">
        <v>310</v>
      </c>
      <c r="AV5" s="451" t="s">
        <v>310</v>
      </c>
      <c r="AW5" s="449" t="s">
        <v>559</v>
      </c>
      <c r="AX5" s="449" t="s">
        <v>560</v>
      </c>
      <c r="AY5" s="449" t="s">
        <v>406</v>
      </c>
      <c r="AZ5" s="449" t="s">
        <v>386</v>
      </c>
      <c r="BA5" s="449" t="s">
        <v>381</v>
      </c>
      <c r="BB5" s="451" t="s">
        <v>310</v>
      </c>
      <c r="BC5" s="451" t="s">
        <v>310</v>
      </c>
      <c r="BD5" s="449" t="s">
        <v>310</v>
      </c>
    </row>
    <row r="6" spans="1:56" ht="15" customHeight="1">
      <c r="A6" s="447">
        <v>4</v>
      </c>
      <c r="B6" s="448" t="s">
        <v>321</v>
      </c>
      <c r="C6" s="449" t="s">
        <v>310</v>
      </c>
      <c r="D6" s="449" t="s">
        <v>516</v>
      </c>
      <c r="E6" s="449" t="s">
        <v>517</v>
      </c>
      <c r="F6" s="449" t="s">
        <v>525</v>
      </c>
      <c r="G6" s="449" t="s">
        <v>308</v>
      </c>
      <c r="H6" s="449" t="s">
        <v>519</v>
      </c>
      <c r="I6" s="449" t="s">
        <v>561</v>
      </c>
      <c r="J6" s="449" t="s">
        <v>561</v>
      </c>
      <c r="K6" s="449" t="s">
        <v>562</v>
      </c>
      <c r="L6" s="449" t="s">
        <v>563</v>
      </c>
      <c r="M6" s="449" t="s">
        <v>564</v>
      </c>
      <c r="N6" s="449" t="s">
        <v>308</v>
      </c>
      <c r="O6" s="449" t="s">
        <v>308</v>
      </c>
      <c r="P6" s="449" t="s">
        <v>308</v>
      </c>
      <c r="Q6" s="449" t="s">
        <v>308</v>
      </c>
      <c r="R6" s="449" t="s">
        <v>565</v>
      </c>
      <c r="S6" s="449" t="s">
        <v>519</v>
      </c>
      <c r="T6" s="449" t="s">
        <v>516</v>
      </c>
      <c r="U6" s="449" t="s">
        <v>519</v>
      </c>
      <c r="V6" s="449" t="s">
        <v>308</v>
      </c>
      <c r="W6" s="449" t="s">
        <v>308</v>
      </c>
      <c r="X6" s="449" t="s">
        <v>308</v>
      </c>
      <c r="Y6" s="449" t="s">
        <v>308</v>
      </c>
      <c r="Z6" s="449" t="s">
        <v>378</v>
      </c>
      <c r="AA6" s="449" t="s">
        <v>310</v>
      </c>
      <c r="AB6" s="449" t="s">
        <v>310</v>
      </c>
      <c r="AC6" s="449" t="s">
        <v>310</v>
      </c>
      <c r="AD6" s="452" t="s">
        <v>566</v>
      </c>
      <c r="AE6" s="449" t="s">
        <v>310</v>
      </c>
      <c r="AF6" s="452" t="s">
        <v>567</v>
      </c>
      <c r="AG6" s="450" t="s">
        <v>310</v>
      </c>
      <c r="AH6" s="450" t="s">
        <v>310</v>
      </c>
      <c r="AI6" s="448" t="s">
        <v>380</v>
      </c>
      <c r="AJ6" s="448" t="s">
        <v>310</v>
      </c>
      <c r="AK6" s="448" t="s">
        <v>310</v>
      </c>
      <c r="AL6" s="448" t="s">
        <v>568</v>
      </c>
      <c r="AM6" s="448" t="s">
        <v>310</v>
      </c>
      <c r="AN6" s="453" t="s">
        <v>310</v>
      </c>
      <c r="AO6" s="453" t="s">
        <v>310</v>
      </c>
      <c r="AP6" s="448" t="s">
        <v>310</v>
      </c>
      <c r="AQ6" s="448" t="s">
        <v>569</v>
      </c>
      <c r="AR6" s="448" t="s">
        <v>566</v>
      </c>
      <c r="AS6" s="449" t="s">
        <v>310</v>
      </c>
      <c r="AT6" s="448" t="s">
        <v>570</v>
      </c>
      <c r="AU6" s="451" t="s">
        <v>310</v>
      </c>
      <c r="AV6" s="451" t="s">
        <v>310</v>
      </c>
      <c r="AW6" s="448" t="s">
        <v>571</v>
      </c>
      <c r="AX6" s="449" t="s">
        <v>310</v>
      </c>
      <c r="AY6" s="449" t="s">
        <v>310</v>
      </c>
      <c r="AZ6" s="452" t="s">
        <v>572</v>
      </c>
      <c r="BA6" s="449" t="s">
        <v>573</v>
      </c>
      <c r="BB6" s="451" t="s">
        <v>310</v>
      </c>
      <c r="BC6" s="451" t="s">
        <v>310</v>
      </c>
      <c r="BD6" s="449" t="s">
        <v>310</v>
      </c>
    </row>
    <row r="7" spans="1:56" ht="14.25" customHeight="1">
      <c r="A7" s="447">
        <v>5</v>
      </c>
      <c r="B7" s="448" t="s">
        <v>322</v>
      </c>
      <c r="C7" s="449" t="s">
        <v>310</v>
      </c>
      <c r="D7" s="449" t="s">
        <v>516</v>
      </c>
      <c r="E7" s="449" t="s">
        <v>517</v>
      </c>
      <c r="F7" s="449" t="s">
        <v>574</v>
      </c>
      <c r="G7" s="449" t="s">
        <v>308</v>
      </c>
      <c r="H7" s="449" t="s">
        <v>519</v>
      </c>
      <c r="I7" s="449" t="s">
        <v>575</v>
      </c>
      <c r="J7" s="449" t="s">
        <v>576</v>
      </c>
      <c r="K7" s="449" t="s">
        <v>308</v>
      </c>
      <c r="L7" s="449" t="s">
        <v>308</v>
      </c>
      <c r="M7" s="449" t="s">
        <v>308</v>
      </c>
      <c r="N7" s="449" t="s">
        <v>308</v>
      </c>
      <c r="O7" s="449" t="s">
        <v>308</v>
      </c>
      <c r="P7" s="449" t="s">
        <v>308</v>
      </c>
      <c r="Q7" s="449" t="s">
        <v>308</v>
      </c>
      <c r="R7" s="449" t="s">
        <v>577</v>
      </c>
      <c r="S7" s="449" t="s">
        <v>309</v>
      </c>
      <c r="T7" s="449" t="s">
        <v>309</v>
      </c>
      <c r="U7" s="449" t="s">
        <v>309</v>
      </c>
      <c r="V7" s="449" t="s">
        <v>308</v>
      </c>
      <c r="W7" s="449" t="s">
        <v>308</v>
      </c>
      <c r="X7" s="449" t="s">
        <v>308</v>
      </c>
      <c r="Y7" s="449" t="s">
        <v>340</v>
      </c>
      <c r="Z7" s="449" t="s">
        <v>308</v>
      </c>
      <c r="AA7" s="449" t="s">
        <v>310</v>
      </c>
      <c r="AB7" s="449" t="s">
        <v>310</v>
      </c>
      <c r="AC7" s="449" t="s">
        <v>310</v>
      </c>
      <c r="AD7" s="449" t="s">
        <v>388</v>
      </c>
      <c r="AE7" s="449" t="s">
        <v>578</v>
      </c>
      <c r="AF7" s="449" t="s">
        <v>316</v>
      </c>
      <c r="AG7" s="450" t="s">
        <v>310</v>
      </c>
      <c r="AH7" s="450" t="s">
        <v>310</v>
      </c>
      <c r="AI7" s="449" t="s">
        <v>579</v>
      </c>
      <c r="AJ7" s="449" t="s">
        <v>418</v>
      </c>
      <c r="AK7" s="449" t="s">
        <v>580</v>
      </c>
      <c r="AL7" s="449" t="s">
        <v>323</v>
      </c>
      <c r="AM7" s="449" t="s">
        <v>323</v>
      </c>
      <c r="AN7" s="451" t="s">
        <v>310</v>
      </c>
      <c r="AO7" s="451" t="s">
        <v>310</v>
      </c>
      <c r="AP7" s="449" t="s">
        <v>325</v>
      </c>
      <c r="AQ7" s="449" t="s">
        <v>324</v>
      </c>
      <c r="AR7" s="449" t="s">
        <v>372</v>
      </c>
      <c r="AS7" s="449" t="s">
        <v>310</v>
      </c>
      <c r="AT7" s="449" t="s">
        <v>324</v>
      </c>
      <c r="AU7" s="451" t="s">
        <v>310</v>
      </c>
      <c r="AV7" s="451" t="s">
        <v>310</v>
      </c>
      <c r="AW7" s="449" t="s">
        <v>581</v>
      </c>
      <c r="AX7" s="449" t="s">
        <v>582</v>
      </c>
      <c r="AY7" s="449" t="s">
        <v>327</v>
      </c>
      <c r="AZ7" s="449" t="s">
        <v>324</v>
      </c>
      <c r="BA7" s="449" t="s">
        <v>323</v>
      </c>
      <c r="BB7" s="451" t="s">
        <v>310</v>
      </c>
      <c r="BC7" s="451" t="s">
        <v>310</v>
      </c>
      <c r="BD7" s="449" t="s">
        <v>583</v>
      </c>
    </row>
    <row r="8" spans="1:56" ht="14.25" customHeight="1">
      <c r="A8" s="447">
        <v>6</v>
      </c>
      <c r="B8" s="448" t="s">
        <v>330</v>
      </c>
      <c r="C8" s="449" t="s">
        <v>310</v>
      </c>
      <c r="D8" s="449" t="s">
        <v>516</v>
      </c>
      <c r="E8" s="449" t="s">
        <v>517</v>
      </c>
      <c r="F8" s="449" t="s">
        <v>584</v>
      </c>
      <c r="G8" s="449" t="s">
        <v>308</v>
      </c>
      <c r="H8" s="449" t="s">
        <v>519</v>
      </c>
      <c r="I8" s="449" t="s">
        <v>585</v>
      </c>
      <c r="J8" s="449" t="s">
        <v>586</v>
      </c>
      <c r="K8" s="449" t="s">
        <v>308</v>
      </c>
      <c r="L8" s="449" t="s">
        <v>340</v>
      </c>
      <c r="M8" s="449" t="s">
        <v>587</v>
      </c>
      <c r="N8" s="449" t="s">
        <v>308</v>
      </c>
      <c r="O8" s="449" t="s">
        <v>308</v>
      </c>
      <c r="P8" s="449" t="s">
        <v>308</v>
      </c>
      <c r="Q8" s="449" t="s">
        <v>308</v>
      </c>
      <c r="R8" s="449" t="s">
        <v>588</v>
      </c>
      <c r="S8" s="449" t="s">
        <v>309</v>
      </c>
      <c r="T8" s="449" t="s">
        <v>309</v>
      </c>
      <c r="U8" s="449" t="s">
        <v>309</v>
      </c>
      <c r="V8" s="449" t="s">
        <v>308</v>
      </c>
      <c r="W8" s="449" t="s">
        <v>308</v>
      </c>
      <c r="X8" s="449" t="s">
        <v>353</v>
      </c>
      <c r="Y8" s="449" t="s">
        <v>340</v>
      </c>
      <c r="Z8" s="449" t="s">
        <v>359</v>
      </c>
      <c r="AA8" s="449" t="s">
        <v>310</v>
      </c>
      <c r="AB8" s="449" t="s">
        <v>310</v>
      </c>
      <c r="AC8" s="449" t="s">
        <v>310</v>
      </c>
      <c r="AD8" s="449" t="s">
        <v>589</v>
      </c>
      <c r="AE8" s="449" t="s">
        <v>590</v>
      </c>
      <c r="AF8" s="449" t="s">
        <v>312</v>
      </c>
      <c r="AG8" s="450" t="s">
        <v>310</v>
      </c>
      <c r="AH8" s="450" t="s">
        <v>310</v>
      </c>
      <c r="AI8" s="452" t="s">
        <v>591</v>
      </c>
      <c r="AJ8" s="449" t="s">
        <v>539</v>
      </c>
      <c r="AK8" s="449" t="s">
        <v>310</v>
      </c>
      <c r="AL8" s="449" t="s">
        <v>310</v>
      </c>
      <c r="AM8" s="449" t="s">
        <v>592</v>
      </c>
      <c r="AN8" s="451" t="s">
        <v>310</v>
      </c>
      <c r="AO8" s="451" t="s">
        <v>310</v>
      </c>
      <c r="AP8" s="449" t="s">
        <v>381</v>
      </c>
      <c r="AQ8" s="449" t="s">
        <v>372</v>
      </c>
      <c r="AR8" s="449" t="s">
        <v>593</v>
      </c>
      <c r="AS8" s="449" t="s">
        <v>314</v>
      </c>
      <c r="AT8" s="449" t="s">
        <v>594</v>
      </c>
      <c r="AU8" s="451" t="s">
        <v>310</v>
      </c>
      <c r="AV8" s="451" t="s">
        <v>310</v>
      </c>
      <c r="AW8" s="452" t="s">
        <v>595</v>
      </c>
      <c r="AX8" s="449" t="s">
        <v>596</v>
      </c>
      <c r="AY8" s="449" t="s">
        <v>538</v>
      </c>
      <c r="AZ8" s="449" t="s">
        <v>597</v>
      </c>
      <c r="BA8" s="449" t="s">
        <v>598</v>
      </c>
      <c r="BB8" s="451" t="s">
        <v>310</v>
      </c>
      <c r="BC8" s="451" t="s">
        <v>310</v>
      </c>
      <c r="BD8" s="449" t="s">
        <v>599</v>
      </c>
    </row>
    <row r="9" spans="1:56" ht="14.25" customHeight="1">
      <c r="A9" s="447">
        <v>7</v>
      </c>
      <c r="B9" s="448" t="s">
        <v>333</v>
      </c>
      <c r="C9" s="449" t="s">
        <v>310</v>
      </c>
      <c r="D9" s="449" t="s">
        <v>516</v>
      </c>
      <c r="E9" s="449" t="s">
        <v>517</v>
      </c>
      <c r="F9" s="449" t="s">
        <v>600</v>
      </c>
      <c r="G9" s="449" t="s">
        <v>308</v>
      </c>
      <c r="H9" s="449" t="s">
        <v>519</v>
      </c>
      <c r="I9" s="449" t="s">
        <v>601</v>
      </c>
      <c r="J9" s="449" t="s">
        <v>602</v>
      </c>
      <c r="K9" s="449" t="s">
        <v>308</v>
      </c>
      <c r="L9" s="449" t="s">
        <v>340</v>
      </c>
      <c r="M9" s="449" t="s">
        <v>603</v>
      </c>
      <c r="N9" s="449" t="s">
        <v>308</v>
      </c>
      <c r="O9" s="449" t="s">
        <v>308</v>
      </c>
      <c r="P9" s="449" t="s">
        <v>308</v>
      </c>
      <c r="Q9" s="449" t="s">
        <v>308</v>
      </c>
      <c r="R9" s="449" t="s">
        <v>604</v>
      </c>
      <c r="S9" s="449" t="s">
        <v>309</v>
      </c>
      <c r="T9" s="449" t="s">
        <v>309</v>
      </c>
      <c r="U9" s="449" t="s">
        <v>309</v>
      </c>
      <c r="V9" s="449" t="s">
        <v>308</v>
      </c>
      <c r="W9" s="449" t="s">
        <v>308</v>
      </c>
      <c r="X9" s="449" t="s">
        <v>308</v>
      </c>
      <c r="Y9" s="449" t="s">
        <v>377</v>
      </c>
      <c r="Z9" s="449" t="s">
        <v>334</v>
      </c>
      <c r="AA9" s="449" t="s">
        <v>310</v>
      </c>
      <c r="AB9" s="449" t="s">
        <v>310</v>
      </c>
      <c r="AC9" s="449" t="s">
        <v>310</v>
      </c>
      <c r="AD9" s="452" t="s">
        <v>605</v>
      </c>
      <c r="AE9" s="449" t="s">
        <v>387</v>
      </c>
      <c r="AF9" s="449" t="s">
        <v>317</v>
      </c>
      <c r="AG9" s="450" t="s">
        <v>310</v>
      </c>
      <c r="AH9" s="450" t="s">
        <v>310</v>
      </c>
      <c r="AI9" s="449" t="s">
        <v>606</v>
      </c>
      <c r="AJ9" s="449" t="s">
        <v>607</v>
      </c>
      <c r="AK9" s="449" t="s">
        <v>310</v>
      </c>
      <c r="AL9" s="449" t="s">
        <v>608</v>
      </c>
      <c r="AM9" s="449" t="s">
        <v>348</v>
      </c>
      <c r="AN9" s="451" t="s">
        <v>310</v>
      </c>
      <c r="AO9" s="451" t="s">
        <v>310</v>
      </c>
      <c r="AP9" s="448" t="s">
        <v>609</v>
      </c>
      <c r="AQ9" s="449" t="s">
        <v>539</v>
      </c>
      <c r="AR9" s="449" t="s">
        <v>610</v>
      </c>
      <c r="AS9" s="449" t="s">
        <v>375</v>
      </c>
      <c r="AT9" s="449" t="s">
        <v>420</v>
      </c>
      <c r="AU9" s="451" t="s">
        <v>310</v>
      </c>
      <c r="AV9" s="451" t="s">
        <v>310</v>
      </c>
      <c r="AW9" s="449" t="s">
        <v>418</v>
      </c>
      <c r="AX9" s="449" t="s">
        <v>337</v>
      </c>
      <c r="AY9" s="449" t="s">
        <v>611</v>
      </c>
      <c r="AZ9" s="449" t="s">
        <v>336</v>
      </c>
      <c r="BA9" s="449" t="s">
        <v>351</v>
      </c>
      <c r="BB9" s="451" t="s">
        <v>310</v>
      </c>
      <c r="BC9" s="451" t="s">
        <v>310</v>
      </c>
      <c r="BD9" s="449" t="s">
        <v>371</v>
      </c>
    </row>
    <row r="10" spans="1:56" ht="14.25" customHeight="1">
      <c r="A10" s="447">
        <v>8</v>
      </c>
      <c r="B10" s="448" t="s">
        <v>339</v>
      </c>
      <c r="C10" s="449" t="s">
        <v>310</v>
      </c>
      <c r="D10" s="449" t="s">
        <v>516</v>
      </c>
      <c r="E10" s="449" t="s">
        <v>517</v>
      </c>
      <c r="F10" s="449" t="s">
        <v>612</v>
      </c>
      <c r="G10" s="449" t="s">
        <v>308</v>
      </c>
      <c r="H10" s="449" t="s">
        <v>519</v>
      </c>
      <c r="I10" s="449" t="s">
        <v>613</v>
      </c>
      <c r="J10" s="449" t="s">
        <v>532</v>
      </c>
      <c r="K10" s="449" t="s">
        <v>308</v>
      </c>
      <c r="L10" s="449" t="s">
        <v>308</v>
      </c>
      <c r="M10" s="449" t="s">
        <v>308</v>
      </c>
      <c r="N10" s="449" t="s">
        <v>308</v>
      </c>
      <c r="O10" s="449" t="s">
        <v>308</v>
      </c>
      <c r="P10" s="449" t="s">
        <v>308</v>
      </c>
      <c r="Q10" s="449" t="s">
        <v>308</v>
      </c>
      <c r="R10" s="449" t="s">
        <v>533</v>
      </c>
      <c r="S10" s="449" t="s">
        <v>309</v>
      </c>
      <c r="T10" s="449" t="s">
        <v>309</v>
      </c>
      <c r="U10" s="449" t="s">
        <v>309</v>
      </c>
      <c r="V10" s="449" t="s">
        <v>308</v>
      </c>
      <c r="W10" s="449" t="s">
        <v>308</v>
      </c>
      <c r="X10" s="449" t="s">
        <v>308</v>
      </c>
      <c r="Y10" s="449" t="s">
        <v>307</v>
      </c>
      <c r="Z10" s="449" t="s">
        <v>308</v>
      </c>
      <c r="AA10" s="449" t="s">
        <v>310</v>
      </c>
      <c r="AB10" s="449" t="s">
        <v>310</v>
      </c>
      <c r="AC10" s="449" t="s">
        <v>310</v>
      </c>
      <c r="AD10" s="449" t="s">
        <v>368</v>
      </c>
      <c r="AE10" s="449" t="s">
        <v>341</v>
      </c>
      <c r="AF10" s="449" t="s">
        <v>310</v>
      </c>
      <c r="AG10" s="450" t="s">
        <v>310</v>
      </c>
      <c r="AH10" s="450" t="s">
        <v>310</v>
      </c>
      <c r="AI10" s="449" t="s">
        <v>614</v>
      </c>
      <c r="AJ10" s="449" t="s">
        <v>615</v>
      </c>
      <c r="AK10" s="449" t="s">
        <v>310</v>
      </c>
      <c r="AL10" s="449" t="s">
        <v>310</v>
      </c>
      <c r="AM10" s="449" t="s">
        <v>329</v>
      </c>
      <c r="AN10" s="451" t="s">
        <v>310</v>
      </c>
      <c r="AO10" s="451" t="s">
        <v>310</v>
      </c>
      <c r="AP10" s="449" t="s">
        <v>365</v>
      </c>
      <c r="AQ10" s="449" t="s">
        <v>616</v>
      </c>
      <c r="AR10" s="449" t="s">
        <v>327</v>
      </c>
      <c r="AS10" s="449" t="s">
        <v>617</v>
      </c>
      <c r="AT10" s="449" t="s">
        <v>618</v>
      </c>
      <c r="AU10" s="451" t="s">
        <v>310</v>
      </c>
      <c r="AV10" s="451" t="s">
        <v>310</v>
      </c>
      <c r="AW10" s="449" t="s">
        <v>619</v>
      </c>
      <c r="AX10" s="449" t="s">
        <v>367</v>
      </c>
      <c r="AY10" s="449" t="s">
        <v>344</v>
      </c>
      <c r="AZ10" s="449" t="s">
        <v>345</v>
      </c>
      <c r="BA10" s="449" t="s">
        <v>620</v>
      </c>
      <c r="BB10" s="451" t="s">
        <v>310</v>
      </c>
      <c r="BC10" s="451" t="s">
        <v>310</v>
      </c>
      <c r="BD10" s="449" t="s">
        <v>621</v>
      </c>
    </row>
    <row r="11" spans="1:56" ht="14.25" customHeight="1">
      <c r="A11" s="447">
        <v>9</v>
      </c>
      <c r="B11" s="448" t="s">
        <v>346</v>
      </c>
      <c r="C11" s="449" t="s">
        <v>310</v>
      </c>
      <c r="D11" s="449" t="s">
        <v>516</v>
      </c>
      <c r="E11" s="449" t="s">
        <v>517</v>
      </c>
      <c r="F11" s="449" t="s">
        <v>622</v>
      </c>
      <c r="G11" s="449" t="s">
        <v>308</v>
      </c>
      <c r="H11" s="449" t="s">
        <v>519</v>
      </c>
      <c r="I11" s="449" t="s">
        <v>623</v>
      </c>
      <c r="J11" s="449" t="s">
        <v>624</v>
      </c>
      <c r="K11" s="449" t="s">
        <v>308</v>
      </c>
      <c r="L11" s="449" t="s">
        <v>309</v>
      </c>
      <c r="M11" s="449" t="s">
        <v>625</v>
      </c>
      <c r="N11" s="449" t="s">
        <v>308</v>
      </c>
      <c r="O11" s="449" t="s">
        <v>308</v>
      </c>
      <c r="P11" s="449" t="s">
        <v>308</v>
      </c>
      <c r="Q11" s="449" t="s">
        <v>308</v>
      </c>
      <c r="R11" s="449" t="s">
        <v>626</v>
      </c>
      <c r="S11" s="449" t="s">
        <v>309</v>
      </c>
      <c r="T11" s="449" t="s">
        <v>309</v>
      </c>
      <c r="U11" s="449" t="s">
        <v>309</v>
      </c>
      <c r="V11" s="449" t="s">
        <v>308</v>
      </c>
      <c r="W11" s="449" t="s">
        <v>308</v>
      </c>
      <c r="X11" s="449" t="s">
        <v>308</v>
      </c>
      <c r="Y11" s="449" t="s">
        <v>340</v>
      </c>
      <c r="Z11" s="449" t="s">
        <v>520</v>
      </c>
      <c r="AA11" s="449" t="s">
        <v>310</v>
      </c>
      <c r="AB11" s="449" t="s">
        <v>310</v>
      </c>
      <c r="AC11" s="449" t="s">
        <v>310</v>
      </c>
      <c r="AD11" s="449" t="s">
        <v>627</v>
      </c>
      <c r="AE11" s="449" t="s">
        <v>628</v>
      </c>
      <c r="AF11" s="449" t="s">
        <v>316</v>
      </c>
      <c r="AG11" s="450" t="s">
        <v>310</v>
      </c>
      <c r="AH11" s="450" t="s">
        <v>310</v>
      </c>
      <c r="AI11" s="452" t="s">
        <v>629</v>
      </c>
      <c r="AJ11" s="449" t="s">
        <v>630</v>
      </c>
      <c r="AK11" s="449" t="s">
        <v>310</v>
      </c>
      <c r="AL11" s="449" t="s">
        <v>310</v>
      </c>
      <c r="AM11" s="449" t="s">
        <v>343</v>
      </c>
      <c r="AN11" s="451" t="s">
        <v>310</v>
      </c>
      <c r="AO11" s="451" t="s">
        <v>310</v>
      </c>
      <c r="AP11" s="449" t="s">
        <v>631</v>
      </c>
      <c r="AQ11" s="449" t="s">
        <v>323</v>
      </c>
      <c r="AR11" s="449" t="s">
        <v>632</v>
      </c>
      <c r="AS11" s="449" t="s">
        <v>633</v>
      </c>
      <c r="AT11" s="449" t="s">
        <v>634</v>
      </c>
      <c r="AU11" s="451" t="s">
        <v>310</v>
      </c>
      <c r="AV11" s="451" t="s">
        <v>310</v>
      </c>
      <c r="AW11" s="449" t="s">
        <v>635</v>
      </c>
      <c r="AX11" s="449" t="s">
        <v>367</v>
      </c>
      <c r="AY11" s="449" t="s">
        <v>636</v>
      </c>
      <c r="AZ11" s="449" t="s">
        <v>637</v>
      </c>
      <c r="BA11" s="449" t="s">
        <v>638</v>
      </c>
      <c r="BB11" s="451" t="s">
        <v>310</v>
      </c>
      <c r="BC11" s="451" t="s">
        <v>310</v>
      </c>
      <c r="BD11" s="449" t="s">
        <v>639</v>
      </c>
    </row>
    <row r="12" spans="1:56" ht="14.25" customHeight="1">
      <c r="A12" s="447">
        <v>10</v>
      </c>
      <c r="B12" s="448" t="s">
        <v>352</v>
      </c>
      <c r="C12" s="449" t="s">
        <v>310</v>
      </c>
      <c r="D12" s="449" t="s">
        <v>516</v>
      </c>
      <c r="E12" s="449" t="s">
        <v>517</v>
      </c>
      <c r="F12" s="449" t="s">
        <v>640</v>
      </c>
      <c r="G12" s="449" t="s">
        <v>308</v>
      </c>
      <c r="H12" s="449" t="s">
        <v>519</v>
      </c>
      <c r="I12" s="449" t="s">
        <v>641</v>
      </c>
      <c r="J12" s="449" t="s">
        <v>642</v>
      </c>
      <c r="K12" s="449" t="s">
        <v>308</v>
      </c>
      <c r="L12" s="449" t="s">
        <v>308</v>
      </c>
      <c r="M12" s="449" t="s">
        <v>308</v>
      </c>
      <c r="N12" s="449" t="s">
        <v>308</v>
      </c>
      <c r="O12" s="449" t="s">
        <v>308</v>
      </c>
      <c r="P12" s="449" t="s">
        <v>308</v>
      </c>
      <c r="Q12" s="449" t="s">
        <v>308</v>
      </c>
      <c r="R12" s="449" t="s">
        <v>643</v>
      </c>
      <c r="S12" s="449" t="s">
        <v>309</v>
      </c>
      <c r="T12" s="449" t="s">
        <v>309</v>
      </c>
      <c r="U12" s="449" t="s">
        <v>309</v>
      </c>
      <c r="V12" s="449" t="s">
        <v>308</v>
      </c>
      <c r="W12" s="449" t="s">
        <v>308</v>
      </c>
      <c r="X12" s="449" t="s">
        <v>340</v>
      </c>
      <c r="Y12" s="449" t="s">
        <v>340</v>
      </c>
      <c r="Z12" s="449" t="s">
        <v>644</v>
      </c>
      <c r="AA12" s="449" t="s">
        <v>310</v>
      </c>
      <c r="AB12" s="449" t="s">
        <v>310</v>
      </c>
      <c r="AC12" s="449" t="s">
        <v>310</v>
      </c>
      <c r="AD12" s="449" t="s">
        <v>387</v>
      </c>
      <c r="AE12" s="449" t="s">
        <v>419</v>
      </c>
      <c r="AF12" s="449" t="s">
        <v>317</v>
      </c>
      <c r="AG12" s="450" t="s">
        <v>310</v>
      </c>
      <c r="AH12" s="450" t="s">
        <v>310</v>
      </c>
      <c r="AI12" s="449" t="s">
        <v>310</v>
      </c>
      <c r="AJ12" s="449" t="s">
        <v>317</v>
      </c>
      <c r="AK12" s="449" t="s">
        <v>310</v>
      </c>
      <c r="AL12" s="449" t="s">
        <v>645</v>
      </c>
      <c r="AM12" s="449" t="s">
        <v>375</v>
      </c>
      <c r="AN12" s="451" t="s">
        <v>310</v>
      </c>
      <c r="AO12" s="451" t="s">
        <v>310</v>
      </c>
      <c r="AP12" s="449" t="s">
        <v>318</v>
      </c>
      <c r="AQ12" s="449" t="s">
        <v>396</v>
      </c>
      <c r="AR12" s="449" t="s">
        <v>366</v>
      </c>
      <c r="AS12" s="449" t="s">
        <v>646</v>
      </c>
      <c r="AT12" s="449" t="s">
        <v>375</v>
      </c>
      <c r="AU12" s="451" t="s">
        <v>310</v>
      </c>
      <c r="AV12" s="451" t="s">
        <v>310</v>
      </c>
      <c r="AW12" s="449" t="s">
        <v>314</v>
      </c>
      <c r="AX12" s="449" t="s">
        <v>647</v>
      </c>
      <c r="AY12" s="449" t="s">
        <v>385</v>
      </c>
      <c r="AZ12" s="449" t="s">
        <v>356</v>
      </c>
      <c r="BA12" s="449" t="s">
        <v>648</v>
      </c>
      <c r="BB12" s="451" t="s">
        <v>310</v>
      </c>
      <c r="BC12" s="451" t="s">
        <v>310</v>
      </c>
      <c r="BD12" s="449" t="s">
        <v>310</v>
      </c>
    </row>
    <row r="13" spans="1:56" ht="14.25" customHeight="1">
      <c r="A13" s="447">
        <v>11</v>
      </c>
      <c r="B13" s="448" t="s">
        <v>358</v>
      </c>
      <c r="C13" s="449" t="s">
        <v>310</v>
      </c>
      <c r="D13" s="449" t="s">
        <v>516</v>
      </c>
      <c r="E13" s="449" t="s">
        <v>517</v>
      </c>
      <c r="F13" s="449" t="s">
        <v>649</v>
      </c>
      <c r="G13" s="449" t="s">
        <v>308</v>
      </c>
      <c r="H13" s="449" t="s">
        <v>519</v>
      </c>
      <c r="I13" s="449" t="s">
        <v>650</v>
      </c>
      <c r="J13" s="449" t="s">
        <v>651</v>
      </c>
      <c r="K13" s="449" t="s">
        <v>308</v>
      </c>
      <c r="L13" s="449" t="s">
        <v>340</v>
      </c>
      <c r="M13" s="449" t="s">
        <v>652</v>
      </c>
      <c r="N13" s="449" t="s">
        <v>308</v>
      </c>
      <c r="O13" s="449" t="s">
        <v>308</v>
      </c>
      <c r="P13" s="449" t="s">
        <v>308</v>
      </c>
      <c r="Q13" s="449" t="s">
        <v>308</v>
      </c>
      <c r="R13" s="449" t="s">
        <v>653</v>
      </c>
      <c r="S13" s="449" t="s">
        <v>308</v>
      </c>
      <c r="T13" s="449" t="s">
        <v>309</v>
      </c>
      <c r="U13" s="449" t="s">
        <v>308</v>
      </c>
      <c r="V13" s="449" t="s">
        <v>308</v>
      </c>
      <c r="W13" s="449" t="s">
        <v>308</v>
      </c>
      <c r="X13" s="449" t="s">
        <v>309</v>
      </c>
      <c r="Y13" s="449" t="s">
        <v>340</v>
      </c>
      <c r="Z13" s="449" t="s">
        <v>654</v>
      </c>
      <c r="AA13" s="449" t="s">
        <v>310</v>
      </c>
      <c r="AB13" s="449" t="s">
        <v>310</v>
      </c>
      <c r="AC13" s="449" t="s">
        <v>316</v>
      </c>
      <c r="AD13" s="449" t="s">
        <v>655</v>
      </c>
      <c r="AE13" s="449" t="s">
        <v>310</v>
      </c>
      <c r="AF13" s="449" t="s">
        <v>310</v>
      </c>
      <c r="AG13" s="450" t="s">
        <v>310</v>
      </c>
      <c r="AH13" s="450" t="s">
        <v>310</v>
      </c>
      <c r="AI13" s="449" t="s">
        <v>364</v>
      </c>
      <c r="AJ13" s="449" t="s">
        <v>310</v>
      </c>
      <c r="AK13" s="449" t="s">
        <v>318</v>
      </c>
      <c r="AL13" s="449" t="s">
        <v>656</v>
      </c>
      <c r="AM13" s="452" t="s">
        <v>657</v>
      </c>
      <c r="AN13" s="451" t="s">
        <v>310</v>
      </c>
      <c r="AO13" s="451" t="s">
        <v>310</v>
      </c>
      <c r="AP13" s="449" t="s">
        <v>314</v>
      </c>
      <c r="AQ13" s="449" t="s">
        <v>658</v>
      </c>
      <c r="AR13" s="449" t="s">
        <v>314</v>
      </c>
      <c r="AS13" s="452" t="s">
        <v>361</v>
      </c>
      <c r="AT13" s="449" t="s">
        <v>316</v>
      </c>
      <c r="AU13" s="451" t="s">
        <v>310</v>
      </c>
      <c r="AV13" s="451" t="s">
        <v>310</v>
      </c>
      <c r="AW13" s="452" t="s">
        <v>659</v>
      </c>
      <c r="AX13" s="449" t="s">
        <v>316</v>
      </c>
      <c r="AY13" s="449" t="s">
        <v>357</v>
      </c>
      <c r="AZ13" s="449" t="s">
        <v>318</v>
      </c>
      <c r="BA13" s="449" t="s">
        <v>319</v>
      </c>
      <c r="BB13" s="451" t="s">
        <v>310</v>
      </c>
      <c r="BC13" s="451" t="s">
        <v>310</v>
      </c>
      <c r="BD13" s="449" t="s">
        <v>357</v>
      </c>
    </row>
    <row r="14" spans="1:56" ht="14.25" customHeight="1">
      <c r="A14" s="447">
        <v>12</v>
      </c>
      <c r="B14" s="448" t="s">
        <v>363</v>
      </c>
      <c r="C14" s="449" t="s">
        <v>310</v>
      </c>
      <c r="D14" s="449" t="s">
        <v>516</v>
      </c>
      <c r="E14" s="449" t="s">
        <v>517</v>
      </c>
      <c r="F14" s="449" t="s">
        <v>660</v>
      </c>
      <c r="G14" s="449" t="s">
        <v>308</v>
      </c>
      <c r="H14" s="449" t="s">
        <v>519</v>
      </c>
      <c r="I14" s="449" t="s">
        <v>661</v>
      </c>
      <c r="J14" s="449" t="s">
        <v>662</v>
      </c>
      <c r="K14" s="449" t="s">
        <v>308</v>
      </c>
      <c r="L14" s="449" t="s">
        <v>308</v>
      </c>
      <c r="M14" s="449" t="s">
        <v>308</v>
      </c>
      <c r="N14" s="449" t="s">
        <v>308</v>
      </c>
      <c r="O14" s="449" t="s">
        <v>308</v>
      </c>
      <c r="P14" s="449" t="s">
        <v>308</v>
      </c>
      <c r="Q14" s="449" t="s">
        <v>308</v>
      </c>
      <c r="R14" s="449" t="s">
        <v>663</v>
      </c>
      <c r="S14" s="449" t="s">
        <v>309</v>
      </c>
      <c r="T14" s="449" t="s">
        <v>340</v>
      </c>
      <c r="U14" s="449" t="s">
        <v>309</v>
      </c>
      <c r="V14" s="449" t="s">
        <v>308</v>
      </c>
      <c r="W14" s="449" t="s">
        <v>308</v>
      </c>
      <c r="X14" s="449" t="s">
        <v>534</v>
      </c>
      <c r="Y14" s="449" t="s">
        <v>307</v>
      </c>
      <c r="Z14" s="449" t="s">
        <v>664</v>
      </c>
      <c r="AA14" s="449" t="s">
        <v>310</v>
      </c>
      <c r="AB14" s="449" t="s">
        <v>310</v>
      </c>
      <c r="AC14" s="449" t="s">
        <v>310</v>
      </c>
      <c r="AD14" s="449" t="s">
        <v>354</v>
      </c>
      <c r="AE14" s="449" t="s">
        <v>318</v>
      </c>
      <c r="AF14" s="449" t="s">
        <v>397</v>
      </c>
      <c r="AG14" s="450" t="s">
        <v>310</v>
      </c>
      <c r="AH14" s="450" t="s">
        <v>310</v>
      </c>
      <c r="AI14" s="449" t="s">
        <v>310</v>
      </c>
      <c r="AJ14" s="449" t="s">
        <v>373</v>
      </c>
      <c r="AK14" s="449" t="s">
        <v>310</v>
      </c>
      <c r="AL14" s="449" t="s">
        <v>331</v>
      </c>
      <c r="AM14" s="449" t="s">
        <v>310</v>
      </c>
      <c r="AN14" s="451" t="s">
        <v>310</v>
      </c>
      <c r="AO14" s="451" t="s">
        <v>310</v>
      </c>
      <c r="AP14" s="449" t="s">
        <v>665</v>
      </c>
      <c r="AQ14" s="449" t="s">
        <v>666</v>
      </c>
      <c r="AR14" s="449" t="s">
        <v>310</v>
      </c>
      <c r="AS14" s="449" t="s">
        <v>389</v>
      </c>
      <c r="AT14" s="449" t="s">
        <v>667</v>
      </c>
      <c r="AU14" s="451" t="s">
        <v>310</v>
      </c>
      <c r="AV14" s="451" t="s">
        <v>310</v>
      </c>
      <c r="AW14" s="449" t="s">
        <v>668</v>
      </c>
      <c r="AX14" s="449" t="s">
        <v>669</v>
      </c>
      <c r="AY14" s="449" t="s">
        <v>418</v>
      </c>
      <c r="AZ14" s="449" t="s">
        <v>383</v>
      </c>
      <c r="BA14" s="449" t="s">
        <v>310</v>
      </c>
      <c r="BB14" s="451" t="s">
        <v>310</v>
      </c>
      <c r="BC14" s="451" t="s">
        <v>310</v>
      </c>
      <c r="BD14" s="449" t="s">
        <v>670</v>
      </c>
    </row>
    <row r="15" spans="1:56" ht="14.25" customHeight="1">
      <c r="A15" s="447">
        <v>13</v>
      </c>
      <c r="B15" s="448" t="s">
        <v>167</v>
      </c>
      <c r="C15" s="449" t="s">
        <v>310</v>
      </c>
      <c r="D15" s="449" t="s">
        <v>516</v>
      </c>
      <c r="E15" s="449" t="s">
        <v>517</v>
      </c>
      <c r="F15" s="449" t="s">
        <v>671</v>
      </c>
      <c r="G15" s="449" t="s">
        <v>308</v>
      </c>
      <c r="H15" s="449" t="s">
        <v>519</v>
      </c>
      <c r="I15" s="449" t="s">
        <v>672</v>
      </c>
      <c r="J15" s="449" t="s">
        <v>673</v>
      </c>
      <c r="K15" s="449" t="s">
        <v>308</v>
      </c>
      <c r="L15" s="449" t="s">
        <v>309</v>
      </c>
      <c r="M15" s="449" t="s">
        <v>674</v>
      </c>
      <c r="N15" s="449" t="s">
        <v>308</v>
      </c>
      <c r="O15" s="449" t="s">
        <v>308</v>
      </c>
      <c r="P15" s="449" t="s">
        <v>308</v>
      </c>
      <c r="Q15" s="449" t="s">
        <v>308</v>
      </c>
      <c r="R15" s="449" t="s">
        <v>675</v>
      </c>
      <c r="S15" s="449" t="s">
        <v>309</v>
      </c>
      <c r="T15" s="449" t="s">
        <v>527</v>
      </c>
      <c r="U15" s="449" t="s">
        <v>309</v>
      </c>
      <c r="V15" s="449" t="s">
        <v>308</v>
      </c>
      <c r="W15" s="449" t="s">
        <v>308</v>
      </c>
      <c r="X15" s="449" t="s">
        <v>534</v>
      </c>
      <c r="Y15" s="449" t="s">
        <v>534</v>
      </c>
      <c r="Z15" s="449" t="s">
        <v>676</v>
      </c>
      <c r="AA15" s="449" t="s">
        <v>310</v>
      </c>
      <c r="AB15" s="449" t="s">
        <v>310</v>
      </c>
      <c r="AC15" s="449" t="s">
        <v>310</v>
      </c>
      <c r="AD15" s="449" t="s">
        <v>529</v>
      </c>
      <c r="AE15" s="449" t="s">
        <v>677</v>
      </c>
      <c r="AF15" s="449" t="s">
        <v>397</v>
      </c>
      <c r="AG15" s="450" t="s">
        <v>310</v>
      </c>
      <c r="AH15" s="450" t="s">
        <v>310</v>
      </c>
      <c r="AI15" s="449" t="s">
        <v>408</v>
      </c>
      <c r="AJ15" s="452" t="s">
        <v>678</v>
      </c>
      <c r="AK15" s="449" t="s">
        <v>310</v>
      </c>
      <c r="AL15" s="449" t="s">
        <v>310</v>
      </c>
      <c r="AM15" s="449" t="s">
        <v>679</v>
      </c>
      <c r="AN15" s="451" t="s">
        <v>310</v>
      </c>
      <c r="AO15" s="451" t="s">
        <v>310</v>
      </c>
      <c r="AP15" s="449" t="s">
        <v>310</v>
      </c>
      <c r="AQ15" s="449" t="s">
        <v>310</v>
      </c>
      <c r="AR15" s="449" t="s">
        <v>680</v>
      </c>
      <c r="AS15" s="449" t="s">
        <v>681</v>
      </c>
      <c r="AT15" s="449" t="s">
        <v>681</v>
      </c>
      <c r="AU15" s="451" t="s">
        <v>310</v>
      </c>
      <c r="AV15" s="451" t="s">
        <v>310</v>
      </c>
      <c r="AW15" s="449" t="s">
        <v>370</v>
      </c>
      <c r="AX15" s="449" t="s">
        <v>409</v>
      </c>
      <c r="AY15" s="449" t="s">
        <v>682</v>
      </c>
      <c r="AZ15" s="449" t="s">
        <v>310</v>
      </c>
      <c r="BA15" s="449" t="s">
        <v>683</v>
      </c>
      <c r="BB15" s="451" t="s">
        <v>310</v>
      </c>
      <c r="BC15" s="451" t="s">
        <v>310</v>
      </c>
      <c r="BD15" s="449" t="s">
        <v>409</v>
      </c>
    </row>
    <row r="16" spans="1:56" ht="18" customHeight="1">
      <c r="A16" s="447">
        <v>14</v>
      </c>
      <c r="B16" s="448" t="s">
        <v>369</v>
      </c>
      <c r="C16" s="449" t="s">
        <v>310</v>
      </c>
      <c r="D16" s="449" t="s">
        <v>516</v>
      </c>
      <c r="E16" s="449" t="s">
        <v>517</v>
      </c>
      <c r="F16" s="449" t="s">
        <v>684</v>
      </c>
      <c r="G16" s="449" t="s">
        <v>308</v>
      </c>
      <c r="H16" s="449" t="s">
        <v>519</v>
      </c>
      <c r="I16" s="449" t="s">
        <v>685</v>
      </c>
      <c r="J16" s="449" t="s">
        <v>686</v>
      </c>
      <c r="K16" s="449" t="s">
        <v>308</v>
      </c>
      <c r="L16" s="449" t="s">
        <v>307</v>
      </c>
      <c r="M16" s="449" t="s">
        <v>687</v>
      </c>
      <c r="N16" s="449" t="s">
        <v>308</v>
      </c>
      <c r="O16" s="449" t="s">
        <v>308</v>
      </c>
      <c r="P16" s="449" t="s">
        <v>308</v>
      </c>
      <c r="Q16" s="449" t="s">
        <v>308</v>
      </c>
      <c r="R16" s="449" t="s">
        <v>688</v>
      </c>
      <c r="S16" s="449" t="s">
        <v>309</v>
      </c>
      <c r="T16" s="449" t="s">
        <v>309</v>
      </c>
      <c r="U16" s="449" t="s">
        <v>309</v>
      </c>
      <c r="V16" s="449" t="s">
        <v>308</v>
      </c>
      <c r="W16" s="449" t="s">
        <v>308</v>
      </c>
      <c r="X16" s="449" t="s">
        <v>308</v>
      </c>
      <c r="Y16" s="449" t="s">
        <v>309</v>
      </c>
      <c r="Z16" s="449" t="s">
        <v>308</v>
      </c>
      <c r="AA16" s="449" t="s">
        <v>310</v>
      </c>
      <c r="AB16" s="449" t="s">
        <v>310</v>
      </c>
      <c r="AC16" s="449" t="s">
        <v>310</v>
      </c>
      <c r="AD16" s="449" t="s">
        <v>689</v>
      </c>
      <c r="AE16" s="449" t="s">
        <v>690</v>
      </c>
      <c r="AF16" s="449" t="s">
        <v>311</v>
      </c>
      <c r="AG16" s="450" t="s">
        <v>310</v>
      </c>
      <c r="AH16" s="450" t="s">
        <v>310</v>
      </c>
      <c r="AI16" s="449" t="s">
        <v>691</v>
      </c>
      <c r="AJ16" s="449" t="s">
        <v>668</v>
      </c>
      <c r="AK16" s="449" t="s">
        <v>319</v>
      </c>
      <c r="AL16" s="449" t="s">
        <v>692</v>
      </c>
      <c r="AM16" s="448" t="s">
        <v>693</v>
      </c>
      <c r="AN16" s="451" t="s">
        <v>310</v>
      </c>
      <c r="AO16" s="451" t="s">
        <v>310</v>
      </c>
      <c r="AP16" s="449" t="s">
        <v>310</v>
      </c>
      <c r="AQ16" s="449" t="s">
        <v>312</v>
      </c>
      <c r="AR16" s="449" t="s">
        <v>694</v>
      </c>
      <c r="AS16" s="449" t="s">
        <v>695</v>
      </c>
      <c r="AT16" s="449" t="s">
        <v>696</v>
      </c>
      <c r="AU16" s="451" t="s">
        <v>310</v>
      </c>
      <c r="AV16" s="451" t="s">
        <v>310</v>
      </c>
      <c r="AW16" s="452" t="s">
        <v>356</v>
      </c>
      <c r="AX16" s="452" t="s">
        <v>697</v>
      </c>
      <c r="AY16" s="449" t="s">
        <v>698</v>
      </c>
      <c r="AZ16" s="449" t="s">
        <v>316</v>
      </c>
      <c r="BA16" s="449" t="s">
        <v>699</v>
      </c>
      <c r="BB16" s="451" t="s">
        <v>310</v>
      </c>
      <c r="BC16" s="451" t="s">
        <v>310</v>
      </c>
      <c r="BD16" s="449" t="s">
        <v>424</v>
      </c>
    </row>
    <row r="17" spans="1:56" ht="14.25" customHeight="1">
      <c r="A17" s="447">
        <v>15</v>
      </c>
      <c r="B17" s="448" t="s">
        <v>376</v>
      </c>
      <c r="C17" s="449" t="s">
        <v>310</v>
      </c>
      <c r="D17" s="449" t="s">
        <v>516</v>
      </c>
      <c r="E17" s="449" t="s">
        <v>517</v>
      </c>
      <c r="F17" s="449" t="s">
        <v>700</v>
      </c>
      <c r="G17" s="449" t="s">
        <v>308</v>
      </c>
      <c r="H17" s="449" t="s">
        <v>519</v>
      </c>
      <c r="I17" s="449" t="s">
        <v>701</v>
      </c>
      <c r="J17" s="449" t="s">
        <v>702</v>
      </c>
      <c r="K17" s="449" t="s">
        <v>308</v>
      </c>
      <c r="L17" s="449" t="s">
        <v>527</v>
      </c>
      <c r="M17" s="449" t="s">
        <v>703</v>
      </c>
      <c r="N17" s="449" t="s">
        <v>308</v>
      </c>
      <c r="O17" s="449" t="s">
        <v>308</v>
      </c>
      <c r="P17" s="449" t="s">
        <v>308</v>
      </c>
      <c r="Q17" s="449" t="s">
        <v>308</v>
      </c>
      <c r="R17" s="449" t="s">
        <v>704</v>
      </c>
      <c r="S17" s="449" t="s">
        <v>340</v>
      </c>
      <c r="T17" s="449" t="s">
        <v>525</v>
      </c>
      <c r="U17" s="449" t="s">
        <v>340</v>
      </c>
      <c r="V17" s="449" t="s">
        <v>353</v>
      </c>
      <c r="W17" s="449" t="s">
        <v>308</v>
      </c>
      <c r="X17" s="449" t="s">
        <v>308</v>
      </c>
      <c r="Y17" s="449" t="s">
        <v>309</v>
      </c>
      <c r="Z17" s="449" t="s">
        <v>378</v>
      </c>
      <c r="AA17" s="449" t="s">
        <v>310</v>
      </c>
      <c r="AB17" s="449" t="s">
        <v>310</v>
      </c>
      <c r="AC17" s="449" t="s">
        <v>310</v>
      </c>
      <c r="AD17" s="449" t="s">
        <v>705</v>
      </c>
      <c r="AE17" s="449" t="s">
        <v>706</v>
      </c>
      <c r="AF17" s="449" t="s">
        <v>383</v>
      </c>
      <c r="AG17" s="450" t="s">
        <v>310</v>
      </c>
      <c r="AH17" s="450" t="s">
        <v>310</v>
      </c>
      <c r="AI17" s="449" t="s">
        <v>707</v>
      </c>
      <c r="AJ17" s="449" t="s">
        <v>708</v>
      </c>
      <c r="AK17" s="449" t="s">
        <v>709</v>
      </c>
      <c r="AL17" s="449" t="s">
        <v>710</v>
      </c>
      <c r="AM17" s="449" t="s">
        <v>314</v>
      </c>
      <c r="AN17" s="451" t="s">
        <v>310</v>
      </c>
      <c r="AO17" s="451" t="s">
        <v>310</v>
      </c>
      <c r="AP17" s="452" t="s">
        <v>711</v>
      </c>
      <c r="AQ17" s="449" t="s">
        <v>320</v>
      </c>
      <c r="AR17" s="449" t="s">
        <v>712</v>
      </c>
      <c r="AS17" s="449" t="s">
        <v>713</v>
      </c>
      <c r="AT17" s="448" t="s">
        <v>382</v>
      </c>
      <c r="AU17" s="451" t="s">
        <v>310</v>
      </c>
      <c r="AV17" s="451" t="s">
        <v>310</v>
      </c>
      <c r="AW17" s="449" t="s">
        <v>714</v>
      </c>
      <c r="AX17" s="449" t="s">
        <v>715</v>
      </c>
      <c r="AY17" s="449" t="s">
        <v>310</v>
      </c>
      <c r="AZ17" s="449" t="s">
        <v>400</v>
      </c>
      <c r="BA17" s="449" t="s">
        <v>716</v>
      </c>
      <c r="BB17" s="451" t="s">
        <v>310</v>
      </c>
      <c r="BC17" s="451" t="s">
        <v>310</v>
      </c>
      <c r="BD17" s="449" t="s">
        <v>315</v>
      </c>
    </row>
    <row r="18" spans="1:56" ht="14.25" customHeight="1">
      <c r="A18" s="447">
        <v>16</v>
      </c>
      <c r="B18" s="448" t="s">
        <v>384</v>
      </c>
      <c r="C18" s="449" t="s">
        <v>310</v>
      </c>
      <c r="D18" s="449" t="s">
        <v>516</v>
      </c>
      <c r="E18" s="449" t="s">
        <v>517</v>
      </c>
      <c r="F18" s="449" t="s">
        <v>717</v>
      </c>
      <c r="G18" s="449" t="s">
        <v>308</v>
      </c>
      <c r="H18" s="449" t="s">
        <v>519</v>
      </c>
      <c r="I18" s="449" t="s">
        <v>718</v>
      </c>
      <c r="J18" s="449" t="s">
        <v>719</v>
      </c>
      <c r="K18" s="449" t="s">
        <v>308</v>
      </c>
      <c r="L18" s="449" t="s">
        <v>309</v>
      </c>
      <c r="M18" s="449" t="s">
        <v>720</v>
      </c>
      <c r="N18" s="449" t="s">
        <v>308</v>
      </c>
      <c r="O18" s="449" t="s">
        <v>308</v>
      </c>
      <c r="P18" s="449" t="s">
        <v>308</v>
      </c>
      <c r="Q18" s="449" t="s">
        <v>308</v>
      </c>
      <c r="R18" s="449" t="s">
        <v>721</v>
      </c>
      <c r="S18" s="449" t="s">
        <v>309</v>
      </c>
      <c r="T18" s="449" t="s">
        <v>340</v>
      </c>
      <c r="U18" s="449" t="s">
        <v>309</v>
      </c>
      <c r="V18" s="449" t="s">
        <v>308</v>
      </c>
      <c r="W18" s="449" t="s">
        <v>308</v>
      </c>
      <c r="X18" s="449" t="s">
        <v>353</v>
      </c>
      <c r="Y18" s="449" t="s">
        <v>353</v>
      </c>
      <c r="Z18" s="449" t="s">
        <v>308</v>
      </c>
      <c r="AA18" s="449" t="s">
        <v>310</v>
      </c>
      <c r="AB18" s="449" t="s">
        <v>310</v>
      </c>
      <c r="AC18" s="449" t="s">
        <v>310</v>
      </c>
      <c r="AD18" s="449" t="s">
        <v>722</v>
      </c>
      <c r="AE18" s="449" t="s">
        <v>399</v>
      </c>
      <c r="AF18" s="449" t="s">
        <v>317</v>
      </c>
      <c r="AG18" s="450" t="s">
        <v>310</v>
      </c>
      <c r="AH18" s="450" t="s">
        <v>310</v>
      </c>
      <c r="AI18" s="449" t="s">
        <v>590</v>
      </c>
      <c r="AJ18" s="449" t="s">
        <v>723</v>
      </c>
      <c r="AK18" s="449" t="s">
        <v>319</v>
      </c>
      <c r="AL18" s="449" t="s">
        <v>529</v>
      </c>
      <c r="AM18" s="449" t="s">
        <v>724</v>
      </c>
      <c r="AN18" s="451" t="s">
        <v>310</v>
      </c>
      <c r="AO18" s="451" t="s">
        <v>310</v>
      </c>
      <c r="AP18" s="449" t="s">
        <v>725</v>
      </c>
      <c r="AQ18" s="449" t="s">
        <v>726</v>
      </c>
      <c r="AR18" s="449" t="s">
        <v>411</v>
      </c>
      <c r="AS18" s="452" t="s">
        <v>727</v>
      </c>
      <c r="AT18" s="449" t="s">
        <v>415</v>
      </c>
      <c r="AU18" s="451" t="s">
        <v>310</v>
      </c>
      <c r="AV18" s="451" t="s">
        <v>310</v>
      </c>
      <c r="AW18" s="449" t="s">
        <v>728</v>
      </c>
      <c r="AX18" s="449" t="s">
        <v>729</v>
      </c>
      <c r="AY18" s="449" t="s">
        <v>730</v>
      </c>
      <c r="AZ18" s="449" t="s">
        <v>361</v>
      </c>
      <c r="BA18" s="449" t="s">
        <v>731</v>
      </c>
      <c r="BB18" s="451" t="s">
        <v>310</v>
      </c>
      <c r="BC18" s="451" t="s">
        <v>310</v>
      </c>
      <c r="BD18" s="449" t="s">
        <v>324</v>
      </c>
    </row>
    <row r="19" spans="1:56" ht="14.25" customHeight="1">
      <c r="A19" s="447">
        <v>17</v>
      </c>
      <c r="B19" s="448" t="s">
        <v>390</v>
      </c>
      <c r="C19" s="449" t="s">
        <v>310</v>
      </c>
      <c r="D19" s="449" t="s">
        <v>516</v>
      </c>
      <c r="E19" s="449" t="s">
        <v>517</v>
      </c>
      <c r="F19" s="449" t="s">
        <v>732</v>
      </c>
      <c r="G19" s="449" t="s">
        <v>308</v>
      </c>
      <c r="H19" s="449" t="s">
        <v>519</v>
      </c>
      <c r="I19" s="449" t="s">
        <v>733</v>
      </c>
      <c r="J19" s="449" t="s">
        <v>734</v>
      </c>
      <c r="K19" s="449" t="s">
        <v>308</v>
      </c>
      <c r="L19" s="449" t="s">
        <v>309</v>
      </c>
      <c r="M19" s="449" t="s">
        <v>587</v>
      </c>
      <c r="N19" s="449" t="s">
        <v>308</v>
      </c>
      <c r="O19" s="449" t="s">
        <v>308</v>
      </c>
      <c r="P19" s="449" t="s">
        <v>308</v>
      </c>
      <c r="Q19" s="449" t="s">
        <v>308</v>
      </c>
      <c r="R19" s="449" t="s">
        <v>735</v>
      </c>
      <c r="S19" s="449" t="s">
        <v>309</v>
      </c>
      <c r="T19" s="449" t="s">
        <v>309</v>
      </c>
      <c r="U19" s="449" t="s">
        <v>309</v>
      </c>
      <c r="V19" s="449" t="s">
        <v>308</v>
      </c>
      <c r="W19" s="449" t="s">
        <v>308</v>
      </c>
      <c r="X19" s="449" t="s">
        <v>309</v>
      </c>
      <c r="Y19" s="449" t="s">
        <v>377</v>
      </c>
      <c r="Z19" s="449" t="s">
        <v>308</v>
      </c>
      <c r="AA19" s="449" t="s">
        <v>310</v>
      </c>
      <c r="AB19" s="449" t="s">
        <v>310</v>
      </c>
      <c r="AC19" s="449" t="s">
        <v>310</v>
      </c>
      <c r="AD19" s="449" t="s">
        <v>373</v>
      </c>
      <c r="AE19" s="449" t="s">
        <v>736</v>
      </c>
      <c r="AF19" s="449" t="s">
        <v>319</v>
      </c>
      <c r="AG19" s="450" t="s">
        <v>310</v>
      </c>
      <c r="AH19" s="450" t="s">
        <v>310</v>
      </c>
      <c r="AI19" s="449" t="s">
        <v>316</v>
      </c>
      <c r="AJ19" s="449" t="s">
        <v>737</v>
      </c>
      <c r="AK19" s="449" t="s">
        <v>310</v>
      </c>
      <c r="AL19" s="449" t="s">
        <v>738</v>
      </c>
      <c r="AM19" s="449" t="s">
        <v>362</v>
      </c>
      <c r="AN19" s="451" t="s">
        <v>310</v>
      </c>
      <c r="AO19" s="451" t="s">
        <v>310</v>
      </c>
      <c r="AP19" s="452" t="s">
        <v>739</v>
      </c>
      <c r="AQ19" s="449" t="s">
        <v>374</v>
      </c>
      <c r="AR19" s="449" t="s">
        <v>310</v>
      </c>
      <c r="AS19" s="449" t="s">
        <v>316</v>
      </c>
      <c r="AT19" s="449" t="s">
        <v>316</v>
      </c>
      <c r="AU19" s="451" t="s">
        <v>310</v>
      </c>
      <c r="AV19" s="451" t="s">
        <v>310</v>
      </c>
      <c r="AW19" s="449" t="s">
        <v>316</v>
      </c>
      <c r="AX19" s="449" t="s">
        <v>740</v>
      </c>
      <c r="AY19" s="449" t="s">
        <v>741</v>
      </c>
      <c r="AZ19" s="449" t="s">
        <v>418</v>
      </c>
      <c r="BA19" s="449" t="s">
        <v>316</v>
      </c>
      <c r="BB19" s="451" t="s">
        <v>310</v>
      </c>
      <c r="BC19" s="451" t="s">
        <v>310</v>
      </c>
      <c r="BD19" s="449" t="s">
        <v>742</v>
      </c>
    </row>
    <row r="20" spans="1:56" ht="14.25" customHeight="1">
      <c r="A20" s="447">
        <v>18</v>
      </c>
      <c r="B20" s="448" t="s">
        <v>393</v>
      </c>
      <c r="C20" s="449" t="s">
        <v>310</v>
      </c>
      <c r="D20" s="449" t="s">
        <v>516</v>
      </c>
      <c r="E20" s="449" t="s">
        <v>517</v>
      </c>
      <c r="F20" s="449" t="s">
        <v>743</v>
      </c>
      <c r="G20" s="449" t="s">
        <v>308</v>
      </c>
      <c r="H20" s="449" t="s">
        <v>519</v>
      </c>
      <c r="I20" s="449" t="s">
        <v>744</v>
      </c>
      <c r="J20" s="449" t="s">
        <v>745</v>
      </c>
      <c r="K20" s="449" t="s">
        <v>308</v>
      </c>
      <c r="L20" s="449" t="s">
        <v>308</v>
      </c>
      <c r="M20" s="449" t="s">
        <v>308</v>
      </c>
      <c r="N20" s="449" t="s">
        <v>308</v>
      </c>
      <c r="O20" s="449" t="s">
        <v>308</v>
      </c>
      <c r="P20" s="449" t="s">
        <v>308</v>
      </c>
      <c r="Q20" s="449" t="s">
        <v>308</v>
      </c>
      <c r="R20" s="449" t="s">
        <v>746</v>
      </c>
      <c r="S20" s="449" t="s">
        <v>308</v>
      </c>
      <c r="T20" s="449" t="s">
        <v>308</v>
      </c>
      <c r="U20" s="449" t="s">
        <v>308</v>
      </c>
      <c r="V20" s="449" t="s">
        <v>308</v>
      </c>
      <c r="W20" s="449" t="s">
        <v>308</v>
      </c>
      <c r="X20" s="449" t="s">
        <v>340</v>
      </c>
      <c r="Y20" s="449" t="s">
        <v>307</v>
      </c>
      <c r="Z20" s="449" t="s">
        <v>747</v>
      </c>
      <c r="AA20" s="449" t="s">
        <v>310</v>
      </c>
      <c r="AB20" s="449" t="s">
        <v>310</v>
      </c>
      <c r="AC20" s="449" t="s">
        <v>316</v>
      </c>
      <c r="AD20" s="449" t="s">
        <v>387</v>
      </c>
      <c r="AE20" s="449" t="s">
        <v>403</v>
      </c>
      <c r="AF20" s="449" t="s">
        <v>310</v>
      </c>
      <c r="AG20" s="450" t="s">
        <v>310</v>
      </c>
      <c r="AH20" s="450" t="s">
        <v>310</v>
      </c>
      <c r="AI20" s="449" t="s">
        <v>748</v>
      </c>
      <c r="AJ20" s="449" t="s">
        <v>342</v>
      </c>
      <c r="AK20" s="449" t="s">
        <v>310</v>
      </c>
      <c r="AL20" s="449" t="s">
        <v>310</v>
      </c>
      <c r="AM20" s="449" t="s">
        <v>320</v>
      </c>
      <c r="AN20" s="451" t="s">
        <v>310</v>
      </c>
      <c r="AO20" s="451" t="s">
        <v>310</v>
      </c>
      <c r="AP20" s="449" t="s">
        <v>423</v>
      </c>
      <c r="AQ20" s="449" t="s">
        <v>749</v>
      </c>
      <c r="AR20" s="449" t="s">
        <v>310</v>
      </c>
      <c r="AS20" s="449" t="s">
        <v>402</v>
      </c>
      <c r="AT20" s="449" t="s">
        <v>750</v>
      </c>
      <c r="AU20" s="451" t="s">
        <v>310</v>
      </c>
      <c r="AV20" s="451" t="s">
        <v>310</v>
      </c>
      <c r="AW20" s="449" t="s">
        <v>310</v>
      </c>
      <c r="AX20" s="449" t="s">
        <v>349</v>
      </c>
      <c r="AY20" s="449" t="s">
        <v>751</v>
      </c>
      <c r="AZ20" s="449" t="s">
        <v>542</v>
      </c>
      <c r="BA20" s="449" t="s">
        <v>338</v>
      </c>
      <c r="BB20" s="451" t="s">
        <v>310</v>
      </c>
      <c r="BC20" s="451" t="s">
        <v>310</v>
      </c>
      <c r="BD20" s="449" t="s">
        <v>368</v>
      </c>
    </row>
    <row r="21" spans="1:56" ht="14.25" customHeight="1">
      <c r="A21" s="447">
        <v>19</v>
      </c>
      <c r="B21" s="448" t="s">
        <v>752</v>
      </c>
      <c r="C21" s="449" t="s">
        <v>310</v>
      </c>
      <c r="D21" s="449" t="s">
        <v>516</v>
      </c>
      <c r="E21" s="449" t="s">
        <v>517</v>
      </c>
      <c r="F21" s="449" t="s">
        <v>753</v>
      </c>
      <c r="G21" s="449" t="s">
        <v>308</v>
      </c>
      <c r="H21" s="449" t="s">
        <v>519</v>
      </c>
      <c r="I21" s="449" t="s">
        <v>754</v>
      </c>
      <c r="J21" s="449" t="s">
        <v>755</v>
      </c>
      <c r="K21" s="449" t="s">
        <v>308</v>
      </c>
      <c r="L21" s="449" t="s">
        <v>309</v>
      </c>
      <c r="M21" s="449" t="s">
        <v>720</v>
      </c>
      <c r="N21" s="449" t="s">
        <v>308</v>
      </c>
      <c r="O21" s="449" t="s">
        <v>308</v>
      </c>
      <c r="P21" s="449" t="s">
        <v>308</v>
      </c>
      <c r="Q21" s="449" t="s">
        <v>308</v>
      </c>
      <c r="R21" s="449" t="s">
        <v>756</v>
      </c>
      <c r="S21" s="449" t="s">
        <v>340</v>
      </c>
      <c r="T21" s="449" t="s">
        <v>527</v>
      </c>
      <c r="U21" s="449" t="s">
        <v>340</v>
      </c>
      <c r="V21" s="449" t="s">
        <v>308</v>
      </c>
      <c r="W21" s="449" t="s">
        <v>308</v>
      </c>
      <c r="X21" s="449" t="s">
        <v>308</v>
      </c>
      <c r="Y21" s="449" t="s">
        <v>307</v>
      </c>
      <c r="Z21" s="449" t="s">
        <v>308</v>
      </c>
      <c r="AA21" s="449" t="s">
        <v>310</v>
      </c>
      <c r="AB21" s="449" t="s">
        <v>310</v>
      </c>
      <c r="AC21" s="449" t="s">
        <v>310</v>
      </c>
      <c r="AD21" s="449" t="s">
        <v>405</v>
      </c>
      <c r="AE21" s="449" t="s">
        <v>399</v>
      </c>
      <c r="AF21" s="449" t="s">
        <v>681</v>
      </c>
      <c r="AG21" s="450" t="s">
        <v>310</v>
      </c>
      <c r="AH21" s="450" t="s">
        <v>310</v>
      </c>
      <c r="AI21" s="449" t="s">
        <v>338</v>
      </c>
      <c r="AJ21" s="449" t="s">
        <v>310</v>
      </c>
      <c r="AK21" s="449" t="s">
        <v>310</v>
      </c>
      <c r="AL21" s="449" t="s">
        <v>324</v>
      </c>
      <c r="AM21" s="449" t="s">
        <v>757</v>
      </c>
      <c r="AN21" s="451" t="s">
        <v>310</v>
      </c>
      <c r="AO21" s="451" t="s">
        <v>310</v>
      </c>
      <c r="AP21" s="449" t="s">
        <v>758</v>
      </c>
      <c r="AQ21" s="449" t="s">
        <v>400</v>
      </c>
      <c r="AR21" s="449" t="s">
        <v>361</v>
      </c>
      <c r="AS21" s="449" t="s">
        <v>723</v>
      </c>
      <c r="AT21" s="449" t="s">
        <v>310</v>
      </c>
      <c r="AU21" s="451" t="s">
        <v>310</v>
      </c>
      <c r="AV21" s="451" t="s">
        <v>310</v>
      </c>
      <c r="AW21" s="449" t="s">
        <v>759</v>
      </c>
      <c r="AX21" s="449" t="s">
        <v>350</v>
      </c>
      <c r="AY21" s="449" t="s">
        <v>325</v>
      </c>
      <c r="AZ21" s="449" t="s">
        <v>760</v>
      </c>
      <c r="BA21" s="449" t="s">
        <v>761</v>
      </c>
      <c r="BB21" s="451" t="s">
        <v>310</v>
      </c>
      <c r="BC21" s="451" t="s">
        <v>310</v>
      </c>
      <c r="BD21" s="449" t="s">
        <v>310</v>
      </c>
    </row>
    <row r="22" spans="1:56" ht="14.25" customHeight="1">
      <c r="A22" s="447">
        <v>20</v>
      </c>
      <c r="B22" s="448" t="s">
        <v>395</v>
      </c>
      <c r="C22" s="449" t="s">
        <v>310</v>
      </c>
      <c r="D22" s="449" t="s">
        <v>516</v>
      </c>
      <c r="E22" s="449" t="s">
        <v>517</v>
      </c>
      <c r="F22" s="449" t="s">
        <v>622</v>
      </c>
      <c r="G22" s="449" t="s">
        <v>308</v>
      </c>
      <c r="H22" s="449" t="s">
        <v>519</v>
      </c>
      <c r="I22" s="449" t="s">
        <v>718</v>
      </c>
      <c r="J22" s="449" t="s">
        <v>762</v>
      </c>
      <c r="K22" s="449" t="s">
        <v>308</v>
      </c>
      <c r="L22" s="449" t="s">
        <v>308</v>
      </c>
      <c r="M22" s="449" t="s">
        <v>308</v>
      </c>
      <c r="N22" s="449" t="s">
        <v>308</v>
      </c>
      <c r="O22" s="449" t="s">
        <v>308</v>
      </c>
      <c r="P22" s="449" t="s">
        <v>308</v>
      </c>
      <c r="Q22" s="449" t="s">
        <v>308</v>
      </c>
      <c r="R22" s="449" t="s">
        <v>763</v>
      </c>
      <c r="S22" s="449" t="s">
        <v>309</v>
      </c>
      <c r="T22" s="449" t="s">
        <v>309</v>
      </c>
      <c r="U22" s="449" t="s">
        <v>309</v>
      </c>
      <c r="V22" s="449" t="s">
        <v>308</v>
      </c>
      <c r="W22" s="449" t="s">
        <v>308</v>
      </c>
      <c r="X22" s="449" t="s">
        <v>309</v>
      </c>
      <c r="Y22" s="449" t="s">
        <v>309</v>
      </c>
      <c r="Z22" s="449" t="s">
        <v>676</v>
      </c>
      <c r="AA22" s="449" t="s">
        <v>310</v>
      </c>
      <c r="AB22" s="449" t="s">
        <v>310</v>
      </c>
      <c r="AC22" s="449" t="s">
        <v>310</v>
      </c>
      <c r="AD22" s="449" t="s">
        <v>620</v>
      </c>
      <c r="AE22" s="449" t="s">
        <v>764</v>
      </c>
      <c r="AF22" s="449" t="s">
        <v>765</v>
      </c>
      <c r="AG22" s="450" t="s">
        <v>310</v>
      </c>
      <c r="AH22" s="450" t="s">
        <v>310</v>
      </c>
      <c r="AI22" s="449" t="s">
        <v>766</v>
      </c>
      <c r="AJ22" s="449" t="s">
        <v>581</v>
      </c>
      <c r="AK22" s="449" t="s">
        <v>368</v>
      </c>
      <c r="AL22" s="449" t="s">
        <v>310</v>
      </c>
      <c r="AM22" s="449" t="s">
        <v>767</v>
      </c>
      <c r="AN22" s="451" t="s">
        <v>310</v>
      </c>
      <c r="AO22" s="451" t="s">
        <v>310</v>
      </c>
      <c r="AP22" s="448" t="s">
        <v>768</v>
      </c>
      <c r="AQ22" s="449" t="s">
        <v>769</v>
      </c>
      <c r="AR22" s="449" t="s">
        <v>328</v>
      </c>
      <c r="AS22" s="449" t="s">
        <v>770</v>
      </c>
      <c r="AT22" s="449" t="s">
        <v>310</v>
      </c>
      <c r="AU22" s="451" t="s">
        <v>310</v>
      </c>
      <c r="AV22" s="451" t="s">
        <v>310</v>
      </c>
      <c r="AW22" s="449" t="s">
        <v>771</v>
      </c>
      <c r="AX22" s="449" t="s">
        <v>772</v>
      </c>
      <c r="AY22" s="449" t="s">
        <v>773</v>
      </c>
      <c r="AZ22" s="449" t="s">
        <v>774</v>
      </c>
      <c r="BA22" s="449" t="s">
        <v>775</v>
      </c>
      <c r="BB22" s="451" t="s">
        <v>310</v>
      </c>
      <c r="BC22" s="451" t="s">
        <v>310</v>
      </c>
      <c r="BD22" s="449" t="s">
        <v>387</v>
      </c>
    </row>
    <row r="23" spans="1:56" ht="14.25" customHeight="1">
      <c r="A23" s="447">
        <v>21</v>
      </c>
      <c r="B23" s="448" t="s">
        <v>398</v>
      </c>
      <c r="C23" s="449" t="s">
        <v>310</v>
      </c>
      <c r="D23" s="449" t="s">
        <v>516</v>
      </c>
      <c r="E23" s="449" t="s">
        <v>517</v>
      </c>
      <c r="F23" s="449" t="s">
        <v>776</v>
      </c>
      <c r="G23" s="449" t="s">
        <v>308</v>
      </c>
      <c r="H23" s="449" t="s">
        <v>519</v>
      </c>
      <c r="I23" s="449" t="s">
        <v>777</v>
      </c>
      <c r="J23" s="449" t="s">
        <v>778</v>
      </c>
      <c r="K23" s="449" t="s">
        <v>308</v>
      </c>
      <c r="L23" s="449" t="s">
        <v>340</v>
      </c>
      <c r="M23" s="449" t="s">
        <v>674</v>
      </c>
      <c r="N23" s="449" t="s">
        <v>308</v>
      </c>
      <c r="O23" s="449" t="s">
        <v>308</v>
      </c>
      <c r="P23" s="449" t="s">
        <v>308</v>
      </c>
      <c r="Q23" s="449" t="s">
        <v>308</v>
      </c>
      <c r="R23" s="449" t="s">
        <v>779</v>
      </c>
      <c r="S23" s="449" t="s">
        <v>309</v>
      </c>
      <c r="T23" s="449" t="s">
        <v>340</v>
      </c>
      <c r="U23" s="449" t="s">
        <v>309</v>
      </c>
      <c r="V23" s="449" t="s">
        <v>308</v>
      </c>
      <c r="W23" s="449" t="s">
        <v>308</v>
      </c>
      <c r="X23" s="449" t="s">
        <v>309</v>
      </c>
      <c r="Y23" s="449" t="s">
        <v>340</v>
      </c>
      <c r="Z23" s="449" t="s">
        <v>378</v>
      </c>
      <c r="AA23" s="449" t="s">
        <v>310</v>
      </c>
      <c r="AB23" s="449" t="s">
        <v>310</v>
      </c>
      <c r="AC23" s="449" t="s">
        <v>310</v>
      </c>
      <c r="AD23" s="449" t="s">
        <v>780</v>
      </c>
      <c r="AE23" s="449" t="s">
        <v>367</v>
      </c>
      <c r="AF23" s="449" t="s">
        <v>310</v>
      </c>
      <c r="AG23" s="450" t="s">
        <v>310</v>
      </c>
      <c r="AH23" s="450" t="s">
        <v>310</v>
      </c>
      <c r="AI23" s="452" t="s">
        <v>781</v>
      </c>
      <c r="AJ23" s="452" t="s">
        <v>782</v>
      </c>
      <c r="AK23" s="449" t="s">
        <v>310</v>
      </c>
      <c r="AL23" s="449" t="s">
        <v>335</v>
      </c>
      <c r="AM23" s="449" t="s">
        <v>783</v>
      </c>
      <c r="AN23" s="451" t="s">
        <v>310</v>
      </c>
      <c r="AO23" s="451" t="s">
        <v>310</v>
      </c>
      <c r="AP23" s="448" t="s">
        <v>784</v>
      </c>
      <c r="AQ23" s="449" t="s">
        <v>310</v>
      </c>
      <c r="AR23" s="449" t="s">
        <v>371</v>
      </c>
      <c r="AS23" s="449" t="s">
        <v>401</v>
      </c>
      <c r="AT23" s="449" t="s">
        <v>681</v>
      </c>
      <c r="AU23" s="451" t="s">
        <v>310</v>
      </c>
      <c r="AV23" s="451" t="s">
        <v>310</v>
      </c>
      <c r="AW23" s="452" t="s">
        <v>785</v>
      </c>
      <c r="AX23" s="449" t="s">
        <v>786</v>
      </c>
      <c r="AY23" s="449" t="s">
        <v>787</v>
      </c>
      <c r="AZ23" s="449" t="s">
        <v>368</v>
      </c>
      <c r="BA23" s="449" t="s">
        <v>788</v>
      </c>
      <c r="BB23" s="451" t="s">
        <v>310</v>
      </c>
      <c r="BC23" s="451" t="s">
        <v>310</v>
      </c>
      <c r="BD23" s="449" t="s">
        <v>347</v>
      </c>
    </row>
    <row r="24" spans="1:56" ht="14.25" customHeight="1">
      <c r="A24" s="447">
        <v>22</v>
      </c>
      <c r="B24" s="448" t="s">
        <v>404</v>
      </c>
      <c r="C24" s="449" t="s">
        <v>310</v>
      </c>
      <c r="D24" s="449" t="s">
        <v>516</v>
      </c>
      <c r="E24" s="449" t="s">
        <v>517</v>
      </c>
      <c r="F24" s="449" t="s">
        <v>789</v>
      </c>
      <c r="G24" s="449" t="s">
        <v>308</v>
      </c>
      <c r="H24" s="449" t="s">
        <v>519</v>
      </c>
      <c r="I24" s="449" t="s">
        <v>790</v>
      </c>
      <c r="J24" s="449" t="s">
        <v>791</v>
      </c>
      <c r="K24" s="449" t="s">
        <v>308</v>
      </c>
      <c r="L24" s="449" t="s">
        <v>309</v>
      </c>
      <c r="M24" s="449" t="s">
        <v>652</v>
      </c>
      <c r="N24" s="449" t="s">
        <v>308</v>
      </c>
      <c r="O24" s="449" t="s">
        <v>308</v>
      </c>
      <c r="P24" s="449" t="s">
        <v>308</v>
      </c>
      <c r="Q24" s="449" t="s">
        <v>308</v>
      </c>
      <c r="R24" s="449" t="s">
        <v>792</v>
      </c>
      <c r="S24" s="449" t="s">
        <v>308</v>
      </c>
      <c r="T24" s="449" t="s">
        <v>309</v>
      </c>
      <c r="U24" s="449" t="s">
        <v>308</v>
      </c>
      <c r="V24" s="449" t="s">
        <v>534</v>
      </c>
      <c r="W24" s="449" t="s">
        <v>308</v>
      </c>
      <c r="X24" s="449" t="s">
        <v>309</v>
      </c>
      <c r="Y24" s="449" t="s">
        <v>793</v>
      </c>
      <c r="Z24" s="449" t="s">
        <v>794</v>
      </c>
      <c r="AA24" s="449" t="s">
        <v>310</v>
      </c>
      <c r="AB24" s="449" t="s">
        <v>310</v>
      </c>
      <c r="AC24" s="449" t="s">
        <v>316</v>
      </c>
      <c r="AD24" s="452" t="s">
        <v>795</v>
      </c>
      <c r="AE24" s="449" t="s">
        <v>796</v>
      </c>
      <c r="AF24" s="449" t="s">
        <v>797</v>
      </c>
      <c r="AG24" s="450" t="s">
        <v>310</v>
      </c>
      <c r="AH24" s="450" t="s">
        <v>310</v>
      </c>
      <c r="AI24" s="449" t="s">
        <v>310</v>
      </c>
      <c r="AJ24" s="449" t="s">
        <v>318</v>
      </c>
      <c r="AK24" s="449" t="s">
        <v>310</v>
      </c>
      <c r="AL24" s="449" t="s">
        <v>310</v>
      </c>
      <c r="AM24" s="449" t="s">
        <v>318</v>
      </c>
      <c r="AN24" s="451" t="s">
        <v>310</v>
      </c>
      <c r="AO24" s="451" t="s">
        <v>310</v>
      </c>
      <c r="AP24" s="449" t="s">
        <v>318</v>
      </c>
      <c r="AQ24" s="449" t="s">
        <v>421</v>
      </c>
      <c r="AR24" s="449" t="s">
        <v>798</v>
      </c>
      <c r="AS24" s="449" t="s">
        <v>799</v>
      </c>
      <c r="AT24" s="449" t="s">
        <v>800</v>
      </c>
      <c r="AU24" s="451" t="s">
        <v>310</v>
      </c>
      <c r="AV24" s="451" t="s">
        <v>310</v>
      </c>
      <c r="AW24" s="449" t="s">
        <v>310</v>
      </c>
      <c r="AX24" s="449" t="s">
        <v>801</v>
      </c>
      <c r="AY24" s="449" t="s">
        <v>414</v>
      </c>
      <c r="AZ24" s="449" t="s">
        <v>802</v>
      </c>
      <c r="BA24" s="449" t="s">
        <v>803</v>
      </c>
      <c r="BB24" s="451" t="s">
        <v>310</v>
      </c>
      <c r="BC24" s="451" t="s">
        <v>310</v>
      </c>
      <c r="BD24" s="449" t="s">
        <v>804</v>
      </c>
    </row>
    <row r="25" spans="1:56" ht="14.25" customHeight="1">
      <c r="A25" s="447">
        <v>23</v>
      </c>
      <c r="B25" s="448" t="s">
        <v>410</v>
      </c>
      <c r="C25" s="449" t="s">
        <v>310</v>
      </c>
      <c r="D25" s="449" t="s">
        <v>516</v>
      </c>
      <c r="E25" s="449" t="s">
        <v>517</v>
      </c>
      <c r="F25" s="449" t="s">
        <v>805</v>
      </c>
      <c r="G25" s="449" t="s">
        <v>308</v>
      </c>
      <c r="H25" s="449" t="s">
        <v>519</v>
      </c>
      <c r="I25" s="449" t="s">
        <v>806</v>
      </c>
      <c r="J25" s="449" t="s">
        <v>807</v>
      </c>
      <c r="K25" s="449" t="s">
        <v>308</v>
      </c>
      <c r="L25" s="449" t="s">
        <v>308</v>
      </c>
      <c r="M25" s="449" t="s">
        <v>308</v>
      </c>
      <c r="N25" s="449" t="s">
        <v>308</v>
      </c>
      <c r="O25" s="449" t="s">
        <v>308</v>
      </c>
      <c r="P25" s="449" t="s">
        <v>308</v>
      </c>
      <c r="Q25" s="449" t="s">
        <v>308</v>
      </c>
      <c r="R25" s="449" t="s">
        <v>808</v>
      </c>
      <c r="S25" s="449" t="s">
        <v>309</v>
      </c>
      <c r="T25" s="449" t="s">
        <v>309</v>
      </c>
      <c r="U25" s="449" t="s">
        <v>309</v>
      </c>
      <c r="V25" s="449" t="s">
        <v>308</v>
      </c>
      <c r="W25" s="449" t="s">
        <v>308</v>
      </c>
      <c r="X25" s="449" t="s">
        <v>309</v>
      </c>
      <c r="Y25" s="449" t="s">
        <v>307</v>
      </c>
      <c r="Z25" s="449" t="s">
        <v>809</v>
      </c>
      <c r="AA25" s="449" t="s">
        <v>310</v>
      </c>
      <c r="AB25" s="449" t="s">
        <v>310</v>
      </c>
      <c r="AC25" s="449" t="s">
        <v>310</v>
      </c>
      <c r="AD25" s="449" t="s">
        <v>318</v>
      </c>
      <c r="AE25" s="449" t="s">
        <v>387</v>
      </c>
      <c r="AF25" s="449" t="s">
        <v>310</v>
      </c>
      <c r="AG25" s="450" t="s">
        <v>310</v>
      </c>
      <c r="AH25" s="450" t="s">
        <v>310</v>
      </c>
      <c r="AI25" s="449" t="s">
        <v>810</v>
      </c>
      <c r="AJ25" s="449" t="s">
        <v>582</v>
      </c>
      <c r="AK25" s="449" t="s">
        <v>310</v>
      </c>
      <c r="AL25" s="449" t="s">
        <v>811</v>
      </c>
      <c r="AM25" s="449" t="s">
        <v>310</v>
      </c>
      <c r="AN25" s="451" t="s">
        <v>310</v>
      </c>
      <c r="AO25" s="451" t="s">
        <v>310</v>
      </c>
      <c r="AP25" s="449" t="s">
        <v>314</v>
      </c>
      <c r="AQ25" s="449" t="s">
        <v>812</v>
      </c>
      <c r="AR25" s="449" t="s">
        <v>813</v>
      </c>
      <c r="AS25" s="449" t="s">
        <v>814</v>
      </c>
      <c r="AT25" s="449" t="s">
        <v>815</v>
      </c>
      <c r="AU25" s="451" t="s">
        <v>310</v>
      </c>
      <c r="AV25" s="451" t="s">
        <v>310</v>
      </c>
      <c r="AW25" s="449" t="s">
        <v>310</v>
      </c>
      <c r="AX25" s="449" t="s">
        <v>816</v>
      </c>
      <c r="AY25" s="449" t="s">
        <v>553</v>
      </c>
      <c r="AZ25" s="449" t="s">
        <v>341</v>
      </c>
      <c r="BA25" s="449" t="s">
        <v>553</v>
      </c>
      <c r="BB25" s="451" t="s">
        <v>310</v>
      </c>
      <c r="BC25" s="451" t="s">
        <v>310</v>
      </c>
      <c r="BD25" s="449" t="s">
        <v>817</v>
      </c>
    </row>
    <row r="26" spans="1:56" ht="14.25" customHeight="1">
      <c r="A26" s="447">
        <v>24</v>
      </c>
      <c r="B26" s="448" t="s">
        <v>412</v>
      </c>
      <c r="C26" s="449" t="s">
        <v>310</v>
      </c>
      <c r="D26" s="449" t="s">
        <v>516</v>
      </c>
      <c r="E26" s="449" t="s">
        <v>517</v>
      </c>
      <c r="F26" s="449" t="s">
        <v>584</v>
      </c>
      <c r="G26" s="449" t="s">
        <v>308</v>
      </c>
      <c r="H26" s="449" t="s">
        <v>519</v>
      </c>
      <c r="I26" s="449" t="s">
        <v>818</v>
      </c>
      <c r="J26" s="449" t="s">
        <v>819</v>
      </c>
      <c r="K26" s="449" t="s">
        <v>308</v>
      </c>
      <c r="L26" s="449" t="s">
        <v>308</v>
      </c>
      <c r="M26" s="449" t="s">
        <v>308</v>
      </c>
      <c r="N26" s="449" t="s">
        <v>308</v>
      </c>
      <c r="O26" s="449" t="s">
        <v>308</v>
      </c>
      <c r="P26" s="449" t="s">
        <v>308</v>
      </c>
      <c r="Q26" s="449" t="s">
        <v>308</v>
      </c>
      <c r="R26" s="449" t="s">
        <v>820</v>
      </c>
      <c r="S26" s="449" t="s">
        <v>309</v>
      </c>
      <c r="T26" s="449" t="s">
        <v>309</v>
      </c>
      <c r="U26" s="449" t="s">
        <v>309</v>
      </c>
      <c r="V26" s="449" t="s">
        <v>308</v>
      </c>
      <c r="W26" s="449" t="s">
        <v>308</v>
      </c>
      <c r="X26" s="449" t="s">
        <v>308</v>
      </c>
      <c r="Y26" s="449" t="s">
        <v>340</v>
      </c>
      <c r="Z26" s="449" t="s">
        <v>747</v>
      </c>
      <c r="AA26" s="449" t="s">
        <v>310</v>
      </c>
      <c r="AB26" s="449" t="s">
        <v>310</v>
      </c>
      <c r="AC26" s="449" t="s">
        <v>310</v>
      </c>
      <c r="AD26" s="449" t="s">
        <v>821</v>
      </c>
      <c r="AE26" s="449" t="s">
        <v>375</v>
      </c>
      <c r="AF26" s="449" t="s">
        <v>316</v>
      </c>
      <c r="AG26" s="450" t="s">
        <v>310</v>
      </c>
      <c r="AH26" s="450" t="s">
        <v>310</v>
      </c>
      <c r="AI26" s="449" t="s">
        <v>319</v>
      </c>
      <c r="AJ26" s="449" t="s">
        <v>780</v>
      </c>
      <c r="AK26" s="449" t="s">
        <v>310</v>
      </c>
      <c r="AL26" s="449" t="s">
        <v>822</v>
      </c>
      <c r="AM26" s="449" t="s">
        <v>731</v>
      </c>
      <c r="AN26" s="451" t="s">
        <v>310</v>
      </c>
      <c r="AO26" s="451" t="s">
        <v>310</v>
      </c>
      <c r="AP26" s="449" t="s">
        <v>823</v>
      </c>
      <c r="AQ26" s="449" t="s">
        <v>310</v>
      </c>
      <c r="AR26" s="449" t="s">
        <v>314</v>
      </c>
      <c r="AS26" s="449" t="s">
        <v>316</v>
      </c>
      <c r="AT26" s="449" t="s">
        <v>824</v>
      </c>
      <c r="AU26" s="451" t="s">
        <v>310</v>
      </c>
      <c r="AV26" s="451" t="s">
        <v>310</v>
      </c>
      <c r="AW26" s="449" t="s">
        <v>825</v>
      </c>
      <c r="AX26" s="449" t="s">
        <v>826</v>
      </c>
      <c r="AY26" s="449" t="s">
        <v>323</v>
      </c>
      <c r="AZ26" s="449" t="s">
        <v>316</v>
      </c>
      <c r="BA26" s="449" t="s">
        <v>413</v>
      </c>
      <c r="BB26" s="451" t="s">
        <v>310</v>
      </c>
      <c r="BC26" s="451" t="s">
        <v>310</v>
      </c>
      <c r="BD26" s="449" t="s">
        <v>827</v>
      </c>
    </row>
    <row r="27" spans="1:56" ht="14.25" customHeight="1">
      <c r="A27" s="447">
        <v>25</v>
      </c>
      <c r="B27" s="448" t="s">
        <v>339</v>
      </c>
      <c r="C27" s="449" t="s">
        <v>310</v>
      </c>
      <c r="D27" s="449" t="s">
        <v>828</v>
      </c>
      <c r="E27" s="449" t="s">
        <v>829</v>
      </c>
      <c r="F27" s="449" t="s">
        <v>622</v>
      </c>
      <c r="G27" s="449" t="s">
        <v>308</v>
      </c>
      <c r="H27" s="449" t="s">
        <v>830</v>
      </c>
      <c r="I27" s="449" t="s">
        <v>831</v>
      </c>
      <c r="J27" s="449" t="s">
        <v>832</v>
      </c>
      <c r="K27" s="449" t="s">
        <v>308</v>
      </c>
      <c r="L27" s="449" t="s">
        <v>308</v>
      </c>
      <c r="M27" s="449" t="s">
        <v>308</v>
      </c>
      <c r="N27" s="449" t="s">
        <v>308</v>
      </c>
      <c r="O27" s="449" t="s">
        <v>308</v>
      </c>
      <c r="P27" s="449" t="s">
        <v>308</v>
      </c>
      <c r="Q27" s="449" t="s">
        <v>308</v>
      </c>
      <c r="R27" s="449" t="s">
        <v>833</v>
      </c>
      <c r="S27" s="449" t="s">
        <v>308</v>
      </c>
      <c r="T27" s="449" t="s">
        <v>308</v>
      </c>
      <c r="U27" s="449" t="s">
        <v>308</v>
      </c>
      <c r="V27" s="449" t="s">
        <v>308</v>
      </c>
      <c r="W27" s="449" t="s">
        <v>308</v>
      </c>
      <c r="X27" s="449" t="s">
        <v>308</v>
      </c>
      <c r="Y27" s="449" t="s">
        <v>340</v>
      </c>
      <c r="Z27" s="449" t="s">
        <v>378</v>
      </c>
      <c r="AA27" s="449" t="s">
        <v>310</v>
      </c>
      <c r="AB27" s="449" t="s">
        <v>310</v>
      </c>
      <c r="AC27" s="449" t="s">
        <v>310</v>
      </c>
      <c r="AD27" s="449" t="s">
        <v>316</v>
      </c>
      <c r="AE27" s="449" t="s">
        <v>834</v>
      </c>
      <c r="AF27" s="449" t="s">
        <v>396</v>
      </c>
      <c r="AG27" s="450" t="s">
        <v>310</v>
      </c>
      <c r="AH27" s="450" t="s">
        <v>310</v>
      </c>
      <c r="AI27" s="449" t="s">
        <v>780</v>
      </c>
      <c r="AJ27" s="449" t="s">
        <v>392</v>
      </c>
      <c r="AK27" s="449" t="s">
        <v>310</v>
      </c>
      <c r="AL27" s="449" t="s">
        <v>310</v>
      </c>
      <c r="AM27" s="449" t="s">
        <v>835</v>
      </c>
      <c r="AN27" s="451" t="s">
        <v>310</v>
      </c>
      <c r="AO27" s="451" t="s">
        <v>310</v>
      </c>
      <c r="AP27" s="449" t="s">
        <v>836</v>
      </c>
      <c r="AQ27" s="449" t="s">
        <v>364</v>
      </c>
      <c r="AR27" s="449" t="s">
        <v>371</v>
      </c>
      <c r="AS27" s="449" t="s">
        <v>375</v>
      </c>
      <c r="AT27" s="449" t="s">
        <v>351</v>
      </c>
      <c r="AU27" s="451" t="s">
        <v>310</v>
      </c>
      <c r="AV27" s="451" t="s">
        <v>310</v>
      </c>
      <c r="AW27" s="449" t="s">
        <v>361</v>
      </c>
      <c r="AX27" s="449" t="s">
        <v>325</v>
      </c>
      <c r="AY27" s="449" t="s">
        <v>316</v>
      </c>
      <c r="AZ27" s="449" t="s">
        <v>326</v>
      </c>
      <c r="BA27" s="449" t="s">
        <v>399</v>
      </c>
      <c r="BB27" s="451" t="s">
        <v>310</v>
      </c>
      <c r="BC27" s="451" t="s">
        <v>310</v>
      </c>
      <c r="BD27" s="449" t="s">
        <v>317</v>
      </c>
    </row>
    <row r="28" spans="1:56" ht="14.25" customHeight="1">
      <c r="A28" s="447">
        <v>26</v>
      </c>
      <c r="B28" s="448" t="s">
        <v>417</v>
      </c>
      <c r="C28" s="449" t="s">
        <v>310</v>
      </c>
      <c r="D28" s="449" t="s">
        <v>830</v>
      </c>
      <c r="E28" s="449" t="s">
        <v>837</v>
      </c>
      <c r="F28" s="449" t="s">
        <v>830</v>
      </c>
      <c r="G28" s="449" t="s">
        <v>308</v>
      </c>
      <c r="H28" s="449" t="s">
        <v>527</v>
      </c>
      <c r="I28" s="449" t="s">
        <v>838</v>
      </c>
      <c r="J28" s="449" t="s">
        <v>839</v>
      </c>
      <c r="K28" s="449" t="s">
        <v>308</v>
      </c>
      <c r="L28" s="449" t="s">
        <v>340</v>
      </c>
      <c r="M28" s="449" t="s">
        <v>674</v>
      </c>
      <c r="N28" s="449" t="s">
        <v>308</v>
      </c>
      <c r="O28" s="449" t="s">
        <v>308</v>
      </c>
      <c r="P28" s="449" t="s">
        <v>308</v>
      </c>
      <c r="Q28" s="449" t="s">
        <v>308</v>
      </c>
      <c r="R28" s="449" t="s">
        <v>674</v>
      </c>
      <c r="S28" s="449" t="s">
        <v>308</v>
      </c>
      <c r="T28" s="449" t="s">
        <v>308</v>
      </c>
      <c r="U28" s="449" t="s">
        <v>308</v>
      </c>
      <c r="V28" s="449" t="s">
        <v>308</v>
      </c>
      <c r="W28" s="449" t="s">
        <v>308</v>
      </c>
      <c r="X28" s="449" t="s">
        <v>308</v>
      </c>
      <c r="Y28" s="449" t="s">
        <v>308</v>
      </c>
      <c r="Z28" s="449" t="s">
        <v>308</v>
      </c>
      <c r="AA28" s="449" t="s">
        <v>310</v>
      </c>
      <c r="AB28" s="449" t="s">
        <v>310</v>
      </c>
      <c r="AC28" s="449" t="s">
        <v>310</v>
      </c>
      <c r="AD28" s="449" t="s">
        <v>310</v>
      </c>
      <c r="AE28" s="449" t="s">
        <v>310</v>
      </c>
      <c r="AF28" s="449" t="s">
        <v>310</v>
      </c>
      <c r="AG28" s="450" t="s">
        <v>310</v>
      </c>
      <c r="AH28" s="450" t="s">
        <v>310</v>
      </c>
      <c r="AI28" s="449" t="s">
        <v>310</v>
      </c>
      <c r="AJ28" s="449" t="s">
        <v>310</v>
      </c>
      <c r="AK28" s="449" t="s">
        <v>310</v>
      </c>
      <c r="AL28" s="449" t="s">
        <v>310</v>
      </c>
      <c r="AM28" s="449" t="s">
        <v>310</v>
      </c>
      <c r="AN28" s="451" t="s">
        <v>310</v>
      </c>
      <c r="AO28" s="451" t="s">
        <v>310</v>
      </c>
      <c r="AP28" s="449" t="s">
        <v>310</v>
      </c>
      <c r="AQ28" s="449" t="s">
        <v>310</v>
      </c>
      <c r="AR28" s="449" t="s">
        <v>310</v>
      </c>
      <c r="AS28" s="449" t="s">
        <v>391</v>
      </c>
      <c r="AT28" s="449" t="s">
        <v>355</v>
      </c>
      <c r="AU28" s="451" t="s">
        <v>310</v>
      </c>
      <c r="AV28" s="451" t="s">
        <v>310</v>
      </c>
      <c r="AW28" s="452" t="s">
        <v>356</v>
      </c>
      <c r="AX28" s="449" t="s">
        <v>418</v>
      </c>
      <c r="AY28" s="449" t="s">
        <v>312</v>
      </c>
      <c r="AZ28" s="449" t="s">
        <v>319</v>
      </c>
      <c r="BA28" s="449" t="s">
        <v>312</v>
      </c>
      <c r="BB28" s="451" t="s">
        <v>310</v>
      </c>
      <c r="BC28" s="451" t="s">
        <v>310</v>
      </c>
      <c r="BD28" s="452" t="s">
        <v>407</v>
      </c>
    </row>
    <row r="29" spans="1:56" ht="14.25" customHeight="1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454"/>
      <c r="AH29" s="454"/>
      <c r="AI29" s="192"/>
      <c r="AJ29" s="192"/>
      <c r="AK29" s="192"/>
      <c r="AL29" s="192"/>
      <c r="AM29" s="192"/>
      <c r="AN29" s="455"/>
      <c r="AO29" s="455"/>
      <c r="AP29" s="192"/>
      <c r="AQ29" s="192"/>
      <c r="AR29" s="192"/>
      <c r="AS29" s="192"/>
      <c r="AT29" s="192"/>
      <c r="AU29" s="216"/>
      <c r="AV29" s="216"/>
      <c r="AW29" s="192"/>
      <c r="AX29" s="192"/>
      <c r="AY29" s="192"/>
      <c r="AZ29" s="192"/>
      <c r="BA29" s="192"/>
      <c r="BB29" s="216"/>
      <c r="BC29" s="216"/>
      <c r="BD29" s="192"/>
    </row>
    <row r="30" spans="1:56" ht="23.25" customHeight="1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454"/>
      <c r="AH30" s="454"/>
      <c r="AI30" s="192"/>
      <c r="AJ30" s="192"/>
      <c r="AK30" s="192"/>
      <c r="AL30" s="192"/>
      <c r="AM30" s="192"/>
      <c r="AN30" s="455"/>
      <c r="AO30" s="455"/>
      <c r="AP30" s="192"/>
      <c r="AQ30" s="456" t="s">
        <v>15</v>
      </c>
      <c r="AR30" s="456" t="s">
        <v>276</v>
      </c>
      <c r="AS30" s="457" t="s">
        <v>840</v>
      </c>
      <c r="AT30" s="457" t="s">
        <v>436</v>
      </c>
      <c r="AU30" s="216"/>
      <c r="AV30" s="216"/>
      <c r="AW30" s="192"/>
      <c r="AX30" s="192"/>
      <c r="AY30" s="192"/>
      <c r="AZ30" s="192"/>
      <c r="BA30" s="192"/>
      <c r="BB30" s="216"/>
      <c r="BC30" s="216"/>
      <c r="BD30" s="192"/>
    </row>
    <row r="31" spans="1:56" ht="14.25" customHeight="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454"/>
      <c r="AH31" s="454"/>
      <c r="AI31" s="192"/>
      <c r="AJ31" s="216"/>
      <c r="AK31" s="216"/>
      <c r="AL31" s="216"/>
      <c r="AM31" s="216"/>
      <c r="AN31" s="455"/>
      <c r="AO31" s="455"/>
      <c r="AP31" s="192"/>
      <c r="AQ31" s="458">
        <v>1</v>
      </c>
      <c r="AR31" s="316" t="s">
        <v>97</v>
      </c>
      <c r="AS31" s="459">
        <f>0*75000</f>
        <v>0</v>
      </c>
      <c r="AT31" s="458">
        <v>21</v>
      </c>
      <c r="AU31" s="216"/>
      <c r="AV31" s="216"/>
      <c r="AW31" s="192"/>
      <c r="AX31" s="192"/>
      <c r="AY31" s="192"/>
      <c r="AZ31" s="192"/>
      <c r="BA31" s="192"/>
      <c r="BB31" s="216"/>
      <c r="BC31" s="216"/>
      <c r="BD31" s="192"/>
    </row>
    <row r="32" spans="1:56" ht="14.25" customHeight="1">
      <c r="A32" s="1229" t="s">
        <v>435</v>
      </c>
      <c r="B32" s="430" t="s">
        <v>841</v>
      </c>
      <c r="C32" s="430"/>
      <c r="D32" s="430"/>
      <c r="E32" s="430"/>
      <c r="F32" s="430"/>
      <c r="G32" s="430"/>
      <c r="H32" s="430"/>
      <c r="I32" s="430"/>
      <c r="J32" s="430"/>
      <c r="K32" s="430"/>
      <c r="L32" s="460" t="s">
        <v>842</v>
      </c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461"/>
      <c r="Z32" s="192"/>
      <c r="AA32" s="1220" t="s">
        <v>843</v>
      </c>
      <c r="AB32" s="430" t="s">
        <v>844</v>
      </c>
      <c r="AC32" s="460" t="s">
        <v>425</v>
      </c>
      <c r="AD32" s="462" t="s">
        <v>845</v>
      </c>
      <c r="AE32" s="192"/>
      <c r="AF32" s="1220" t="s">
        <v>846</v>
      </c>
      <c r="AG32" s="463" t="s">
        <v>847</v>
      </c>
      <c r="AH32" s="460" t="s">
        <v>848</v>
      </c>
      <c r="AI32" s="192" t="s">
        <v>845</v>
      </c>
      <c r="AJ32" s="216"/>
      <c r="AK32" s="216"/>
      <c r="AL32" s="216"/>
      <c r="AM32" s="461"/>
      <c r="AN32" s="455"/>
      <c r="AO32" s="455"/>
      <c r="AP32" s="192"/>
      <c r="AQ32" s="458">
        <v>2</v>
      </c>
      <c r="AR32" s="316" t="s">
        <v>101</v>
      </c>
      <c r="AS32" s="459">
        <f>1*75000</f>
        <v>75000</v>
      </c>
      <c r="AT32" s="458">
        <v>21</v>
      </c>
      <c r="AU32" s="216"/>
      <c r="AV32" s="216"/>
      <c r="AW32" s="192"/>
      <c r="AX32" s="192"/>
      <c r="AY32" s="192"/>
      <c r="AZ32" s="192"/>
      <c r="BA32" s="192"/>
      <c r="BB32" s="216"/>
      <c r="BC32" s="216"/>
      <c r="BD32" s="192"/>
    </row>
    <row r="33" spans="1:56" ht="14.25" customHeight="1">
      <c r="A33" s="1150"/>
      <c r="B33" s="430" t="s">
        <v>849</v>
      </c>
      <c r="C33" s="430"/>
      <c r="D33" s="430"/>
      <c r="E33" s="430"/>
      <c r="F33" s="430"/>
      <c r="G33" s="430"/>
      <c r="H33" s="430"/>
      <c r="I33" s="430"/>
      <c r="J33" s="430"/>
      <c r="K33" s="430"/>
      <c r="L33" s="464" t="s">
        <v>850</v>
      </c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216"/>
      <c r="Z33" s="192"/>
      <c r="AA33" s="1150"/>
      <c r="AB33" s="464" t="s">
        <v>851</v>
      </c>
      <c r="AC33" s="464" t="s">
        <v>852</v>
      </c>
      <c r="AD33" s="465"/>
      <c r="AE33" s="192"/>
      <c r="AF33" s="1141"/>
      <c r="AG33" s="463"/>
      <c r="AH33" s="466" t="s">
        <v>853</v>
      </c>
      <c r="AI33" s="192"/>
      <c r="AJ33" s="216"/>
      <c r="AK33" s="216"/>
      <c r="AL33" s="216"/>
      <c r="AM33" s="216"/>
      <c r="AN33" s="455"/>
      <c r="AO33" s="455"/>
      <c r="AP33" s="192"/>
      <c r="AQ33" s="458">
        <v>3</v>
      </c>
      <c r="AR33" s="316" t="s">
        <v>108</v>
      </c>
      <c r="AS33" s="459">
        <f t="shared" ref="AS33:AS34" si="0">0*75000</f>
        <v>0</v>
      </c>
      <c r="AT33" s="458">
        <v>21</v>
      </c>
      <c r="AU33" s="216"/>
      <c r="AV33" s="216"/>
      <c r="AW33" s="192"/>
      <c r="AX33" s="192"/>
      <c r="AY33" s="192"/>
      <c r="AZ33" s="192"/>
      <c r="BA33" s="192"/>
      <c r="BB33" s="216"/>
      <c r="BC33" s="216"/>
      <c r="BD33" s="192"/>
    </row>
    <row r="34" spans="1:56" ht="14.25" customHeight="1">
      <c r="A34" s="1150"/>
      <c r="B34" s="430" t="s">
        <v>854</v>
      </c>
      <c r="C34" s="430"/>
      <c r="D34" s="430"/>
      <c r="E34" s="430"/>
      <c r="F34" s="430"/>
      <c r="G34" s="430"/>
      <c r="H34" s="430"/>
      <c r="I34" s="430"/>
      <c r="J34" s="430"/>
      <c r="K34" s="430"/>
      <c r="L34" s="464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216"/>
      <c r="Z34" s="192"/>
      <c r="AA34" s="1141"/>
      <c r="AB34" s="464" t="s">
        <v>855</v>
      </c>
      <c r="AC34" s="430"/>
      <c r="AD34" s="216"/>
      <c r="AE34" s="192"/>
      <c r="AF34" s="467"/>
      <c r="AG34" s="454"/>
      <c r="AH34" s="454"/>
      <c r="AI34" s="192"/>
      <c r="AJ34" s="216"/>
      <c r="AK34" s="216"/>
      <c r="AL34" s="216"/>
      <c r="AM34" s="216"/>
      <c r="AN34" s="455"/>
      <c r="AO34" s="455"/>
      <c r="AP34" s="192"/>
      <c r="AQ34" s="458">
        <v>4</v>
      </c>
      <c r="AR34" s="316" t="s">
        <v>111</v>
      </c>
      <c r="AS34" s="459">
        <f t="shared" si="0"/>
        <v>0</v>
      </c>
      <c r="AT34" s="458">
        <v>10</v>
      </c>
      <c r="AU34" s="216"/>
      <c r="AV34" s="216"/>
      <c r="AW34" s="192"/>
      <c r="AX34" s="192"/>
      <c r="AY34" s="192"/>
      <c r="AZ34" s="192"/>
      <c r="BA34" s="192"/>
      <c r="BB34" s="216"/>
      <c r="BC34" s="216"/>
      <c r="BD34" s="192"/>
    </row>
    <row r="35" spans="1:56" ht="25.5" customHeight="1">
      <c r="A35" s="1150"/>
      <c r="B35" s="430" t="s">
        <v>856</v>
      </c>
      <c r="C35" s="430"/>
      <c r="D35" s="430"/>
      <c r="E35" s="430"/>
      <c r="F35" s="430"/>
      <c r="G35" s="430"/>
      <c r="H35" s="430"/>
      <c r="I35" s="430"/>
      <c r="J35" s="430"/>
      <c r="K35" s="430"/>
      <c r="L35" s="464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216"/>
      <c r="Z35" s="192"/>
      <c r="AA35" s="467"/>
      <c r="AB35" s="192"/>
      <c r="AC35" s="430"/>
      <c r="AD35" s="216"/>
      <c r="AE35" s="192"/>
      <c r="AF35" s="467"/>
      <c r="AG35" s="454"/>
      <c r="AH35" s="454"/>
      <c r="AI35" s="192"/>
      <c r="AJ35" s="216"/>
      <c r="AK35" s="216"/>
      <c r="AL35" s="216"/>
      <c r="AM35" s="216"/>
      <c r="AN35" s="455"/>
      <c r="AO35" s="455"/>
      <c r="AP35" s="192"/>
      <c r="AQ35" s="458">
        <v>5</v>
      </c>
      <c r="AR35" s="316" t="s">
        <v>115</v>
      </c>
      <c r="AS35" s="459">
        <f>3*75000</f>
        <v>225000</v>
      </c>
      <c r="AT35" s="458">
        <v>21</v>
      </c>
      <c r="AU35" s="216"/>
      <c r="AV35" s="216"/>
      <c r="AW35" s="192"/>
      <c r="AX35" s="192"/>
      <c r="AY35" s="192"/>
      <c r="AZ35" s="192"/>
      <c r="BA35" s="192"/>
      <c r="BB35" s="216"/>
      <c r="BC35" s="216"/>
      <c r="BD35" s="192"/>
    </row>
    <row r="36" spans="1:56" ht="14.25" customHeight="1">
      <c r="A36" s="1150"/>
      <c r="B36" s="430" t="s">
        <v>857</v>
      </c>
      <c r="C36" s="430"/>
      <c r="D36" s="430"/>
      <c r="E36" s="430"/>
      <c r="F36" s="430"/>
      <c r="G36" s="430"/>
      <c r="H36" s="430"/>
      <c r="I36" s="430"/>
      <c r="J36" s="430"/>
      <c r="K36" s="430"/>
      <c r="L36" s="464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216"/>
      <c r="Z36" s="192"/>
      <c r="AA36" s="1220" t="s">
        <v>858</v>
      </c>
      <c r="AB36" s="464" t="s">
        <v>859</v>
      </c>
      <c r="AC36" s="460" t="s">
        <v>425</v>
      </c>
      <c r="AD36" s="462" t="s">
        <v>845</v>
      </c>
      <c r="AE36" s="192"/>
      <c r="AF36" s="1220" t="s">
        <v>860</v>
      </c>
      <c r="AG36" s="463" t="s">
        <v>861</v>
      </c>
      <c r="AH36" s="460" t="s">
        <v>848</v>
      </c>
      <c r="AI36" s="192" t="s">
        <v>845</v>
      </c>
      <c r="AJ36" s="216"/>
      <c r="AK36" s="216"/>
      <c r="AL36" s="216"/>
      <c r="AM36" s="216"/>
      <c r="AN36" s="455"/>
      <c r="AO36" s="455"/>
      <c r="AP36" s="192"/>
      <c r="AQ36" s="458">
        <v>6</v>
      </c>
      <c r="AR36" s="332" t="s">
        <v>119</v>
      </c>
      <c r="AS36" s="459">
        <f>2*75000</f>
        <v>150000</v>
      </c>
      <c r="AT36" s="458">
        <v>21</v>
      </c>
      <c r="AU36" s="216"/>
      <c r="AV36" s="216"/>
      <c r="AW36" s="192"/>
      <c r="AX36" s="192"/>
      <c r="AY36" s="192"/>
      <c r="AZ36" s="192"/>
      <c r="BA36" s="192"/>
      <c r="BB36" s="216"/>
      <c r="BC36" s="216"/>
      <c r="BD36" s="192"/>
    </row>
    <row r="37" spans="1:56" ht="14.25" customHeight="1">
      <c r="A37" s="1150"/>
      <c r="B37" s="430" t="s">
        <v>862</v>
      </c>
      <c r="C37" s="430"/>
      <c r="D37" s="430"/>
      <c r="E37" s="430"/>
      <c r="F37" s="430"/>
      <c r="G37" s="430"/>
      <c r="H37" s="430"/>
      <c r="I37" s="430"/>
      <c r="J37" s="430"/>
      <c r="K37" s="430"/>
      <c r="L37" s="464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216"/>
      <c r="Z37" s="192"/>
      <c r="AA37" s="1150"/>
      <c r="AB37" s="464" t="s">
        <v>863</v>
      </c>
      <c r="AC37" s="430" t="s">
        <v>864</v>
      </c>
      <c r="AD37" s="216"/>
      <c r="AE37" s="192"/>
      <c r="AF37" s="1150"/>
      <c r="AG37" s="463" t="s">
        <v>865</v>
      </c>
      <c r="AH37" s="466" t="s">
        <v>866</v>
      </c>
      <c r="AI37" s="192"/>
      <c r="AJ37" s="216"/>
      <c r="AK37" s="216"/>
      <c r="AL37" s="216"/>
      <c r="AM37" s="216"/>
      <c r="AN37" s="455"/>
      <c r="AO37" s="455"/>
      <c r="AP37" s="192"/>
      <c r="AQ37" s="458">
        <v>7</v>
      </c>
      <c r="AR37" s="316" t="s">
        <v>125</v>
      </c>
      <c r="AS37" s="459">
        <f>0*75000</f>
        <v>0</v>
      </c>
      <c r="AT37" s="458">
        <v>21</v>
      </c>
      <c r="AU37" s="216"/>
      <c r="AV37" s="216"/>
      <c r="AW37" s="192"/>
      <c r="AX37" s="192"/>
      <c r="AY37" s="192"/>
      <c r="AZ37" s="192"/>
      <c r="BA37" s="192"/>
      <c r="BB37" s="216"/>
      <c r="BC37" s="216"/>
      <c r="BD37" s="192"/>
    </row>
    <row r="38" spans="1:56" ht="18.75" customHeight="1">
      <c r="A38" s="1141"/>
      <c r="B38" s="430" t="s">
        <v>867</v>
      </c>
      <c r="C38" s="430"/>
      <c r="D38" s="430"/>
      <c r="E38" s="430"/>
      <c r="F38" s="430"/>
      <c r="G38" s="430"/>
      <c r="H38" s="430"/>
      <c r="I38" s="430"/>
      <c r="J38" s="430"/>
      <c r="K38" s="430"/>
      <c r="L38" s="464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216"/>
      <c r="Z38" s="192"/>
      <c r="AA38" s="1141"/>
      <c r="AB38" s="430" t="s">
        <v>868</v>
      </c>
      <c r="AC38" s="430"/>
      <c r="AD38" s="216"/>
      <c r="AE38" s="192"/>
      <c r="AF38" s="1141"/>
      <c r="AG38" s="463" t="s">
        <v>869</v>
      </c>
      <c r="AH38" s="466"/>
      <c r="AI38" s="192"/>
      <c r="AJ38" s="216"/>
      <c r="AK38" s="216"/>
      <c r="AL38" s="216"/>
      <c r="AM38" s="216"/>
      <c r="AN38" s="455"/>
      <c r="AO38" s="455"/>
      <c r="AP38" s="192"/>
      <c r="AQ38" s="458">
        <v>8</v>
      </c>
      <c r="AR38" s="347" t="s">
        <v>207</v>
      </c>
      <c r="AS38" s="459">
        <f t="shared" ref="AS38:AS40" si="1">1*75000</f>
        <v>75000</v>
      </c>
      <c r="AT38" s="458">
        <v>21</v>
      </c>
      <c r="AU38" s="216"/>
      <c r="AV38" s="216"/>
      <c r="AW38" s="192"/>
      <c r="AX38" s="192"/>
      <c r="AY38" s="192"/>
      <c r="AZ38" s="192"/>
      <c r="BA38" s="192"/>
      <c r="BB38" s="216"/>
      <c r="BC38" s="216"/>
      <c r="BD38" s="192"/>
    </row>
    <row r="39" spans="1:56" ht="23.25" customHeight="1">
      <c r="A39" s="467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468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216"/>
      <c r="Z39" s="192"/>
      <c r="AA39" s="467"/>
      <c r="AB39" s="192"/>
      <c r="AC39" s="430"/>
      <c r="AD39" s="216"/>
      <c r="AE39" s="192"/>
      <c r="AF39" s="467"/>
      <c r="AG39" s="454"/>
      <c r="AH39" s="469"/>
      <c r="AI39" s="192"/>
      <c r="AJ39" s="216"/>
      <c r="AK39" s="216"/>
      <c r="AL39" s="216"/>
      <c r="AM39" s="461"/>
      <c r="AN39" s="455"/>
      <c r="AO39" s="455"/>
      <c r="AP39" s="192"/>
      <c r="AQ39" s="458">
        <v>9</v>
      </c>
      <c r="AR39" s="298" t="s">
        <v>212</v>
      </c>
      <c r="AS39" s="459">
        <f t="shared" si="1"/>
        <v>75000</v>
      </c>
      <c r="AT39" s="458">
        <v>21</v>
      </c>
      <c r="AU39" s="216"/>
      <c r="AV39" s="216"/>
      <c r="AW39" s="192"/>
      <c r="AX39" s="192"/>
      <c r="AY39" s="192"/>
      <c r="AZ39" s="192"/>
      <c r="BA39" s="192"/>
      <c r="BB39" s="216"/>
      <c r="BC39" s="216"/>
      <c r="BD39" s="192"/>
    </row>
    <row r="40" spans="1:56" ht="14.25" customHeight="1">
      <c r="A40" s="467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468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216"/>
      <c r="Z40" s="192"/>
      <c r="AA40" s="1220" t="s">
        <v>870</v>
      </c>
      <c r="AB40" s="430" t="s">
        <v>871</v>
      </c>
      <c r="AC40" s="460" t="s">
        <v>425</v>
      </c>
      <c r="AD40" s="462" t="s">
        <v>845</v>
      </c>
      <c r="AE40" s="192"/>
      <c r="AF40" s="1220" t="s">
        <v>431</v>
      </c>
      <c r="AG40" s="463"/>
      <c r="AH40" s="460" t="s">
        <v>872</v>
      </c>
      <c r="AI40" s="192" t="s">
        <v>845</v>
      </c>
      <c r="AJ40" s="216"/>
      <c r="AK40" s="216"/>
      <c r="AL40" s="216"/>
      <c r="AM40" s="216"/>
      <c r="AN40" s="455"/>
      <c r="AO40" s="455"/>
      <c r="AP40" s="192"/>
      <c r="AQ40" s="458">
        <v>10</v>
      </c>
      <c r="AR40" s="391" t="s">
        <v>216</v>
      </c>
      <c r="AS40" s="459">
        <f t="shared" si="1"/>
        <v>75000</v>
      </c>
      <c r="AT40" s="458">
        <v>21</v>
      </c>
      <c r="AU40" s="216"/>
      <c r="AV40" s="216"/>
      <c r="AW40" s="192"/>
      <c r="AX40" s="192"/>
      <c r="AY40" s="192"/>
      <c r="AZ40" s="192"/>
      <c r="BA40" s="192"/>
      <c r="BB40" s="216"/>
      <c r="BC40" s="216"/>
      <c r="BD40" s="192"/>
    </row>
    <row r="41" spans="1:56" ht="14.25" customHeight="1">
      <c r="A41" s="1223" t="s">
        <v>873</v>
      </c>
      <c r="B41" s="430" t="s">
        <v>874</v>
      </c>
      <c r="C41" s="430"/>
      <c r="D41" s="430"/>
      <c r="E41" s="430"/>
      <c r="F41" s="430"/>
      <c r="G41" s="430"/>
      <c r="H41" s="430"/>
      <c r="I41" s="430"/>
      <c r="J41" s="430"/>
      <c r="K41" s="430"/>
      <c r="L41" s="460" t="s">
        <v>875</v>
      </c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216"/>
      <c r="Z41" s="192"/>
      <c r="AA41" s="1141"/>
      <c r="AB41" s="464" t="s">
        <v>876</v>
      </c>
      <c r="AC41" s="464" t="s">
        <v>877</v>
      </c>
      <c r="AD41" s="465"/>
      <c r="AE41" s="192"/>
      <c r="AF41" s="1141"/>
      <c r="AG41" s="463"/>
      <c r="AH41" s="466" t="s">
        <v>878</v>
      </c>
      <c r="AI41" s="192"/>
      <c r="AJ41" s="216"/>
      <c r="AK41" s="216"/>
      <c r="AL41" s="216"/>
      <c r="AM41" s="216"/>
      <c r="AN41" s="455"/>
      <c r="AO41" s="455"/>
      <c r="AP41" s="192"/>
      <c r="AQ41" s="458">
        <v>11</v>
      </c>
      <c r="AR41" s="362" t="s">
        <v>139</v>
      </c>
      <c r="AS41" s="459">
        <f>0*75000</f>
        <v>0</v>
      </c>
      <c r="AT41" s="458">
        <v>21</v>
      </c>
      <c r="AU41" s="216"/>
      <c r="AV41" s="216"/>
      <c r="AW41" s="192"/>
      <c r="AX41" s="192"/>
      <c r="AY41" s="192"/>
      <c r="AZ41" s="192"/>
      <c r="BA41" s="192"/>
      <c r="BB41" s="216"/>
      <c r="BC41" s="216"/>
      <c r="BD41" s="192"/>
    </row>
    <row r="42" spans="1:56" ht="21" customHeight="1">
      <c r="A42" s="1141"/>
      <c r="B42" s="430" t="s">
        <v>879</v>
      </c>
      <c r="C42" s="430"/>
      <c r="D42" s="430"/>
      <c r="E42" s="430"/>
      <c r="F42" s="430"/>
      <c r="G42" s="430"/>
      <c r="H42" s="430"/>
      <c r="I42" s="430"/>
      <c r="J42" s="430"/>
      <c r="K42" s="430"/>
      <c r="L42" s="464" t="s">
        <v>850</v>
      </c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216"/>
      <c r="Z42" s="192"/>
      <c r="AA42" s="467"/>
      <c r="AB42" s="192"/>
      <c r="AC42" s="192"/>
      <c r="AD42" s="192"/>
      <c r="AE42" s="192"/>
      <c r="AF42" s="467"/>
      <c r="AG42" s="454"/>
      <c r="AH42" s="469"/>
      <c r="AI42" s="192"/>
      <c r="AJ42" s="216"/>
      <c r="AK42" s="216"/>
      <c r="AL42" s="216"/>
      <c r="AM42" s="216"/>
      <c r="AN42" s="455"/>
      <c r="AO42" s="455"/>
      <c r="AP42" s="192"/>
      <c r="AQ42" s="458">
        <v>12</v>
      </c>
      <c r="AR42" s="470" t="s">
        <v>142</v>
      </c>
      <c r="AS42" s="459">
        <f>2*75000</f>
        <v>150000</v>
      </c>
      <c r="AT42" s="458">
        <v>21</v>
      </c>
      <c r="AU42" s="216"/>
      <c r="AV42" s="216"/>
      <c r="AW42" s="192"/>
      <c r="AX42" s="192"/>
      <c r="AY42" s="192"/>
      <c r="AZ42" s="192"/>
      <c r="BA42" s="192"/>
      <c r="BB42" s="216"/>
      <c r="BC42" s="216"/>
      <c r="BD42" s="192"/>
    </row>
    <row r="43" spans="1:56" ht="21" customHeight="1">
      <c r="A43" s="467"/>
      <c r="B43" s="467"/>
      <c r="C43" s="192"/>
      <c r="D43" s="192"/>
      <c r="E43" s="192"/>
      <c r="F43" s="192"/>
      <c r="G43" s="192"/>
      <c r="H43" s="192"/>
      <c r="I43" s="192"/>
      <c r="J43" s="192"/>
      <c r="K43" s="192"/>
      <c r="L43" s="468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216"/>
      <c r="Z43" s="192"/>
      <c r="AA43" s="467"/>
      <c r="AB43" s="192"/>
      <c r="AC43" s="192"/>
      <c r="AD43" s="192"/>
      <c r="AE43" s="192"/>
      <c r="AF43" s="1220" t="s">
        <v>880</v>
      </c>
      <c r="AG43" s="463"/>
      <c r="AH43" s="460" t="s">
        <v>881</v>
      </c>
      <c r="AI43" s="192" t="s">
        <v>845</v>
      </c>
      <c r="AJ43" s="216"/>
      <c r="AK43" s="216"/>
      <c r="AL43" s="216"/>
      <c r="AM43" s="216"/>
      <c r="AN43" s="455"/>
      <c r="AO43" s="455"/>
      <c r="AP43" s="192"/>
      <c r="AQ43" s="458">
        <v>13</v>
      </c>
      <c r="AR43" s="391" t="s">
        <v>145</v>
      </c>
      <c r="AS43" s="459">
        <f>3*75000</f>
        <v>225000</v>
      </c>
      <c r="AT43" s="458">
        <v>21</v>
      </c>
      <c r="AU43" s="216"/>
      <c r="AV43" s="216"/>
      <c r="AW43" s="192"/>
      <c r="AX43" s="192"/>
      <c r="AY43" s="192"/>
      <c r="AZ43" s="192"/>
      <c r="BA43" s="192"/>
      <c r="BB43" s="216"/>
      <c r="BC43" s="216"/>
      <c r="BD43" s="192"/>
    </row>
    <row r="44" spans="1:56" ht="14.25" customHeight="1">
      <c r="A44" s="467"/>
      <c r="B44" s="467"/>
      <c r="C44" s="192"/>
      <c r="D44" s="192"/>
      <c r="E44" s="192"/>
      <c r="F44" s="192"/>
      <c r="G44" s="192"/>
      <c r="H44" s="192"/>
      <c r="I44" s="192"/>
      <c r="J44" s="192"/>
      <c r="K44" s="192"/>
      <c r="L44" s="468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216"/>
      <c r="Z44" s="192"/>
      <c r="AA44" s="1220" t="s">
        <v>352</v>
      </c>
      <c r="AB44" s="464" t="s">
        <v>882</v>
      </c>
      <c r="AC44" s="460" t="s">
        <v>881</v>
      </c>
      <c r="AD44" s="462" t="s">
        <v>845</v>
      </c>
      <c r="AE44" s="192"/>
      <c r="AF44" s="1141"/>
      <c r="AG44" s="463"/>
      <c r="AH44" s="466" t="s">
        <v>883</v>
      </c>
      <c r="AI44" s="192"/>
      <c r="AJ44" s="216"/>
      <c r="AK44" s="216"/>
      <c r="AL44" s="216"/>
      <c r="AM44" s="461"/>
      <c r="AN44" s="455"/>
      <c r="AO44" s="455"/>
      <c r="AP44" s="192"/>
      <c r="AQ44" s="458">
        <v>14</v>
      </c>
      <c r="AR44" s="393" t="s">
        <v>229</v>
      </c>
      <c r="AS44" s="459">
        <f t="shared" ref="AS44:AS45" si="2">1*75000</f>
        <v>75000</v>
      </c>
      <c r="AT44" s="458">
        <v>21</v>
      </c>
      <c r="AU44" s="216"/>
      <c r="AV44" s="216"/>
      <c r="AW44" s="192"/>
      <c r="AX44" s="192"/>
      <c r="AY44" s="192"/>
      <c r="AZ44" s="192"/>
      <c r="BA44" s="192"/>
      <c r="BB44" s="216"/>
      <c r="BC44" s="216"/>
      <c r="BD44" s="192"/>
    </row>
    <row r="45" spans="1:56" ht="14.25" customHeight="1">
      <c r="A45" s="1222" t="s">
        <v>426</v>
      </c>
      <c r="B45" s="430" t="s">
        <v>884</v>
      </c>
      <c r="C45" s="430"/>
      <c r="D45" s="430"/>
      <c r="E45" s="430"/>
      <c r="F45" s="430"/>
      <c r="G45" s="430"/>
      <c r="H45" s="430"/>
      <c r="I45" s="430"/>
      <c r="J45" s="430"/>
      <c r="K45" s="430"/>
      <c r="L45" s="460" t="s">
        <v>848</v>
      </c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216"/>
      <c r="Z45" s="192"/>
      <c r="AA45" s="1150"/>
      <c r="AB45" s="464" t="s">
        <v>885</v>
      </c>
      <c r="AC45" s="464" t="s">
        <v>886</v>
      </c>
      <c r="AD45" s="468"/>
      <c r="AE45" s="192"/>
      <c r="AF45" s="471"/>
      <c r="AG45" s="454"/>
      <c r="AH45" s="469"/>
      <c r="AI45" s="192"/>
      <c r="AJ45" s="216"/>
      <c r="AK45" s="216"/>
      <c r="AL45" s="216"/>
      <c r="AM45" s="216"/>
      <c r="AN45" s="455"/>
      <c r="AO45" s="455"/>
      <c r="AP45" s="192"/>
      <c r="AQ45" s="458">
        <v>15</v>
      </c>
      <c r="AR45" s="380" t="s">
        <v>148</v>
      </c>
      <c r="AS45" s="459">
        <f t="shared" si="2"/>
        <v>75000</v>
      </c>
      <c r="AT45" s="458">
        <v>21</v>
      </c>
      <c r="AU45" s="216"/>
      <c r="AV45" s="216"/>
      <c r="AW45" s="192"/>
      <c r="AX45" s="192"/>
      <c r="AY45" s="192"/>
      <c r="AZ45" s="192"/>
      <c r="BA45" s="192"/>
      <c r="BB45" s="216"/>
      <c r="BC45" s="216"/>
      <c r="BD45" s="192"/>
    </row>
    <row r="46" spans="1:56" ht="32.25" customHeight="1">
      <c r="A46" s="1150"/>
      <c r="B46" s="430" t="s">
        <v>887</v>
      </c>
      <c r="C46" s="430"/>
      <c r="D46" s="430"/>
      <c r="E46" s="430"/>
      <c r="F46" s="430"/>
      <c r="G46" s="430"/>
      <c r="H46" s="430"/>
      <c r="I46" s="430"/>
      <c r="J46" s="430"/>
      <c r="K46" s="430"/>
      <c r="L46" s="464" t="s">
        <v>888</v>
      </c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216"/>
      <c r="Z46" s="192"/>
      <c r="AA46" s="1150"/>
      <c r="AB46" s="430" t="s">
        <v>889</v>
      </c>
      <c r="AC46" s="430" t="s">
        <v>890</v>
      </c>
      <c r="AD46" s="192"/>
      <c r="AE46" s="192"/>
      <c r="AF46" s="471"/>
      <c r="AG46" s="454"/>
      <c r="AH46" s="469"/>
      <c r="AI46" s="192"/>
      <c r="AJ46" s="216"/>
      <c r="AK46" s="216"/>
      <c r="AL46" s="216"/>
      <c r="AM46" s="216"/>
      <c r="AN46" s="455"/>
      <c r="AO46" s="455"/>
      <c r="AP46" s="192"/>
      <c r="AQ46" s="458">
        <v>16</v>
      </c>
      <c r="AR46" s="415" t="s">
        <v>233</v>
      </c>
      <c r="AS46" s="459">
        <f>3*75000</f>
        <v>225000</v>
      </c>
      <c r="AT46" s="458">
        <v>21</v>
      </c>
      <c r="AU46" s="216"/>
      <c r="AV46" s="216"/>
      <c r="AW46" s="192"/>
      <c r="AX46" s="192"/>
      <c r="AY46" s="192"/>
      <c r="AZ46" s="192"/>
      <c r="BA46" s="192"/>
      <c r="BB46" s="216"/>
      <c r="BC46" s="216"/>
      <c r="BD46" s="192"/>
    </row>
    <row r="47" spans="1:56" ht="41.25" customHeight="1">
      <c r="A47" s="1150"/>
      <c r="B47" s="430" t="s">
        <v>891</v>
      </c>
      <c r="C47" s="430"/>
      <c r="D47" s="430"/>
      <c r="E47" s="430"/>
      <c r="F47" s="430"/>
      <c r="G47" s="430"/>
      <c r="H47" s="430"/>
      <c r="I47" s="430"/>
      <c r="J47" s="430"/>
      <c r="K47" s="430"/>
      <c r="L47" s="464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150"/>
      <c r="AB47" s="464" t="s">
        <v>892</v>
      </c>
      <c r="AC47" s="430" t="s">
        <v>850</v>
      </c>
      <c r="AD47" s="192"/>
      <c r="AE47" s="192"/>
      <c r="AF47" s="1221" t="s">
        <v>433</v>
      </c>
      <c r="AG47" s="463" t="s">
        <v>893</v>
      </c>
      <c r="AH47" s="460" t="s">
        <v>848</v>
      </c>
      <c r="AI47" s="192" t="s">
        <v>845</v>
      </c>
      <c r="AJ47" s="216"/>
      <c r="AK47" s="216"/>
      <c r="AL47" s="216"/>
      <c r="AM47" s="461"/>
      <c r="AN47" s="455"/>
      <c r="AO47" s="455"/>
      <c r="AP47" s="192"/>
      <c r="AQ47" s="458">
        <v>17</v>
      </c>
      <c r="AR47" s="415" t="s">
        <v>236</v>
      </c>
      <c r="AS47" s="459">
        <f t="shared" ref="AS47:AS49" si="3">0*75000</f>
        <v>0</v>
      </c>
      <c r="AT47" s="458">
        <v>21</v>
      </c>
      <c r="AU47" s="216"/>
      <c r="AV47" s="216"/>
      <c r="AW47" s="192"/>
      <c r="AX47" s="192"/>
      <c r="AY47" s="192"/>
      <c r="AZ47" s="192"/>
      <c r="BA47" s="192"/>
      <c r="BB47" s="216"/>
      <c r="BC47" s="216"/>
      <c r="BD47" s="192"/>
    </row>
    <row r="48" spans="1:56" ht="42" customHeight="1">
      <c r="A48" s="1150"/>
      <c r="B48" s="430" t="s">
        <v>888</v>
      </c>
      <c r="C48" s="430"/>
      <c r="D48" s="430"/>
      <c r="E48" s="430"/>
      <c r="F48" s="430"/>
      <c r="G48" s="430"/>
      <c r="H48" s="430"/>
      <c r="I48" s="430"/>
      <c r="J48" s="430"/>
      <c r="K48" s="430"/>
      <c r="L48" s="464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141"/>
      <c r="AB48" s="430" t="s">
        <v>894</v>
      </c>
      <c r="AC48" s="430"/>
      <c r="AD48" s="192"/>
      <c r="AE48" s="192"/>
      <c r="AF48" s="1150"/>
      <c r="AG48" s="466" t="s">
        <v>895</v>
      </c>
      <c r="AH48" s="472" t="s">
        <v>896</v>
      </c>
      <c r="AI48" s="192"/>
      <c r="AJ48" s="216"/>
      <c r="AK48" s="216"/>
      <c r="AL48" s="216"/>
      <c r="AM48" s="216"/>
      <c r="AN48" s="455"/>
      <c r="AO48" s="455"/>
      <c r="AP48" s="192"/>
      <c r="AQ48" s="458">
        <v>18</v>
      </c>
      <c r="AR48" s="415" t="s">
        <v>245</v>
      </c>
      <c r="AS48" s="459">
        <f t="shared" si="3"/>
        <v>0</v>
      </c>
      <c r="AT48" s="458">
        <v>21</v>
      </c>
      <c r="AU48" s="216"/>
      <c r="AV48" s="216"/>
      <c r="AW48" s="192"/>
      <c r="AX48" s="192"/>
      <c r="AY48" s="192"/>
      <c r="AZ48" s="192"/>
      <c r="BA48" s="192"/>
      <c r="BB48" s="216"/>
      <c r="BC48" s="216"/>
      <c r="BD48" s="192"/>
    </row>
    <row r="49" spans="1:56" ht="18.75" customHeight="1">
      <c r="A49" s="1141"/>
      <c r="B49" s="430" t="s">
        <v>897</v>
      </c>
      <c r="C49" s="430"/>
      <c r="D49" s="430"/>
      <c r="E49" s="430"/>
      <c r="F49" s="430"/>
      <c r="G49" s="430"/>
      <c r="H49" s="430"/>
      <c r="I49" s="430"/>
      <c r="J49" s="430"/>
      <c r="K49" s="430"/>
      <c r="L49" s="464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467"/>
      <c r="AB49" s="468"/>
      <c r="AC49" s="192"/>
      <c r="AD49" s="192"/>
      <c r="AE49" s="192"/>
      <c r="AF49" s="1150"/>
      <c r="AG49" s="463" t="s">
        <v>898</v>
      </c>
      <c r="AH49" s="466"/>
      <c r="AI49" s="192"/>
      <c r="AJ49" s="216"/>
      <c r="AK49" s="216"/>
      <c r="AL49" s="216"/>
      <c r="AM49" s="216"/>
      <c r="AN49" s="455"/>
      <c r="AO49" s="455"/>
      <c r="AP49" s="192"/>
      <c r="AQ49" s="458">
        <v>19</v>
      </c>
      <c r="AR49" s="380" t="s">
        <v>241</v>
      </c>
      <c r="AS49" s="459">
        <f t="shared" si="3"/>
        <v>0</v>
      </c>
      <c r="AT49" s="458">
        <v>19</v>
      </c>
      <c r="AU49" s="216"/>
      <c r="AV49" s="216"/>
      <c r="AW49" s="192"/>
      <c r="AX49" s="192"/>
      <c r="AY49" s="192"/>
      <c r="AZ49" s="192"/>
      <c r="BA49" s="192"/>
      <c r="BB49" s="216"/>
      <c r="BC49" s="216"/>
      <c r="BD49" s="192"/>
    </row>
    <row r="50" spans="1:56" ht="18" customHeight="1">
      <c r="A50" s="467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467"/>
      <c r="AB50" s="192"/>
      <c r="AC50" s="192"/>
      <c r="AD50" s="192"/>
      <c r="AE50" s="192"/>
      <c r="AF50" s="1141"/>
      <c r="AG50" s="463" t="s">
        <v>899</v>
      </c>
      <c r="AH50" s="466"/>
      <c r="AI50" s="192"/>
      <c r="AJ50" s="216"/>
      <c r="AK50" s="216"/>
      <c r="AL50" s="216"/>
      <c r="AM50" s="216"/>
      <c r="AN50" s="455"/>
      <c r="AO50" s="455"/>
      <c r="AP50" s="192"/>
      <c r="AQ50" s="458">
        <v>20</v>
      </c>
      <c r="AR50" s="380" t="s">
        <v>246</v>
      </c>
      <c r="AS50" s="459">
        <f>2*75000</f>
        <v>150000</v>
      </c>
      <c r="AT50" s="458">
        <v>9</v>
      </c>
      <c r="AU50" s="216"/>
      <c r="AV50" s="216"/>
      <c r="AW50" s="192"/>
      <c r="AX50" s="192"/>
      <c r="AY50" s="192"/>
      <c r="AZ50" s="192"/>
      <c r="BA50" s="192"/>
      <c r="BB50" s="216"/>
      <c r="BC50" s="216"/>
      <c r="BD50" s="192"/>
    </row>
    <row r="51" spans="1:56" ht="14.25" customHeight="1">
      <c r="A51" s="467"/>
      <c r="B51" s="467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220" t="s">
        <v>429</v>
      </c>
      <c r="AB51" s="464" t="s">
        <v>900</v>
      </c>
      <c r="AC51" s="460" t="s">
        <v>901</v>
      </c>
      <c r="AD51" s="462" t="s">
        <v>845</v>
      </c>
      <c r="AE51" s="192"/>
      <c r="AF51" s="467"/>
      <c r="AG51" s="454"/>
      <c r="AH51" s="469"/>
      <c r="AI51" s="192"/>
      <c r="AJ51" s="216"/>
      <c r="AK51" s="216"/>
      <c r="AL51" s="216"/>
      <c r="AM51" s="461"/>
      <c r="AN51" s="455"/>
      <c r="AO51" s="455"/>
      <c r="AP51" s="192"/>
      <c r="AQ51" s="458">
        <v>21</v>
      </c>
      <c r="AR51" s="391" t="s">
        <v>157</v>
      </c>
      <c r="AS51" s="459">
        <f t="shared" ref="AS51:AS53" si="4">0*75000</f>
        <v>0</v>
      </c>
      <c r="AT51" s="458">
        <v>18.5</v>
      </c>
      <c r="AU51" s="216"/>
      <c r="AV51" s="216"/>
      <c r="AW51" s="192"/>
      <c r="AX51" s="192"/>
      <c r="AY51" s="192"/>
      <c r="AZ51" s="192"/>
      <c r="BA51" s="192"/>
      <c r="BB51" s="216"/>
      <c r="BC51" s="216"/>
      <c r="BD51" s="192"/>
    </row>
    <row r="52" spans="1:56" ht="14.25" customHeight="1">
      <c r="A52" s="467"/>
      <c r="B52" s="467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216"/>
      <c r="Z52" s="192"/>
      <c r="AA52" s="1150"/>
      <c r="AB52" s="464" t="s">
        <v>902</v>
      </c>
      <c r="AC52" s="430" t="s">
        <v>850</v>
      </c>
      <c r="AD52" s="192"/>
      <c r="AE52" s="192"/>
      <c r="AF52" s="1220" t="s">
        <v>903</v>
      </c>
      <c r="AG52" s="466" t="s">
        <v>904</v>
      </c>
      <c r="AH52" s="460" t="s">
        <v>848</v>
      </c>
      <c r="AI52" s="216" t="s">
        <v>845</v>
      </c>
      <c r="AJ52" s="216"/>
      <c r="AK52" s="216"/>
      <c r="AL52" s="216"/>
      <c r="AM52" s="216"/>
      <c r="AN52" s="455"/>
      <c r="AO52" s="455"/>
      <c r="AP52" s="192"/>
      <c r="AQ52" s="458">
        <v>22</v>
      </c>
      <c r="AR52" s="391" t="s">
        <v>161</v>
      </c>
      <c r="AS52" s="459">
        <f t="shared" si="4"/>
        <v>0</v>
      </c>
      <c r="AT52" s="458">
        <v>20</v>
      </c>
      <c r="AU52" s="216"/>
      <c r="AV52" s="216"/>
      <c r="AW52" s="192"/>
      <c r="AX52" s="192"/>
      <c r="AY52" s="192"/>
      <c r="AZ52" s="192"/>
      <c r="BA52" s="192"/>
      <c r="BB52" s="216"/>
      <c r="BC52" s="216"/>
      <c r="BD52" s="192"/>
    </row>
    <row r="53" spans="1:56" ht="24.75" customHeight="1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141"/>
      <c r="AB53" s="464" t="s">
        <v>905</v>
      </c>
      <c r="AC53" s="430"/>
      <c r="AD53" s="192"/>
      <c r="AE53" s="192"/>
      <c r="AF53" s="1150"/>
      <c r="AG53" s="463" t="s">
        <v>906</v>
      </c>
      <c r="AH53" s="464" t="s">
        <v>907</v>
      </c>
      <c r="AI53" s="192"/>
      <c r="AJ53" s="216"/>
      <c r="AK53" s="216"/>
      <c r="AL53" s="216"/>
      <c r="AM53" s="216"/>
      <c r="AN53" s="455"/>
      <c r="AO53" s="455"/>
      <c r="AP53" s="192"/>
      <c r="AQ53" s="458">
        <v>23</v>
      </c>
      <c r="AR53" s="362" t="s">
        <v>164</v>
      </c>
      <c r="AS53" s="459">
        <f t="shared" si="4"/>
        <v>0</v>
      </c>
      <c r="AT53" s="458">
        <v>19</v>
      </c>
      <c r="AU53" s="216"/>
      <c r="AV53" s="216"/>
      <c r="AW53" s="192"/>
      <c r="AX53" s="192"/>
      <c r="AY53" s="192"/>
      <c r="AZ53" s="192"/>
      <c r="BA53" s="192"/>
      <c r="BB53" s="216"/>
      <c r="BC53" s="216"/>
      <c r="BD53" s="192"/>
    </row>
    <row r="54" spans="1:56" ht="14.25" customHeight="1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467"/>
      <c r="AB54" s="468"/>
      <c r="AC54" s="192"/>
      <c r="AD54" s="192"/>
      <c r="AE54" s="192"/>
      <c r="AF54" s="1150"/>
      <c r="AG54" s="466" t="s">
        <v>908</v>
      </c>
      <c r="AH54" s="466"/>
      <c r="AI54" s="192"/>
      <c r="AJ54" s="216"/>
      <c r="AK54" s="216"/>
      <c r="AL54" s="216"/>
      <c r="AM54" s="216"/>
      <c r="AN54" s="455"/>
      <c r="AO54" s="455"/>
      <c r="AP54" s="192"/>
      <c r="AQ54" s="458">
        <v>24</v>
      </c>
      <c r="AR54" s="362" t="s">
        <v>167</v>
      </c>
      <c r="AS54" s="459">
        <f>1*75000</f>
        <v>75000</v>
      </c>
      <c r="AT54" s="458">
        <v>18.5</v>
      </c>
      <c r="AU54" s="216"/>
      <c r="AV54" s="216"/>
      <c r="AW54" s="192"/>
      <c r="AX54" s="192"/>
      <c r="AY54" s="192"/>
      <c r="AZ54" s="192"/>
      <c r="BA54" s="192"/>
      <c r="BB54" s="216"/>
      <c r="BC54" s="216"/>
      <c r="BD54" s="192"/>
    </row>
    <row r="55" spans="1:56" ht="21" customHeight="1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467"/>
      <c r="AB55" s="192"/>
      <c r="AC55" s="192"/>
      <c r="AD55" s="192"/>
      <c r="AE55" s="192"/>
      <c r="AF55" s="1141"/>
      <c r="AG55" s="463" t="s">
        <v>909</v>
      </c>
      <c r="AH55" s="466"/>
      <c r="AI55" s="192"/>
      <c r="AJ55" s="216"/>
      <c r="AK55" s="216"/>
      <c r="AL55" s="216"/>
      <c r="AM55" s="461"/>
      <c r="AN55" s="455"/>
      <c r="AO55" s="455"/>
      <c r="AP55" s="192"/>
      <c r="AQ55" s="458">
        <v>25</v>
      </c>
      <c r="AR55" s="391" t="s">
        <v>259</v>
      </c>
      <c r="AS55" s="459">
        <f t="shared" ref="AS55:AS57" si="5">0*75000</f>
        <v>0</v>
      </c>
      <c r="AT55" s="458">
        <v>19</v>
      </c>
      <c r="AU55" s="216"/>
      <c r="AV55" s="216"/>
      <c r="AW55" s="192"/>
      <c r="AX55" s="192"/>
      <c r="AY55" s="192"/>
      <c r="AZ55" s="192"/>
      <c r="BA55" s="192"/>
      <c r="BB55" s="216"/>
      <c r="BC55" s="216"/>
      <c r="BD55" s="192"/>
    </row>
    <row r="56" spans="1:56" ht="14.25" customHeight="1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222" t="s">
        <v>910</v>
      </c>
      <c r="AB56" s="464" t="s">
        <v>911</v>
      </c>
      <c r="AC56" s="460" t="s">
        <v>901</v>
      </c>
      <c r="AD56" s="462" t="s">
        <v>845</v>
      </c>
      <c r="AE56" s="192"/>
      <c r="AF56" s="467"/>
      <c r="AG56" s="454"/>
      <c r="AH56" s="469"/>
      <c r="AI56" s="192"/>
      <c r="AJ56" s="216"/>
      <c r="AK56" s="216"/>
      <c r="AL56" s="216"/>
      <c r="AM56" s="216"/>
      <c r="AN56" s="455"/>
      <c r="AO56" s="455"/>
      <c r="AP56" s="192"/>
      <c r="AQ56" s="458">
        <v>26</v>
      </c>
      <c r="AR56" s="391" t="s">
        <v>464</v>
      </c>
      <c r="AS56" s="459">
        <f t="shared" si="5"/>
        <v>0</v>
      </c>
      <c r="AT56" s="458">
        <v>20</v>
      </c>
      <c r="AU56" s="216"/>
      <c r="AV56" s="216"/>
      <c r="AW56" s="192"/>
      <c r="AX56" s="192"/>
      <c r="AY56" s="192"/>
      <c r="AZ56" s="192"/>
      <c r="BA56" s="192"/>
      <c r="BB56" s="216"/>
      <c r="BC56" s="216"/>
      <c r="BD56" s="192"/>
    </row>
    <row r="57" spans="1:56" ht="14.25" customHeight="1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150"/>
      <c r="AB57" s="464" t="s">
        <v>912</v>
      </c>
      <c r="AC57" s="464" t="s">
        <v>913</v>
      </c>
      <c r="AD57" s="468"/>
      <c r="AE57" s="192"/>
      <c r="AF57" s="467"/>
      <c r="AG57" s="454"/>
      <c r="AH57" s="469"/>
      <c r="AI57" s="192"/>
      <c r="AJ57" s="216"/>
      <c r="AK57" s="216"/>
      <c r="AL57" s="216"/>
      <c r="AM57" s="216"/>
      <c r="AN57" s="455"/>
      <c r="AO57" s="455"/>
      <c r="AP57" s="192"/>
      <c r="AQ57" s="458">
        <v>27</v>
      </c>
      <c r="AR57" s="378" t="s">
        <v>468</v>
      </c>
      <c r="AS57" s="459">
        <f t="shared" si="5"/>
        <v>0</v>
      </c>
      <c r="AT57" s="458">
        <v>20.5</v>
      </c>
      <c r="AU57" s="216"/>
      <c r="AV57" s="216"/>
      <c r="AW57" s="192"/>
      <c r="AX57" s="192"/>
      <c r="AY57" s="192"/>
      <c r="AZ57" s="192"/>
      <c r="BA57" s="192"/>
      <c r="BB57" s="216"/>
      <c r="BC57" s="216"/>
      <c r="BD57" s="192"/>
    </row>
    <row r="58" spans="1:56" ht="14.25" customHeight="1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150"/>
      <c r="AB58" s="464" t="s">
        <v>914</v>
      </c>
      <c r="AC58" s="430"/>
      <c r="AD58" s="192"/>
      <c r="AE58" s="192"/>
      <c r="AF58" s="1220" t="s">
        <v>915</v>
      </c>
      <c r="AG58" s="464" t="s">
        <v>916</v>
      </c>
      <c r="AH58" s="460" t="s">
        <v>428</v>
      </c>
      <c r="AI58" s="461"/>
      <c r="AJ58" s="216"/>
      <c r="AK58" s="216"/>
      <c r="AL58" s="216"/>
      <c r="AM58" s="461"/>
      <c r="AN58" s="455"/>
      <c r="AO58" s="455"/>
      <c r="AP58" s="192"/>
      <c r="AQ58" s="192"/>
      <c r="AR58" s="192"/>
      <c r="AS58" s="195">
        <f>SUM(AS31:AS57)</f>
        <v>1650000</v>
      </c>
      <c r="AT58" s="192"/>
      <c r="AU58" s="216"/>
      <c r="AV58" s="216"/>
      <c r="AW58" s="192"/>
      <c r="AX58" s="192"/>
      <c r="AY58" s="192"/>
      <c r="AZ58" s="192"/>
      <c r="BA58" s="192"/>
      <c r="BB58" s="216"/>
      <c r="BC58" s="216"/>
      <c r="BD58" s="192"/>
    </row>
    <row r="59" spans="1:56" ht="14.25" customHeight="1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150"/>
      <c r="AB59" s="464" t="s">
        <v>917</v>
      </c>
      <c r="AC59" s="430"/>
      <c r="AD59" s="192"/>
      <c r="AE59" s="192"/>
      <c r="AF59" s="1150"/>
      <c r="AG59" s="464" t="s">
        <v>918</v>
      </c>
      <c r="AH59" s="464" t="s">
        <v>864</v>
      </c>
      <c r="AI59" s="216" t="s">
        <v>845</v>
      </c>
      <c r="AJ59" s="216"/>
      <c r="AK59" s="216"/>
      <c r="AL59" s="216"/>
      <c r="AM59" s="216"/>
      <c r="AN59" s="455"/>
      <c r="AO59" s="455"/>
      <c r="AP59" s="192"/>
      <c r="AQ59" s="192"/>
      <c r="AR59" s="192"/>
      <c r="AS59" s="192"/>
      <c r="AT59" s="192"/>
      <c r="AU59" s="216"/>
      <c r="AV59" s="216"/>
      <c r="AW59" s="192"/>
      <c r="AX59" s="192"/>
      <c r="AY59" s="192"/>
      <c r="AZ59" s="192"/>
      <c r="BA59" s="192"/>
      <c r="BB59" s="216"/>
      <c r="BC59" s="216"/>
      <c r="BD59" s="192"/>
    </row>
    <row r="60" spans="1:56" ht="14.25" customHeight="1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141"/>
      <c r="AB60" s="464" t="s">
        <v>919</v>
      </c>
      <c r="AC60" s="430"/>
      <c r="AD60" s="192"/>
      <c r="AE60" s="192"/>
      <c r="AF60" s="1150"/>
      <c r="AG60" s="464" t="s">
        <v>920</v>
      </c>
      <c r="AH60" s="464"/>
      <c r="AI60" s="192"/>
      <c r="AJ60" s="216"/>
      <c r="AK60" s="216"/>
      <c r="AL60" s="216"/>
      <c r="AM60" s="216"/>
      <c r="AN60" s="455"/>
      <c r="AO60" s="455"/>
      <c r="AP60" s="192"/>
      <c r="AQ60" s="192"/>
      <c r="AR60" s="192"/>
      <c r="AS60" s="192"/>
      <c r="AT60" s="192"/>
      <c r="AU60" s="216"/>
      <c r="AV60" s="216"/>
      <c r="AW60" s="192"/>
      <c r="AX60" s="192"/>
      <c r="AY60" s="192"/>
      <c r="AZ60" s="192"/>
      <c r="BA60" s="192"/>
      <c r="BB60" s="216"/>
      <c r="BC60" s="216"/>
      <c r="BD60" s="192"/>
    </row>
    <row r="61" spans="1:56" ht="14.25" customHeight="1">
      <c r="A61" s="473"/>
      <c r="B61" s="20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467"/>
      <c r="AB61" s="192"/>
      <c r="AC61" s="192"/>
      <c r="AD61" s="192"/>
      <c r="AE61" s="192"/>
      <c r="AF61" s="1141"/>
      <c r="AG61" s="464" t="s">
        <v>921</v>
      </c>
      <c r="AH61" s="464"/>
      <c r="AI61" s="192"/>
      <c r="AJ61" s="216"/>
      <c r="AK61" s="216"/>
      <c r="AL61" s="216"/>
      <c r="AM61" s="461"/>
      <c r="AN61" s="455"/>
      <c r="AO61" s="455"/>
      <c r="AP61" s="192"/>
      <c r="AQ61" s="192"/>
      <c r="AR61" s="192"/>
      <c r="AS61" s="192"/>
      <c r="AT61" s="192"/>
      <c r="AU61" s="216"/>
      <c r="AV61" s="216"/>
      <c r="AW61" s="192"/>
      <c r="AX61" s="192"/>
      <c r="AY61" s="192"/>
      <c r="AZ61" s="192"/>
      <c r="BA61" s="192"/>
      <c r="BB61" s="216"/>
      <c r="BC61" s="216"/>
      <c r="BD61" s="192"/>
    </row>
    <row r="62" spans="1:56" ht="14.25" customHeight="1">
      <c r="A62" s="473"/>
      <c r="B62" s="20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474" t="s">
        <v>922</v>
      </c>
      <c r="AB62" s="475" t="s">
        <v>923</v>
      </c>
      <c r="AC62" s="460" t="s">
        <v>848</v>
      </c>
      <c r="AD62" s="462" t="s">
        <v>845</v>
      </c>
      <c r="AE62" s="192"/>
      <c r="AF62" s="467"/>
      <c r="AG62" s="454"/>
      <c r="AH62" s="469"/>
      <c r="AI62" s="192"/>
      <c r="AJ62" s="216"/>
      <c r="AK62" s="216"/>
      <c r="AL62" s="216"/>
      <c r="AM62" s="216"/>
      <c r="AN62" s="455"/>
      <c r="AO62" s="455"/>
      <c r="AP62" s="192"/>
      <c r="AQ62" s="192"/>
      <c r="AR62" s="192"/>
      <c r="AS62" s="192"/>
      <c r="AT62" s="192"/>
      <c r="AU62" s="216"/>
      <c r="AV62" s="216"/>
      <c r="AW62" s="192"/>
      <c r="AX62" s="192"/>
      <c r="AY62" s="192"/>
      <c r="AZ62" s="192"/>
      <c r="BA62" s="192"/>
      <c r="BB62" s="216"/>
      <c r="BC62" s="216"/>
      <c r="BD62" s="192"/>
    </row>
    <row r="63" spans="1:56" ht="20.25" customHeight="1">
      <c r="A63" s="473"/>
      <c r="B63" s="20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430"/>
      <c r="AB63" s="430" t="s">
        <v>924</v>
      </c>
      <c r="AC63" s="430" t="s">
        <v>864</v>
      </c>
      <c r="AD63" s="192"/>
      <c r="AE63" s="192"/>
      <c r="AF63" s="1220" t="s">
        <v>925</v>
      </c>
      <c r="AG63" s="464" t="s">
        <v>926</v>
      </c>
      <c r="AH63" s="460" t="s">
        <v>881</v>
      </c>
      <c r="AI63" s="461" t="s">
        <v>845</v>
      </c>
      <c r="AJ63" s="216"/>
      <c r="AK63" s="216"/>
      <c r="AL63" s="216"/>
      <c r="AM63" s="216"/>
      <c r="AN63" s="455"/>
      <c r="AO63" s="455"/>
      <c r="AP63" s="192"/>
      <c r="AQ63" s="192"/>
      <c r="AR63" s="192"/>
      <c r="AS63" s="192"/>
      <c r="AT63" s="192"/>
      <c r="AU63" s="216"/>
      <c r="AV63" s="216"/>
      <c r="AW63" s="192"/>
      <c r="AX63" s="192"/>
      <c r="AY63" s="192"/>
      <c r="AZ63" s="192"/>
      <c r="BA63" s="192"/>
      <c r="BB63" s="216"/>
      <c r="BC63" s="216"/>
      <c r="BD63" s="192"/>
    </row>
    <row r="64" spans="1:56" ht="22.5" customHeight="1">
      <c r="A64" s="473"/>
      <c r="B64" s="20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430"/>
      <c r="AB64" s="430" t="s">
        <v>927</v>
      </c>
      <c r="AC64" s="430"/>
      <c r="AD64" s="192"/>
      <c r="AE64" s="192"/>
      <c r="AF64" s="1150"/>
      <c r="AG64" s="430" t="s">
        <v>928</v>
      </c>
      <c r="AH64" s="464" t="s">
        <v>850</v>
      </c>
      <c r="AI64" s="216"/>
      <c r="AJ64" s="216"/>
      <c r="AK64" s="216"/>
      <c r="AL64" s="216"/>
      <c r="AM64" s="216"/>
      <c r="AN64" s="455"/>
      <c r="AO64" s="455"/>
      <c r="AP64" s="192"/>
      <c r="AQ64" s="192"/>
      <c r="AR64" s="192"/>
      <c r="AS64" s="192"/>
      <c r="AT64" s="192"/>
      <c r="AU64" s="216"/>
      <c r="AV64" s="216"/>
      <c r="AW64" s="192"/>
      <c r="AX64" s="192"/>
      <c r="AY64" s="192"/>
      <c r="AZ64" s="192"/>
      <c r="BA64" s="192"/>
      <c r="BB64" s="216"/>
      <c r="BC64" s="216"/>
      <c r="BD64" s="192"/>
    </row>
    <row r="65" spans="1:56" ht="14.25" customHeight="1">
      <c r="A65" s="473"/>
      <c r="B65" s="20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150"/>
      <c r="AG65" s="464" t="s">
        <v>929</v>
      </c>
      <c r="AH65" s="464"/>
      <c r="AI65" s="216"/>
      <c r="AJ65" s="216"/>
      <c r="AK65" s="216"/>
      <c r="AL65" s="216"/>
      <c r="AM65" s="216"/>
      <c r="AN65" s="455"/>
      <c r="AO65" s="455"/>
      <c r="AP65" s="192"/>
      <c r="AQ65" s="192"/>
      <c r="AR65" s="192"/>
      <c r="AS65" s="192"/>
      <c r="AT65" s="192"/>
      <c r="AU65" s="216"/>
      <c r="AV65" s="216"/>
      <c r="AW65" s="192"/>
      <c r="AX65" s="192"/>
      <c r="AY65" s="192"/>
      <c r="AZ65" s="192"/>
      <c r="BA65" s="192"/>
      <c r="BB65" s="216"/>
      <c r="BC65" s="216"/>
      <c r="BD65" s="192"/>
    </row>
    <row r="66" spans="1:56" ht="14.25" customHeight="1">
      <c r="A66" s="473"/>
      <c r="B66" s="476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141"/>
      <c r="AG66" s="430" t="s">
        <v>930</v>
      </c>
      <c r="AH66" s="464"/>
      <c r="AI66" s="216"/>
      <c r="AJ66" s="216"/>
      <c r="AK66" s="216"/>
      <c r="AL66" s="216"/>
      <c r="AM66" s="216"/>
      <c r="AN66" s="455"/>
      <c r="AO66" s="455"/>
      <c r="AP66" s="192"/>
      <c r="AQ66" s="192"/>
      <c r="AR66" s="192"/>
      <c r="AS66" s="192"/>
      <c r="AT66" s="192"/>
      <c r="AU66" s="216"/>
      <c r="AV66" s="216"/>
      <c r="AW66" s="192"/>
      <c r="AX66" s="192"/>
      <c r="AY66" s="192"/>
      <c r="AZ66" s="192"/>
      <c r="BA66" s="192"/>
      <c r="BB66" s="216"/>
      <c r="BC66" s="216"/>
      <c r="BD66" s="192"/>
    </row>
    <row r="67" spans="1:56" ht="14.25" customHeight="1">
      <c r="A67" s="473"/>
      <c r="B67" s="20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AF67" s="467"/>
      <c r="AG67" s="192"/>
      <c r="AH67" s="468"/>
      <c r="AI67" s="216"/>
      <c r="AJ67" s="477"/>
      <c r="AK67" s="477"/>
      <c r="AL67" s="477"/>
      <c r="AM67" s="461"/>
      <c r="AN67" s="478"/>
      <c r="AO67" s="478"/>
      <c r="AU67" s="477"/>
      <c r="AV67" s="477"/>
      <c r="BB67" s="477"/>
      <c r="BC67" s="477"/>
    </row>
    <row r="68" spans="1:56" ht="14.25" customHeight="1">
      <c r="A68" s="473"/>
      <c r="B68" s="479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AF68" s="1220" t="s">
        <v>931</v>
      </c>
      <c r="AG68" s="430" t="s">
        <v>932</v>
      </c>
      <c r="AH68" s="460" t="s">
        <v>430</v>
      </c>
      <c r="AI68" s="461" t="s">
        <v>845</v>
      </c>
      <c r="AJ68" s="477"/>
      <c r="AK68" s="477"/>
      <c r="AL68" s="477"/>
      <c r="AM68" s="477"/>
      <c r="AN68" s="478"/>
      <c r="AO68" s="478"/>
      <c r="AU68" s="477"/>
      <c r="AV68" s="477"/>
      <c r="BB68" s="477"/>
      <c r="BC68" s="477"/>
    </row>
    <row r="69" spans="1:56" ht="14.25" customHeight="1">
      <c r="A69" s="473"/>
      <c r="B69" s="278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AF69" s="1141"/>
      <c r="AG69" s="430" t="s">
        <v>933</v>
      </c>
      <c r="AH69" s="464" t="s">
        <v>864</v>
      </c>
      <c r="AI69" s="216"/>
      <c r="AJ69" s="477"/>
      <c r="AK69" s="477"/>
      <c r="AL69" s="477"/>
      <c r="AM69" s="477"/>
      <c r="AN69" s="478"/>
      <c r="AO69" s="478"/>
      <c r="AU69" s="477"/>
      <c r="AV69" s="477"/>
      <c r="BB69" s="477"/>
      <c r="BC69" s="477"/>
    </row>
    <row r="70" spans="1:56" ht="14.25" customHeight="1">
      <c r="A70" s="473"/>
      <c r="B70" s="480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AF70" s="467"/>
      <c r="AG70" s="192"/>
      <c r="AH70" s="468"/>
      <c r="AI70" s="216"/>
      <c r="AJ70" s="477"/>
      <c r="AK70" s="477"/>
      <c r="AL70" s="477"/>
      <c r="AM70" s="477"/>
      <c r="AN70" s="478"/>
      <c r="AO70" s="478"/>
      <c r="AU70" s="477"/>
      <c r="AV70" s="477"/>
      <c r="BB70" s="477"/>
      <c r="BC70" s="477"/>
    </row>
    <row r="71" spans="1:56" ht="14.25" customHeight="1">
      <c r="A71" s="473"/>
      <c r="B71" s="481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AF71" s="1220" t="s">
        <v>934</v>
      </c>
      <c r="AG71" s="430" t="s">
        <v>935</v>
      </c>
      <c r="AH71" s="460" t="s">
        <v>848</v>
      </c>
      <c r="AI71" s="461"/>
      <c r="AJ71" s="477"/>
      <c r="AK71" s="477"/>
      <c r="AL71" s="477"/>
      <c r="AM71" s="477"/>
      <c r="AN71" s="478"/>
      <c r="AO71" s="478"/>
      <c r="AU71" s="477"/>
      <c r="AV71" s="477"/>
      <c r="BB71" s="477"/>
      <c r="BC71" s="477"/>
    </row>
    <row r="72" spans="1:56" ht="14.25" customHeight="1">
      <c r="A72" s="473"/>
      <c r="B72" s="481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AF72" s="1150"/>
      <c r="AG72" s="430" t="s">
        <v>936</v>
      </c>
      <c r="AH72" s="464" t="s">
        <v>850</v>
      </c>
      <c r="AI72" s="216"/>
      <c r="AN72" s="478"/>
      <c r="AO72" s="478"/>
      <c r="AU72" s="477"/>
      <c r="AV72" s="477"/>
      <c r="BB72" s="477"/>
      <c r="BC72" s="477"/>
    </row>
    <row r="73" spans="1:56" ht="14.25" customHeight="1">
      <c r="A73" s="473"/>
      <c r="B73" s="480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AF73" s="1141"/>
      <c r="AG73" s="430" t="s">
        <v>937</v>
      </c>
      <c r="AH73" s="464"/>
      <c r="AI73" s="216"/>
      <c r="AN73" s="478"/>
      <c r="AO73" s="478"/>
      <c r="AU73" s="477"/>
      <c r="AV73" s="477"/>
      <c r="BB73" s="477"/>
      <c r="BC73" s="477"/>
    </row>
    <row r="74" spans="1:56" ht="14.25" customHeight="1">
      <c r="A74" s="473"/>
      <c r="B74" s="48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AF74" s="467"/>
      <c r="AG74" s="192"/>
      <c r="AH74" s="468"/>
      <c r="AI74" s="216"/>
      <c r="AN74" s="478"/>
      <c r="AO74" s="478"/>
      <c r="AU74" s="477"/>
      <c r="AV74" s="477"/>
      <c r="BB74" s="477"/>
      <c r="BC74" s="477"/>
    </row>
    <row r="75" spans="1:56" ht="14.25" customHeight="1">
      <c r="A75" s="473"/>
      <c r="B75" s="483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AF75" s="1220" t="s">
        <v>938</v>
      </c>
      <c r="AG75" s="464" t="s">
        <v>939</v>
      </c>
      <c r="AH75" s="460" t="s">
        <v>848</v>
      </c>
      <c r="AI75" s="461" t="s">
        <v>845</v>
      </c>
      <c r="AN75" s="478"/>
      <c r="AO75" s="478"/>
      <c r="AU75" s="477"/>
      <c r="AV75" s="477"/>
      <c r="BB75" s="477"/>
      <c r="BC75" s="477"/>
    </row>
    <row r="76" spans="1:56" ht="14.25" customHeight="1">
      <c r="A76" s="473"/>
      <c r="B76" s="484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AF76" s="1141"/>
      <c r="AG76" s="430" t="s">
        <v>940</v>
      </c>
      <c r="AH76" s="464" t="s">
        <v>941</v>
      </c>
      <c r="AI76" s="216"/>
      <c r="AN76" s="478"/>
      <c r="AO76" s="478"/>
      <c r="AU76" s="477"/>
      <c r="AV76" s="477"/>
      <c r="BB76" s="477"/>
      <c r="BC76" s="477"/>
    </row>
    <row r="77" spans="1:56" ht="14.25" customHeight="1">
      <c r="A77" s="473"/>
      <c r="B77" s="484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AF77" s="467"/>
      <c r="AG77" s="192"/>
      <c r="AH77" s="468"/>
      <c r="AI77" s="216"/>
      <c r="AN77" s="478"/>
      <c r="AO77" s="478"/>
      <c r="AU77" s="477"/>
      <c r="AV77" s="477"/>
      <c r="BB77" s="477"/>
      <c r="BC77" s="477"/>
    </row>
    <row r="78" spans="1:56" ht="14.25" customHeight="1">
      <c r="A78" s="473"/>
      <c r="B78" s="484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AF78" s="467"/>
      <c r="AG78" s="192"/>
      <c r="AH78" s="468"/>
      <c r="AI78" s="216"/>
      <c r="AN78" s="478"/>
      <c r="AO78" s="478"/>
      <c r="AU78" s="477"/>
      <c r="AV78" s="477"/>
      <c r="BB78" s="477"/>
      <c r="BC78" s="477"/>
    </row>
    <row r="79" spans="1:56" ht="14.25" customHeight="1">
      <c r="A79" s="473"/>
      <c r="B79" s="483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AF79" s="1220" t="s">
        <v>427</v>
      </c>
      <c r="AG79" s="430" t="s">
        <v>942</v>
      </c>
      <c r="AH79" s="460" t="s">
        <v>848</v>
      </c>
      <c r="AI79" s="461" t="s">
        <v>845</v>
      </c>
      <c r="AN79" s="478"/>
      <c r="AO79" s="478"/>
      <c r="AU79" s="477"/>
      <c r="AV79" s="477"/>
      <c r="BB79" s="477"/>
      <c r="BC79" s="477"/>
    </row>
    <row r="80" spans="1:56" ht="14.25" customHeight="1">
      <c r="A80" s="473"/>
      <c r="B80" s="483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AF80" s="1141"/>
      <c r="AG80" s="430" t="s">
        <v>943</v>
      </c>
      <c r="AH80" s="464" t="s">
        <v>944</v>
      </c>
      <c r="AI80" s="216"/>
      <c r="AN80" s="478"/>
      <c r="AO80" s="478"/>
      <c r="AU80" s="477"/>
      <c r="AV80" s="477"/>
      <c r="BB80" s="477"/>
      <c r="BC80" s="477"/>
    </row>
    <row r="81" spans="1:55" ht="14.25" customHeight="1">
      <c r="A81" s="473"/>
      <c r="B81" s="480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AF81" s="467"/>
      <c r="AG81" s="192"/>
      <c r="AH81" s="468"/>
      <c r="AI81" s="216"/>
      <c r="AN81" s="478"/>
      <c r="AO81" s="478"/>
      <c r="AU81" s="477"/>
      <c r="AV81" s="477"/>
      <c r="BB81" s="477"/>
      <c r="BC81" s="477"/>
    </row>
    <row r="82" spans="1:55" ht="14.25" customHeight="1">
      <c r="A82" s="473"/>
      <c r="B82" s="480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AF82" s="1220" t="s">
        <v>434</v>
      </c>
      <c r="AG82" s="430"/>
      <c r="AH82" s="460" t="s">
        <v>848</v>
      </c>
      <c r="AI82" s="461" t="s">
        <v>845</v>
      </c>
      <c r="AN82" s="478"/>
      <c r="AO82" s="478"/>
      <c r="AU82" s="477"/>
      <c r="AV82" s="477"/>
      <c r="BB82" s="477"/>
      <c r="BC82" s="477"/>
    </row>
    <row r="83" spans="1:55" ht="14.25" customHeight="1">
      <c r="A83" s="473"/>
      <c r="B83" s="481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AF83" s="1141"/>
      <c r="AG83" s="430"/>
      <c r="AH83" s="464" t="s">
        <v>945</v>
      </c>
      <c r="AI83" s="216"/>
      <c r="AN83" s="478"/>
      <c r="AO83" s="478"/>
      <c r="AU83" s="477"/>
      <c r="AV83" s="477"/>
      <c r="BB83" s="477"/>
      <c r="BC83" s="477"/>
    </row>
    <row r="84" spans="1:55" ht="14.25" customHeight="1">
      <c r="A84" s="473"/>
      <c r="B84" s="481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AF84" s="467"/>
      <c r="AG84" s="192"/>
      <c r="AH84" s="468"/>
      <c r="AI84" s="216"/>
      <c r="AN84" s="478"/>
      <c r="AO84" s="478"/>
      <c r="AU84" s="477"/>
      <c r="AV84" s="477"/>
      <c r="BB84" s="477"/>
      <c r="BC84" s="477"/>
    </row>
    <row r="85" spans="1:55" ht="20.25" customHeight="1">
      <c r="A85" s="473"/>
      <c r="B85" s="480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AF85" s="474" t="s">
        <v>946</v>
      </c>
      <c r="AG85" s="430"/>
      <c r="AH85" s="460" t="s">
        <v>947</v>
      </c>
      <c r="AI85" s="461" t="s">
        <v>845</v>
      </c>
      <c r="AN85" s="478"/>
      <c r="AO85" s="478"/>
      <c r="AU85" s="477"/>
      <c r="AV85" s="477"/>
      <c r="BB85" s="477"/>
      <c r="BC85" s="477"/>
    </row>
    <row r="86" spans="1:55" ht="18.75" customHeight="1">
      <c r="A86" s="473"/>
      <c r="B86" s="480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AF86" s="467"/>
      <c r="AG86" s="192"/>
      <c r="AH86" s="468"/>
      <c r="AI86" s="216"/>
      <c r="AN86" s="478"/>
      <c r="AO86" s="478"/>
      <c r="AU86" s="477"/>
      <c r="AV86" s="477"/>
      <c r="BB86" s="477"/>
      <c r="BC86" s="477"/>
    </row>
    <row r="87" spans="1:55" ht="14.25" customHeight="1">
      <c r="A87" s="473"/>
      <c r="B87" s="485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AF87" s="1220" t="s">
        <v>432</v>
      </c>
      <c r="AG87" s="430" t="s">
        <v>948</v>
      </c>
      <c r="AH87" s="460" t="s">
        <v>425</v>
      </c>
      <c r="AI87" s="216" t="s">
        <v>845</v>
      </c>
      <c r="AN87" s="478"/>
      <c r="AO87" s="478"/>
      <c r="AU87" s="477"/>
      <c r="AV87" s="477"/>
      <c r="BB87" s="477"/>
      <c r="BC87" s="477"/>
    </row>
    <row r="88" spans="1:55" ht="14.25" customHeight="1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AF88" s="1150"/>
      <c r="AG88" s="430" t="s">
        <v>949</v>
      </c>
      <c r="AH88" s="464" t="s">
        <v>950</v>
      </c>
      <c r="AI88" s="216"/>
      <c r="AN88" s="478"/>
      <c r="AO88" s="478"/>
      <c r="AU88" s="477"/>
      <c r="AV88" s="477"/>
      <c r="BB88" s="477"/>
      <c r="BC88" s="477"/>
    </row>
    <row r="89" spans="1:55" ht="14.25" customHeight="1">
      <c r="AF89" s="1141"/>
      <c r="AG89" s="430" t="s">
        <v>951</v>
      </c>
      <c r="AH89" s="464"/>
      <c r="AI89" s="216"/>
      <c r="AN89" s="478"/>
      <c r="AO89" s="478"/>
      <c r="AU89" s="477"/>
      <c r="AV89" s="477"/>
      <c r="BB89" s="477"/>
      <c r="BC89" s="477"/>
    </row>
    <row r="90" spans="1:55" ht="14.25" customHeight="1">
      <c r="AE90" s="192"/>
      <c r="AF90" s="467"/>
      <c r="AG90" s="192"/>
      <c r="AH90" s="468"/>
      <c r="AI90" s="216"/>
      <c r="AN90" s="478"/>
      <c r="AO90" s="478"/>
      <c r="AU90" s="477"/>
      <c r="AV90" s="477"/>
      <c r="BB90" s="477"/>
      <c r="BC90" s="477"/>
    </row>
    <row r="91" spans="1:55" ht="14.25" customHeight="1">
      <c r="AE91" s="192"/>
      <c r="AF91" s="1220" t="s">
        <v>952</v>
      </c>
      <c r="AG91" s="464" t="s">
        <v>953</v>
      </c>
      <c r="AH91" s="460" t="s">
        <v>954</v>
      </c>
      <c r="AI91" s="461"/>
      <c r="AN91" s="478"/>
      <c r="AO91" s="478"/>
      <c r="AU91" s="477"/>
      <c r="AV91" s="477"/>
      <c r="BB91" s="477"/>
      <c r="BC91" s="477"/>
    </row>
    <row r="92" spans="1:55" ht="14.25" customHeight="1">
      <c r="AE92" s="192"/>
      <c r="AF92" s="1150"/>
      <c r="AG92" s="430" t="s">
        <v>955</v>
      </c>
      <c r="AH92" s="464" t="s">
        <v>956</v>
      </c>
      <c r="AN92" s="478"/>
      <c r="AO92" s="478"/>
      <c r="AU92" s="477"/>
      <c r="AV92" s="477"/>
      <c r="BB92" s="477"/>
      <c r="BC92" s="477"/>
    </row>
    <row r="93" spans="1:55" ht="14.25" customHeight="1">
      <c r="AE93" s="192"/>
      <c r="AF93" s="1150"/>
      <c r="AG93" s="430" t="s">
        <v>957</v>
      </c>
      <c r="AH93" s="430"/>
      <c r="AN93" s="478"/>
      <c r="AO93" s="478"/>
      <c r="AU93" s="477"/>
      <c r="AV93" s="477"/>
      <c r="BB93" s="477"/>
      <c r="BC93" s="477"/>
    </row>
    <row r="94" spans="1:55" ht="14.25" customHeight="1">
      <c r="AE94" s="192"/>
      <c r="AF94" s="1141"/>
      <c r="AG94" s="430" t="s">
        <v>958</v>
      </c>
      <c r="AH94" s="430"/>
      <c r="AN94" s="478"/>
      <c r="AO94" s="478"/>
      <c r="AU94" s="477"/>
      <c r="AV94" s="477"/>
      <c r="BB94" s="477"/>
      <c r="BC94" s="477"/>
    </row>
    <row r="95" spans="1:55" ht="14.25" customHeight="1">
      <c r="AE95" s="192"/>
      <c r="AF95" s="192"/>
      <c r="AG95" s="454"/>
      <c r="AH95" s="454"/>
      <c r="AN95" s="478"/>
      <c r="AO95" s="478"/>
      <c r="AU95" s="477"/>
      <c r="AV95" s="477"/>
      <c r="BB95" s="477"/>
      <c r="BC95" s="477"/>
    </row>
    <row r="96" spans="1:55" ht="14.25" customHeight="1">
      <c r="AG96" s="486"/>
      <c r="AH96" s="486"/>
      <c r="AN96" s="478"/>
      <c r="AO96" s="478"/>
      <c r="AU96" s="477"/>
      <c r="AV96" s="477"/>
      <c r="BB96" s="477"/>
      <c r="BC96" s="477"/>
    </row>
    <row r="97" spans="33:55" ht="14.25" customHeight="1">
      <c r="AG97" s="486"/>
      <c r="AH97" s="486"/>
      <c r="AN97" s="478"/>
      <c r="AO97" s="478"/>
      <c r="AU97" s="477"/>
      <c r="AV97" s="477"/>
      <c r="BB97" s="477"/>
      <c r="BC97" s="477"/>
    </row>
    <row r="98" spans="33:55" ht="14.25" customHeight="1">
      <c r="AG98" s="486"/>
      <c r="AH98" s="486"/>
      <c r="AN98" s="478"/>
      <c r="AO98" s="478"/>
      <c r="AU98" s="477"/>
      <c r="AV98" s="477"/>
      <c r="BB98" s="477"/>
      <c r="BC98" s="477"/>
    </row>
    <row r="99" spans="33:55" ht="14.25" customHeight="1">
      <c r="AG99" s="486"/>
      <c r="AH99" s="486"/>
      <c r="AN99" s="478"/>
      <c r="AO99" s="478"/>
      <c r="AU99" s="477"/>
      <c r="AV99" s="477"/>
      <c r="BB99" s="477"/>
      <c r="BC99" s="477"/>
    </row>
    <row r="100" spans="33:55" ht="14.25" customHeight="1">
      <c r="AG100" s="486"/>
      <c r="AH100" s="486"/>
      <c r="AN100" s="478"/>
      <c r="AO100" s="478"/>
      <c r="AU100" s="477"/>
      <c r="AV100" s="477"/>
      <c r="BB100" s="477"/>
      <c r="BC100" s="477"/>
    </row>
    <row r="101" spans="33:55" ht="14.25" customHeight="1">
      <c r="AG101" s="486"/>
      <c r="AH101" s="486"/>
      <c r="AN101" s="478"/>
      <c r="AO101" s="478"/>
      <c r="AU101" s="477"/>
      <c r="AV101" s="477"/>
      <c r="BB101" s="477"/>
      <c r="BC101" s="477"/>
    </row>
    <row r="102" spans="33:55" ht="14.25" customHeight="1">
      <c r="AG102" s="486"/>
      <c r="AH102" s="486"/>
      <c r="AN102" s="478"/>
      <c r="AO102" s="478"/>
      <c r="AU102" s="477"/>
      <c r="AV102" s="477"/>
      <c r="BB102" s="477"/>
      <c r="BC102" s="477"/>
    </row>
    <row r="103" spans="33:55" ht="14.25" customHeight="1">
      <c r="AG103" s="486"/>
      <c r="AH103" s="486"/>
      <c r="AN103" s="478"/>
      <c r="AO103" s="478"/>
      <c r="AU103" s="477"/>
      <c r="AV103" s="477"/>
      <c r="BB103" s="477"/>
      <c r="BC103" s="477"/>
    </row>
    <row r="104" spans="33:55" ht="14.25" customHeight="1">
      <c r="AG104" s="486"/>
      <c r="AH104" s="486"/>
      <c r="AN104" s="478"/>
      <c r="AO104" s="478"/>
      <c r="AU104" s="477"/>
      <c r="AV104" s="477"/>
      <c r="BB104" s="477"/>
      <c r="BC104" s="477"/>
    </row>
    <row r="105" spans="33:55" ht="14.25" customHeight="1">
      <c r="AG105" s="486"/>
      <c r="AH105" s="486"/>
      <c r="AN105" s="478"/>
      <c r="AO105" s="478"/>
      <c r="AU105" s="477"/>
      <c r="AV105" s="477"/>
      <c r="BB105" s="477"/>
      <c r="BC105" s="477"/>
    </row>
    <row r="106" spans="33:55" ht="14.25" customHeight="1">
      <c r="AG106" s="486"/>
      <c r="AH106" s="486"/>
      <c r="AN106" s="478"/>
      <c r="AO106" s="478"/>
      <c r="AU106" s="477"/>
      <c r="AV106" s="477"/>
      <c r="BB106" s="477"/>
      <c r="BC106" s="477"/>
    </row>
    <row r="107" spans="33:55" ht="14.25" customHeight="1">
      <c r="AG107" s="486"/>
      <c r="AH107" s="486"/>
      <c r="AN107" s="478"/>
      <c r="AO107" s="478"/>
      <c r="AU107" s="477"/>
      <c r="AV107" s="477"/>
      <c r="BB107" s="477"/>
      <c r="BC107" s="477"/>
    </row>
    <row r="108" spans="33:55" ht="14.25" customHeight="1">
      <c r="AG108" s="486"/>
      <c r="AH108" s="486"/>
      <c r="AN108" s="478"/>
      <c r="AO108" s="478"/>
      <c r="AU108" s="477"/>
      <c r="AV108" s="477"/>
      <c r="BB108" s="477"/>
      <c r="BC108" s="477"/>
    </row>
    <row r="109" spans="33:55" ht="14.25" customHeight="1">
      <c r="AG109" s="486"/>
      <c r="AH109" s="486"/>
      <c r="AN109" s="478"/>
      <c r="AO109" s="478"/>
      <c r="AU109" s="477"/>
      <c r="AV109" s="477"/>
      <c r="BB109" s="477"/>
      <c r="BC109" s="477"/>
    </row>
    <row r="110" spans="33:55" ht="14.25" customHeight="1">
      <c r="AG110" s="486"/>
      <c r="AH110" s="486"/>
      <c r="AN110" s="478"/>
      <c r="AO110" s="478"/>
      <c r="AU110" s="477"/>
      <c r="AV110" s="477"/>
      <c r="BB110" s="477"/>
      <c r="BC110" s="477"/>
    </row>
    <row r="111" spans="33:55" ht="14.25" customHeight="1">
      <c r="AG111" s="486"/>
      <c r="AH111" s="486"/>
      <c r="AN111" s="478"/>
      <c r="AO111" s="478"/>
      <c r="AU111" s="477"/>
      <c r="AV111" s="477"/>
      <c r="BB111" s="477"/>
      <c r="BC111" s="477"/>
    </row>
    <row r="112" spans="33:55" ht="14.25" customHeight="1">
      <c r="AG112" s="486"/>
      <c r="AH112" s="486"/>
      <c r="AN112" s="478"/>
      <c r="AO112" s="478"/>
      <c r="AU112" s="477"/>
      <c r="AV112" s="477"/>
      <c r="BB112" s="477"/>
      <c r="BC112" s="477"/>
    </row>
    <row r="113" spans="33:55" ht="14.25" customHeight="1">
      <c r="AG113" s="486"/>
      <c r="AH113" s="486"/>
      <c r="AN113" s="478"/>
      <c r="AO113" s="478"/>
      <c r="AU113" s="477"/>
      <c r="AV113" s="477"/>
      <c r="BB113" s="477"/>
      <c r="BC113" s="477"/>
    </row>
    <row r="114" spans="33:55" ht="14.25" customHeight="1">
      <c r="AG114" s="486"/>
      <c r="AH114" s="486"/>
      <c r="AN114" s="478"/>
      <c r="AO114" s="478"/>
      <c r="AU114" s="477"/>
      <c r="AV114" s="477"/>
      <c r="BB114" s="477"/>
      <c r="BC114" s="477"/>
    </row>
    <row r="115" spans="33:55" ht="14.25" customHeight="1">
      <c r="AG115" s="486"/>
      <c r="AH115" s="486"/>
      <c r="AN115" s="478"/>
      <c r="AO115" s="478"/>
      <c r="AU115" s="477"/>
      <c r="AV115" s="477"/>
      <c r="BB115" s="477"/>
      <c r="BC115" s="477"/>
    </row>
    <row r="116" spans="33:55" ht="14.25" customHeight="1">
      <c r="AG116" s="486"/>
      <c r="AH116" s="486"/>
      <c r="AN116" s="478"/>
      <c r="AO116" s="478"/>
      <c r="AU116" s="477"/>
      <c r="AV116" s="477"/>
      <c r="BB116" s="477"/>
      <c r="BC116" s="477"/>
    </row>
    <row r="117" spans="33:55" ht="14.25" customHeight="1">
      <c r="AG117" s="486"/>
      <c r="AH117" s="486"/>
      <c r="AN117" s="478"/>
      <c r="AO117" s="478"/>
      <c r="AU117" s="477"/>
      <c r="AV117" s="477"/>
      <c r="BB117" s="477"/>
      <c r="BC117" s="477"/>
    </row>
    <row r="118" spans="33:55" ht="14.25" customHeight="1">
      <c r="AG118" s="486"/>
      <c r="AH118" s="486"/>
      <c r="AN118" s="478"/>
      <c r="AO118" s="478"/>
      <c r="AU118" s="477"/>
      <c r="AV118" s="477"/>
      <c r="BB118" s="477"/>
      <c r="BC118" s="477"/>
    </row>
    <row r="119" spans="33:55" ht="14.25" customHeight="1">
      <c r="AG119" s="486"/>
      <c r="AH119" s="486"/>
      <c r="AN119" s="478"/>
      <c r="AO119" s="478"/>
      <c r="AU119" s="477"/>
      <c r="AV119" s="477"/>
      <c r="BB119" s="477"/>
      <c r="BC119" s="477"/>
    </row>
    <row r="120" spans="33:55" ht="14.25" customHeight="1">
      <c r="AG120" s="486"/>
      <c r="AH120" s="486"/>
      <c r="AN120" s="478"/>
      <c r="AO120" s="478"/>
      <c r="AU120" s="477"/>
      <c r="AV120" s="477"/>
      <c r="BB120" s="477"/>
      <c r="BC120" s="477"/>
    </row>
    <row r="121" spans="33:55" ht="14.25" customHeight="1">
      <c r="AG121" s="486"/>
      <c r="AH121" s="486"/>
      <c r="AN121" s="478"/>
      <c r="AO121" s="478"/>
      <c r="AU121" s="477"/>
      <c r="AV121" s="477"/>
      <c r="BB121" s="477"/>
      <c r="BC121" s="477"/>
    </row>
    <row r="122" spans="33:55" ht="14.25" customHeight="1">
      <c r="AG122" s="486"/>
      <c r="AH122" s="486"/>
      <c r="AN122" s="478"/>
      <c r="AO122" s="478"/>
      <c r="AU122" s="477"/>
      <c r="AV122" s="477"/>
      <c r="BB122" s="477"/>
      <c r="BC122" s="477"/>
    </row>
    <row r="123" spans="33:55" ht="14.25" customHeight="1">
      <c r="AG123" s="486"/>
      <c r="AH123" s="486"/>
      <c r="AN123" s="478"/>
      <c r="AO123" s="478"/>
      <c r="AU123" s="477"/>
      <c r="AV123" s="477"/>
      <c r="BB123" s="477"/>
      <c r="BC123" s="477"/>
    </row>
    <row r="124" spans="33:55" ht="14.25" customHeight="1">
      <c r="AG124" s="486"/>
      <c r="AH124" s="486"/>
      <c r="AN124" s="478"/>
      <c r="AO124" s="478"/>
      <c r="AU124" s="477"/>
      <c r="AV124" s="477"/>
      <c r="BB124" s="477"/>
      <c r="BC124" s="477"/>
    </row>
    <row r="125" spans="33:55" ht="14.25" customHeight="1">
      <c r="AG125" s="486"/>
      <c r="AH125" s="486"/>
      <c r="AN125" s="478"/>
      <c r="AO125" s="478"/>
      <c r="AU125" s="477"/>
      <c r="AV125" s="477"/>
      <c r="BB125" s="477"/>
      <c r="BC125" s="477"/>
    </row>
    <row r="126" spans="33:55" ht="14.25" customHeight="1">
      <c r="AG126" s="486"/>
      <c r="AH126" s="486"/>
      <c r="AN126" s="478"/>
      <c r="AO126" s="478"/>
      <c r="AU126" s="477"/>
      <c r="AV126" s="477"/>
      <c r="BB126" s="477"/>
      <c r="BC126" s="477"/>
    </row>
    <row r="127" spans="33:55" ht="14.25" customHeight="1">
      <c r="AG127" s="486"/>
      <c r="AH127" s="486"/>
      <c r="AN127" s="478"/>
      <c r="AO127" s="478"/>
      <c r="AU127" s="477"/>
      <c r="AV127" s="477"/>
      <c r="BB127" s="477"/>
      <c r="BC127" s="477"/>
    </row>
    <row r="128" spans="33:55" ht="14.25" customHeight="1">
      <c r="AG128" s="486"/>
      <c r="AH128" s="486"/>
      <c r="AN128" s="478"/>
      <c r="AO128" s="478"/>
      <c r="AU128" s="477"/>
      <c r="AV128" s="477"/>
      <c r="BB128" s="477"/>
      <c r="BC128" s="477"/>
    </row>
    <row r="129" spans="33:55" ht="14.25" customHeight="1">
      <c r="AG129" s="486"/>
      <c r="AH129" s="486"/>
      <c r="AN129" s="478"/>
      <c r="AO129" s="478"/>
      <c r="AU129" s="477"/>
      <c r="AV129" s="477"/>
      <c r="BB129" s="477"/>
      <c r="BC129" s="477"/>
    </row>
    <row r="130" spans="33:55" ht="14.25" customHeight="1">
      <c r="AG130" s="486"/>
      <c r="AH130" s="486"/>
      <c r="AN130" s="478"/>
      <c r="AO130" s="478"/>
      <c r="AU130" s="477"/>
      <c r="AV130" s="477"/>
      <c r="BB130" s="477"/>
      <c r="BC130" s="477"/>
    </row>
    <row r="131" spans="33:55" ht="14.25" customHeight="1">
      <c r="AG131" s="486"/>
      <c r="AH131" s="486"/>
      <c r="AN131" s="478"/>
      <c r="AO131" s="478"/>
      <c r="AU131" s="477"/>
      <c r="AV131" s="477"/>
      <c r="BB131" s="477"/>
      <c r="BC131" s="477"/>
    </row>
    <row r="132" spans="33:55" ht="14.25" customHeight="1">
      <c r="AG132" s="486"/>
      <c r="AH132" s="486"/>
      <c r="AN132" s="478"/>
      <c r="AO132" s="478"/>
      <c r="AU132" s="477"/>
      <c r="AV132" s="477"/>
      <c r="BB132" s="477"/>
      <c r="BC132" s="477"/>
    </row>
    <row r="133" spans="33:55" ht="14.25" customHeight="1">
      <c r="AG133" s="486"/>
      <c r="AH133" s="486"/>
      <c r="AN133" s="478"/>
      <c r="AO133" s="478"/>
      <c r="AU133" s="477"/>
      <c r="AV133" s="477"/>
      <c r="BB133" s="477"/>
      <c r="BC133" s="477"/>
    </row>
    <row r="134" spans="33:55" ht="14.25" customHeight="1">
      <c r="AG134" s="486"/>
      <c r="AH134" s="486"/>
      <c r="AN134" s="478"/>
      <c r="AO134" s="478"/>
      <c r="AU134" s="477"/>
      <c r="AV134" s="477"/>
      <c r="BB134" s="477"/>
      <c r="BC134" s="477"/>
    </row>
    <row r="135" spans="33:55" ht="14.25" customHeight="1">
      <c r="AG135" s="486"/>
      <c r="AH135" s="486"/>
      <c r="AN135" s="478"/>
      <c r="AO135" s="478"/>
      <c r="AU135" s="477"/>
      <c r="AV135" s="477"/>
      <c r="BB135" s="477"/>
      <c r="BC135" s="477"/>
    </row>
    <row r="136" spans="33:55" ht="14.25" customHeight="1">
      <c r="AG136" s="486"/>
      <c r="AH136" s="486"/>
      <c r="AN136" s="478"/>
      <c r="AO136" s="478"/>
      <c r="AU136" s="477"/>
      <c r="AV136" s="477"/>
      <c r="BB136" s="477"/>
      <c r="BC136" s="477"/>
    </row>
    <row r="137" spans="33:55" ht="14.25" customHeight="1">
      <c r="AG137" s="486"/>
      <c r="AH137" s="486"/>
      <c r="AN137" s="478"/>
      <c r="AO137" s="478"/>
      <c r="AU137" s="477"/>
      <c r="AV137" s="477"/>
      <c r="BB137" s="477"/>
      <c r="BC137" s="477"/>
    </row>
    <row r="138" spans="33:55" ht="14.25" customHeight="1">
      <c r="AG138" s="486"/>
      <c r="AH138" s="486"/>
      <c r="AN138" s="478"/>
      <c r="AO138" s="478"/>
      <c r="AU138" s="477"/>
      <c r="AV138" s="477"/>
      <c r="BB138" s="477"/>
      <c r="BC138" s="477"/>
    </row>
    <row r="139" spans="33:55" ht="14.25" customHeight="1">
      <c r="AG139" s="486"/>
      <c r="AH139" s="486"/>
      <c r="AN139" s="478"/>
      <c r="AO139" s="478"/>
      <c r="AU139" s="477"/>
      <c r="AV139" s="477"/>
      <c r="BB139" s="477"/>
      <c r="BC139" s="477"/>
    </row>
    <row r="140" spans="33:55" ht="14.25" customHeight="1">
      <c r="AG140" s="486"/>
      <c r="AH140" s="486"/>
      <c r="AN140" s="478"/>
      <c r="AO140" s="478"/>
      <c r="AU140" s="477"/>
      <c r="AV140" s="477"/>
      <c r="BB140" s="477"/>
      <c r="BC140" s="477"/>
    </row>
    <row r="141" spans="33:55" ht="14.25" customHeight="1">
      <c r="AG141" s="486"/>
      <c r="AH141" s="486"/>
      <c r="AN141" s="478"/>
      <c r="AO141" s="478"/>
      <c r="AU141" s="477"/>
      <c r="AV141" s="477"/>
      <c r="BB141" s="477"/>
      <c r="BC141" s="477"/>
    </row>
    <row r="142" spans="33:55" ht="14.25" customHeight="1">
      <c r="AG142" s="486"/>
      <c r="AH142" s="486"/>
      <c r="AN142" s="478"/>
      <c r="AO142" s="478"/>
      <c r="AU142" s="477"/>
      <c r="AV142" s="477"/>
      <c r="BB142" s="477"/>
      <c r="BC142" s="477"/>
    </row>
    <row r="143" spans="33:55" ht="14.25" customHeight="1">
      <c r="AG143" s="486"/>
      <c r="AH143" s="486"/>
      <c r="AN143" s="478"/>
      <c r="AO143" s="478"/>
      <c r="AU143" s="477"/>
      <c r="AV143" s="477"/>
      <c r="BB143" s="477"/>
      <c r="BC143" s="477"/>
    </row>
    <row r="144" spans="33:55" ht="14.25" customHeight="1">
      <c r="AG144" s="486"/>
      <c r="AH144" s="486"/>
      <c r="AN144" s="478"/>
      <c r="AO144" s="478"/>
      <c r="AU144" s="477"/>
      <c r="AV144" s="477"/>
      <c r="BB144" s="477"/>
      <c r="BC144" s="477"/>
    </row>
    <row r="145" spans="33:55" ht="14.25" customHeight="1">
      <c r="AG145" s="486"/>
      <c r="AH145" s="486"/>
      <c r="AN145" s="478"/>
      <c r="AO145" s="478"/>
      <c r="AU145" s="477"/>
      <c r="AV145" s="477"/>
      <c r="BB145" s="477"/>
      <c r="BC145" s="477"/>
    </row>
    <row r="146" spans="33:55" ht="14.25" customHeight="1">
      <c r="AG146" s="486"/>
      <c r="AH146" s="486"/>
      <c r="AN146" s="478"/>
      <c r="AO146" s="478"/>
      <c r="AU146" s="477"/>
      <c r="AV146" s="477"/>
      <c r="BB146" s="477"/>
      <c r="BC146" s="477"/>
    </row>
    <row r="147" spans="33:55" ht="14.25" customHeight="1">
      <c r="AG147" s="486"/>
      <c r="AH147" s="486"/>
      <c r="AN147" s="478"/>
      <c r="AO147" s="478"/>
      <c r="AU147" s="477"/>
      <c r="AV147" s="477"/>
      <c r="BB147" s="477"/>
      <c r="BC147" s="477"/>
    </row>
    <row r="148" spans="33:55" ht="14.25" customHeight="1">
      <c r="AG148" s="486"/>
      <c r="AH148" s="486"/>
      <c r="AN148" s="478"/>
      <c r="AO148" s="478"/>
      <c r="AU148" s="477"/>
      <c r="AV148" s="477"/>
      <c r="BB148" s="477"/>
      <c r="BC148" s="477"/>
    </row>
    <row r="149" spans="33:55" ht="14.25" customHeight="1">
      <c r="AG149" s="486"/>
      <c r="AH149" s="486"/>
      <c r="AN149" s="478"/>
      <c r="AO149" s="478"/>
      <c r="AU149" s="477"/>
      <c r="AV149" s="477"/>
      <c r="BB149" s="477"/>
      <c r="BC149" s="477"/>
    </row>
    <row r="150" spans="33:55" ht="14.25" customHeight="1">
      <c r="AG150" s="486"/>
      <c r="AH150" s="486"/>
      <c r="AN150" s="478"/>
      <c r="AO150" s="478"/>
      <c r="AU150" s="477"/>
      <c r="AV150" s="477"/>
      <c r="BB150" s="477"/>
      <c r="BC150" s="477"/>
    </row>
    <row r="151" spans="33:55" ht="14.25" customHeight="1">
      <c r="AG151" s="486"/>
      <c r="AH151" s="486"/>
      <c r="AN151" s="478"/>
      <c r="AO151" s="478"/>
      <c r="AU151" s="477"/>
      <c r="AV151" s="477"/>
      <c r="BB151" s="477"/>
      <c r="BC151" s="477"/>
    </row>
    <row r="152" spans="33:55" ht="14.25" customHeight="1">
      <c r="AG152" s="486"/>
      <c r="AH152" s="486"/>
      <c r="AN152" s="478"/>
      <c r="AO152" s="478"/>
      <c r="AU152" s="477"/>
      <c r="AV152" s="477"/>
      <c r="BB152" s="477"/>
      <c r="BC152" s="477"/>
    </row>
    <row r="153" spans="33:55" ht="14.25" customHeight="1">
      <c r="AG153" s="486"/>
      <c r="AH153" s="486"/>
      <c r="AN153" s="478"/>
      <c r="AO153" s="478"/>
      <c r="AU153" s="477"/>
      <c r="AV153" s="477"/>
      <c r="BB153" s="477"/>
      <c r="BC153" s="477"/>
    </row>
    <row r="154" spans="33:55" ht="14.25" customHeight="1">
      <c r="AG154" s="486"/>
      <c r="AH154" s="486"/>
      <c r="AN154" s="478"/>
      <c r="AO154" s="478"/>
      <c r="AU154" s="477"/>
      <c r="AV154" s="477"/>
      <c r="BB154" s="477"/>
      <c r="BC154" s="477"/>
    </row>
    <row r="155" spans="33:55" ht="14.25" customHeight="1">
      <c r="AG155" s="486"/>
      <c r="AH155" s="486"/>
      <c r="AN155" s="478"/>
      <c r="AO155" s="478"/>
      <c r="AU155" s="477"/>
      <c r="AV155" s="477"/>
      <c r="BB155" s="477"/>
      <c r="BC155" s="477"/>
    </row>
    <row r="156" spans="33:55" ht="14.25" customHeight="1">
      <c r="AG156" s="486"/>
      <c r="AH156" s="486"/>
      <c r="AN156" s="478"/>
      <c r="AO156" s="478"/>
      <c r="AU156" s="477"/>
      <c r="AV156" s="477"/>
      <c r="BB156" s="477"/>
      <c r="BC156" s="477"/>
    </row>
    <row r="157" spans="33:55" ht="14.25" customHeight="1">
      <c r="AG157" s="486"/>
      <c r="AH157" s="486"/>
      <c r="AN157" s="478"/>
      <c r="AO157" s="478"/>
      <c r="AU157" s="477"/>
      <c r="AV157" s="477"/>
      <c r="BB157" s="477"/>
      <c r="BC157" s="477"/>
    </row>
    <row r="158" spans="33:55" ht="14.25" customHeight="1">
      <c r="AG158" s="486"/>
      <c r="AH158" s="486"/>
      <c r="AN158" s="478"/>
      <c r="AO158" s="478"/>
      <c r="AU158" s="477"/>
      <c r="AV158" s="477"/>
      <c r="BB158" s="477"/>
      <c r="BC158" s="477"/>
    </row>
    <row r="159" spans="33:55" ht="14.25" customHeight="1">
      <c r="AG159" s="486"/>
      <c r="AH159" s="486"/>
      <c r="AN159" s="478"/>
      <c r="AO159" s="478"/>
      <c r="AU159" s="477"/>
      <c r="AV159" s="477"/>
      <c r="BB159" s="477"/>
      <c r="BC159" s="477"/>
    </row>
    <row r="160" spans="33:55" ht="14.25" customHeight="1">
      <c r="AG160" s="486"/>
      <c r="AH160" s="486"/>
      <c r="AN160" s="478"/>
      <c r="AO160" s="478"/>
      <c r="AU160" s="477"/>
      <c r="AV160" s="477"/>
      <c r="BB160" s="477"/>
      <c r="BC160" s="477"/>
    </row>
    <row r="161" spans="33:55" ht="14.25" customHeight="1">
      <c r="AG161" s="486"/>
      <c r="AH161" s="486"/>
      <c r="AN161" s="478"/>
      <c r="AO161" s="478"/>
      <c r="AU161" s="477"/>
      <c r="AV161" s="477"/>
      <c r="BB161" s="477"/>
      <c r="BC161" s="477"/>
    </row>
    <row r="162" spans="33:55" ht="14.25" customHeight="1">
      <c r="AG162" s="486"/>
      <c r="AH162" s="486"/>
      <c r="AN162" s="478"/>
      <c r="AO162" s="478"/>
      <c r="AU162" s="477"/>
      <c r="AV162" s="477"/>
      <c r="BB162" s="477"/>
      <c r="BC162" s="477"/>
    </row>
    <row r="163" spans="33:55" ht="14.25" customHeight="1">
      <c r="AG163" s="486"/>
      <c r="AH163" s="486"/>
      <c r="AN163" s="478"/>
      <c r="AO163" s="478"/>
      <c r="AU163" s="477"/>
      <c r="AV163" s="477"/>
      <c r="BB163" s="477"/>
      <c r="BC163" s="477"/>
    </row>
    <row r="164" spans="33:55" ht="14.25" customHeight="1">
      <c r="AG164" s="486"/>
      <c r="AH164" s="486"/>
      <c r="AN164" s="478"/>
      <c r="AO164" s="478"/>
      <c r="AU164" s="477"/>
      <c r="AV164" s="477"/>
      <c r="BB164" s="477"/>
      <c r="BC164" s="477"/>
    </row>
    <row r="165" spans="33:55" ht="14.25" customHeight="1">
      <c r="AG165" s="486"/>
      <c r="AH165" s="486"/>
      <c r="AN165" s="478"/>
      <c r="AO165" s="478"/>
      <c r="AU165" s="477"/>
      <c r="AV165" s="477"/>
      <c r="BB165" s="477"/>
      <c r="BC165" s="477"/>
    </row>
    <row r="166" spans="33:55" ht="14.25" customHeight="1">
      <c r="AG166" s="486"/>
      <c r="AH166" s="486"/>
      <c r="AN166" s="478"/>
      <c r="AO166" s="478"/>
      <c r="AU166" s="477"/>
      <c r="AV166" s="477"/>
      <c r="BB166" s="477"/>
      <c r="BC166" s="477"/>
    </row>
    <row r="167" spans="33:55" ht="14.25" customHeight="1">
      <c r="AG167" s="486"/>
      <c r="AH167" s="486"/>
      <c r="AN167" s="478"/>
      <c r="AO167" s="478"/>
      <c r="AU167" s="477"/>
      <c r="AV167" s="477"/>
      <c r="BB167" s="477"/>
      <c r="BC167" s="477"/>
    </row>
    <row r="168" spans="33:55" ht="14.25" customHeight="1">
      <c r="AG168" s="486"/>
      <c r="AH168" s="486"/>
      <c r="AN168" s="478"/>
      <c r="AO168" s="478"/>
      <c r="AU168" s="477"/>
      <c r="AV168" s="477"/>
      <c r="BB168" s="477"/>
      <c r="BC168" s="477"/>
    </row>
    <row r="169" spans="33:55" ht="14.25" customHeight="1">
      <c r="AG169" s="486"/>
      <c r="AH169" s="486"/>
      <c r="AN169" s="478"/>
      <c r="AO169" s="478"/>
      <c r="AU169" s="477"/>
      <c r="AV169" s="477"/>
      <c r="BB169" s="477"/>
      <c r="BC169" s="477"/>
    </row>
    <row r="170" spans="33:55" ht="14.25" customHeight="1">
      <c r="AG170" s="486"/>
      <c r="AH170" s="486"/>
      <c r="AN170" s="478"/>
      <c r="AO170" s="478"/>
      <c r="AU170" s="477"/>
      <c r="AV170" s="477"/>
      <c r="BB170" s="477"/>
      <c r="BC170" s="477"/>
    </row>
    <row r="171" spans="33:55" ht="14.25" customHeight="1">
      <c r="AG171" s="486"/>
      <c r="AH171" s="486"/>
      <c r="AN171" s="478"/>
      <c r="AO171" s="478"/>
      <c r="AU171" s="477"/>
      <c r="AV171" s="477"/>
      <c r="BB171" s="477"/>
      <c r="BC171" s="477"/>
    </row>
    <row r="172" spans="33:55" ht="14.25" customHeight="1">
      <c r="AG172" s="486"/>
      <c r="AH172" s="486"/>
      <c r="AN172" s="478"/>
      <c r="AO172" s="478"/>
      <c r="AU172" s="477"/>
      <c r="AV172" s="477"/>
      <c r="BB172" s="477"/>
      <c r="BC172" s="477"/>
    </row>
    <row r="173" spans="33:55" ht="14.25" customHeight="1">
      <c r="AG173" s="486"/>
      <c r="AH173" s="486"/>
      <c r="AN173" s="478"/>
      <c r="AO173" s="478"/>
      <c r="AU173" s="477"/>
      <c r="AV173" s="477"/>
      <c r="BB173" s="477"/>
      <c r="BC173" s="477"/>
    </row>
    <row r="174" spans="33:55" ht="14.25" customHeight="1">
      <c r="AG174" s="486"/>
      <c r="AH174" s="486"/>
      <c r="AN174" s="478"/>
      <c r="AO174" s="478"/>
      <c r="AU174" s="477"/>
      <c r="AV174" s="477"/>
      <c r="BB174" s="477"/>
      <c r="BC174" s="477"/>
    </row>
    <row r="175" spans="33:55" ht="14.25" customHeight="1">
      <c r="AG175" s="486"/>
      <c r="AH175" s="486"/>
      <c r="AN175" s="478"/>
      <c r="AO175" s="478"/>
      <c r="AU175" s="477"/>
      <c r="AV175" s="477"/>
      <c r="BB175" s="477"/>
      <c r="BC175" s="477"/>
    </row>
    <row r="176" spans="33:55" ht="14.25" customHeight="1">
      <c r="AG176" s="486"/>
      <c r="AH176" s="486"/>
      <c r="AN176" s="478"/>
      <c r="AO176" s="478"/>
      <c r="AU176" s="477"/>
      <c r="AV176" s="477"/>
      <c r="BB176" s="477"/>
      <c r="BC176" s="477"/>
    </row>
    <row r="177" spans="33:55" ht="14.25" customHeight="1">
      <c r="AG177" s="486"/>
      <c r="AH177" s="486"/>
      <c r="AN177" s="478"/>
      <c r="AO177" s="478"/>
      <c r="AU177" s="477"/>
      <c r="AV177" s="477"/>
      <c r="BB177" s="477"/>
      <c r="BC177" s="477"/>
    </row>
    <row r="178" spans="33:55" ht="14.25" customHeight="1">
      <c r="AG178" s="486"/>
      <c r="AH178" s="486"/>
      <c r="AN178" s="478"/>
      <c r="AO178" s="478"/>
      <c r="AU178" s="477"/>
      <c r="AV178" s="477"/>
      <c r="BB178" s="477"/>
      <c r="BC178" s="477"/>
    </row>
    <row r="179" spans="33:55" ht="14.25" customHeight="1">
      <c r="AG179" s="486"/>
      <c r="AH179" s="486"/>
      <c r="AN179" s="478"/>
      <c r="AO179" s="478"/>
      <c r="AU179" s="477"/>
      <c r="AV179" s="477"/>
      <c r="BB179" s="477"/>
      <c r="BC179" s="477"/>
    </row>
    <row r="180" spans="33:55" ht="14.25" customHeight="1">
      <c r="AG180" s="486"/>
      <c r="AH180" s="486"/>
      <c r="AN180" s="478"/>
      <c r="AO180" s="478"/>
      <c r="AU180" s="477"/>
      <c r="AV180" s="477"/>
      <c r="BB180" s="477"/>
      <c r="BC180" s="477"/>
    </row>
    <row r="181" spans="33:55" ht="14.25" customHeight="1">
      <c r="AG181" s="486"/>
      <c r="AH181" s="486"/>
      <c r="AN181" s="478"/>
      <c r="AO181" s="478"/>
      <c r="AU181" s="477"/>
      <c r="AV181" s="477"/>
      <c r="BB181" s="477"/>
      <c r="BC181" s="477"/>
    </row>
    <row r="182" spans="33:55" ht="14.25" customHeight="1">
      <c r="AG182" s="486"/>
      <c r="AH182" s="486"/>
      <c r="AN182" s="478"/>
      <c r="AO182" s="478"/>
      <c r="AU182" s="477"/>
      <c r="AV182" s="477"/>
      <c r="BB182" s="477"/>
      <c r="BC182" s="477"/>
    </row>
    <row r="183" spans="33:55" ht="14.25" customHeight="1">
      <c r="AG183" s="486"/>
      <c r="AH183" s="486"/>
      <c r="AN183" s="478"/>
      <c r="AO183" s="478"/>
      <c r="AU183" s="477"/>
      <c r="AV183" s="477"/>
      <c r="BB183" s="477"/>
      <c r="BC183" s="477"/>
    </row>
    <row r="184" spans="33:55" ht="14.25" customHeight="1">
      <c r="AG184" s="486"/>
      <c r="AH184" s="486"/>
      <c r="AN184" s="478"/>
      <c r="AO184" s="478"/>
      <c r="AU184" s="477"/>
      <c r="AV184" s="477"/>
      <c r="BB184" s="477"/>
      <c r="BC184" s="477"/>
    </row>
    <row r="185" spans="33:55" ht="14.25" customHeight="1">
      <c r="AG185" s="486"/>
      <c r="AH185" s="486"/>
      <c r="AN185" s="478"/>
      <c r="AO185" s="478"/>
      <c r="AU185" s="477"/>
      <c r="AV185" s="477"/>
      <c r="BB185" s="477"/>
      <c r="BC185" s="477"/>
    </row>
    <row r="186" spans="33:55" ht="14.25" customHeight="1">
      <c r="AG186" s="486"/>
      <c r="AH186" s="486"/>
      <c r="AN186" s="478"/>
      <c r="AO186" s="478"/>
      <c r="AU186" s="477"/>
      <c r="AV186" s="477"/>
      <c r="BB186" s="477"/>
      <c r="BC186" s="477"/>
    </row>
    <row r="187" spans="33:55" ht="14.25" customHeight="1">
      <c r="AG187" s="486"/>
      <c r="AH187" s="486"/>
      <c r="AN187" s="478"/>
      <c r="AO187" s="478"/>
      <c r="AU187" s="477"/>
      <c r="AV187" s="477"/>
      <c r="BB187" s="477"/>
      <c r="BC187" s="477"/>
    </row>
    <row r="188" spans="33:55" ht="14.25" customHeight="1">
      <c r="AG188" s="486"/>
      <c r="AH188" s="486"/>
      <c r="AN188" s="478"/>
      <c r="AO188" s="478"/>
      <c r="AU188" s="477"/>
      <c r="AV188" s="477"/>
      <c r="BB188" s="477"/>
      <c r="BC188" s="477"/>
    </row>
    <row r="189" spans="33:55" ht="14.25" customHeight="1">
      <c r="AG189" s="486"/>
      <c r="AH189" s="486"/>
      <c r="AN189" s="478"/>
      <c r="AO189" s="478"/>
      <c r="AU189" s="477"/>
      <c r="AV189" s="477"/>
      <c r="BB189" s="477"/>
      <c r="BC189" s="477"/>
    </row>
    <row r="190" spans="33:55" ht="14.25" customHeight="1">
      <c r="AG190" s="486"/>
      <c r="AH190" s="486"/>
      <c r="AN190" s="478"/>
      <c r="AO190" s="478"/>
      <c r="AU190" s="477"/>
      <c r="AV190" s="477"/>
      <c r="BB190" s="477"/>
      <c r="BC190" s="477"/>
    </row>
    <row r="191" spans="33:55" ht="14.25" customHeight="1">
      <c r="AG191" s="486"/>
      <c r="AH191" s="486"/>
      <c r="AN191" s="478"/>
      <c r="AO191" s="478"/>
      <c r="AU191" s="477"/>
      <c r="AV191" s="477"/>
      <c r="BB191" s="477"/>
      <c r="BC191" s="477"/>
    </row>
    <row r="192" spans="33:55" ht="14.25" customHeight="1">
      <c r="AG192" s="486"/>
      <c r="AH192" s="486"/>
      <c r="AN192" s="478"/>
      <c r="AO192" s="478"/>
      <c r="AU192" s="477"/>
      <c r="AV192" s="477"/>
      <c r="BB192" s="477"/>
      <c r="BC192" s="477"/>
    </row>
    <row r="193" spans="33:55" ht="14.25" customHeight="1">
      <c r="AG193" s="486"/>
      <c r="AH193" s="486"/>
      <c r="AN193" s="478"/>
      <c r="AO193" s="478"/>
      <c r="AU193" s="477"/>
      <c r="AV193" s="477"/>
      <c r="BB193" s="477"/>
      <c r="BC193" s="477"/>
    </row>
    <row r="194" spans="33:55" ht="14.25" customHeight="1">
      <c r="AG194" s="486"/>
      <c r="AH194" s="486"/>
      <c r="AN194" s="478"/>
      <c r="AO194" s="478"/>
      <c r="AU194" s="477"/>
      <c r="AV194" s="477"/>
      <c r="BB194" s="477"/>
      <c r="BC194" s="477"/>
    </row>
    <row r="195" spans="33:55" ht="14.25" customHeight="1">
      <c r="AG195" s="486"/>
      <c r="AH195" s="486"/>
      <c r="AN195" s="478"/>
      <c r="AO195" s="478"/>
      <c r="AU195" s="477"/>
      <c r="AV195" s="477"/>
      <c r="BB195" s="477"/>
      <c r="BC195" s="477"/>
    </row>
    <row r="196" spans="33:55" ht="14.25" customHeight="1">
      <c r="AG196" s="486"/>
      <c r="AH196" s="486"/>
      <c r="AN196" s="478"/>
      <c r="AO196" s="478"/>
      <c r="AU196" s="477"/>
      <c r="AV196" s="477"/>
      <c r="BB196" s="477"/>
      <c r="BC196" s="477"/>
    </row>
    <row r="197" spans="33:55" ht="14.25" customHeight="1">
      <c r="AG197" s="486"/>
      <c r="AH197" s="486"/>
      <c r="AN197" s="478"/>
      <c r="AO197" s="478"/>
      <c r="AU197" s="477"/>
      <c r="AV197" s="477"/>
      <c r="BB197" s="477"/>
      <c r="BC197" s="477"/>
    </row>
    <row r="198" spans="33:55" ht="14.25" customHeight="1">
      <c r="AG198" s="486"/>
      <c r="AH198" s="486"/>
      <c r="AN198" s="478"/>
      <c r="AO198" s="478"/>
      <c r="AU198" s="477"/>
      <c r="AV198" s="477"/>
      <c r="BB198" s="477"/>
      <c r="BC198" s="477"/>
    </row>
    <row r="199" spans="33:55" ht="14.25" customHeight="1">
      <c r="AG199" s="486"/>
      <c r="AH199" s="486"/>
      <c r="AN199" s="478"/>
      <c r="AO199" s="478"/>
      <c r="AU199" s="477"/>
      <c r="AV199" s="477"/>
      <c r="BB199" s="477"/>
      <c r="BC199" s="477"/>
    </row>
    <row r="200" spans="33:55" ht="14.25" customHeight="1">
      <c r="AG200" s="486"/>
      <c r="AH200" s="486"/>
      <c r="AN200" s="478"/>
      <c r="AO200" s="478"/>
      <c r="AU200" s="477"/>
      <c r="AV200" s="477"/>
      <c r="BB200" s="477"/>
      <c r="BC200" s="477"/>
    </row>
    <row r="201" spans="33:55" ht="14.25" customHeight="1">
      <c r="AG201" s="486"/>
      <c r="AH201" s="486"/>
      <c r="AN201" s="478"/>
      <c r="AO201" s="478"/>
      <c r="AU201" s="477"/>
      <c r="AV201" s="477"/>
      <c r="BB201" s="477"/>
      <c r="BC201" s="477"/>
    </row>
    <row r="202" spans="33:55" ht="14.25" customHeight="1">
      <c r="AG202" s="486"/>
      <c r="AH202" s="486"/>
      <c r="AN202" s="478"/>
      <c r="AO202" s="478"/>
      <c r="AU202" s="477"/>
      <c r="AV202" s="477"/>
      <c r="BB202" s="477"/>
      <c r="BC202" s="477"/>
    </row>
    <row r="203" spans="33:55" ht="14.25" customHeight="1">
      <c r="AG203" s="486"/>
      <c r="AH203" s="486"/>
      <c r="AN203" s="478"/>
      <c r="AO203" s="478"/>
      <c r="AU203" s="477"/>
      <c r="AV203" s="477"/>
      <c r="BB203" s="477"/>
      <c r="BC203" s="477"/>
    </row>
    <row r="204" spans="33:55" ht="14.25" customHeight="1">
      <c r="AG204" s="486"/>
      <c r="AH204" s="486"/>
      <c r="AN204" s="478"/>
      <c r="AO204" s="478"/>
      <c r="AU204" s="477"/>
      <c r="AV204" s="477"/>
      <c r="BB204" s="477"/>
      <c r="BC204" s="477"/>
    </row>
    <row r="205" spans="33:55" ht="14.25" customHeight="1">
      <c r="AG205" s="486"/>
      <c r="AH205" s="486"/>
      <c r="AN205" s="478"/>
      <c r="AO205" s="478"/>
      <c r="AU205" s="477"/>
      <c r="AV205" s="477"/>
      <c r="BB205" s="477"/>
      <c r="BC205" s="477"/>
    </row>
    <row r="206" spans="33:55" ht="14.25" customHeight="1">
      <c r="AG206" s="486"/>
      <c r="AH206" s="486"/>
      <c r="AN206" s="478"/>
      <c r="AO206" s="478"/>
      <c r="AU206" s="477"/>
      <c r="AV206" s="477"/>
      <c r="BB206" s="477"/>
      <c r="BC206" s="477"/>
    </row>
    <row r="207" spans="33:55" ht="14.25" customHeight="1">
      <c r="AG207" s="486"/>
      <c r="AH207" s="486"/>
      <c r="AN207" s="478"/>
      <c r="AO207" s="478"/>
      <c r="AU207" s="477"/>
      <c r="AV207" s="477"/>
      <c r="BB207" s="477"/>
      <c r="BC207" s="477"/>
    </row>
    <row r="208" spans="33:55" ht="14.25" customHeight="1">
      <c r="AG208" s="486"/>
      <c r="AH208" s="486"/>
      <c r="AN208" s="478"/>
      <c r="AO208" s="478"/>
      <c r="AU208" s="477"/>
      <c r="AV208" s="477"/>
      <c r="BB208" s="477"/>
      <c r="BC208" s="477"/>
    </row>
    <row r="209" spans="33:55" ht="14.25" customHeight="1">
      <c r="AG209" s="486"/>
      <c r="AH209" s="486"/>
      <c r="AN209" s="478"/>
      <c r="AO209" s="478"/>
      <c r="AU209" s="477"/>
      <c r="AV209" s="477"/>
      <c r="BB209" s="477"/>
      <c r="BC209" s="477"/>
    </row>
    <row r="210" spans="33:55" ht="14.25" customHeight="1">
      <c r="AG210" s="486"/>
      <c r="AH210" s="486"/>
      <c r="AN210" s="478"/>
      <c r="AO210" s="478"/>
      <c r="AU210" s="477"/>
      <c r="AV210" s="477"/>
      <c r="BB210" s="477"/>
      <c r="BC210" s="477"/>
    </row>
    <row r="211" spans="33:55" ht="14.25" customHeight="1">
      <c r="AG211" s="486"/>
      <c r="AH211" s="486"/>
      <c r="AN211" s="478"/>
      <c r="AO211" s="478"/>
      <c r="AU211" s="477"/>
      <c r="AV211" s="477"/>
      <c r="BB211" s="477"/>
      <c r="BC211" s="477"/>
    </row>
    <row r="212" spans="33:55" ht="14.25" customHeight="1">
      <c r="AG212" s="486"/>
      <c r="AH212" s="486"/>
      <c r="AN212" s="478"/>
      <c r="AO212" s="478"/>
      <c r="AU212" s="477"/>
      <c r="AV212" s="477"/>
      <c r="BB212" s="477"/>
      <c r="BC212" s="477"/>
    </row>
    <row r="213" spans="33:55" ht="14.25" customHeight="1">
      <c r="AG213" s="486"/>
      <c r="AH213" s="486"/>
      <c r="AN213" s="478"/>
      <c r="AO213" s="478"/>
      <c r="AU213" s="477"/>
      <c r="AV213" s="477"/>
      <c r="BB213" s="477"/>
      <c r="BC213" s="477"/>
    </row>
    <row r="214" spans="33:55" ht="14.25" customHeight="1">
      <c r="AG214" s="486"/>
      <c r="AH214" s="486"/>
      <c r="AN214" s="478"/>
      <c r="AO214" s="478"/>
      <c r="AU214" s="477"/>
      <c r="AV214" s="477"/>
      <c r="BB214" s="477"/>
      <c r="BC214" s="477"/>
    </row>
    <row r="215" spans="33:55" ht="14.25" customHeight="1">
      <c r="AG215" s="486"/>
      <c r="AH215" s="486"/>
      <c r="AN215" s="478"/>
      <c r="AO215" s="478"/>
      <c r="AU215" s="477"/>
      <c r="AV215" s="477"/>
      <c r="BB215" s="477"/>
      <c r="BC215" s="477"/>
    </row>
    <row r="216" spans="33:55" ht="14.25" customHeight="1">
      <c r="AG216" s="486"/>
      <c r="AH216" s="486"/>
      <c r="AN216" s="478"/>
      <c r="AO216" s="478"/>
      <c r="AU216" s="477"/>
      <c r="AV216" s="477"/>
      <c r="BB216" s="477"/>
      <c r="BC216" s="477"/>
    </row>
    <row r="217" spans="33:55" ht="14.25" customHeight="1">
      <c r="AG217" s="486"/>
      <c r="AH217" s="486"/>
      <c r="AN217" s="478"/>
      <c r="AO217" s="478"/>
      <c r="AU217" s="477"/>
      <c r="AV217" s="477"/>
      <c r="BB217" s="477"/>
      <c r="BC217" s="477"/>
    </row>
    <row r="218" spans="33:55" ht="14.25" customHeight="1">
      <c r="AG218" s="486"/>
      <c r="AH218" s="486"/>
      <c r="AN218" s="478"/>
      <c r="AO218" s="478"/>
      <c r="AU218" s="477"/>
      <c r="AV218" s="477"/>
      <c r="BB218" s="477"/>
      <c r="BC218" s="477"/>
    </row>
    <row r="219" spans="33:55" ht="14.25" customHeight="1">
      <c r="AG219" s="486"/>
      <c r="AH219" s="486"/>
      <c r="AN219" s="478"/>
      <c r="AO219" s="478"/>
      <c r="AU219" s="477"/>
      <c r="AV219" s="477"/>
      <c r="BB219" s="477"/>
      <c r="BC219" s="477"/>
    </row>
    <row r="220" spans="33:55" ht="14.25" customHeight="1">
      <c r="AG220" s="486"/>
      <c r="AH220" s="486"/>
      <c r="AN220" s="478"/>
      <c r="AO220" s="478"/>
      <c r="AU220" s="477"/>
      <c r="AV220" s="477"/>
      <c r="BB220" s="477"/>
      <c r="BC220" s="477"/>
    </row>
    <row r="221" spans="33:55" ht="14.25" customHeight="1">
      <c r="AG221" s="486"/>
      <c r="AH221" s="486"/>
      <c r="AN221" s="478"/>
      <c r="AO221" s="478"/>
      <c r="AU221" s="477"/>
      <c r="AV221" s="477"/>
      <c r="BB221" s="477"/>
      <c r="BC221" s="477"/>
    </row>
    <row r="222" spans="33:55" ht="14.25" customHeight="1">
      <c r="AG222" s="486"/>
      <c r="AH222" s="486"/>
      <c r="AN222" s="478"/>
      <c r="AO222" s="478"/>
      <c r="AU222" s="477"/>
      <c r="AV222" s="477"/>
      <c r="BB222" s="477"/>
      <c r="BC222" s="477"/>
    </row>
    <row r="223" spans="33:55" ht="14.25" customHeight="1">
      <c r="AG223" s="486"/>
      <c r="AH223" s="486"/>
      <c r="AN223" s="478"/>
      <c r="AO223" s="478"/>
      <c r="AU223" s="477"/>
      <c r="AV223" s="477"/>
      <c r="BB223" s="477"/>
      <c r="BC223" s="477"/>
    </row>
    <row r="224" spans="33:55" ht="14.25" customHeight="1">
      <c r="AG224" s="486"/>
      <c r="AH224" s="486"/>
      <c r="AN224" s="478"/>
      <c r="AO224" s="478"/>
      <c r="AU224" s="477"/>
      <c r="AV224" s="477"/>
      <c r="BB224" s="477"/>
      <c r="BC224" s="477"/>
    </row>
    <row r="225" spans="33:55" ht="14.25" customHeight="1">
      <c r="AG225" s="486"/>
      <c r="AH225" s="486"/>
      <c r="AN225" s="478"/>
      <c r="AO225" s="478"/>
      <c r="AU225" s="477"/>
      <c r="AV225" s="477"/>
      <c r="BB225" s="477"/>
      <c r="BC225" s="477"/>
    </row>
    <row r="226" spans="33:55" ht="14.25" customHeight="1">
      <c r="AG226" s="486"/>
      <c r="AH226" s="486"/>
      <c r="AN226" s="478"/>
      <c r="AO226" s="478"/>
      <c r="AU226" s="477"/>
      <c r="AV226" s="477"/>
      <c r="BB226" s="477"/>
      <c r="BC226" s="477"/>
    </row>
    <row r="227" spans="33:55" ht="14.25" customHeight="1">
      <c r="AG227" s="486"/>
      <c r="AH227" s="486"/>
      <c r="AN227" s="478"/>
      <c r="AO227" s="478"/>
      <c r="AU227" s="477"/>
      <c r="AV227" s="477"/>
      <c r="BB227" s="477"/>
      <c r="BC227" s="477"/>
    </row>
    <row r="228" spans="33:55" ht="14.25" customHeight="1">
      <c r="AG228" s="486"/>
      <c r="AH228" s="486"/>
      <c r="AN228" s="478"/>
      <c r="AO228" s="478"/>
      <c r="AU228" s="477"/>
      <c r="AV228" s="477"/>
      <c r="BB228" s="477"/>
      <c r="BC228" s="477"/>
    </row>
    <row r="229" spans="33:55" ht="14.25" customHeight="1">
      <c r="AG229" s="486"/>
      <c r="AH229" s="486"/>
      <c r="AN229" s="478"/>
      <c r="AO229" s="478"/>
      <c r="AU229" s="477"/>
      <c r="AV229" s="477"/>
      <c r="BB229" s="477"/>
      <c r="BC229" s="477"/>
    </row>
    <row r="230" spans="33:55" ht="14.25" customHeight="1">
      <c r="AG230" s="486"/>
      <c r="AH230" s="486"/>
      <c r="AN230" s="478"/>
      <c r="AO230" s="478"/>
      <c r="AU230" s="477"/>
      <c r="AV230" s="477"/>
      <c r="BB230" s="477"/>
      <c r="BC230" s="477"/>
    </row>
    <row r="231" spans="33:55" ht="14.25" customHeight="1">
      <c r="AG231" s="486"/>
      <c r="AH231" s="486"/>
      <c r="AN231" s="478"/>
      <c r="AO231" s="478"/>
      <c r="AU231" s="477"/>
      <c r="AV231" s="477"/>
      <c r="BB231" s="477"/>
      <c r="BC231" s="477"/>
    </row>
    <row r="232" spans="33:55" ht="14.25" customHeight="1">
      <c r="AG232" s="486"/>
      <c r="AH232" s="486"/>
      <c r="AN232" s="478"/>
      <c r="AO232" s="478"/>
      <c r="AU232" s="477"/>
      <c r="AV232" s="477"/>
      <c r="BB232" s="477"/>
      <c r="BC232" s="477"/>
    </row>
    <row r="233" spans="33:55" ht="14.25" customHeight="1">
      <c r="AG233" s="486"/>
      <c r="AH233" s="486"/>
      <c r="AN233" s="478"/>
      <c r="AO233" s="478"/>
      <c r="AU233" s="477"/>
      <c r="AV233" s="477"/>
      <c r="BB233" s="477"/>
      <c r="BC233" s="477"/>
    </row>
    <row r="234" spans="33:55" ht="14.25" customHeight="1">
      <c r="AG234" s="486"/>
      <c r="AH234" s="486"/>
      <c r="AN234" s="478"/>
      <c r="AO234" s="478"/>
      <c r="AU234" s="477"/>
      <c r="AV234" s="477"/>
      <c r="BB234" s="477"/>
      <c r="BC234" s="477"/>
    </row>
    <row r="235" spans="33:55" ht="14.25" customHeight="1">
      <c r="AG235" s="486"/>
      <c r="AH235" s="486"/>
      <c r="AN235" s="478"/>
      <c r="AO235" s="478"/>
      <c r="AU235" s="477"/>
      <c r="AV235" s="477"/>
      <c r="BB235" s="477"/>
      <c r="BC235" s="477"/>
    </row>
    <row r="236" spans="33:55" ht="14.25" customHeight="1">
      <c r="AG236" s="486"/>
      <c r="AH236" s="486"/>
      <c r="AN236" s="478"/>
      <c r="AO236" s="478"/>
      <c r="AU236" s="477"/>
      <c r="AV236" s="477"/>
      <c r="BB236" s="477"/>
      <c r="BC236" s="477"/>
    </row>
    <row r="237" spans="33:55" ht="14.25" customHeight="1">
      <c r="AG237" s="486"/>
      <c r="AH237" s="486"/>
      <c r="AN237" s="478"/>
      <c r="AO237" s="478"/>
      <c r="AU237" s="477"/>
      <c r="AV237" s="477"/>
      <c r="BB237" s="477"/>
      <c r="BC237" s="477"/>
    </row>
    <row r="238" spans="33:55" ht="14.25" customHeight="1">
      <c r="AG238" s="486"/>
      <c r="AH238" s="486"/>
      <c r="AN238" s="478"/>
      <c r="AO238" s="478"/>
      <c r="AU238" s="477"/>
      <c r="AV238" s="477"/>
      <c r="BB238" s="477"/>
      <c r="BC238" s="477"/>
    </row>
    <row r="239" spans="33:55" ht="14.25" customHeight="1">
      <c r="AG239" s="486"/>
      <c r="AH239" s="486"/>
      <c r="AN239" s="478"/>
      <c r="AO239" s="478"/>
      <c r="AU239" s="477"/>
      <c r="AV239" s="477"/>
      <c r="BB239" s="477"/>
      <c r="BC239" s="477"/>
    </row>
    <row r="240" spans="33:55" ht="14.25" customHeight="1">
      <c r="AG240" s="486"/>
      <c r="AH240" s="486"/>
      <c r="AN240" s="478"/>
      <c r="AO240" s="478"/>
      <c r="AU240" s="477"/>
      <c r="AV240" s="477"/>
      <c r="BB240" s="477"/>
      <c r="BC240" s="477"/>
    </row>
    <row r="241" spans="33:55" ht="14.25" customHeight="1">
      <c r="AG241" s="486"/>
      <c r="AH241" s="486"/>
      <c r="AN241" s="478"/>
      <c r="AO241" s="478"/>
      <c r="AU241" s="477"/>
      <c r="AV241" s="477"/>
      <c r="BB241" s="477"/>
      <c r="BC241" s="477"/>
    </row>
    <row r="242" spans="33:55" ht="14.25" customHeight="1">
      <c r="AG242" s="486"/>
      <c r="AH242" s="486"/>
      <c r="AN242" s="478"/>
      <c r="AO242" s="478"/>
      <c r="AU242" s="477"/>
      <c r="AV242" s="477"/>
      <c r="BB242" s="477"/>
      <c r="BC242" s="477"/>
    </row>
    <row r="243" spans="33:55" ht="14.25" customHeight="1">
      <c r="AG243" s="486"/>
      <c r="AH243" s="486"/>
      <c r="AN243" s="478"/>
      <c r="AO243" s="478"/>
      <c r="AU243" s="477"/>
      <c r="AV243" s="477"/>
      <c r="BB243" s="477"/>
      <c r="BC243" s="477"/>
    </row>
    <row r="244" spans="33:55" ht="14.25" customHeight="1">
      <c r="AG244" s="486"/>
      <c r="AH244" s="486"/>
      <c r="AN244" s="478"/>
      <c r="AO244" s="478"/>
      <c r="AU244" s="477"/>
      <c r="AV244" s="477"/>
      <c r="BB244" s="477"/>
      <c r="BC244" s="477"/>
    </row>
    <row r="245" spans="33:55" ht="14.25" customHeight="1">
      <c r="AG245" s="486"/>
      <c r="AH245" s="486"/>
      <c r="AN245" s="478"/>
      <c r="AO245" s="478"/>
      <c r="AU245" s="477"/>
      <c r="AV245" s="477"/>
      <c r="BB245" s="477"/>
      <c r="BC245" s="477"/>
    </row>
    <row r="246" spans="33:55" ht="14.25" customHeight="1">
      <c r="AG246" s="486"/>
      <c r="AH246" s="486"/>
      <c r="AN246" s="478"/>
      <c r="AO246" s="478"/>
      <c r="AU246" s="477"/>
      <c r="AV246" s="477"/>
      <c r="BB246" s="477"/>
      <c r="BC246" s="477"/>
    </row>
    <row r="247" spans="33:55" ht="14.25" customHeight="1">
      <c r="AG247" s="486"/>
      <c r="AH247" s="486"/>
      <c r="AN247" s="478"/>
      <c r="AO247" s="478"/>
      <c r="AU247" s="477"/>
      <c r="AV247" s="477"/>
      <c r="BB247" s="477"/>
      <c r="BC247" s="477"/>
    </row>
    <row r="248" spans="33:55" ht="14.25" customHeight="1">
      <c r="AG248" s="486"/>
      <c r="AH248" s="486"/>
      <c r="AN248" s="478"/>
      <c r="AO248" s="478"/>
      <c r="AU248" s="477"/>
      <c r="AV248" s="477"/>
      <c r="BB248" s="477"/>
      <c r="BC248" s="477"/>
    </row>
    <row r="249" spans="33:55" ht="14.25" customHeight="1">
      <c r="AG249" s="486"/>
      <c r="AH249" s="486"/>
      <c r="AN249" s="478"/>
      <c r="AO249" s="478"/>
      <c r="AU249" s="477"/>
      <c r="AV249" s="477"/>
      <c r="BB249" s="477"/>
      <c r="BC249" s="477"/>
    </row>
    <row r="250" spans="33:55" ht="14.25" customHeight="1">
      <c r="AG250" s="486"/>
      <c r="AH250" s="486"/>
      <c r="AN250" s="478"/>
      <c r="AO250" s="478"/>
      <c r="AU250" s="477"/>
      <c r="AV250" s="477"/>
      <c r="BB250" s="477"/>
      <c r="BC250" s="477"/>
    </row>
    <row r="251" spans="33:55" ht="14.25" customHeight="1">
      <c r="AG251" s="486"/>
      <c r="AH251" s="486"/>
      <c r="AN251" s="478"/>
      <c r="AO251" s="478"/>
      <c r="AU251" s="477"/>
      <c r="AV251" s="477"/>
      <c r="BB251" s="477"/>
      <c r="BC251" s="477"/>
    </row>
    <row r="252" spans="33:55" ht="14.25" customHeight="1">
      <c r="AG252" s="486"/>
      <c r="AH252" s="486"/>
      <c r="AN252" s="478"/>
      <c r="AO252" s="478"/>
      <c r="AU252" s="477"/>
      <c r="AV252" s="477"/>
      <c r="BB252" s="477"/>
      <c r="BC252" s="477"/>
    </row>
    <row r="253" spans="33:55" ht="14.25" customHeight="1">
      <c r="AG253" s="486"/>
      <c r="AH253" s="486"/>
      <c r="AN253" s="478"/>
      <c r="AO253" s="478"/>
      <c r="AU253" s="477"/>
      <c r="AV253" s="477"/>
      <c r="BB253" s="477"/>
      <c r="BC253" s="477"/>
    </row>
    <row r="254" spans="33:55" ht="14.25" customHeight="1">
      <c r="AG254" s="486"/>
      <c r="AH254" s="486"/>
      <c r="AN254" s="478"/>
      <c r="AO254" s="478"/>
      <c r="AU254" s="477"/>
      <c r="AV254" s="477"/>
      <c r="BB254" s="477"/>
      <c r="BC254" s="477"/>
    </row>
    <row r="255" spans="33:55" ht="14.25" customHeight="1">
      <c r="AG255" s="486"/>
      <c r="AH255" s="486"/>
      <c r="AN255" s="478"/>
      <c r="AO255" s="478"/>
      <c r="AU255" s="477"/>
      <c r="AV255" s="477"/>
      <c r="BB255" s="477"/>
      <c r="BC255" s="477"/>
    </row>
    <row r="256" spans="33:55" ht="14.25" customHeight="1">
      <c r="AG256" s="486"/>
      <c r="AH256" s="486"/>
      <c r="AN256" s="478"/>
      <c r="AO256" s="478"/>
      <c r="AU256" s="477"/>
      <c r="AV256" s="477"/>
      <c r="BB256" s="477"/>
      <c r="BC256" s="477"/>
    </row>
    <row r="257" spans="33:55" ht="14.25" customHeight="1">
      <c r="AG257" s="486"/>
      <c r="AH257" s="486"/>
      <c r="AN257" s="478"/>
      <c r="AO257" s="478"/>
      <c r="AU257" s="477"/>
      <c r="AV257" s="477"/>
      <c r="BB257" s="477"/>
      <c r="BC257" s="477"/>
    </row>
    <row r="258" spans="33:55" ht="14.25" customHeight="1">
      <c r="AG258" s="486"/>
      <c r="AH258" s="486"/>
      <c r="AN258" s="478"/>
      <c r="AO258" s="478"/>
      <c r="AU258" s="477"/>
      <c r="AV258" s="477"/>
      <c r="BB258" s="477"/>
      <c r="BC258" s="477"/>
    </row>
    <row r="259" spans="33:55" ht="14.25" customHeight="1">
      <c r="AG259" s="486"/>
      <c r="AH259" s="486"/>
      <c r="AN259" s="478"/>
      <c r="AO259" s="478"/>
      <c r="AU259" s="477"/>
      <c r="AV259" s="477"/>
      <c r="BB259" s="477"/>
      <c r="BC259" s="477"/>
    </row>
    <row r="260" spans="33:55" ht="14.25" customHeight="1">
      <c r="AG260" s="486"/>
      <c r="AH260" s="486"/>
      <c r="AN260" s="478"/>
      <c r="AO260" s="478"/>
      <c r="AU260" s="477"/>
      <c r="AV260" s="477"/>
      <c r="BB260" s="477"/>
      <c r="BC260" s="477"/>
    </row>
    <row r="261" spans="33:55" ht="14.25" customHeight="1">
      <c r="AG261" s="486"/>
      <c r="AH261" s="486"/>
      <c r="AN261" s="478"/>
      <c r="AO261" s="478"/>
      <c r="AU261" s="477"/>
      <c r="AV261" s="477"/>
      <c r="BB261" s="477"/>
      <c r="BC261" s="477"/>
    </row>
    <row r="262" spans="33:55" ht="14.25" customHeight="1">
      <c r="AG262" s="486"/>
      <c r="AH262" s="486"/>
      <c r="AN262" s="478"/>
      <c r="AO262" s="478"/>
      <c r="AU262" s="477"/>
      <c r="AV262" s="477"/>
      <c r="BB262" s="477"/>
      <c r="BC262" s="477"/>
    </row>
    <row r="263" spans="33:55" ht="14.25" customHeight="1">
      <c r="AG263" s="486"/>
      <c r="AH263" s="486"/>
      <c r="AN263" s="478"/>
      <c r="AO263" s="478"/>
      <c r="AU263" s="477"/>
      <c r="AV263" s="477"/>
      <c r="BB263" s="477"/>
      <c r="BC263" s="477"/>
    </row>
    <row r="264" spans="33:55" ht="14.25" customHeight="1">
      <c r="AG264" s="486"/>
      <c r="AH264" s="486"/>
      <c r="AN264" s="478"/>
      <c r="AO264" s="478"/>
      <c r="AU264" s="477"/>
      <c r="AV264" s="477"/>
      <c r="BB264" s="477"/>
      <c r="BC264" s="477"/>
    </row>
    <row r="265" spans="33:55" ht="14.25" customHeight="1">
      <c r="AG265" s="486"/>
      <c r="AH265" s="486"/>
      <c r="AN265" s="478"/>
      <c r="AO265" s="478"/>
      <c r="AU265" s="477"/>
      <c r="AV265" s="477"/>
      <c r="BB265" s="477"/>
      <c r="BC265" s="477"/>
    </row>
    <row r="266" spans="33:55" ht="14.25" customHeight="1">
      <c r="AG266" s="486"/>
      <c r="AH266" s="486"/>
      <c r="AN266" s="478"/>
      <c r="AO266" s="478"/>
      <c r="AU266" s="477"/>
      <c r="AV266" s="477"/>
      <c r="BB266" s="477"/>
      <c r="BC266" s="477"/>
    </row>
    <row r="267" spans="33:55" ht="14.25" customHeight="1">
      <c r="AG267" s="486"/>
      <c r="AH267" s="486"/>
      <c r="AN267" s="478"/>
      <c r="AO267" s="478"/>
      <c r="AU267" s="477"/>
      <c r="AV267" s="477"/>
      <c r="BB267" s="477"/>
      <c r="BC267" s="477"/>
    </row>
    <row r="268" spans="33:55" ht="14.25" customHeight="1">
      <c r="AG268" s="486"/>
      <c r="AH268" s="486"/>
      <c r="AN268" s="478"/>
      <c r="AO268" s="478"/>
      <c r="AU268" s="477"/>
      <c r="AV268" s="477"/>
      <c r="BB268" s="477"/>
      <c r="BC268" s="477"/>
    </row>
    <row r="269" spans="33:55" ht="14.25" customHeight="1">
      <c r="AG269" s="486"/>
      <c r="AH269" s="486"/>
      <c r="AN269" s="478"/>
      <c r="AO269" s="478"/>
      <c r="AU269" s="477"/>
      <c r="AV269" s="477"/>
      <c r="BB269" s="477"/>
      <c r="BC269" s="477"/>
    </row>
    <row r="270" spans="33:55" ht="14.25" customHeight="1">
      <c r="AG270" s="486"/>
      <c r="AH270" s="486"/>
      <c r="AN270" s="478"/>
      <c r="AO270" s="478"/>
      <c r="AU270" s="477"/>
      <c r="AV270" s="477"/>
      <c r="BB270" s="477"/>
      <c r="BC270" s="477"/>
    </row>
    <row r="271" spans="33:55" ht="14.25" customHeight="1">
      <c r="AG271" s="486"/>
      <c r="AH271" s="486"/>
      <c r="AN271" s="478"/>
      <c r="AO271" s="478"/>
      <c r="AU271" s="477"/>
      <c r="AV271" s="477"/>
      <c r="BB271" s="477"/>
      <c r="BC271" s="477"/>
    </row>
    <row r="272" spans="33:55" ht="14.25" customHeight="1">
      <c r="AG272" s="486"/>
      <c r="AH272" s="486"/>
      <c r="AN272" s="478"/>
      <c r="AO272" s="478"/>
      <c r="AU272" s="477"/>
      <c r="AV272" s="477"/>
      <c r="BB272" s="477"/>
      <c r="BC272" s="477"/>
    </row>
    <row r="273" spans="33:55" ht="14.25" customHeight="1">
      <c r="AG273" s="486"/>
      <c r="AH273" s="486"/>
      <c r="AN273" s="478"/>
      <c r="AO273" s="478"/>
      <c r="AU273" s="477"/>
      <c r="AV273" s="477"/>
      <c r="BB273" s="477"/>
      <c r="BC273" s="477"/>
    </row>
    <row r="274" spans="33:55" ht="14.25" customHeight="1">
      <c r="AG274" s="486"/>
      <c r="AH274" s="486"/>
      <c r="AN274" s="478"/>
      <c r="AO274" s="478"/>
      <c r="AU274" s="477"/>
      <c r="AV274" s="477"/>
      <c r="BB274" s="477"/>
      <c r="BC274" s="477"/>
    </row>
    <row r="275" spans="33:55" ht="14.25" customHeight="1">
      <c r="AG275" s="486"/>
      <c r="AH275" s="486"/>
      <c r="AN275" s="478"/>
      <c r="AO275" s="478"/>
      <c r="AU275" s="477"/>
      <c r="AV275" s="477"/>
      <c r="BB275" s="477"/>
      <c r="BC275" s="477"/>
    </row>
    <row r="276" spans="33:55" ht="14.25" customHeight="1">
      <c r="AG276" s="486"/>
      <c r="AH276" s="486"/>
      <c r="AN276" s="478"/>
      <c r="AO276" s="478"/>
      <c r="AU276" s="477"/>
      <c r="AV276" s="477"/>
      <c r="BB276" s="477"/>
      <c r="BC276" s="477"/>
    </row>
    <row r="277" spans="33:55" ht="14.25" customHeight="1">
      <c r="AG277" s="486"/>
      <c r="AH277" s="486"/>
      <c r="AN277" s="478"/>
      <c r="AO277" s="478"/>
      <c r="AU277" s="477"/>
      <c r="AV277" s="477"/>
      <c r="BB277" s="477"/>
      <c r="BC277" s="477"/>
    </row>
    <row r="278" spans="33:55" ht="14.25" customHeight="1">
      <c r="AG278" s="486"/>
      <c r="AH278" s="486"/>
      <c r="AN278" s="478"/>
      <c r="AO278" s="478"/>
      <c r="AU278" s="477"/>
      <c r="AV278" s="477"/>
      <c r="BB278" s="477"/>
      <c r="BC278" s="477"/>
    </row>
    <row r="279" spans="33:55" ht="14.25" customHeight="1">
      <c r="AG279" s="486"/>
      <c r="AH279" s="486"/>
      <c r="AN279" s="478"/>
      <c r="AO279" s="478"/>
      <c r="AU279" s="477"/>
      <c r="AV279" s="477"/>
      <c r="BB279" s="477"/>
      <c r="BC279" s="477"/>
    </row>
    <row r="280" spans="33:55" ht="14.25" customHeight="1">
      <c r="AG280" s="486"/>
      <c r="AH280" s="486"/>
      <c r="AN280" s="478"/>
      <c r="AO280" s="478"/>
      <c r="AU280" s="477"/>
      <c r="AV280" s="477"/>
      <c r="BB280" s="477"/>
      <c r="BC280" s="477"/>
    </row>
    <row r="281" spans="33:55" ht="14.25" customHeight="1">
      <c r="AG281" s="486"/>
      <c r="AH281" s="486"/>
      <c r="AN281" s="478"/>
      <c r="AO281" s="478"/>
      <c r="AU281" s="477"/>
      <c r="AV281" s="477"/>
      <c r="BB281" s="477"/>
      <c r="BC281" s="477"/>
    </row>
    <row r="282" spans="33:55" ht="14.25" customHeight="1">
      <c r="AG282" s="486"/>
      <c r="AH282" s="486"/>
      <c r="AN282" s="478"/>
      <c r="AO282" s="478"/>
      <c r="AU282" s="477"/>
      <c r="AV282" s="477"/>
      <c r="BB282" s="477"/>
      <c r="BC282" s="477"/>
    </row>
    <row r="283" spans="33:55" ht="14.25" customHeight="1">
      <c r="AG283" s="486"/>
      <c r="AH283" s="486"/>
      <c r="AN283" s="478"/>
      <c r="AO283" s="478"/>
      <c r="AU283" s="477"/>
      <c r="AV283" s="477"/>
      <c r="BB283" s="477"/>
      <c r="BC283" s="477"/>
    </row>
    <row r="284" spans="33:55" ht="14.25" customHeight="1">
      <c r="AG284" s="486"/>
      <c r="AH284" s="486"/>
      <c r="AN284" s="478"/>
      <c r="AO284" s="478"/>
      <c r="AU284" s="477"/>
      <c r="AV284" s="477"/>
      <c r="BB284" s="477"/>
      <c r="BC284" s="477"/>
    </row>
    <row r="285" spans="33:55" ht="14.25" customHeight="1">
      <c r="AG285" s="486"/>
      <c r="AH285" s="486"/>
      <c r="AN285" s="478"/>
      <c r="AO285" s="478"/>
      <c r="AU285" s="477"/>
      <c r="AV285" s="477"/>
      <c r="BB285" s="477"/>
      <c r="BC285" s="477"/>
    </row>
    <row r="286" spans="33:55" ht="14.25" customHeight="1">
      <c r="AG286" s="486"/>
      <c r="AH286" s="486"/>
      <c r="AN286" s="478"/>
      <c r="AO286" s="478"/>
      <c r="AU286" s="477"/>
      <c r="AV286" s="477"/>
      <c r="BB286" s="477"/>
      <c r="BC286" s="477"/>
    </row>
    <row r="287" spans="33:55" ht="14.25" customHeight="1">
      <c r="AG287" s="486"/>
      <c r="AH287" s="486"/>
      <c r="AN287" s="478"/>
      <c r="AO287" s="478"/>
      <c r="AU287" s="477"/>
      <c r="AV287" s="477"/>
      <c r="BB287" s="477"/>
      <c r="BC287" s="477"/>
    </row>
    <row r="288" spans="33:55" ht="14.25" customHeight="1">
      <c r="AG288" s="486"/>
      <c r="AH288" s="486"/>
      <c r="AN288" s="478"/>
      <c r="AO288" s="478"/>
      <c r="AU288" s="477"/>
      <c r="AV288" s="477"/>
      <c r="BB288" s="477"/>
      <c r="BC288" s="477"/>
    </row>
    <row r="289" spans="33:55" ht="14.25" customHeight="1">
      <c r="AG289" s="486"/>
      <c r="AH289" s="486"/>
      <c r="AN289" s="478"/>
      <c r="AO289" s="478"/>
      <c r="AU289" s="477"/>
      <c r="AV289" s="477"/>
      <c r="BB289" s="477"/>
      <c r="BC289" s="477"/>
    </row>
    <row r="290" spans="33:55" ht="14.25" customHeight="1">
      <c r="AG290" s="486"/>
      <c r="AH290" s="486"/>
      <c r="AN290" s="478"/>
      <c r="AO290" s="478"/>
      <c r="AU290" s="477"/>
      <c r="AV290" s="477"/>
      <c r="BB290" s="477"/>
      <c r="BC290" s="477"/>
    </row>
    <row r="291" spans="33:55" ht="14.25" customHeight="1">
      <c r="AG291" s="486"/>
      <c r="AH291" s="486"/>
      <c r="AN291" s="478"/>
      <c r="AO291" s="478"/>
      <c r="AU291" s="477"/>
      <c r="AV291" s="477"/>
      <c r="BB291" s="477"/>
      <c r="BC291" s="477"/>
    </row>
    <row r="292" spans="33:55" ht="14.25" customHeight="1">
      <c r="AG292" s="486"/>
      <c r="AH292" s="486"/>
      <c r="AN292" s="478"/>
      <c r="AO292" s="478"/>
      <c r="AU292" s="477"/>
      <c r="AV292" s="477"/>
      <c r="BB292" s="477"/>
      <c r="BC292" s="477"/>
    </row>
    <row r="293" spans="33:55" ht="14.25" customHeight="1">
      <c r="AG293" s="486"/>
      <c r="AH293" s="486"/>
      <c r="AN293" s="478"/>
      <c r="AO293" s="478"/>
      <c r="AU293" s="477"/>
      <c r="AV293" s="477"/>
      <c r="BB293" s="477"/>
      <c r="BC293" s="477"/>
    </row>
    <row r="294" spans="33:55" ht="14.25" customHeight="1">
      <c r="AG294" s="486"/>
      <c r="AH294" s="486"/>
      <c r="AN294" s="478"/>
      <c r="AO294" s="478"/>
      <c r="AU294" s="477"/>
      <c r="AV294" s="477"/>
      <c r="BB294" s="477"/>
      <c r="BC294" s="477"/>
    </row>
    <row r="295" spans="33:55" ht="15.75" customHeight="1"/>
    <row r="296" spans="33:55" ht="15.75" customHeight="1"/>
    <row r="297" spans="33:55" ht="15.75" customHeight="1"/>
    <row r="298" spans="33:55" ht="15.75" customHeight="1"/>
    <row r="299" spans="33:55" ht="15.75" customHeight="1"/>
    <row r="300" spans="33:55" ht="15.75" customHeight="1"/>
    <row r="301" spans="33:55" ht="15.75" customHeight="1"/>
    <row r="302" spans="33:55" ht="15.75" customHeight="1"/>
    <row r="303" spans="33:55" ht="15.75" customHeight="1"/>
    <row r="304" spans="33:5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A40:AA41"/>
    <mergeCell ref="AF40:AF41"/>
    <mergeCell ref="A41:A42"/>
    <mergeCell ref="A45:A49"/>
    <mergeCell ref="A1:A2"/>
    <mergeCell ref="B1:B2"/>
    <mergeCell ref="D1:K1"/>
    <mergeCell ref="L1:U1"/>
    <mergeCell ref="V1:Z1"/>
    <mergeCell ref="AA1:BD1"/>
    <mergeCell ref="A32:A38"/>
    <mergeCell ref="AA32:AA34"/>
    <mergeCell ref="AF32:AF33"/>
    <mergeCell ref="AA36:AA38"/>
    <mergeCell ref="AF36:AF38"/>
    <mergeCell ref="AF43:AF44"/>
    <mergeCell ref="AA44:AA48"/>
    <mergeCell ref="AF47:AF50"/>
    <mergeCell ref="AA51:AA53"/>
    <mergeCell ref="AA56:AA60"/>
    <mergeCell ref="AF82:AF83"/>
    <mergeCell ref="AF87:AF89"/>
    <mergeCell ref="AF91:AF94"/>
    <mergeCell ref="AF52:AF55"/>
    <mergeCell ref="AF58:AF61"/>
    <mergeCell ref="AF63:AF66"/>
    <mergeCell ref="AF68:AF69"/>
    <mergeCell ref="AF71:AF73"/>
    <mergeCell ref="AF75:AF76"/>
    <mergeCell ref="AF79:AF8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1000"/>
  <sheetViews>
    <sheetView workbookViewId="0"/>
  </sheetViews>
  <sheetFormatPr defaultColWidth="14.44140625" defaultRowHeight="15" customHeight="1"/>
  <cols>
    <col min="1" max="1" width="6" customWidth="1"/>
    <col min="2" max="2" width="14" hidden="1" customWidth="1"/>
    <col min="3" max="3" width="15" hidden="1" customWidth="1"/>
    <col min="4" max="4" width="12" customWidth="1"/>
    <col min="5" max="5" width="22" customWidth="1"/>
    <col min="6" max="6" width="15" customWidth="1"/>
    <col min="7" max="7" width="14" customWidth="1"/>
    <col min="8" max="8" width="16" customWidth="1"/>
    <col min="9" max="10" width="13" customWidth="1"/>
    <col min="11" max="12" width="16" customWidth="1"/>
    <col min="13" max="13" width="13" customWidth="1"/>
    <col min="14" max="14" width="14" customWidth="1"/>
    <col min="15" max="15" width="15" customWidth="1"/>
    <col min="16" max="16" width="23.88671875" customWidth="1"/>
    <col min="17" max="17" width="25.5546875" customWidth="1"/>
    <col min="18" max="18" width="8.88671875" hidden="1" customWidth="1"/>
    <col min="19" max="21" width="14" hidden="1" customWidth="1"/>
    <col min="22" max="22" width="19" hidden="1" customWidth="1"/>
    <col min="23" max="33" width="14" hidden="1" customWidth="1"/>
  </cols>
  <sheetData>
    <row r="1" spans="1:33" ht="21" customHeight="1">
      <c r="A1" s="1230" t="s">
        <v>266</v>
      </c>
      <c r="B1" s="1156"/>
      <c r="C1" s="1156"/>
      <c r="D1" s="1156"/>
      <c r="E1" s="1156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33" ht="18.75" customHeight="1">
      <c r="A2" s="1231" t="s">
        <v>959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  <c r="L2" s="1156"/>
      <c r="M2" s="1156"/>
      <c r="N2" s="1156"/>
      <c r="O2" s="1156"/>
    </row>
    <row r="3" spans="1:33" ht="22.5" customHeight="1">
      <c r="A3" s="487"/>
      <c r="B3" s="488"/>
      <c r="C3" s="488"/>
      <c r="D3" s="488"/>
      <c r="E3" s="489"/>
      <c r="F3" s="490"/>
      <c r="R3" s="491"/>
      <c r="S3" s="1232" t="s">
        <v>272</v>
      </c>
      <c r="T3" s="1158"/>
      <c r="U3" s="1158"/>
      <c r="V3" s="1158"/>
      <c r="W3" s="1158"/>
      <c r="X3" s="1158"/>
      <c r="Y3" s="1158"/>
      <c r="Z3" s="1158"/>
      <c r="AA3" s="1158"/>
      <c r="AB3" s="1158"/>
      <c r="AC3" s="1158"/>
      <c r="AD3" s="1158"/>
      <c r="AE3" s="1158"/>
      <c r="AF3" s="1158"/>
      <c r="AG3" s="1158"/>
    </row>
    <row r="4" spans="1:33" ht="15" customHeight="1">
      <c r="A4" s="1233" t="s">
        <v>15</v>
      </c>
      <c r="B4" s="1233" t="s">
        <v>273</v>
      </c>
      <c r="C4" s="492" t="s">
        <v>274</v>
      </c>
      <c r="D4" s="1233" t="s">
        <v>275</v>
      </c>
      <c r="E4" s="1233" t="s">
        <v>276</v>
      </c>
      <c r="F4" s="1253" t="s">
        <v>277</v>
      </c>
      <c r="G4" s="1160" t="s">
        <v>278</v>
      </c>
      <c r="H4" s="1145"/>
      <c r="I4" s="1145"/>
      <c r="J4" s="1146"/>
      <c r="K4" s="1246" t="s">
        <v>279</v>
      </c>
      <c r="L4" s="1145"/>
      <c r="M4" s="1145"/>
      <c r="N4" s="1146"/>
      <c r="O4" s="1247" t="s">
        <v>180</v>
      </c>
      <c r="P4" s="1240" t="s">
        <v>13</v>
      </c>
      <c r="R4" s="1241" t="s">
        <v>15</v>
      </c>
      <c r="S4" s="1242" t="s">
        <v>273</v>
      </c>
      <c r="T4" s="493" t="s">
        <v>274</v>
      </c>
      <c r="U4" s="1242" t="s">
        <v>275</v>
      </c>
      <c r="V4" s="1242" t="s">
        <v>276</v>
      </c>
      <c r="W4" s="1234" t="s">
        <v>277</v>
      </c>
      <c r="X4" s="1237" t="s">
        <v>278</v>
      </c>
      <c r="Y4" s="1158"/>
      <c r="Z4" s="1158"/>
      <c r="AA4" s="1236"/>
      <c r="AB4" s="1237" t="s">
        <v>279</v>
      </c>
      <c r="AC4" s="1158"/>
      <c r="AD4" s="1158"/>
      <c r="AE4" s="1236"/>
      <c r="AF4" s="1238" t="s">
        <v>180</v>
      </c>
      <c r="AG4" s="494"/>
    </row>
    <row r="5" spans="1:33" ht="15" customHeight="1">
      <c r="A5" s="1150"/>
      <c r="B5" s="1150"/>
      <c r="C5" s="492"/>
      <c r="D5" s="1150"/>
      <c r="E5" s="1150"/>
      <c r="F5" s="1150"/>
      <c r="G5" s="24" t="s">
        <v>280</v>
      </c>
      <c r="H5" s="24" t="s">
        <v>281</v>
      </c>
      <c r="I5" s="24" t="s">
        <v>282</v>
      </c>
      <c r="J5" s="1247" t="s">
        <v>180</v>
      </c>
      <c r="K5" s="24" t="s">
        <v>280</v>
      </c>
      <c r="L5" s="24" t="s">
        <v>281</v>
      </c>
      <c r="M5" s="24" t="s">
        <v>282</v>
      </c>
      <c r="N5" s="1247" t="s">
        <v>180</v>
      </c>
      <c r="O5" s="1150"/>
      <c r="P5" s="1150"/>
      <c r="R5" s="1150"/>
      <c r="S5" s="1235"/>
      <c r="T5" s="495"/>
      <c r="U5" s="1235"/>
      <c r="V5" s="1235"/>
      <c r="W5" s="1235"/>
      <c r="X5" s="496" t="s">
        <v>280</v>
      </c>
      <c r="Y5" s="496" t="s">
        <v>281</v>
      </c>
      <c r="Z5" s="496" t="s">
        <v>282</v>
      </c>
      <c r="AA5" s="1239" t="s">
        <v>180</v>
      </c>
      <c r="AB5" s="496" t="s">
        <v>280</v>
      </c>
      <c r="AC5" s="496" t="s">
        <v>281</v>
      </c>
      <c r="AD5" s="496" t="s">
        <v>282</v>
      </c>
      <c r="AE5" s="1239" t="s">
        <v>180</v>
      </c>
      <c r="AF5" s="1156"/>
      <c r="AG5" s="494"/>
    </row>
    <row r="6" spans="1:33" ht="15" customHeight="1">
      <c r="A6" s="1141"/>
      <c r="B6" s="1141"/>
      <c r="C6" s="492"/>
      <c r="D6" s="1141"/>
      <c r="E6" s="1141"/>
      <c r="F6" s="1141"/>
      <c r="G6" s="497">
        <v>0.17499999999999999</v>
      </c>
      <c r="H6" s="498">
        <v>0.03</v>
      </c>
      <c r="I6" s="498" t="s">
        <v>283</v>
      </c>
      <c r="J6" s="1141"/>
      <c r="K6" s="498">
        <v>0.08</v>
      </c>
      <c r="L6" s="497">
        <v>1.4999999999999999E-2</v>
      </c>
      <c r="M6" s="498">
        <v>0.01</v>
      </c>
      <c r="N6" s="1141"/>
      <c r="O6" s="1141"/>
      <c r="P6" s="1141"/>
      <c r="R6" s="1141"/>
      <c r="S6" s="1236"/>
      <c r="T6" s="495"/>
      <c r="U6" s="1236"/>
      <c r="V6" s="1236"/>
      <c r="W6" s="1236"/>
      <c r="X6" s="499">
        <v>0.17499999999999999</v>
      </c>
      <c r="Y6" s="500">
        <v>0.03</v>
      </c>
      <c r="Z6" s="500" t="s">
        <v>283</v>
      </c>
      <c r="AA6" s="1236"/>
      <c r="AB6" s="500">
        <v>0.08</v>
      </c>
      <c r="AC6" s="499">
        <v>1.4999999999999999E-2</v>
      </c>
      <c r="AD6" s="500">
        <v>0.01</v>
      </c>
      <c r="AE6" s="1236"/>
      <c r="AF6" s="1158"/>
      <c r="AG6" s="494"/>
    </row>
    <row r="7" spans="1:33" ht="15" customHeight="1">
      <c r="A7" s="501">
        <v>1</v>
      </c>
      <c r="B7" s="502" t="s">
        <v>284</v>
      </c>
      <c r="C7" s="503"/>
      <c r="D7" s="36" t="s">
        <v>89</v>
      </c>
      <c r="E7" s="504" t="s">
        <v>90</v>
      </c>
      <c r="F7" s="505">
        <v>9000000</v>
      </c>
      <c r="G7" s="47">
        <f t="shared" ref="G7:G9" si="0">ROUND(F7*$G$6,0)</f>
        <v>1575000</v>
      </c>
      <c r="H7" s="506">
        <f t="shared" ref="H7:H22" si="1">ROUND(F7*$H$6,0)</f>
        <v>270000</v>
      </c>
      <c r="I7" s="506">
        <f>ROUND(F7*$I$6,0)</f>
        <v>90000</v>
      </c>
      <c r="J7" s="506">
        <f t="shared" ref="J7:J22" si="2">ROUND(SUM(G7:I7),0)</f>
        <v>1935000</v>
      </c>
      <c r="K7" s="47">
        <f t="shared" ref="K7:K9" si="3">ROUND(F7*$K$6,0)</f>
        <v>720000</v>
      </c>
      <c r="L7" s="47">
        <f t="shared" ref="L7:L9" si="4">ROUND(F7*$L$6,0)</f>
        <v>135000</v>
      </c>
      <c r="M7" s="47">
        <f t="shared" ref="M7:M9" si="5">ROUND(F7*$M$6,0)</f>
        <v>90000</v>
      </c>
      <c r="N7" s="47">
        <f t="shared" ref="N7:N9" si="6">ROUND(SUM(K7:M7),0)</f>
        <v>945000</v>
      </c>
      <c r="O7" s="47">
        <f t="shared" ref="O7:O22" si="7">J7+N7</f>
        <v>2880000</v>
      </c>
      <c r="P7" s="507"/>
      <c r="R7" s="508">
        <v>1</v>
      </c>
      <c r="S7" s="509" t="s">
        <v>285</v>
      </c>
      <c r="T7" s="495"/>
      <c r="U7" s="510" t="s">
        <v>81</v>
      </c>
      <c r="V7" s="511" t="s">
        <v>82</v>
      </c>
      <c r="W7" s="512">
        <v>5100000</v>
      </c>
      <c r="X7" s="513">
        <f t="shared" ref="X7:X16" si="8">ROUND(W7*$G$6,0)</f>
        <v>892500</v>
      </c>
      <c r="Y7" s="512">
        <f t="shared" ref="Y7:Y16" si="9">ROUND(W7*$H$6,0)</f>
        <v>153000</v>
      </c>
      <c r="Z7" s="512">
        <f t="shared" ref="Z7:Z16" si="10">ROUND(W7*$I$6,0)</f>
        <v>51000</v>
      </c>
      <c r="AA7" s="512">
        <f t="shared" ref="AA7:AA16" si="11">ROUND(SUM(X7:Z7),0)</f>
        <v>1096500</v>
      </c>
      <c r="AB7" s="513">
        <f t="shared" ref="AB7:AB16" si="12">ROUND(W7*$K$6,0)</f>
        <v>408000</v>
      </c>
      <c r="AC7" s="513">
        <f t="shared" ref="AC7:AC16" si="13">ROUND(W7*$L$6,0)</f>
        <v>76500</v>
      </c>
      <c r="AD7" s="513">
        <f t="shared" ref="AD7:AD16" si="14">ROUND(W7*$M$6,0)</f>
        <v>51000</v>
      </c>
      <c r="AE7" s="513">
        <f t="shared" ref="AE7:AE16" si="15">ROUND(SUM(AB7:AD7),0)</f>
        <v>535500</v>
      </c>
      <c r="AF7" s="513">
        <f t="shared" ref="AF7:AF16" si="16">AA7+AE7</f>
        <v>1632000</v>
      </c>
      <c r="AG7" s="494"/>
    </row>
    <row r="8" spans="1:33" ht="15" customHeight="1">
      <c r="A8" s="501">
        <v>2</v>
      </c>
      <c r="B8" s="502" t="s">
        <v>286</v>
      </c>
      <c r="C8" s="503"/>
      <c r="D8" s="36" t="s">
        <v>96</v>
      </c>
      <c r="E8" s="504" t="s">
        <v>97</v>
      </c>
      <c r="F8" s="505">
        <v>5100000</v>
      </c>
      <c r="G8" s="47">
        <f t="shared" si="0"/>
        <v>892500</v>
      </c>
      <c r="H8" s="506">
        <f t="shared" si="1"/>
        <v>153000</v>
      </c>
      <c r="I8" s="47">
        <f t="shared" ref="I8:I9" si="17">ROUND(H8*$G$6,0)</f>
        <v>26775</v>
      </c>
      <c r="J8" s="506">
        <f t="shared" si="2"/>
        <v>1072275</v>
      </c>
      <c r="K8" s="47">
        <f t="shared" si="3"/>
        <v>408000</v>
      </c>
      <c r="L8" s="47">
        <f t="shared" si="4"/>
        <v>76500</v>
      </c>
      <c r="M8" s="47">
        <f t="shared" si="5"/>
        <v>51000</v>
      </c>
      <c r="N8" s="47">
        <f t="shared" si="6"/>
        <v>535500</v>
      </c>
      <c r="O8" s="47">
        <f t="shared" si="7"/>
        <v>1607775</v>
      </c>
      <c r="P8" s="507"/>
      <c r="R8" s="508">
        <v>2</v>
      </c>
      <c r="S8" s="509" t="s">
        <v>284</v>
      </c>
      <c r="T8" s="495"/>
      <c r="U8" s="510" t="s">
        <v>89</v>
      </c>
      <c r="V8" s="511" t="s">
        <v>90</v>
      </c>
      <c r="W8" s="512">
        <v>9000000</v>
      </c>
      <c r="X8" s="513">
        <f t="shared" si="8"/>
        <v>1575000</v>
      </c>
      <c r="Y8" s="512">
        <f t="shared" si="9"/>
        <v>270000</v>
      </c>
      <c r="Z8" s="512">
        <f t="shared" si="10"/>
        <v>90000</v>
      </c>
      <c r="AA8" s="512">
        <f t="shared" si="11"/>
        <v>1935000</v>
      </c>
      <c r="AB8" s="513">
        <f t="shared" si="12"/>
        <v>720000</v>
      </c>
      <c r="AC8" s="513">
        <f t="shared" si="13"/>
        <v>135000</v>
      </c>
      <c r="AD8" s="513">
        <f t="shared" si="14"/>
        <v>90000</v>
      </c>
      <c r="AE8" s="513">
        <f t="shared" si="15"/>
        <v>945000</v>
      </c>
      <c r="AF8" s="513">
        <f t="shared" si="16"/>
        <v>2880000</v>
      </c>
      <c r="AG8" s="494"/>
    </row>
    <row r="9" spans="1:33" ht="14.25" customHeight="1">
      <c r="A9" s="501">
        <v>3</v>
      </c>
      <c r="B9" s="33"/>
      <c r="C9" s="503"/>
      <c r="D9" s="36" t="s">
        <v>100</v>
      </c>
      <c r="E9" s="504" t="s">
        <v>101</v>
      </c>
      <c r="F9" s="505">
        <v>5100000</v>
      </c>
      <c r="G9" s="47">
        <f t="shared" si="0"/>
        <v>892500</v>
      </c>
      <c r="H9" s="506">
        <f t="shared" si="1"/>
        <v>153000</v>
      </c>
      <c r="I9" s="47">
        <f t="shared" si="17"/>
        <v>26775</v>
      </c>
      <c r="J9" s="506">
        <f t="shared" si="2"/>
        <v>1072275</v>
      </c>
      <c r="K9" s="47">
        <f t="shared" si="3"/>
        <v>408000</v>
      </c>
      <c r="L9" s="47">
        <f t="shared" si="4"/>
        <v>76500</v>
      </c>
      <c r="M9" s="47">
        <f t="shared" si="5"/>
        <v>51000</v>
      </c>
      <c r="N9" s="47">
        <f t="shared" si="6"/>
        <v>535500</v>
      </c>
      <c r="O9" s="47">
        <f t="shared" si="7"/>
        <v>1607775</v>
      </c>
      <c r="P9" s="507"/>
      <c r="R9" s="508">
        <v>3</v>
      </c>
      <c r="S9" s="509" t="s">
        <v>286</v>
      </c>
      <c r="T9" s="495"/>
      <c r="U9" s="510" t="s">
        <v>96</v>
      </c>
      <c r="V9" s="511" t="s">
        <v>97</v>
      </c>
      <c r="W9" s="512">
        <v>5100000</v>
      </c>
      <c r="X9" s="513">
        <f t="shared" si="8"/>
        <v>892500</v>
      </c>
      <c r="Y9" s="512">
        <f t="shared" si="9"/>
        <v>153000</v>
      </c>
      <c r="Z9" s="512">
        <f t="shared" si="10"/>
        <v>51000</v>
      </c>
      <c r="AA9" s="512">
        <f t="shared" si="11"/>
        <v>1096500</v>
      </c>
      <c r="AB9" s="513">
        <f t="shared" si="12"/>
        <v>408000</v>
      </c>
      <c r="AC9" s="513">
        <f t="shared" si="13"/>
        <v>76500</v>
      </c>
      <c r="AD9" s="513">
        <f t="shared" si="14"/>
        <v>51000</v>
      </c>
      <c r="AE9" s="513">
        <f t="shared" si="15"/>
        <v>535500</v>
      </c>
      <c r="AF9" s="513">
        <f t="shared" si="16"/>
        <v>1632000</v>
      </c>
      <c r="AG9" s="494"/>
    </row>
    <row r="10" spans="1:33" ht="15" customHeight="1">
      <c r="A10" s="501">
        <v>4</v>
      </c>
      <c r="B10" s="3"/>
      <c r="C10" s="503"/>
      <c r="D10" s="36" t="s">
        <v>103</v>
      </c>
      <c r="E10" s="37" t="s">
        <v>104</v>
      </c>
      <c r="F10" s="505">
        <v>5100000</v>
      </c>
      <c r="G10" s="47"/>
      <c r="H10" s="506">
        <f t="shared" si="1"/>
        <v>153000</v>
      </c>
      <c r="I10" s="506"/>
      <c r="J10" s="506">
        <f t="shared" si="2"/>
        <v>153000</v>
      </c>
      <c r="K10" s="47"/>
      <c r="L10" s="47"/>
      <c r="M10" s="47"/>
      <c r="N10" s="47"/>
      <c r="O10" s="47">
        <f t="shared" si="7"/>
        <v>153000</v>
      </c>
      <c r="P10" s="507"/>
      <c r="R10" s="508">
        <v>4</v>
      </c>
      <c r="S10" s="514"/>
      <c r="T10" s="495"/>
      <c r="U10" s="510" t="s">
        <v>100</v>
      </c>
      <c r="V10" s="511" t="s">
        <v>101</v>
      </c>
      <c r="W10" s="512">
        <v>5100000</v>
      </c>
      <c r="X10" s="513">
        <f t="shared" si="8"/>
        <v>892500</v>
      </c>
      <c r="Y10" s="512">
        <f t="shared" si="9"/>
        <v>153000</v>
      </c>
      <c r="Z10" s="512">
        <f t="shared" si="10"/>
        <v>51000</v>
      </c>
      <c r="AA10" s="512">
        <f t="shared" si="11"/>
        <v>1096500</v>
      </c>
      <c r="AB10" s="513">
        <f t="shared" si="12"/>
        <v>408000</v>
      </c>
      <c r="AC10" s="513">
        <f t="shared" si="13"/>
        <v>76500</v>
      </c>
      <c r="AD10" s="513">
        <f t="shared" si="14"/>
        <v>51000</v>
      </c>
      <c r="AE10" s="513">
        <f t="shared" si="15"/>
        <v>535500</v>
      </c>
      <c r="AF10" s="513">
        <f t="shared" si="16"/>
        <v>1632000</v>
      </c>
      <c r="AG10" s="494"/>
    </row>
    <row r="11" spans="1:33" ht="15" customHeight="1">
      <c r="A11" s="501">
        <v>5</v>
      </c>
      <c r="B11" s="3"/>
      <c r="C11" s="503"/>
      <c r="D11" s="36" t="s">
        <v>107</v>
      </c>
      <c r="E11" s="504" t="s">
        <v>108</v>
      </c>
      <c r="F11" s="505">
        <v>5100000</v>
      </c>
      <c r="G11" s="47">
        <f>ROUND(F11*$G$6,0)</f>
        <v>892500</v>
      </c>
      <c r="H11" s="506">
        <f t="shared" si="1"/>
        <v>153000</v>
      </c>
      <c r="I11" s="506">
        <f>ROUND(F11*$I$6,0)</f>
        <v>51000</v>
      </c>
      <c r="J11" s="506">
        <f t="shared" si="2"/>
        <v>1096500</v>
      </c>
      <c r="K11" s="47">
        <f>ROUND(F11*$K$6,0)</f>
        <v>408000</v>
      </c>
      <c r="L11" s="47">
        <f>ROUND(F11*$L$6,0)</f>
        <v>76500</v>
      </c>
      <c r="M11" s="47">
        <f>ROUND(F11*$M$6,0)</f>
        <v>51000</v>
      </c>
      <c r="N11" s="47">
        <f>ROUND(SUM(K11:M11),0)</f>
        <v>535500</v>
      </c>
      <c r="O11" s="47">
        <f t="shared" si="7"/>
        <v>1632000</v>
      </c>
      <c r="P11" s="515"/>
      <c r="Q11" s="516"/>
      <c r="R11" s="508">
        <v>5</v>
      </c>
      <c r="S11" s="517"/>
      <c r="T11" s="495"/>
      <c r="U11" s="510" t="s">
        <v>103</v>
      </c>
      <c r="V11" s="511" t="s">
        <v>104</v>
      </c>
      <c r="W11" s="512">
        <v>5100000</v>
      </c>
      <c r="X11" s="513">
        <f t="shared" si="8"/>
        <v>892500</v>
      </c>
      <c r="Y11" s="512">
        <f t="shared" si="9"/>
        <v>153000</v>
      </c>
      <c r="Z11" s="512">
        <f t="shared" si="10"/>
        <v>51000</v>
      </c>
      <c r="AA11" s="512">
        <f t="shared" si="11"/>
        <v>1096500</v>
      </c>
      <c r="AB11" s="513">
        <f t="shared" si="12"/>
        <v>408000</v>
      </c>
      <c r="AC11" s="513">
        <f t="shared" si="13"/>
        <v>76500</v>
      </c>
      <c r="AD11" s="513">
        <f t="shared" si="14"/>
        <v>51000</v>
      </c>
      <c r="AE11" s="513">
        <f t="shared" si="15"/>
        <v>535500</v>
      </c>
      <c r="AF11" s="513">
        <f t="shared" si="16"/>
        <v>1632000</v>
      </c>
      <c r="AG11" s="494"/>
    </row>
    <row r="12" spans="1:33" ht="15" customHeight="1">
      <c r="A12" s="501">
        <v>6</v>
      </c>
      <c r="B12" s="3"/>
      <c r="C12" s="503"/>
      <c r="D12" s="36" t="s">
        <v>110</v>
      </c>
      <c r="E12" s="504" t="s">
        <v>111</v>
      </c>
      <c r="F12" s="505">
        <v>5100000</v>
      </c>
      <c r="G12" s="47"/>
      <c r="H12" s="506">
        <f t="shared" si="1"/>
        <v>153000</v>
      </c>
      <c r="I12" s="506"/>
      <c r="J12" s="506">
        <f t="shared" si="2"/>
        <v>153000</v>
      </c>
      <c r="K12" s="47"/>
      <c r="L12" s="47"/>
      <c r="M12" s="47"/>
      <c r="N12" s="47"/>
      <c r="O12" s="47">
        <f t="shared" si="7"/>
        <v>153000</v>
      </c>
      <c r="P12" s="507"/>
      <c r="R12" s="508">
        <v>6</v>
      </c>
      <c r="S12" s="517"/>
      <c r="T12" s="495"/>
      <c r="U12" s="510" t="s">
        <v>107</v>
      </c>
      <c r="V12" s="511" t="s">
        <v>108</v>
      </c>
      <c r="W12" s="512">
        <v>5100000</v>
      </c>
      <c r="X12" s="513">
        <f t="shared" si="8"/>
        <v>892500</v>
      </c>
      <c r="Y12" s="512">
        <f t="shared" si="9"/>
        <v>153000</v>
      </c>
      <c r="Z12" s="512">
        <f t="shared" si="10"/>
        <v>51000</v>
      </c>
      <c r="AA12" s="512">
        <f t="shared" si="11"/>
        <v>1096500</v>
      </c>
      <c r="AB12" s="513">
        <f t="shared" si="12"/>
        <v>408000</v>
      </c>
      <c r="AC12" s="513">
        <f t="shared" si="13"/>
        <v>76500</v>
      </c>
      <c r="AD12" s="513">
        <f t="shared" si="14"/>
        <v>51000</v>
      </c>
      <c r="AE12" s="513">
        <f t="shared" si="15"/>
        <v>535500</v>
      </c>
      <c r="AF12" s="513">
        <f t="shared" si="16"/>
        <v>1632000</v>
      </c>
      <c r="AG12" s="494"/>
    </row>
    <row r="13" spans="1:33" ht="15" customHeight="1">
      <c r="A13" s="501">
        <v>7</v>
      </c>
      <c r="B13" s="3"/>
      <c r="C13" s="503"/>
      <c r="D13" s="36" t="s">
        <v>287</v>
      </c>
      <c r="E13" s="504" t="s">
        <v>115</v>
      </c>
      <c r="F13" s="505">
        <v>5100000</v>
      </c>
      <c r="G13" s="47">
        <f t="shared" ref="G13:G22" si="18">ROUND(F13*$G$6,0)</f>
        <v>892500</v>
      </c>
      <c r="H13" s="506">
        <f t="shared" si="1"/>
        <v>153000</v>
      </c>
      <c r="I13" s="506">
        <f t="shared" ref="I13:I22" si="19">ROUND(F13*$I$6,0)</f>
        <v>51000</v>
      </c>
      <c r="J13" s="506">
        <f t="shared" si="2"/>
        <v>1096500</v>
      </c>
      <c r="K13" s="47">
        <f t="shared" ref="K13:K22" si="20">ROUND(F13*$K$6,0)</f>
        <v>408000</v>
      </c>
      <c r="L13" s="47">
        <f t="shared" ref="L13:L22" si="21">ROUND(F13*$L$6,0)</f>
        <v>76500</v>
      </c>
      <c r="M13" s="47">
        <f t="shared" ref="M13:M22" si="22">ROUND(F13*$M$6,0)</f>
        <v>51000</v>
      </c>
      <c r="N13" s="47">
        <f t="shared" ref="N13:N22" si="23">ROUND(SUM(K13:M13),0)</f>
        <v>535500</v>
      </c>
      <c r="O13" s="47">
        <f t="shared" si="7"/>
        <v>1632000</v>
      </c>
      <c r="P13" s="507"/>
      <c r="R13" s="508">
        <v>7</v>
      </c>
      <c r="S13" s="517"/>
      <c r="T13" s="495"/>
      <c r="U13" s="510" t="s">
        <v>110</v>
      </c>
      <c r="V13" s="511" t="s">
        <v>111</v>
      </c>
      <c r="W13" s="512">
        <v>5100000</v>
      </c>
      <c r="X13" s="513">
        <f t="shared" si="8"/>
        <v>892500</v>
      </c>
      <c r="Y13" s="512">
        <f t="shared" si="9"/>
        <v>153000</v>
      </c>
      <c r="Z13" s="512">
        <f t="shared" si="10"/>
        <v>51000</v>
      </c>
      <c r="AA13" s="512">
        <f t="shared" si="11"/>
        <v>1096500</v>
      </c>
      <c r="AB13" s="513">
        <f t="shared" si="12"/>
        <v>408000</v>
      </c>
      <c r="AC13" s="513">
        <f t="shared" si="13"/>
        <v>76500</v>
      </c>
      <c r="AD13" s="513">
        <f t="shared" si="14"/>
        <v>51000</v>
      </c>
      <c r="AE13" s="513">
        <f t="shared" si="15"/>
        <v>535500</v>
      </c>
      <c r="AF13" s="513">
        <f t="shared" si="16"/>
        <v>1632000</v>
      </c>
      <c r="AG13" s="494"/>
    </row>
    <row r="14" spans="1:33" ht="15" customHeight="1">
      <c r="A14" s="501">
        <v>8</v>
      </c>
      <c r="B14" s="3"/>
      <c r="C14" s="503"/>
      <c r="D14" s="40" t="s">
        <v>118</v>
      </c>
      <c r="E14" s="504" t="s">
        <v>119</v>
      </c>
      <c r="F14" s="505">
        <v>5100000</v>
      </c>
      <c r="G14" s="47">
        <f t="shared" si="18"/>
        <v>892500</v>
      </c>
      <c r="H14" s="506">
        <f t="shared" si="1"/>
        <v>153000</v>
      </c>
      <c r="I14" s="506">
        <f t="shared" si="19"/>
        <v>51000</v>
      </c>
      <c r="J14" s="506">
        <f t="shared" si="2"/>
        <v>1096500</v>
      </c>
      <c r="K14" s="47">
        <f t="shared" si="20"/>
        <v>408000</v>
      </c>
      <c r="L14" s="47">
        <f t="shared" si="21"/>
        <v>76500</v>
      </c>
      <c r="M14" s="47">
        <f t="shared" si="22"/>
        <v>51000</v>
      </c>
      <c r="N14" s="47">
        <f t="shared" si="23"/>
        <v>535500</v>
      </c>
      <c r="O14" s="47">
        <f t="shared" si="7"/>
        <v>1632000</v>
      </c>
      <c r="P14" s="507">
        <f>O23-P11</f>
        <v>31617550</v>
      </c>
      <c r="R14" s="508">
        <v>8</v>
      </c>
      <c r="S14" s="517"/>
      <c r="T14" s="495"/>
      <c r="U14" s="510" t="s">
        <v>287</v>
      </c>
      <c r="V14" s="511" t="s">
        <v>115</v>
      </c>
      <c r="W14" s="512">
        <v>5100000</v>
      </c>
      <c r="X14" s="513">
        <f t="shared" si="8"/>
        <v>892500</v>
      </c>
      <c r="Y14" s="512">
        <f t="shared" si="9"/>
        <v>153000</v>
      </c>
      <c r="Z14" s="512">
        <f t="shared" si="10"/>
        <v>51000</v>
      </c>
      <c r="AA14" s="512">
        <f t="shared" si="11"/>
        <v>1096500</v>
      </c>
      <c r="AB14" s="513">
        <f t="shared" si="12"/>
        <v>408000</v>
      </c>
      <c r="AC14" s="513">
        <f t="shared" si="13"/>
        <v>76500</v>
      </c>
      <c r="AD14" s="513">
        <f t="shared" si="14"/>
        <v>51000</v>
      </c>
      <c r="AE14" s="513">
        <f t="shared" si="15"/>
        <v>535500</v>
      </c>
      <c r="AF14" s="513">
        <f t="shared" si="16"/>
        <v>1632000</v>
      </c>
      <c r="AG14" s="494"/>
    </row>
    <row r="15" spans="1:33" ht="15" customHeight="1">
      <c r="A15" s="501">
        <v>9</v>
      </c>
      <c r="B15" s="3"/>
      <c r="C15" s="503"/>
      <c r="D15" s="40" t="s">
        <v>121</v>
      </c>
      <c r="E15" s="504" t="s">
        <v>125</v>
      </c>
      <c r="F15" s="505">
        <v>20000000</v>
      </c>
      <c r="G15" s="47">
        <f t="shared" si="18"/>
        <v>3500000</v>
      </c>
      <c r="H15" s="506">
        <f t="shared" si="1"/>
        <v>600000</v>
      </c>
      <c r="I15" s="506">
        <f t="shared" si="19"/>
        <v>200000</v>
      </c>
      <c r="J15" s="506">
        <f t="shared" si="2"/>
        <v>4300000</v>
      </c>
      <c r="K15" s="47">
        <f t="shared" si="20"/>
        <v>1600000</v>
      </c>
      <c r="L15" s="47">
        <f t="shared" si="21"/>
        <v>300000</v>
      </c>
      <c r="M15" s="47">
        <f t="shared" si="22"/>
        <v>200000</v>
      </c>
      <c r="N15" s="47">
        <f t="shared" si="23"/>
        <v>2100000</v>
      </c>
      <c r="O15" s="47">
        <f t="shared" si="7"/>
        <v>6400000</v>
      </c>
      <c r="P15" s="507"/>
      <c r="R15" s="508">
        <v>9</v>
      </c>
      <c r="S15" s="517"/>
      <c r="T15" s="495"/>
      <c r="U15" s="518" t="s">
        <v>118</v>
      </c>
      <c r="V15" s="511" t="s">
        <v>119</v>
      </c>
      <c r="W15" s="512">
        <v>5100000</v>
      </c>
      <c r="X15" s="513">
        <f t="shared" si="8"/>
        <v>892500</v>
      </c>
      <c r="Y15" s="512">
        <f t="shared" si="9"/>
        <v>153000</v>
      </c>
      <c r="Z15" s="512">
        <f t="shared" si="10"/>
        <v>51000</v>
      </c>
      <c r="AA15" s="512">
        <f t="shared" si="11"/>
        <v>1096500</v>
      </c>
      <c r="AB15" s="513">
        <f t="shared" si="12"/>
        <v>408000</v>
      </c>
      <c r="AC15" s="513">
        <f t="shared" si="13"/>
        <v>76500</v>
      </c>
      <c r="AD15" s="513">
        <f t="shared" si="14"/>
        <v>51000</v>
      </c>
      <c r="AE15" s="513">
        <f t="shared" si="15"/>
        <v>535500</v>
      </c>
      <c r="AF15" s="513">
        <f t="shared" si="16"/>
        <v>1632000</v>
      </c>
      <c r="AG15" s="494"/>
    </row>
    <row r="16" spans="1:33" ht="15" customHeight="1">
      <c r="A16" s="501">
        <v>10</v>
      </c>
      <c r="B16" s="519"/>
      <c r="C16" s="503"/>
      <c r="D16" s="503"/>
      <c r="E16" s="520" t="s">
        <v>207</v>
      </c>
      <c r="F16" s="505">
        <v>9000000</v>
      </c>
      <c r="G16" s="47">
        <f t="shared" si="18"/>
        <v>1575000</v>
      </c>
      <c r="H16" s="506">
        <f t="shared" si="1"/>
        <v>270000</v>
      </c>
      <c r="I16" s="506">
        <f t="shared" si="19"/>
        <v>90000</v>
      </c>
      <c r="J16" s="506">
        <f t="shared" si="2"/>
        <v>1935000</v>
      </c>
      <c r="K16" s="47">
        <f t="shared" si="20"/>
        <v>720000</v>
      </c>
      <c r="L16" s="47">
        <f t="shared" si="21"/>
        <v>135000</v>
      </c>
      <c r="M16" s="47">
        <f t="shared" si="22"/>
        <v>90000</v>
      </c>
      <c r="N16" s="47">
        <f t="shared" si="23"/>
        <v>945000</v>
      </c>
      <c r="O16" s="47">
        <f t="shared" si="7"/>
        <v>2880000</v>
      </c>
      <c r="P16" s="521"/>
      <c r="Q16" s="494"/>
      <c r="R16" s="508">
        <v>10</v>
      </c>
      <c r="S16" s="514"/>
      <c r="T16" s="495"/>
      <c r="U16" s="518" t="s">
        <v>121</v>
      </c>
      <c r="V16" s="511" t="s">
        <v>122</v>
      </c>
      <c r="W16" s="512">
        <v>20000000</v>
      </c>
      <c r="X16" s="513">
        <f t="shared" si="8"/>
        <v>3500000</v>
      </c>
      <c r="Y16" s="512">
        <f t="shared" si="9"/>
        <v>600000</v>
      </c>
      <c r="Z16" s="512">
        <f t="shared" si="10"/>
        <v>200000</v>
      </c>
      <c r="AA16" s="512">
        <f t="shared" si="11"/>
        <v>4300000</v>
      </c>
      <c r="AB16" s="513">
        <f t="shared" si="12"/>
        <v>1600000</v>
      </c>
      <c r="AC16" s="513">
        <f t="shared" si="13"/>
        <v>300000</v>
      </c>
      <c r="AD16" s="513">
        <f t="shared" si="14"/>
        <v>200000</v>
      </c>
      <c r="AE16" s="513">
        <f t="shared" si="15"/>
        <v>2100000</v>
      </c>
      <c r="AF16" s="513">
        <f t="shared" si="16"/>
        <v>6400000</v>
      </c>
      <c r="AG16" s="494"/>
    </row>
    <row r="17" spans="1:33" ht="15" customHeight="1">
      <c r="A17" s="501">
        <v>11</v>
      </c>
      <c r="B17" s="519"/>
      <c r="C17" s="503"/>
      <c r="D17" s="503"/>
      <c r="E17" s="520" t="s">
        <v>212</v>
      </c>
      <c r="F17" s="505">
        <v>5100000</v>
      </c>
      <c r="G17" s="47">
        <f t="shared" si="18"/>
        <v>892500</v>
      </c>
      <c r="H17" s="506">
        <f t="shared" si="1"/>
        <v>153000</v>
      </c>
      <c r="I17" s="506">
        <f t="shared" si="19"/>
        <v>51000</v>
      </c>
      <c r="J17" s="506">
        <f t="shared" si="2"/>
        <v>1096500</v>
      </c>
      <c r="K17" s="47">
        <f t="shared" si="20"/>
        <v>408000</v>
      </c>
      <c r="L17" s="47">
        <f t="shared" si="21"/>
        <v>76500</v>
      </c>
      <c r="M17" s="47">
        <f t="shared" si="22"/>
        <v>51000</v>
      </c>
      <c r="N17" s="47">
        <f t="shared" si="23"/>
        <v>535500</v>
      </c>
      <c r="O17" s="47">
        <f t="shared" si="7"/>
        <v>1632000</v>
      </c>
      <c r="P17" s="521"/>
      <c r="Q17" s="494"/>
      <c r="R17" s="494"/>
      <c r="S17" s="494"/>
      <c r="T17" s="494"/>
      <c r="U17" s="494"/>
      <c r="V17" s="494"/>
      <c r="W17" s="494"/>
      <c r="X17" s="494"/>
      <c r="Y17" s="494"/>
      <c r="Z17" s="494"/>
      <c r="AA17" s="494"/>
      <c r="AB17" s="494"/>
      <c r="AC17" s="494"/>
      <c r="AD17" s="494"/>
      <c r="AE17" s="494"/>
      <c r="AF17" s="494"/>
      <c r="AG17" s="494"/>
    </row>
    <row r="18" spans="1:33" ht="17.25" customHeight="1">
      <c r="A18" s="501">
        <v>12</v>
      </c>
      <c r="B18" s="519"/>
      <c r="C18" s="503"/>
      <c r="D18" s="503"/>
      <c r="E18" s="520" t="s">
        <v>216</v>
      </c>
      <c r="F18" s="505">
        <v>5100000</v>
      </c>
      <c r="G18" s="47">
        <f t="shared" si="18"/>
        <v>892500</v>
      </c>
      <c r="H18" s="506">
        <f t="shared" si="1"/>
        <v>153000</v>
      </c>
      <c r="I18" s="506">
        <f t="shared" si="19"/>
        <v>51000</v>
      </c>
      <c r="J18" s="506">
        <f t="shared" si="2"/>
        <v>1096500</v>
      </c>
      <c r="K18" s="47">
        <f t="shared" si="20"/>
        <v>408000</v>
      </c>
      <c r="L18" s="47">
        <f t="shared" si="21"/>
        <v>76500</v>
      </c>
      <c r="M18" s="47">
        <f t="shared" si="22"/>
        <v>51000</v>
      </c>
      <c r="N18" s="47">
        <f t="shared" si="23"/>
        <v>535500</v>
      </c>
      <c r="O18" s="47">
        <f t="shared" si="7"/>
        <v>1632000</v>
      </c>
      <c r="P18" s="521"/>
      <c r="Q18" s="494"/>
      <c r="R18" s="494"/>
      <c r="S18" s="494"/>
      <c r="T18" s="494"/>
      <c r="U18" s="494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4"/>
      <c r="AG18" s="494"/>
    </row>
    <row r="19" spans="1:33" ht="15" customHeight="1">
      <c r="A19" s="501">
        <v>13</v>
      </c>
      <c r="B19" s="519"/>
      <c r="C19" s="503"/>
      <c r="D19" s="503"/>
      <c r="E19" s="504" t="s">
        <v>139</v>
      </c>
      <c r="F19" s="505">
        <v>5100000</v>
      </c>
      <c r="G19" s="47">
        <f t="shared" si="18"/>
        <v>892500</v>
      </c>
      <c r="H19" s="506">
        <f t="shared" si="1"/>
        <v>153000</v>
      </c>
      <c r="I19" s="506">
        <f t="shared" si="19"/>
        <v>51000</v>
      </c>
      <c r="J19" s="506">
        <f t="shared" si="2"/>
        <v>1096500</v>
      </c>
      <c r="K19" s="47">
        <f t="shared" si="20"/>
        <v>408000</v>
      </c>
      <c r="L19" s="47">
        <f t="shared" si="21"/>
        <v>76500</v>
      </c>
      <c r="M19" s="47">
        <f t="shared" si="22"/>
        <v>51000</v>
      </c>
      <c r="N19" s="47">
        <f t="shared" si="23"/>
        <v>535500</v>
      </c>
      <c r="O19" s="47">
        <f t="shared" si="7"/>
        <v>1632000</v>
      </c>
      <c r="P19" s="521"/>
    </row>
    <row r="20" spans="1:33" ht="15" customHeight="1">
      <c r="A20" s="501">
        <v>14</v>
      </c>
      <c r="B20" s="519"/>
      <c r="C20" s="503"/>
      <c r="D20" s="503"/>
      <c r="E20" s="522" t="s">
        <v>142</v>
      </c>
      <c r="F20" s="505">
        <v>5100000</v>
      </c>
      <c r="G20" s="47">
        <f t="shared" si="18"/>
        <v>892500</v>
      </c>
      <c r="H20" s="506">
        <f t="shared" si="1"/>
        <v>153000</v>
      </c>
      <c r="I20" s="506">
        <f t="shared" si="19"/>
        <v>51000</v>
      </c>
      <c r="J20" s="506">
        <f t="shared" si="2"/>
        <v>1096500</v>
      </c>
      <c r="K20" s="47">
        <f t="shared" si="20"/>
        <v>408000</v>
      </c>
      <c r="L20" s="47">
        <f t="shared" si="21"/>
        <v>76500</v>
      </c>
      <c r="M20" s="47">
        <f t="shared" si="22"/>
        <v>51000</v>
      </c>
      <c r="N20" s="47">
        <f t="shared" si="23"/>
        <v>535500</v>
      </c>
      <c r="O20" s="47">
        <f t="shared" si="7"/>
        <v>1632000</v>
      </c>
      <c r="P20" s="521"/>
    </row>
    <row r="21" spans="1:33" ht="15" customHeight="1">
      <c r="A21" s="501">
        <v>15</v>
      </c>
      <c r="B21" s="519"/>
      <c r="C21" s="503"/>
      <c r="D21" s="503"/>
      <c r="E21" s="523" t="s">
        <v>145</v>
      </c>
      <c r="F21" s="505">
        <v>5100000</v>
      </c>
      <c r="G21" s="47">
        <f t="shared" si="18"/>
        <v>892500</v>
      </c>
      <c r="H21" s="506">
        <f t="shared" si="1"/>
        <v>153000</v>
      </c>
      <c r="I21" s="506">
        <f t="shared" si="19"/>
        <v>51000</v>
      </c>
      <c r="J21" s="506">
        <f t="shared" si="2"/>
        <v>1096500</v>
      </c>
      <c r="K21" s="47">
        <f t="shared" si="20"/>
        <v>408000</v>
      </c>
      <c r="L21" s="47">
        <f t="shared" si="21"/>
        <v>76500</v>
      </c>
      <c r="M21" s="47">
        <f t="shared" si="22"/>
        <v>51000</v>
      </c>
      <c r="N21" s="47">
        <f t="shared" si="23"/>
        <v>535500</v>
      </c>
      <c r="O21" s="47">
        <f t="shared" si="7"/>
        <v>1632000</v>
      </c>
      <c r="P21" s="521"/>
    </row>
    <row r="22" spans="1:33" ht="15" customHeight="1">
      <c r="A22" s="501">
        <v>16</v>
      </c>
      <c r="B22" s="519"/>
      <c r="C22" s="503"/>
      <c r="D22" s="503"/>
      <c r="E22" s="524" t="s">
        <v>229</v>
      </c>
      <c r="F22" s="505">
        <v>9000000</v>
      </c>
      <c r="G22" s="47">
        <f t="shared" si="18"/>
        <v>1575000</v>
      </c>
      <c r="H22" s="506">
        <f t="shared" si="1"/>
        <v>270000</v>
      </c>
      <c r="I22" s="506">
        <f t="shared" si="19"/>
        <v>90000</v>
      </c>
      <c r="J22" s="506">
        <f t="shared" si="2"/>
        <v>1935000</v>
      </c>
      <c r="K22" s="47">
        <f t="shared" si="20"/>
        <v>720000</v>
      </c>
      <c r="L22" s="47">
        <f t="shared" si="21"/>
        <v>135000</v>
      </c>
      <c r="M22" s="47">
        <f t="shared" si="22"/>
        <v>90000</v>
      </c>
      <c r="N22" s="47">
        <f t="shared" si="23"/>
        <v>945000</v>
      </c>
      <c r="O22" s="47">
        <f t="shared" si="7"/>
        <v>2880000</v>
      </c>
      <c r="P22" s="521"/>
    </row>
    <row r="23" spans="1:33" ht="15" customHeight="1">
      <c r="A23" s="501"/>
      <c r="B23" s="502"/>
      <c r="C23" s="502"/>
      <c r="D23" s="502"/>
      <c r="E23" s="525" t="s">
        <v>180</v>
      </c>
      <c r="F23" s="526">
        <f t="shared" ref="F23:O23" si="24">SUM(F7:F22)</f>
        <v>108200000</v>
      </c>
      <c r="G23" s="526">
        <f t="shared" si="24"/>
        <v>17150000</v>
      </c>
      <c r="H23" s="526">
        <f t="shared" si="24"/>
        <v>3246000</v>
      </c>
      <c r="I23" s="526">
        <f t="shared" si="24"/>
        <v>931550</v>
      </c>
      <c r="J23" s="526">
        <f t="shared" si="24"/>
        <v>21327550</v>
      </c>
      <c r="K23" s="526">
        <f t="shared" si="24"/>
        <v>7840000</v>
      </c>
      <c r="L23" s="526">
        <f t="shared" si="24"/>
        <v>1470000</v>
      </c>
      <c r="M23" s="526">
        <f t="shared" si="24"/>
        <v>980000</v>
      </c>
      <c r="N23" s="526">
        <f t="shared" si="24"/>
        <v>10290000</v>
      </c>
      <c r="O23" s="527">
        <f t="shared" si="24"/>
        <v>31617550</v>
      </c>
      <c r="P23" s="521">
        <f>SUM(P7:P15)</f>
        <v>31617550</v>
      </c>
      <c r="Q23" s="528">
        <f>P24-O23</f>
        <v>4926450</v>
      </c>
    </row>
    <row r="24" spans="1:33" ht="24.75" customHeight="1">
      <c r="A24" s="487"/>
      <c r="B24" s="488"/>
      <c r="C24" s="488"/>
      <c r="D24" s="488"/>
      <c r="E24" s="529"/>
      <c r="F24" s="530"/>
      <c r="G24" s="531">
        <f t="shared" ref="G24:I24" si="25">G23+K23</f>
        <v>24990000</v>
      </c>
      <c r="H24" s="531">
        <f t="shared" si="25"/>
        <v>4716000</v>
      </c>
      <c r="I24" s="531">
        <f t="shared" si="25"/>
        <v>1911550</v>
      </c>
      <c r="J24" s="531"/>
      <c r="K24" s="531"/>
      <c r="L24" s="531"/>
      <c r="M24" s="531"/>
      <c r="N24" s="531"/>
      <c r="O24" s="531">
        <f>'Lương 032026_Chốt'!AO42+'Lương 032026_Chốt'!AP42</f>
        <v>50976000</v>
      </c>
      <c r="P24" s="528">
        <v>36544000</v>
      </c>
    </row>
    <row r="25" spans="1:33" ht="15.75" customHeight="1">
      <c r="A25" s="1250"/>
      <c r="B25" s="1200"/>
      <c r="C25" s="1200"/>
      <c r="D25" s="1200"/>
      <c r="E25" s="1200"/>
      <c r="F25" s="1200"/>
      <c r="I25" s="532">
        <f t="shared" ref="I25:J25" si="26">H23+L23</f>
        <v>4716000</v>
      </c>
      <c r="J25" s="532">
        <f t="shared" si="26"/>
        <v>1911550</v>
      </c>
      <c r="K25" s="532">
        <f>G23+K23</f>
        <v>24990000</v>
      </c>
      <c r="L25" s="533">
        <v>29121000</v>
      </c>
      <c r="M25" s="528">
        <f>L25-K25</f>
        <v>4131000</v>
      </c>
      <c r="P25" s="528">
        <f>P24-O24</f>
        <v>-14432000</v>
      </c>
    </row>
    <row r="26" spans="1:33" ht="15" customHeight="1">
      <c r="A26" s="487"/>
      <c r="B26" s="488"/>
      <c r="C26" s="488"/>
      <c r="D26" s="488"/>
      <c r="E26" s="488"/>
      <c r="F26" s="490"/>
    </row>
    <row r="27" spans="1:33" ht="15" customHeight="1">
      <c r="A27" s="487"/>
      <c r="B27" s="488"/>
      <c r="C27" s="488"/>
      <c r="D27" s="488"/>
      <c r="E27" s="488"/>
      <c r="F27" s="490"/>
    </row>
    <row r="28" spans="1:33" ht="15.75" customHeight="1">
      <c r="A28" s="1251" t="s">
        <v>960</v>
      </c>
      <c r="B28" s="1200"/>
      <c r="C28" s="1200"/>
      <c r="D28" s="1200"/>
      <c r="E28" s="1200"/>
      <c r="F28" s="1200"/>
      <c r="G28" s="192"/>
      <c r="H28" s="192"/>
      <c r="I28" s="534">
        <f t="shared" ref="I28:J28" si="27">H26+L26</f>
        <v>0</v>
      </c>
      <c r="J28" s="534">
        <f t="shared" si="27"/>
        <v>0</v>
      </c>
      <c r="K28" s="534">
        <f>G26+K26</f>
        <v>0</v>
      </c>
      <c r="L28" s="535">
        <v>29121000</v>
      </c>
      <c r="M28" s="194">
        <f>L28-K28</f>
        <v>29121000</v>
      </c>
      <c r="N28" s="192"/>
      <c r="O28" s="192"/>
      <c r="P28" s="194">
        <f>P27-O27</f>
        <v>0</v>
      </c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</row>
    <row r="29" spans="1:33" ht="15" customHeight="1">
      <c r="A29" s="252"/>
      <c r="B29" s="253"/>
      <c r="C29" s="253"/>
      <c r="D29" s="253"/>
      <c r="E29" s="253"/>
      <c r="F29" s="254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</row>
    <row r="30" spans="1:33" ht="15" customHeight="1">
      <c r="A30" s="252"/>
      <c r="B30" s="253"/>
      <c r="C30" s="253"/>
      <c r="D30" s="253"/>
      <c r="E30" s="253"/>
      <c r="F30" s="254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</row>
    <row r="31" spans="1:33" ht="15" customHeight="1">
      <c r="A31" s="1252" t="s">
        <v>961</v>
      </c>
      <c r="B31" s="1156"/>
      <c r="C31" s="1156"/>
      <c r="D31" s="1156"/>
      <c r="E31" s="1156"/>
      <c r="F31" s="536"/>
      <c r="G31" s="1248" t="s">
        <v>289</v>
      </c>
      <c r="H31" s="1145"/>
      <c r="I31" s="1145"/>
      <c r="J31" s="1146"/>
      <c r="K31" s="1248" t="s">
        <v>290</v>
      </c>
      <c r="L31" s="1145"/>
      <c r="M31" s="1145"/>
      <c r="N31" s="1146"/>
      <c r="O31" s="1249" t="s">
        <v>291</v>
      </c>
      <c r="P31" s="1249" t="s">
        <v>13</v>
      </c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</row>
    <row r="32" spans="1:33" ht="15" customHeight="1">
      <c r="A32" s="252"/>
      <c r="B32" s="253"/>
      <c r="C32" s="253"/>
      <c r="D32" s="253"/>
      <c r="E32" s="253"/>
      <c r="F32" s="536"/>
      <c r="G32" s="291" t="s">
        <v>280</v>
      </c>
      <c r="H32" s="291" t="s">
        <v>281</v>
      </c>
      <c r="I32" s="291" t="s">
        <v>282</v>
      </c>
      <c r="J32" s="1249" t="s">
        <v>180</v>
      </c>
      <c r="K32" s="291" t="s">
        <v>280</v>
      </c>
      <c r="L32" s="291" t="s">
        <v>281</v>
      </c>
      <c r="M32" s="291" t="s">
        <v>282</v>
      </c>
      <c r="N32" s="1249" t="s">
        <v>180</v>
      </c>
      <c r="O32" s="1150"/>
      <c r="P32" s="1150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</row>
    <row r="33" spans="1:33" ht="15" customHeight="1">
      <c r="A33" s="537" t="s">
        <v>15</v>
      </c>
      <c r="B33" s="538" t="s">
        <v>273</v>
      </c>
      <c r="C33" s="538" t="s">
        <v>292</v>
      </c>
      <c r="D33" s="539" t="s">
        <v>275</v>
      </c>
      <c r="E33" s="537" t="s">
        <v>276</v>
      </c>
      <c r="F33" s="540" t="s">
        <v>277</v>
      </c>
      <c r="G33" s="541">
        <v>0.17499999999999999</v>
      </c>
      <c r="H33" s="542">
        <v>0.03</v>
      </c>
      <c r="I33" s="542" t="s">
        <v>283</v>
      </c>
      <c r="J33" s="1141"/>
      <c r="K33" s="542">
        <v>0.08</v>
      </c>
      <c r="L33" s="541">
        <v>1.4999999999999999E-2</v>
      </c>
      <c r="M33" s="543">
        <v>0.01</v>
      </c>
      <c r="N33" s="1141"/>
      <c r="O33" s="1141"/>
      <c r="P33" s="1141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</row>
    <row r="34" spans="1:33" ht="15" customHeight="1">
      <c r="A34" s="544">
        <v>1</v>
      </c>
      <c r="B34" s="545"/>
      <c r="C34" s="546"/>
      <c r="D34" s="309"/>
      <c r="E34" s="310" t="s">
        <v>111</v>
      </c>
      <c r="F34" s="547">
        <v>5100000</v>
      </c>
      <c r="G34" s="548">
        <f>F34*$G33</f>
        <v>892500</v>
      </c>
      <c r="H34" s="549">
        <f>F34*H33</f>
        <v>153000</v>
      </c>
      <c r="I34" s="549">
        <f>F34*I33</f>
        <v>51000</v>
      </c>
      <c r="J34" s="549">
        <f>SUM(G34:I34)</f>
        <v>1096500</v>
      </c>
      <c r="K34" s="351">
        <f>F34*K33</f>
        <v>408000</v>
      </c>
      <c r="L34" s="351">
        <f>F34*L33</f>
        <v>76500</v>
      </c>
      <c r="M34" s="550">
        <f>F34*M33</f>
        <v>51000</v>
      </c>
      <c r="N34" s="351">
        <f>SUM(K34:M34)</f>
        <v>535500</v>
      </c>
      <c r="O34" s="351">
        <f>J34+N34</f>
        <v>1632000</v>
      </c>
      <c r="P34" s="551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</row>
    <row r="35" spans="1:33" ht="15" customHeight="1">
      <c r="A35" s="544"/>
      <c r="B35" s="552"/>
      <c r="C35" s="552"/>
      <c r="D35" s="552"/>
      <c r="E35" s="538" t="s">
        <v>293</v>
      </c>
      <c r="F35" s="553">
        <f t="shared" ref="F35:O35" si="28">SUM(F34)</f>
        <v>5100000</v>
      </c>
      <c r="G35" s="553">
        <f t="shared" si="28"/>
        <v>892500</v>
      </c>
      <c r="H35" s="553">
        <f t="shared" si="28"/>
        <v>153000</v>
      </c>
      <c r="I35" s="553">
        <f t="shared" si="28"/>
        <v>51000</v>
      </c>
      <c r="J35" s="553">
        <f t="shared" si="28"/>
        <v>1096500</v>
      </c>
      <c r="K35" s="553">
        <f t="shared" si="28"/>
        <v>408000</v>
      </c>
      <c r="L35" s="553">
        <f t="shared" si="28"/>
        <v>76500</v>
      </c>
      <c r="M35" s="553">
        <f t="shared" si="28"/>
        <v>51000</v>
      </c>
      <c r="N35" s="553">
        <f t="shared" si="28"/>
        <v>535500</v>
      </c>
      <c r="O35" s="553">
        <f t="shared" si="28"/>
        <v>1632000</v>
      </c>
      <c r="P35" s="356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</row>
    <row r="36" spans="1:33" ht="15" customHeight="1">
      <c r="A36" s="192"/>
      <c r="B36" s="192"/>
      <c r="C36" s="192"/>
      <c r="D36" s="192"/>
      <c r="E36" s="192"/>
      <c r="F36" s="192"/>
      <c r="G36" s="1244"/>
      <c r="H36" s="1156"/>
      <c r="I36" s="1156"/>
      <c r="J36" s="262"/>
      <c r="K36" s="192"/>
      <c r="L36" s="263"/>
      <c r="M36" s="264"/>
      <c r="N36" s="264"/>
      <c r="O36" s="264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</row>
    <row r="37" spans="1:33" ht="15" customHeight="1">
      <c r="A37" s="192"/>
      <c r="B37" s="192"/>
      <c r="C37" s="192"/>
      <c r="D37" s="192"/>
      <c r="E37" s="192"/>
      <c r="F37" s="192"/>
      <c r="G37" s="1244"/>
      <c r="H37" s="1156"/>
      <c r="I37" s="1156"/>
      <c r="J37" s="262"/>
      <c r="K37" s="192"/>
      <c r="L37" s="263"/>
      <c r="M37" s="264"/>
      <c r="N37" s="264"/>
      <c r="O37" s="264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</row>
    <row r="38" spans="1:33" ht="15" customHeight="1">
      <c r="G38" s="1245"/>
      <c r="H38" s="1156"/>
      <c r="I38" s="1156"/>
      <c r="J38" s="531"/>
      <c r="L38" s="489"/>
      <c r="O38" s="489"/>
    </row>
    <row r="39" spans="1:33" ht="15" customHeight="1">
      <c r="G39" s="554"/>
      <c r="H39" s="554"/>
      <c r="I39" s="554"/>
      <c r="J39" s="531"/>
      <c r="L39" s="489"/>
      <c r="O39" s="489"/>
    </row>
    <row r="40" spans="1:33" ht="15" customHeight="1">
      <c r="A40" s="555"/>
      <c r="B40" s="556"/>
      <c r="C40" s="556"/>
      <c r="D40" s="1243" t="s">
        <v>294</v>
      </c>
      <c r="E40" s="1156"/>
      <c r="F40" s="1156"/>
      <c r="G40" s="556"/>
      <c r="H40" s="1243" t="s">
        <v>295</v>
      </c>
      <c r="I40" s="1156"/>
      <c r="J40" s="1156"/>
      <c r="K40" s="556"/>
      <c r="L40" s="1243" t="s">
        <v>296</v>
      </c>
      <c r="M40" s="1156"/>
    </row>
    <row r="41" spans="1:33" ht="15" customHeight="1">
      <c r="A41" s="555"/>
      <c r="B41" s="556"/>
      <c r="C41" s="556"/>
      <c r="D41" s="557"/>
      <c r="E41" s="556"/>
      <c r="F41" s="558"/>
      <c r="G41" s="556"/>
      <c r="H41" s="556"/>
      <c r="I41" s="556"/>
      <c r="J41" s="531"/>
    </row>
    <row r="42" spans="1:33" ht="15" customHeight="1">
      <c r="A42" s="555"/>
      <c r="B42" s="556"/>
      <c r="C42" s="556"/>
      <c r="D42" s="557"/>
      <c r="E42" s="556"/>
      <c r="F42" s="558"/>
    </row>
    <row r="43" spans="1:33" ht="15" customHeight="1">
      <c r="A43" s="555"/>
      <c r="B43" s="556"/>
      <c r="C43" s="556"/>
      <c r="D43" s="1243"/>
      <c r="E43" s="1156"/>
      <c r="F43" s="1156"/>
      <c r="G43" s="556"/>
      <c r="H43" s="1243"/>
      <c r="I43" s="1156"/>
      <c r="J43" s="1156"/>
      <c r="K43" s="556"/>
      <c r="L43" s="1243" t="s">
        <v>297</v>
      </c>
      <c r="M43" s="1156"/>
    </row>
    <row r="44" spans="1:33" ht="18.75" customHeight="1"/>
    <row r="45" spans="1:33" ht="18.75" customHeight="1"/>
    <row r="46" spans="1:33" ht="18.75" customHeight="1"/>
    <row r="47" spans="1:33" ht="18.75" customHeight="1"/>
    <row r="48" spans="1:33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F4:F6"/>
    <mergeCell ref="G4:J4"/>
    <mergeCell ref="J5:J6"/>
    <mergeCell ref="D40:F40"/>
    <mergeCell ref="H40:J40"/>
    <mergeCell ref="D43:F43"/>
    <mergeCell ref="A25:F25"/>
    <mergeCell ref="A28:F28"/>
    <mergeCell ref="A31:E31"/>
    <mergeCell ref="G31:J31"/>
    <mergeCell ref="H43:J43"/>
    <mergeCell ref="U4:U6"/>
    <mergeCell ref="V4:V6"/>
    <mergeCell ref="L43:M43"/>
    <mergeCell ref="G36:I36"/>
    <mergeCell ref="G37:I37"/>
    <mergeCell ref="G38:I38"/>
    <mergeCell ref="K4:N4"/>
    <mergeCell ref="O4:O6"/>
    <mergeCell ref="N5:N6"/>
    <mergeCell ref="K31:N31"/>
    <mergeCell ref="O31:O33"/>
    <mergeCell ref="P31:P33"/>
    <mergeCell ref="J32:J33"/>
    <mergeCell ref="N32:N33"/>
    <mergeCell ref="L40:M40"/>
    <mergeCell ref="A1:E1"/>
    <mergeCell ref="A2:O2"/>
    <mergeCell ref="S3:AG3"/>
    <mergeCell ref="A4:A6"/>
    <mergeCell ref="B4:B6"/>
    <mergeCell ref="D4:D6"/>
    <mergeCell ref="E4:E6"/>
    <mergeCell ref="W4:W6"/>
    <mergeCell ref="X4:AA4"/>
    <mergeCell ref="AB4:AE4"/>
    <mergeCell ref="AF4:AF6"/>
    <mergeCell ref="AA5:AA6"/>
    <mergeCell ref="AE5:AE6"/>
    <mergeCell ref="P4:P6"/>
    <mergeCell ref="R4:R6"/>
    <mergeCell ref="S4:S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H1028"/>
  <sheetViews>
    <sheetView workbookViewId="0">
      <pane ySplit="6" topLeftCell="A44" activePane="bottomLeft" state="frozen"/>
      <selection activeCell="D1" sqref="D1"/>
      <selection pane="bottomLeft" activeCell="H66" sqref="H66"/>
    </sheetView>
  </sheetViews>
  <sheetFormatPr defaultColWidth="14.44140625" defaultRowHeight="15" customHeight="1"/>
  <cols>
    <col min="1" max="1" width="6" customWidth="1"/>
    <col min="2" max="2" width="14" hidden="1" customWidth="1"/>
    <col min="3" max="3" width="15" hidden="1" customWidth="1"/>
    <col min="4" max="4" width="12" customWidth="1"/>
    <col min="5" max="5" width="22" customWidth="1"/>
    <col min="6" max="6" width="15" customWidth="1"/>
    <col min="7" max="7" width="14" customWidth="1"/>
    <col min="8" max="8" width="16" customWidth="1"/>
    <col min="9" max="10" width="13" customWidth="1"/>
    <col min="11" max="12" width="16" customWidth="1"/>
    <col min="13" max="13" width="13" customWidth="1"/>
    <col min="14" max="14" width="14" customWidth="1"/>
    <col min="15" max="15" width="15" customWidth="1"/>
    <col min="16" max="16" width="28.5546875" customWidth="1"/>
    <col min="17" max="17" width="20.33203125" customWidth="1"/>
    <col min="18" max="18" width="8.88671875" hidden="1" customWidth="1"/>
    <col min="19" max="21" width="14" hidden="1" customWidth="1"/>
    <col min="22" max="22" width="19" hidden="1" customWidth="1"/>
    <col min="23" max="33" width="14" hidden="1" customWidth="1"/>
  </cols>
  <sheetData>
    <row r="1" spans="1:33" ht="21" customHeight="1">
      <c r="A1" s="1254" t="s">
        <v>266</v>
      </c>
      <c r="B1" s="1156"/>
      <c r="C1" s="1156"/>
      <c r="D1" s="1156"/>
      <c r="E1" s="1156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</row>
    <row r="2" spans="1:33" ht="18.75" customHeight="1">
      <c r="A2" s="1255" t="s">
        <v>6003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  <c r="L2" s="1156"/>
      <c r="M2" s="1156"/>
      <c r="N2" s="1156"/>
      <c r="O2" s="1156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</row>
    <row r="3" spans="1:33" ht="22.5" customHeight="1">
      <c r="A3" s="217"/>
      <c r="B3" s="218"/>
      <c r="C3" s="218"/>
      <c r="D3" s="218"/>
      <c r="E3" s="123"/>
      <c r="F3" s="219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20"/>
      <c r="S3" s="1256" t="s">
        <v>272</v>
      </c>
      <c r="T3" s="1158"/>
      <c r="U3" s="1158"/>
      <c r="V3" s="1158"/>
      <c r="W3" s="1158"/>
      <c r="X3" s="1158"/>
      <c r="Y3" s="1158"/>
      <c r="Z3" s="1158"/>
      <c r="AA3" s="1158"/>
      <c r="AB3" s="1158"/>
      <c r="AC3" s="1158"/>
      <c r="AD3" s="1158"/>
      <c r="AE3" s="1158"/>
      <c r="AF3" s="1158"/>
      <c r="AG3" s="1158"/>
    </row>
    <row r="4" spans="1:33" ht="15" customHeight="1">
      <c r="A4" s="1257" t="s">
        <v>15</v>
      </c>
      <c r="B4" s="1257" t="s">
        <v>273</v>
      </c>
      <c r="C4" s="221" t="s">
        <v>274</v>
      </c>
      <c r="D4" s="1257" t="s">
        <v>15</v>
      </c>
      <c r="E4" s="1257" t="s">
        <v>276</v>
      </c>
      <c r="F4" s="1265" t="s">
        <v>277</v>
      </c>
      <c r="G4" s="1173" t="s">
        <v>278</v>
      </c>
      <c r="H4" s="1145"/>
      <c r="I4" s="1145"/>
      <c r="J4" s="1146"/>
      <c r="K4" s="1268" t="s">
        <v>279</v>
      </c>
      <c r="L4" s="1145"/>
      <c r="M4" s="1145"/>
      <c r="N4" s="1146"/>
      <c r="O4" s="1264" t="s">
        <v>180</v>
      </c>
      <c r="P4" s="1264" t="s">
        <v>13</v>
      </c>
      <c r="Q4" s="215"/>
      <c r="R4" s="1261" t="s">
        <v>15</v>
      </c>
      <c r="S4" s="1262" t="s">
        <v>273</v>
      </c>
      <c r="T4" s="222" t="s">
        <v>274</v>
      </c>
      <c r="U4" s="1262" t="s">
        <v>275</v>
      </c>
      <c r="V4" s="1262" t="s">
        <v>276</v>
      </c>
      <c r="W4" s="1263" t="s">
        <v>277</v>
      </c>
      <c r="X4" s="1258" t="s">
        <v>278</v>
      </c>
      <c r="Y4" s="1158"/>
      <c r="Z4" s="1158"/>
      <c r="AA4" s="1236"/>
      <c r="AB4" s="1258" t="s">
        <v>279</v>
      </c>
      <c r="AC4" s="1158"/>
      <c r="AD4" s="1158"/>
      <c r="AE4" s="1236"/>
      <c r="AF4" s="1259" t="s">
        <v>180</v>
      </c>
      <c r="AG4" s="215"/>
    </row>
    <row r="5" spans="1:33" ht="15" customHeight="1">
      <c r="A5" s="1150"/>
      <c r="B5" s="1150"/>
      <c r="C5" s="221"/>
      <c r="D5" s="1150"/>
      <c r="E5" s="1150"/>
      <c r="F5" s="1150"/>
      <c r="G5" s="130" t="s">
        <v>280</v>
      </c>
      <c r="H5" s="130" t="s">
        <v>281</v>
      </c>
      <c r="I5" s="130" t="s">
        <v>282</v>
      </c>
      <c r="J5" s="1264" t="s">
        <v>180</v>
      </c>
      <c r="K5" s="130" t="s">
        <v>280</v>
      </c>
      <c r="L5" s="130" t="s">
        <v>281</v>
      </c>
      <c r="M5" s="130" t="s">
        <v>282</v>
      </c>
      <c r="N5" s="1264" t="s">
        <v>180</v>
      </c>
      <c r="O5" s="1150"/>
      <c r="P5" s="1150"/>
      <c r="Q5" s="215"/>
      <c r="R5" s="1150"/>
      <c r="S5" s="1235"/>
      <c r="T5" s="223"/>
      <c r="U5" s="1235"/>
      <c r="V5" s="1235"/>
      <c r="W5" s="1235"/>
      <c r="X5" s="224" t="s">
        <v>280</v>
      </c>
      <c r="Y5" s="224" t="s">
        <v>281</v>
      </c>
      <c r="Z5" s="224" t="s">
        <v>282</v>
      </c>
      <c r="AA5" s="1260" t="s">
        <v>180</v>
      </c>
      <c r="AB5" s="224" t="s">
        <v>280</v>
      </c>
      <c r="AC5" s="224" t="s">
        <v>281</v>
      </c>
      <c r="AD5" s="224" t="s">
        <v>282</v>
      </c>
      <c r="AE5" s="1260" t="s">
        <v>180</v>
      </c>
      <c r="AF5" s="1156"/>
      <c r="AG5" s="215"/>
    </row>
    <row r="6" spans="1:33" ht="15" customHeight="1">
      <c r="A6" s="1141"/>
      <c r="B6" s="1141"/>
      <c r="C6" s="221"/>
      <c r="D6" s="1141"/>
      <c r="E6" s="1141"/>
      <c r="F6" s="1141"/>
      <c r="G6" s="225">
        <v>0.17499999999999999</v>
      </c>
      <c r="H6" s="226">
        <v>0.03</v>
      </c>
      <c r="I6" s="226" t="s">
        <v>283</v>
      </c>
      <c r="J6" s="1141"/>
      <c r="K6" s="226">
        <v>0.08</v>
      </c>
      <c r="L6" s="225">
        <v>1.4999999999999999E-2</v>
      </c>
      <c r="M6" s="226">
        <v>0.01</v>
      </c>
      <c r="N6" s="1141"/>
      <c r="O6" s="1141"/>
      <c r="P6" s="1141"/>
      <c r="Q6" s="215"/>
      <c r="R6" s="1141"/>
      <c r="S6" s="1236"/>
      <c r="T6" s="223"/>
      <c r="U6" s="1236"/>
      <c r="V6" s="1236"/>
      <c r="W6" s="1236"/>
      <c r="X6" s="227">
        <v>0.17499999999999999</v>
      </c>
      <c r="Y6" s="228">
        <v>0.03</v>
      </c>
      <c r="Z6" s="228" t="s">
        <v>283</v>
      </c>
      <c r="AA6" s="1236"/>
      <c r="AB6" s="228">
        <v>0.08</v>
      </c>
      <c r="AC6" s="227">
        <v>1.4999999999999999E-2</v>
      </c>
      <c r="AD6" s="228">
        <v>0.01</v>
      </c>
      <c r="AE6" s="1236"/>
      <c r="AF6" s="1158"/>
      <c r="AG6" s="215"/>
    </row>
    <row r="7" spans="1:33" ht="15" customHeight="1">
      <c r="A7" s="229">
        <v>1</v>
      </c>
      <c r="B7" s="230" t="s">
        <v>284</v>
      </c>
      <c r="C7" s="231"/>
      <c r="D7" s="149">
        <v>1</v>
      </c>
      <c r="E7" s="176" t="s">
        <v>90</v>
      </c>
      <c r="F7" s="245">
        <v>5310000</v>
      </c>
      <c r="G7" s="167">
        <f t="shared" ref="G7:G16" si="0">ROUND(F7*$G$6,0)</f>
        <v>929250</v>
      </c>
      <c r="H7" s="232">
        <f t="shared" ref="H7:H16" si="1">ROUND(F7*$H$6,0)</f>
        <v>159300</v>
      </c>
      <c r="I7" s="232">
        <f t="shared" ref="I7:I16" si="2">ROUND(F7*$I$6,0)</f>
        <v>53100</v>
      </c>
      <c r="J7" s="232">
        <f t="shared" ref="J7:J16" si="3">ROUND(SUM(G7:I7),0)</f>
        <v>1141650</v>
      </c>
      <c r="K7" s="167">
        <f t="shared" ref="K7:K16" si="4">ROUND(F7*$K$6,0)</f>
        <v>424800</v>
      </c>
      <c r="L7" s="167">
        <f t="shared" ref="L7:L16" si="5">ROUND(F7*$L$6,0)</f>
        <v>79650</v>
      </c>
      <c r="M7" s="167">
        <f t="shared" ref="M7:M16" si="6">ROUND(F7*$M$6,0)</f>
        <v>53100</v>
      </c>
      <c r="N7" s="167">
        <f t="shared" ref="N7:N16" si="7">ROUND(SUM(K7:M7),0)</f>
        <v>557550</v>
      </c>
      <c r="O7" s="167">
        <f t="shared" ref="O7:O16" si="8">J7+N7</f>
        <v>1699200</v>
      </c>
      <c r="P7" s="167"/>
      <c r="Q7" s="215"/>
      <c r="R7" s="233">
        <v>1</v>
      </c>
      <c r="S7" s="234" t="s">
        <v>285</v>
      </c>
      <c r="T7" s="223"/>
      <c r="U7" s="235" t="s">
        <v>81</v>
      </c>
      <c r="V7" s="236" t="s">
        <v>82</v>
      </c>
      <c r="W7" s="237">
        <v>5100000</v>
      </c>
      <c r="X7" s="238">
        <f t="shared" ref="X7:X11" si="9">ROUND(W7*$G$6,0)</f>
        <v>892500</v>
      </c>
      <c r="Y7" s="237">
        <f t="shared" ref="Y7:Y11" si="10">ROUND(W7*$H$6,0)</f>
        <v>153000</v>
      </c>
      <c r="Z7" s="237">
        <f t="shared" ref="Z7:Z11" si="11">ROUND(W7*$I$6,0)</f>
        <v>51000</v>
      </c>
      <c r="AA7" s="237">
        <f t="shared" ref="AA7:AA11" si="12">ROUND(SUM(X7:Z7),0)</f>
        <v>1096500</v>
      </c>
      <c r="AB7" s="238">
        <f t="shared" ref="AB7:AB11" si="13">ROUND(W7*$K$6,0)</f>
        <v>408000</v>
      </c>
      <c r="AC7" s="238">
        <f t="shared" ref="AC7:AC11" si="14">ROUND(W7*$L$6,0)</f>
        <v>76500</v>
      </c>
      <c r="AD7" s="238">
        <f t="shared" ref="AD7:AD11" si="15">ROUND(W7*$M$6,0)</f>
        <v>51000</v>
      </c>
      <c r="AE7" s="238">
        <f t="shared" ref="AE7:AE11" si="16">ROUND(SUM(AB7:AD7),0)</f>
        <v>535500</v>
      </c>
      <c r="AF7" s="238">
        <f t="shared" ref="AF7:AF11" si="17">AA7+AE7</f>
        <v>1632000</v>
      </c>
      <c r="AG7" s="215"/>
    </row>
    <row r="8" spans="1:33" ht="15" customHeight="1">
      <c r="A8" s="229">
        <f>A7+1</f>
        <v>2</v>
      </c>
      <c r="B8" s="230" t="s">
        <v>286</v>
      </c>
      <c r="C8" s="231"/>
      <c r="D8" s="149">
        <v>2</v>
      </c>
      <c r="E8" s="176" t="s">
        <v>97</v>
      </c>
      <c r="F8" s="245">
        <v>5310000</v>
      </c>
      <c r="G8" s="167">
        <f t="shared" si="0"/>
        <v>929250</v>
      </c>
      <c r="H8" s="232">
        <f t="shared" si="1"/>
        <v>159300</v>
      </c>
      <c r="I8" s="232">
        <f t="shared" si="2"/>
        <v>53100</v>
      </c>
      <c r="J8" s="232">
        <f t="shared" si="3"/>
        <v>1141650</v>
      </c>
      <c r="K8" s="167">
        <f t="shared" si="4"/>
        <v>424800</v>
      </c>
      <c r="L8" s="167">
        <f t="shared" si="5"/>
        <v>79650</v>
      </c>
      <c r="M8" s="167">
        <f t="shared" si="6"/>
        <v>53100</v>
      </c>
      <c r="N8" s="167">
        <f t="shared" si="7"/>
        <v>557550</v>
      </c>
      <c r="O8" s="167">
        <f t="shared" si="8"/>
        <v>1699200</v>
      </c>
      <c r="P8" s="167"/>
      <c r="Q8" s="215"/>
      <c r="R8" s="233">
        <v>2</v>
      </c>
      <c r="S8" s="234" t="s">
        <v>284</v>
      </c>
      <c r="T8" s="223"/>
      <c r="U8" s="235" t="s">
        <v>89</v>
      </c>
      <c r="V8" s="236" t="s">
        <v>90</v>
      </c>
      <c r="W8" s="237">
        <v>9000000</v>
      </c>
      <c r="X8" s="238">
        <f t="shared" si="9"/>
        <v>1575000</v>
      </c>
      <c r="Y8" s="237">
        <f t="shared" si="10"/>
        <v>270000</v>
      </c>
      <c r="Z8" s="237">
        <f t="shared" si="11"/>
        <v>90000</v>
      </c>
      <c r="AA8" s="237">
        <f t="shared" si="12"/>
        <v>1935000</v>
      </c>
      <c r="AB8" s="238">
        <f t="shared" si="13"/>
        <v>720000</v>
      </c>
      <c r="AC8" s="238">
        <f t="shared" si="14"/>
        <v>135000</v>
      </c>
      <c r="AD8" s="238">
        <f t="shared" si="15"/>
        <v>90000</v>
      </c>
      <c r="AE8" s="238">
        <f t="shared" si="16"/>
        <v>945000</v>
      </c>
      <c r="AF8" s="238">
        <f t="shared" si="17"/>
        <v>2880000</v>
      </c>
      <c r="AG8" s="215"/>
    </row>
    <row r="9" spans="1:33" ht="15" customHeight="1">
      <c r="A9" s="260">
        <f t="shared" ref="A9:A33" si="18">A8+1</f>
        <v>3</v>
      </c>
      <c r="B9" s="107"/>
      <c r="C9" s="231"/>
      <c r="D9" s="149">
        <v>3</v>
      </c>
      <c r="E9" s="1005" t="s">
        <v>115</v>
      </c>
      <c r="F9" s="245">
        <v>5310000</v>
      </c>
      <c r="G9" s="167">
        <f t="shared" si="0"/>
        <v>929250</v>
      </c>
      <c r="H9" s="232">
        <f t="shared" si="1"/>
        <v>159300</v>
      </c>
      <c r="I9" s="232">
        <f t="shared" si="2"/>
        <v>53100</v>
      </c>
      <c r="J9" s="232">
        <f t="shared" si="3"/>
        <v>1141650</v>
      </c>
      <c r="K9" s="167">
        <f t="shared" si="4"/>
        <v>424800</v>
      </c>
      <c r="L9" s="167">
        <f t="shared" si="5"/>
        <v>79650</v>
      </c>
      <c r="M9" s="167">
        <f t="shared" si="6"/>
        <v>53100</v>
      </c>
      <c r="N9" s="167">
        <f t="shared" si="7"/>
        <v>557550</v>
      </c>
      <c r="O9" s="167">
        <f t="shared" si="8"/>
        <v>1699200</v>
      </c>
      <c r="P9" s="167"/>
      <c r="Q9" s="215"/>
      <c r="R9" s="233">
        <v>7</v>
      </c>
      <c r="S9" s="239"/>
      <c r="T9" s="223"/>
      <c r="U9" s="235" t="s">
        <v>110</v>
      </c>
      <c r="V9" s="236" t="s">
        <v>111</v>
      </c>
      <c r="W9" s="237">
        <v>5100000</v>
      </c>
      <c r="X9" s="238">
        <f t="shared" si="9"/>
        <v>892500</v>
      </c>
      <c r="Y9" s="237">
        <f t="shared" si="10"/>
        <v>153000</v>
      </c>
      <c r="Z9" s="237">
        <f t="shared" si="11"/>
        <v>51000</v>
      </c>
      <c r="AA9" s="237">
        <f t="shared" si="12"/>
        <v>1096500</v>
      </c>
      <c r="AB9" s="238">
        <f t="shared" si="13"/>
        <v>408000</v>
      </c>
      <c r="AC9" s="238">
        <f t="shared" si="14"/>
        <v>76500</v>
      </c>
      <c r="AD9" s="238">
        <f t="shared" si="15"/>
        <v>51000</v>
      </c>
      <c r="AE9" s="238">
        <f t="shared" si="16"/>
        <v>535500</v>
      </c>
      <c r="AF9" s="238">
        <f t="shared" si="17"/>
        <v>1632000</v>
      </c>
      <c r="AG9" s="215"/>
    </row>
    <row r="10" spans="1:33" s="832" customFormat="1" ht="15" customHeight="1">
      <c r="A10" s="260">
        <f t="shared" si="18"/>
        <v>4</v>
      </c>
      <c r="B10" s="821"/>
      <c r="C10" s="822"/>
      <c r="D10" s="149">
        <v>4</v>
      </c>
      <c r="E10" s="642" t="s">
        <v>297</v>
      </c>
      <c r="F10" s="245">
        <v>5310000</v>
      </c>
      <c r="G10" s="661">
        <f t="shared" si="0"/>
        <v>929250</v>
      </c>
      <c r="H10" s="823">
        <f t="shared" si="1"/>
        <v>159300</v>
      </c>
      <c r="I10" s="823">
        <f t="shared" si="2"/>
        <v>53100</v>
      </c>
      <c r="J10" s="823">
        <f t="shared" si="3"/>
        <v>1141650</v>
      </c>
      <c r="K10" s="661">
        <f t="shared" si="4"/>
        <v>424800</v>
      </c>
      <c r="L10" s="661">
        <f t="shared" si="5"/>
        <v>79650</v>
      </c>
      <c r="M10" s="661">
        <f t="shared" si="6"/>
        <v>53100</v>
      </c>
      <c r="N10" s="661">
        <f t="shared" si="7"/>
        <v>557550</v>
      </c>
      <c r="O10" s="661">
        <f t="shared" si="8"/>
        <v>1699200</v>
      </c>
      <c r="P10" s="661"/>
      <c r="Q10" s="824"/>
      <c r="R10" s="825">
        <v>9</v>
      </c>
      <c r="S10" s="826"/>
      <c r="T10" s="827"/>
      <c r="U10" s="828" t="s">
        <v>118</v>
      </c>
      <c r="V10" s="829" t="s">
        <v>119</v>
      </c>
      <c r="W10" s="830">
        <v>5100000</v>
      </c>
      <c r="X10" s="831">
        <f t="shared" si="9"/>
        <v>892500</v>
      </c>
      <c r="Y10" s="830">
        <f t="shared" si="10"/>
        <v>153000</v>
      </c>
      <c r="Z10" s="830">
        <f t="shared" si="11"/>
        <v>51000</v>
      </c>
      <c r="AA10" s="830">
        <f t="shared" si="12"/>
        <v>1096500</v>
      </c>
      <c r="AB10" s="831">
        <f t="shared" si="13"/>
        <v>408000</v>
      </c>
      <c r="AC10" s="831">
        <f t="shared" si="14"/>
        <v>76500</v>
      </c>
      <c r="AD10" s="831">
        <f t="shared" si="15"/>
        <v>51000</v>
      </c>
      <c r="AE10" s="831">
        <f t="shared" si="16"/>
        <v>535500</v>
      </c>
      <c r="AF10" s="831">
        <f t="shared" si="17"/>
        <v>1632000</v>
      </c>
      <c r="AG10" s="824"/>
    </row>
    <row r="11" spans="1:33" ht="15" customHeight="1">
      <c r="A11" s="260">
        <f t="shared" si="18"/>
        <v>5</v>
      </c>
      <c r="B11" s="218"/>
      <c r="C11" s="231"/>
      <c r="D11" s="149">
        <v>5</v>
      </c>
      <c r="E11" s="241" t="s">
        <v>207</v>
      </c>
      <c r="F11" s="245">
        <v>5310000</v>
      </c>
      <c r="G11" s="167">
        <f t="shared" si="0"/>
        <v>929250</v>
      </c>
      <c r="H11" s="232">
        <f t="shared" si="1"/>
        <v>159300</v>
      </c>
      <c r="I11" s="232">
        <f t="shared" si="2"/>
        <v>53100</v>
      </c>
      <c r="J11" s="232">
        <f t="shared" si="3"/>
        <v>1141650</v>
      </c>
      <c r="K11" s="167">
        <f t="shared" si="4"/>
        <v>424800</v>
      </c>
      <c r="L11" s="167">
        <f t="shared" si="5"/>
        <v>79650</v>
      </c>
      <c r="M11" s="167">
        <f t="shared" si="6"/>
        <v>53100</v>
      </c>
      <c r="N11" s="167">
        <f t="shared" si="7"/>
        <v>557550</v>
      </c>
      <c r="O11" s="167">
        <f t="shared" si="8"/>
        <v>1699200</v>
      </c>
      <c r="P11" s="242"/>
      <c r="Q11" s="215"/>
      <c r="R11" s="233">
        <v>10</v>
      </c>
      <c r="S11" s="243"/>
      <c r="T11" s="223"/>
      <c r="U11" s="240" t="s">
        <v>121</v>
      </c>
      <c r="V11" s="236" t="s">
        <v>122</v>
      </c>
      <c r="W11" s="237">
        <v>20000000</v>
      </c>
      <c r="X11" s="238">
        <f t="shared" si="9"/>
        <v>3500000</v>
      </c>
      <c r="Y11" s="237">
        <f t="shared" si="10"/>
        <v>600000</v>
      </c>
      <c r="Z11" s="237">
        <f t="shared" si="11"/>
        <v>200000</v>
      </c>
      <c r="AA11" s="237">
        <f t="shared" si="12"/>
        <v>4300000</v>
      </c>
      <c r="AB11" s="238">
        <f t="shared" si="13"/>
        <v>1600000</v>
      </c>
      <c r="AC11" s="238">
        <f t="shared" si="14"/>
        <v>300000</v>
      </c>
      <c r="AD11" s="238">
        <f t="shared" si="15"/>
        <v>200000</v>
      </c>
      <c r="AE11" s="238">
        <f t="shared" si="16"/>
        <v>2100000</v>
      </c>
      <c r="AF11" s="238">
        <f t="shared" si="17"/>
        <v>6400000</v>
      </c>
      <c r="AG11" s="215"/>
    </row>
    <row r="12" spans="1:33" ht="17.25" customHeight="1">
      <c r="A12" s="260">
        <f t="shared" si="18"/>
        <v>6</v>
      </c>
      <c r="B12" s="218"/>
      <c r="C12" s="231"/>
      <c r="D12" s="149">
        <v>6</v>
      </c>
      <c r="E12" s="1004" t="s">
        <v>216</v>
      </c>
      <c r="F12" s="245">
        <v>5310000</v>
      </c>
      <c r="G12" s="167">
        <f t="shared" si="0"/>
        <v>929250</v>
      </c>
      <c r="H12" s="232">
        <f t="shared" si="1"/>
        <v>159300</v>
      </c>
      <c r="I12" s="232">
        <f t="shared" si="2"/>
        <v>53100</v>
      </c>
      <c r="J12" s="232">
        <f t="shared" si="3"/>
        <v>1141650</v>
      </c>
      <c r="K12" s="167">
        <f t="shared" si="4"/>
        <v>424800</v>
      </c>
      <c r="L12" s="167">
        <f t="shared" si="5"/>
        <v>79650</v>
      </c>
      <c r="M12" s="167">
        <f t="shared" si="6"/>
        <v>53100</v>
      </c>
      <c r="N12" s="167">
        <f t="shared" si="7"/>
        <v>557550</v>
      </c>
      <c r="O12" s="167">
        <f t="shared" si="8"/>
        <v>1699200</v>
      </c>
      <c r="P12" s="242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</row>
    <row r="13" spans="1:33" ht="15" customHeight="1">
      <c r="A13" s="260">
        <f t="shared" si="18"/>
        <v>7</v>
      </c>
      <c r="B13" s="218"/>
      <c r="C13" s="231"/>
      <c r="D13" s="149">
        <v>7</v>
      </c>
      <c r="E13" s="1005" t="s">
        <v>139</v>
      </c>
      <c r="F13" s="245">
        <v>5310000</v>
      </c>
      <c r="G13" s="167">
        <f t="shared" si="0"/>
        <v>929250</v>
      </c>
      <c r="H13" s="232">
        <f t="shared" si="1"/>
        <v>159300</v>
      </c>
      <c r="I13" s="232">
        <f t="shared" si="2"/>
        <v>53100</v>
      </c>
      <c r="J13" s="232">
        <f t="shared" si="3"/>
        <v>1141650</v>
      </c>
      <c r="K13" s="167">
        <f t="shared" si="4"/>
        <v>424800</v>
      </c>
      <c r="L13" s="167">
        <f t="shared" si="5"/>
        <v>79650</v>
      </c>
      <c r="M13" s="167">
        <f t="shared" si="6"/>
        <v>53100</v>
      </c>
      <c r="N13" s="167">
        <f t="shared" si="7"/>
        <v>557550</v>
      </c>
      <c r="O13" s="167">
        <f t="shared" si="8"/>
        <v>1699200</v>
      </c>
      <c r="P13" s="242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</row>
    <row r="14" spans="1:33" ht="15" customHeight="1">
      <c r="A14" s="260">
        <f t="shared" si="18"/>
        <v>8</v>
      </c>
      <c r="B14" s="218"/>
      <c r="C14" s="231"/>
      <c r="D14" s="149">
        <v>8</v>
      </c>
      <c r="E14" s="177" t="s">
        <v>142</v>
      </c>
      <c r="F14" s="245">
        <v>5310000</v>
      </c>
      <c r="G14" s="167">
        <f t="shared" si="0"/>
        <v>929250</v>
      </c>
      <c r="H14" s="232">
        <f t="shared" si="1"/>
        <v>159300</v>
      </c>
      <c r="I14" s="232">
        <f t="shared" si="2"/>
        <v>53100</v>
      </c>
      <c r="J14" s="232">
        <f t="shared" si="3"/>
        <v>1141650</v>
      </c>
      <c r="K14" s="167">
        <f t="shared" si="4"/>
        <v>424800</v>
      </c>
      <c r="L14" s="167">
        <f t="shared" si="5"/>
        <v>79650</v>
      </c>
      <c r="M14" s="167">
        <f t="shared" si="6"/>
        <v>53100</v>
      </c>
      <c r="N14" s="167">
        <f t="shared" si="7"/>
        <v>557550</v>
      </c>
      <c r="O14" s="167">
        <f t="shared" si="8"/>
        <v>1699200</v>
      </c>
      <c r="P14" s="242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</row>
    <row r="15" spans="1:33" ht="15" customHeight="1">
      <c r="A15" s="260">
        <f t="shared" si="18"/>
        <v>9</v>
      </c>
      <c r="B15" s="218"/>
      <c r="C15" s="231"/>
      <c r="D15" s="149">
        <v>9</v>
      </c>
      <c r="E15" s="178" t="s">
        <v>229</v>
      </c>
      <c r="F15" s="245">
        <v>5310000</v>
      </c>
      <c r="G15" s="167">
        <f t="shared" si="0"/>
        <v>929250</v>
      </c>
      <c r="H15" s="232">
        <f t="shared" si="1"/>
        <v>159300</v>
      </c>
      <c r="I15" s="232">
        <f t="shared" si="2"/>
        <v>53100</v>
      </c>
      <c r="J15" s="232">
        <f t="shared" si="3"/>
        <v>1141650</v>
      </c>
      <c r="K15" s="167">
        <f t="shared" si="4"/>
        <v>424800</v>
      </c>
      <c r="L15" s="167">
        <f t="shared" si="5"/>
        <v>79650</v>
      </c>
      <c r="M15" s="167">
        <f t="shared" si="6"/>
        <v>53100</v>
      </c>
      <c r="N15" s="167">
        <f t="shared" si="7"/>
        <v>557550</v>
      </c>
      <c r="O15" s="167">
        <f t="shared" si="8"/>
        <v>1699200</v>
      </c>
      <c r="P15" s="242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</row>
    <row r="16" spans="1:33" ht="15" customHeight="1">
      <c r="A16" s="260">
        <f t="shared" si="18"/>
        <v>10</v>
      </c>
      <c r="B16" s="218"/>
      <c r="C16" s="231"/>
      <c r="D16" s="149">
        <v>10</v>
      </c>
      <c r="E16" s="137" t="s">
        <v>233</v>
      </c>
      <c r="F16" s="245">
        <v>5310000</v>
      </c>
      <c r="G16" s="167">
        <f t="shared" si="0"/>
        <v>929250</v>
      </c>
      <c r="H16" s="232">
        <f t="shared" si="1"/>
        <v>159300</v>
      </c>
      <c r="I16" s="232">
        <f t="shared" si="2"/>
        <v>53100</v>
      </c>
      <c r="J16" s="232">
        <f t="shared" si="3"/>
        <v>1141650</v>
      </c>
      <c r="K16" s="167">
        <f t="shared" si="4"/>
        <v>424800</v>
      </c>
      <c r="L16" s="167">
        <f t="shared" si="5"/>
        <v>79650</v>
      </c>
      <c r="M16" s="167">
        <f t="shared" si="6"/>
        <v>53100</v>
      </c>
      <c r="N16" s="167">
        <f t="shared" si="7"/>
        <v>557550</v>
      </c>
      <c r="O16" s="167">
        <f t="shared" si="8"/>
        <v>1699200</v>
      </c>
      <c r="P16" s="242"/>
      <c r="Q16" s="244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</row>
    <row r="17" spans="1:33" s="609" customFormat="1" ht="15" customHeight="1">
      <c r="A17" s="260">
        <f t="shared" si="18"/>
        <v>11</v>
      </c>
      <c r="B17" s="218"/>
      <c r="C17" s="613"/>
      <c r="D17" s="149">
        <v>11</v>
      </c>
      <c r="E17" s="624" t="s">
        <v>970</v>
      </c>
      <c r="F17" s="245">
        <v>5310000</v>
      </c>
      <c r="G17" s="167">
        <f t="shared" ref="G17" si="19">ROUND(F17*$G$6,0)</f>
        <v>929250</v>
      </c>
      <c r="H17" s="232">
        <f t="shared" ref="H17" si="20">ROUND(F17*$H$6,0)</f>
        <v>159300</v>
      </c>
      <c r="I17" s="232">
        <f t="shared" ref="I17" si="21">ROUND(F17*$I$6,0)</f>
        <v>53100</v>
      </c>
      <c r="J17" s="232">
        <f t="shared" ref="J17" si="22">ROUND(SUM(G17:I17),0)</f>
        <v>1141650</v>
      </c>
      <c r="K17" s="167">
        <f t="shared" ref="K17" si="23">ROUND(F17*$K$6,0)</f>
        <v>424800</v>
      </c>
      <c r="L17" s="167">
        <f t="shared" ref="L17" si="24">ROUND(F17*$L$6,0)</f>
        <v>79650</v>
      </c>
      <c r="M17" s="167">
        <f t="shared" ref="M17" si="25">ROUND(F17*$M$6,0)</f>
        <v>53100</v>
      </c>
      <c r="N17" s="167">
        <f t="shared" ref="N17" si="26">ROUND(SUM(K17:M17),0)</f>
        <v>557550</v>
      </c>
      <c r="O17" s="167">
        <f t="shared" ref="O17" si="27">J17+N17</f>
        <v>1699200</v>
      </c>
      <c r="P17" s="242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</row>
    <row r="18" spans="1:33" s="632" customFormat="1" ht="15" customHeight="1">
      <c r="A18" s="260">
        <f t="shared" si="18"/>
        <v>12</v>
      </c>
      <c r="B18" s="218"/>
      <c r="C18" s="613"/>
      <c r="D18" s="149">
        <v>12</v>
      </c>
      <c r="E18" s="1009" t="s">
        <v>157</v>
      </c>
      <c r="F18" s="245">
        <v>5310000</v>
      </c>
      <c r="G18" s="167">
        <f t="shared" ref="G18" si="28">ROUND(F18*$G$6,0)</f>
        <v>929250</v>
      </c>
      <c r="H18" s="232">
        <f t="shared" ref="H18" si="29">ROUND(F18*$H$6,0)</f>
        <v>159300</v>
      </c>
      <c r="I18" s="232">
        <f t="shared" ref="I18" si="30">ROUND(F18*$I$6,0)</f>
        <v>53100</v>
      </c>
      <c r="J18" s="232">
        <f t="shared" ref="J18" si="31">ROUND(SUM(G18:I18),0)</f>
        <v>1141650</v>
      </c>
      <c r="K18" s="167">
        <f t="shared" ref="K18" si="32">ROUND(F18*$K$6,0)</f>
        <v>424800</v>
      </c>
      <c r="L18" s="167">
        <f t="shared" ref="L18" si="33">ROUND(F18*$L$6,0)</f>
        <v>79650</v>
      </c>
      <c r="M18" s="167">
        <f t="shared" ref="M18" si="34">ROUND(F18*$M$6,0)</f>
        <v>53100</v>
      </c>
      <c r="N18" s="167">
        <f t="shared" ref="N18" si="35">ROUND(SUM(K18:M18),0)</f>
        <v>557550</v>
      </c>
      <c r="O18" s="167">
        <f t="shared" ref="O18" si="36">J18+N18</f>
        <v>1699200</v>
      </c>
      <c r="P18" s="242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</row>
    <row r="19" spans="1:33" s="689" customFormat="1" ht="15" customHeight="1">
      <c r="A19" s="260">
        <f t="shared" si="18"/>
        <v>13</v>
      </c>
      <c r="B19" s="218"/>
      <c r="C19" s="613"/>
      <c r="D19" s="149">
        <v>13</v>
      </c>
      <c r="E19" s="1009" t="s">
        <v>994</v>
      </c>
      <c r="F19" s="245">
        <v>5310000</v>
      </c>
      <c r="G19" s="167">
        <f t="shared" ref="G19" si="37">ROUND(F19*$G$6,0)</f>
        <v>929250</v>
      </c>
      <c r="H19" s="232">
        <f t="shared" ref="H19" si="38">ROUND(F19*$H$6,0)</f>
        <v>159300</v>
      </c>
      <c r="I19" s="232">
        <f t="shared" ref="I19" si="39">ROUND(F19*$I$6,0)</f>
        <v>53100</v>
      </c>
      <c r="J19" s="232">
        <f t="shared" ref="J19" si="40">ROUND(SUM(G19:I19),0)</f>
        <v>1141650</v>
      </c>
      <c r="K19" s="167">
        <f t="shared" ref="K19" si="41">ROUND(F19*$K$6,0)</f>
        <v>424800</v>
      </c>
      <c r="L19" s="167">
        <f t="shared" ref="L19" si="42">ROUND(F19*$L$6,0)</f>
        <v>79650</v>
      </c>
      <c r="M19" s="167">
        <f t="shared" ref="M19" si="43">ROUND(F19*$M$6,0)</f>
        <v>53100</v>
      </c>
      <c r="N19" s="167">
        <f t="shared" ref="N19" si="44">ROUND(SUM(K19:M19),0)</f>
        <v>557550</v>
      </c>
      <c r="O19" s="167">
        <f t="shared" ref="O19" si="45">J19+N19</f>
        <v>1699200</v>
      </c>
      <c r="P19" s="242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</row>
    <row r="20" spans="1:33" s="738" customFormat="1" ht="15" customHeight="1">
      <c r="A20" s="260">
        <f t="shared" si="18"/>
        <v>14</v>
      </c>
      <c r="B20" s="218"/>
      <c r="C20" s="231"/>
      <c r="D20" s="149">
        <v>14</v>
      </c>
      <c r="E20" s="185" t="s">
        <v>1007</v>
      </c>
      <c r="F20" s="245">
        <v>5310000</v>
      </c>
      <c r="G20" s="167">
        <f t="shared" ref="G20" si="46">ROUND(F20*$G$6,0)</f>
        <v>929250</v>
      </c>
      <c r="H20" s="232">
        <f t="shared" ref="H20" si="47">ROUND(F20*$H$6,0)</f>
        <v>159300</v>
      </c>
      <c r="I20" s="232">
        <f t="shared" ref="I20" si="48">ROUND(F20*$I$6,0)</f>
        <v>53100</v>
      </c>
      <c r="J20" s="232">
        <f t="shared" ref="J20" si="49">ROUND(SUM(G20:I20),0)</f>
        <v>1141650</v>
      </c>
      <c r="K20" s="167">
        <f t="shared" ref="K20" si="50">ROUND(F20*$K$6,0)</f>
        <v>424800</v>
      </c>
      <c r="L20" s="167">
        <f t="shared" ref="L20" si="51">ROUND(F20*$L$6,0)</f>
        <v>79650</v>
      </c>
      <c r="M20" s="167">
        <f t="shared" ref="M20" si="52">ROUND(F20*$M$6,0)</f>
        <v>53100</v>
      </c>
      <c r="N20" s="167">
        <f t="shared" ref="N20" si="53">ROUND(SUM(K20:M20),0)</f>
        <v>557550</v>
      </c>
      <c r="O20" s="167">
        <f t="shared" ref="O20" si="54">J20+N20</f>
        <v>1699200</v>
      </c>
      <c r="P20" s="242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</row>
    <row r="21" spans="1:33" s="748" customFormat="1" ht="15" customHeight="1">
      <c r="A21" s="260">
        <f t="shared" si="18"/>
        <v>15</v>
      </c>
      <c r="B21" s="218"/>
      <c r="C21" s="613"/>
      <c r="D21" s="149">
        <v>15</v>
      </c>
      <c r="E21" s="185" t="s">
        <v>1030</v>
      </c>
      <c r="F21" s="245">
        <v>5310000</v>
      </c>
      <c r="G21" s="167">
        <f t="shared" ref="G21" si="55">ROUND(F21*$G$6,0)</f>
        <v>929250</v>
      </c>
      <c r="H21" s="232">
        <f t="shared" ref="H21" si="56">ROUND(F21*$H$6,0)</f>
        <v>159300</v>
      </c>
      <c r="I21" s="232">
        <f t="shared" ref="I21" si="57">ROUND(F21*$I$6,0)</f>
        <v>53100</v>
      </c>
      <c r="J21" s="232">
        <f t="shared" ref="J21" si="58">ROUND(SUM(G21:I21),0)</f>
        <v>1141650</v>
      </c>
      <c r="K21" s="167">
        <f t="shared" ref="K21" si="59">ROUND(F21*$K$6,0)</f>
        <v>424800</v>
      </c>
      <c r="L21" s="167">
        <f t="shared" ref="L21" si="60">ROUND(F21*$L$6,0)</f>
        <v>79650</v>
      </c>
      <c r="M21" s="167">
        <f t="shared" ref="M21" si="61">ROUND(F21*$M$6,0)</f>
        <v>53100</v>
      </c>
      <c r="N21" s="167">
        <f t="shared" ref="N21" si="62">ROUND(SUM(K21:M21),0)</f>
        <v>557550</v>
      </c>
      <c r="O21" s="167">
        <f t="shared" ref="O21" si="63">J21+N21</f>
        <v>1699200</v>
      </c>
      <c r="P21" s="242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</row>
    <row r="22" spans="1:33" s="748" customFormat="1" ht="15" customHeight="1">
      <c r="A22" s="260">
        <f t="shared" si="18"/>
        <v>16</v>
      </c>
      <c r="B22" s="218"/>
      <c r="C22" s="613"/>
      <c r="D22" s="149">
        <v>16</v>
      </c>
      <c r="E22" s="792" t="s">
        <v>1036</v>
      </c>
      <c r="F22" s="245">
        <v>5310000</v>
      </c>
      <c r="G22" s="167">
        <f t="shared" ref="G22" si="64">ROUND(F22*$G$6,0)</f>
        <v>929250</v>
      </c>
      <c r="H22" s="232">
        <f t="shared" ref="H22" si="65">ROUND(F22*$H$6,0)</f>
        <v>159300</v>
      </c>
      <c r="I22" s="232">
        <f t="shared" ref="I22" si="66">ROUND(F22*$I$6,0)</f>
        <v>53100</v>
      </c>
      <c r="J22" s="232">
        <f t="shared" ref="J22" si="67">ROUND(SUM(G22:I22),0)</f>
        <v>1141650</v>
      </c>
      <c r="K22" s="167">
        <f t="shared" ref="K22" si="68">ROUND(F22*$K$6,0)</f>
        <v>424800</v>
      </c>
      <c r="L22" s="167">
        <f t="shared" ref="L22" si="69">ROUND(F22*$L$6,0)</f>
        <v>79650</v>
      </c>
      <c r="M22" s="167">
        <f t="shared" ref="M22" si="70">ROUND(F22*$M$6,0)</f>
        <v>53100</v>
      </c>
      <c r="N22" s="167">
        <f t="shared" ref="N22" si="71">ROUND(SUM(K22:M22),0)</f>
        <v>557550</v>
      </c>
      <c r="O22" s="167">
        <f t="shared" ref="O22" si="72">J22+N22</f>
        <v>1699200</v>
      </c>
      <c r="P22" s="242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</row>
    <row r="23" spans="1:33" s="834" customFormat="1" ht="15" customHeight="1">
      <c r="A23" s="260">
        <f t="shared" si="18"/>
        <v>17</v>
      </c>
      <c r="B23" s="218"/>
      <c r="C23" s="613"/>
      <c r="D23" s="149">
        <v>17</v>
      </c>
      <c r="E23" s="792" t="s">
        <v>1099</v>
      </c>
      <c r="F23" s="245">
        <v>5310000</v>
      </c>
      <c r="G23" s="167">
        <f t="shared" ref="G23:G26" si="73">ROUND(F23*$G$6,0)</f>
        <v>929250</v>
      </c>
      <c r="H23" s="232">
        <f t="shared" ref="H23:H26" si="74">ROUND(F23*$H$6,0)</f>
        <v>159300</v>
      </c>
      <c r="I23" s="232">
        <f t="shared" ref="I23:I26" si="75">ROUND(F23*$I$6,0)</f>
        <v>53100</v>
      </c>
      <c r="J23" s="232">
        <f t="shared" ref="J23:J26" si="76">ROUND(SUM(G23:I23),0)</f>
        <v>1141650</v>
      </c>
      <c r="K23" s="167">
        <f t="shared" ref="K23:K26" si="77">ROUND(F23*$K$6,0)</f>
        <v>424800</v>
      </c>
      <c r="L23" s="167">
        <f t="shared" ref="L23:L26" si="78">ROUND(F23*$L$6,0)</f>
        <v>79650</v>
      </c>
      <c r="M23" s="167">
        <f t="shared" ref="M23:M26" si="79">ROUND(F23*$M$6,0)</f>
        <v>53100</v>
      </c>
      <c r="N23" s="167">
        <f t="shared" ref="N23:N26" si="80">ROUND(SUM(K23:M23),0)</f>
        <v>557550</v>
      </c>
      <c r="O23" s="167">
        <f t="shared" ref="O23:O26" si="81">J23+N23</f>
        <v>1699200</v>
      </c>
      <c r="P23" s="242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</row>
    <row r="24" spans="1:33" s="834" customFormat="1" ht="15" customHeight="1">
      <c r="A24" s="260">
        <f t="shared" si="18"/>
        <v>18</v>
      </c>
      <c r="B24" s="218"/>
      <c r="C24" s="613"/>
      <c r="D24" s="149">
        <v>18</v>
      </c>
      <c r="E24" s="792" t="s">
        <v>1101</v>
      </c>
      <c r="F24" s="245">
        <v>5310000</v>
      </c>
      <c r="G24" s="167">
        <f t="shared" si="73"/>
        <v>929250</v>
      </c>
      <c r="H24" s="232">
        <f t="shared" si="74"/>
        <v>159300</v>
      </c>
      <c r="I24" s="232">
        <f t="shared" si="75"/>
        <v>53100</v>
      </c>
      <c r="J24" s="232">
        <f t="shared" si="76"/>
        <v>1141650</v>
      </c>
      <c r="K24" s="167">
        <f t="shared" si="77"/>
        <v>424800</v>
      </c>
      <c r="L24" s="167">
        <f t="shared" si="78"/>
        <v>79650</v>
      </c>
      <c r="M24" s="167">
        <f t="shared" si="79"/>
        <v>53100</v>
      </c>
      <c r="N24" s="167">
        <f t="shared" si="80"/>
        <v>557550</v>
      </c>
      <c r="O24" s="167">
        <f t="shared" si="81"/>
        <v>1699200</v>
      </c>
      <c r="P24" s="242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</row>
    <row r="25" spans="1:33" s="834" customFormat="1" ht="15" customHeight="1">
      <c r="A25" s="260">
        <f t="shared" si="18"/>
        <v>19</v>
      </c>
      <c r="B25" s="218"/>
      <c r="C25" s="613"/>
      <c r="D25" s="149">
        <v>19</v>
      </c>
      <c r="E25" s="792" t="s">
        <v>1102</v>
      </c>
      <c r="F25" s="245">
        <v>5310000</v>
      </c>
      <c r="G25" s="167">
        <f t="shared" si="73"/>
        <v>929250</v>
      </c>
      <c r="H25" s="232">
        <f t="shared" si="74"/>
        <v>159300</v>
      </c>
      <c r="I25" s="232">
        <f t="shared" si="75"/>
        <v>53100</v>
      </c>
      <c r="J25" s="232">
        <f t="shared" si="76"/>
        <v>1141650</v>
      </c>
      <c r="K25" s="167">
        <f t="shared" si="77"/>
        <v>424800</v>
      </c>
      <c r="L25" s="167">
        <f t="shared" si="78"/>
        <v>79650</v>
      </c>
      <c r="M25" s="167">
        <f t="shared" si="79"/>
        <v>53100</v>
      </c>
      <c r="N25" s="167">
        <f t="shared" si="80"/>
        <v>557550</v>
      </c>
      <c r="O25" s="167">
        <f t="shared" si="81"/>
        <v>1699200</v>
      </c>
      <c r="P25" s="242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</row>
    <row r="26" spans="1:33" s="834" customFormat="1" ht="15" customHeight="1">
      <c r="A26" s="260">
        <f t="shared" si="18"/>
        <v>20</v>
      </c>
      <c r="B26" s="218"/>
      <c r="C26" s="613"/>
      <c r="D26" s="149">
        <v>20</v>
      </c>
      <c r="E26" s="792" t="s">
        <v>1104</v>
      </c>
      <c r="F26" s="245">
        <v>5310000</v>
      </c>
      <c r="G26" s="167">
        <f t="shared" si="73"/>
        <v>929250</v>
      </c>
      <c r="H26" s="232">
        <f t="shared" si="74"/>
        <v>159300</v>
      </c>
      <c r="I26" s="232">
        <f t="shared" si="75"/>
        <v>53100</v>
      </c>
      <c r="J26" s="232">
        <f t="shared" si="76"/>
        <v>1141650</v>
      </c>
      <c r="K26" s="167">
        <f t="shared" si="77"/>
        <v>424800</v>
      </c>
      <c r="L26" s="167">
        <f t="shared" si="78"/>
        <v>79650</v>
      </c>
      <c r="M26" s="167">
        <f t="shared" si="79"/>
        <v>53100</v>
      </c>
      <c r="N26" s="167">
        <f t="shared" si="80"/>
        <v>557550</v>
      </c>
      <c r="O26" s="167">
        <f t="shared" si="81"/>
        <v>1699200</v>
      </c>
      <c r="P26" s="242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</row>
    <row r="27" spans="1:33" s="884" customFormat="1" ht="15" customHeight="1">
      <c r="A27" s="260">
        <f t="shared" si="18"/>
        <v>21</v>
      </c>
      <c r="B27" s="218"/>
      <c r="C27" s="613"/>
      <c r="D27" s="149">
        <v>21</v>
      </c>
      <c r="E27" s="914" t="s">
        <v>1089</v>
      </c>
      <c r="F27" s="245">
        <v>5310000</v>
      </c>
      <c r="G27" s="167">
        <f t="shared" ref="G27:G35" si="82">ROUND(F27*$G$6,0)</f>
        <v>929250</v>
      </c>
      <c r="H27" s="232">
        <f t="shared" ref="H27:H35" si="83">ROUND(F27*$H$6,0)</f>
        <v>159300</v>
      </c>
      <c r="I27" s="232">
        <f t="shared" ref="I27:I35" si="84">ROUND(F27*$I$6,0)</f>
        <v>53100</v>
      </c>
      <c r="J27" s="232">
        <f t="shared" ref="J27:J35" si="85">ROUND(SUM(G27:I27),0)</f>
        <v>1141650</v>
      </c>
      <c r="K27" s="167">
        <f t="shared" ref="K27:K35" si="86">ROUND(F27*$K$6,0)</f>
        <v>424800</v>
      </c>
      <c r="L27" s="167">
        <f t="shared" ref="L27:L35" si="87">ROUND(F27*$L$6,0)</f>
        <v>79650</v>
      </c>
      <c r="M27" s="167">
        <f t="shared" ref="M27:M35" si="88">ROUND(F27*$M$6,0)</f>
        <v>53100</v>
      </c>
      <c r="N27" s="167">
        <f t="shared" ref="N27:N35" si="89">ROUND(SUM(K27:M27),0)</f>
        <v>557550</v>
      </c>
      <c r="O27" s="167">
        <f t="shared" ref="O27:O35" si="90">J27+N27</f>
        <v>1699200</v>
      </c>
      <c r="P27" s="242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</row>
    <row r="28" spans="1:33" s="884" customFormat="1" ht="15" customHeight="1">
      <c r="A28" s="260">
        <f t="shared" si="18"/>
        <v>22</v>
      </c>
      <c r="B28" s="218"/>
      <c r="C28" s="613"/>
      <c r="D28" s="149">
        <v>22</v>
      </c>
      <c r="E28" s="1010" t="s">
        <v>5939</v>
      </c>
      <c r="F28" s="245">
        <v>5310000</v>
      </c>
      <c r="G28" s="167">
        <f t="shared" si="82"/>
        <v>929250</v>
      </c>
      <c r="H28" s="232">
        <f t="shared" si="83"/>
        <v>159300</v>
      </c>
      <c r="I28" s="232">
        <f t="shared" si="84"/>
        <v>53100</v>
      </c>
      <c r="J28" s="232">
        <f t="shared" si="85"/>
        <v>1141650</v>
      </c>
      <c r="K28" s="167">
        <f t="shared" si="86"/>
        <v>424800</v>
      </c>
      <c r="L28" s="167">
        <f t="shared" si="87"/>
        <v>79650</v>
      </c>
      <c r="M28" s="167">
        <f t="shared" si="88"/>
        <v>53100</v>
      </c>
      <c r="N28" s="167">
        <f t="shared" si="89"/>
        <v>557550</v>
      </c>
      <c r="O28" s="167">
        <f t="shared" si="90"/>
        <v>1699200</v>
      </c>
      <c r="P28" s="242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</row>
    <row r="29" spans="1:33" s="884" customFormat="1" ht="15" customHeight="1">
      <c r="A29" s="260">
        <f t="shared" si="18"/>
        <v>23</v>
      </c>
      <c r="B29" s="218"/>
      <c r="C29" s="613"/>
      <c r="D29" s="149">
        <v>23</v>
      </c>
      <c r="E29" s="914" t="s">
        <v>5940</v>
      </c>
      <c r="F29" s="245">
        <v>5310000</v>
      </c>
      <c r="G29" s="167">
        <f t="shared" si="82"/>
        <v>929250</v>
      </c>
      <c r="H29" s="232">
        <f t="shared" si="83"/>
        <v>159300</v>
      </c>
      <c r="I29" s="232">
        <f t="shared" si="84"/>
        <v>53100</v>
      </c>
      <c r="J29" s="232">
        <f t="shared" si="85"/>
        <v>1141650</v>
      </c>
      <c r="K29" s="167">
        <f t="shared" si="86"/>
        <v>424800</v>
      </c>
      <c r="L29" s="167">
        <f t="shared" si="87"/>
        <v>79650</v>
      </c>
      <c r="M29" s="167">
        <f t="shared" si="88"/>
        <v>53100</v>
      </c>
      <c r="N29" s="167">
        <f t="shared" si="89"/>
        <v>557550</v>
      </c>
      <c r="O29" s="167">
        <f t="shared" si="90"/>
        <v>1699200</v>
      </c>
      <c r="P29" s="242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</row>
    <row r="30" spans="1:33" s="884" customFormat="1" ht="15" customHeight="1">
      <c r="A30" s="260">
        <f t="shared" si="18"/>
        <v>24</v>
      </c>
      <c r="B30" s="218"/>
      <c r="C30" s="613"/>
      <c r="D30" s="149">
        <v>24</v>
      </c>
      <c r="E30" s="914" t="s">
        <v>5941</v>
      </c>
      <c r="F30" s="245">
        <v>5310000</v>
      </c>
      <c r="G30" s="167">
        <f t="shared" si="82"/>
        <v>929250</v>
      </c>
      <c r="H30" s="232">
        <f t="shared" si="83"/>
        <v>159300</v>
      </c>
      <c r="I30" s="232">
        <f t="shared" si="84"/>
        <v>53100</v>
      </c>
      <c r="J30" s="232">
        <f t="shared" si="85"/>
        <v>1141650</v>
      </c>
      <c r="K30" s="167">
        <f t="shared" si="86"/>
        <v>424800</v>
      </c>
      <c r="L30" s="167">
        <f t="shared" si="87"/>
        <v>79650</v>
      </c>
      <c r="M30" s="167">
        <f t="shared" si="88"/>
        <v>53100</v>
      </c>
      <c r="N30" s="167">
        <f t="shared" si="89"/>
        <v>557550</v>
      </c>
      <c r="O30" s="167">
        <f t="shared" si="90"/>
        <v>1699200</v>
      </c>
      <c r="P30" s="242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</row>
    <row r="31" spans="1:33" s="884" customFormat="1" ht="15" customHeight="1">
      <c r="A31" s="260">
        <f t="shared" si="18"/>
        <v>25</v>
      </c>
      <c r="B31" s="218"/>
      <c r="C31" s="613"/>
      <c r="D31" s="149">
        <v>25</v>
      </c>
      <c r="E31" s="1010" t="s">
        <v>1223</v>
      </c>
      <c r="F31" s="245">
        <v>5310000</v>
      </c>
      <c r="G31" s="167">
        <f t="shared" si="82"/>
        <v>929250</v>
      </c>
      <c r="H31" s="232">
        <f t="shared" si="83"/>
        <v>159300</v>
      </c>
      <c r="I31" s="232">
        <f t="shared" si="84"/>
        <v>53100</v>
      </c>
      <c r="J31" s="232">
        <f t="shared" si="85"/>
        <v>1141650</v>
      </c>
      <c r="K31" s="167">
        <f t="shared" si="86"/>
        <v>424800</v>
      </c>
      <c r="L31" s="167">
        <f t="shared" si="87"/>
        <v>79650</v>
      </c>
      <c r="M31" s="167">
        <f t="shared" si="88"/>
        <v>53100</v>
      </c>
      <c r="N31" s="167">
        <f t="shared" si="89"/>
        <v>557550</v>
      </c>
      <c r="O31" s="167">
        <f t="shared" si="90"/>
        <v>1699200</v>
      </c>
      <c r="P31" s="242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</row>
    <row r="32" spans="1:33" s="884" customFormat="1" ht="15" customHeight="1">
      <c r="A32" s="260">
        <f t="shared" si="18"/>
        <v>26</v>
      </c>
      <c r="B32" s="218"/>
      <c r="C32" s="613"/>
      <c r="D32" s="149">
        <v>26</v>
      </c>
      <c r="E32" s="914" t="s">
        <v>5942</v>
      </c>
      <c r="F32" s="245">
        <v>5310000</v>
      </c>
      <c r="G32" s="167">
        <f t="shared" si="82"/>
        <v>929250</v>
      </c>
      <c r="H32" s="232">
        <f t="shared" si="83"/>
        <v>159300</v>
      </c>
      <c r="I32" s="232">
        <f t="shared" si="84"/>
        <v>53100</v>
      </c>
      <c r="J32" s="232">
        <f t="shared" si="85"/>
        <v>1141650</v>
      </c>
      <c r="K32" s="167">
        <f t="shared" si="86"/>
        <v>424800</v>
      </c>
      <c r="L32" s="167">
        <f t="shared" si="87"/>
        <v>79650</v>
      </c>
      <c r="M32" s="167">
        <f t="shared" si="88"/>
        <v>53100</v>
      </c>
      <c r="N32" s="167">
        <f t="shared" si="89"/>
        <v>557550</v>
      </c>
      <c r="O32" s="167">
        <f t="shared" si="90"/>
        <v>1699200</v>
      </c>
      <c r="P32" s="242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</row>
    <row r="33" spans="1:34" s="949" customFormat="1" ht="15" customHeight="1">
      <c r="A33" s="260">
        <f t="shared" si="18"/>
        <v>27</v>
      </c>
      <c r="B33" s="218"/>
      <c r="C33" s="613"/>
      <c r="D33" s="149">
        <v>27</v>
      </c>
      <c r="E33" s="914" t="s">
        <v>1071</v>
      </c>
      <c r="F33" s="245">
        <v>5310000</v>
      </c>
      <c r="G33" s="167">
        <f t="shared" si="82"/>
        <v>929250</v>
      </c>
      <c r="H33" s="232">
        <f t="shared" si="83"/>
        <v>159300</v>
      </c>
      <c r="I33" s="232">
        <f t="shared" si="84"/>
        <v>53100</v>
      </c>
      <c r="J33" s="232">
        <f t="shared" si="85"/>
        <v>1141650</v>
      </c>
      <c r="K33" s="167">
        <f t="shared" si="86"/>
        <v>424800</v>
      </c>
      <c r="L33" s="167">
        <f t="shared" si="87"/>
        <v>79650</v>
      </c>
      <c r="M33" s="167">
        <f t="shared" si="88"/>
        <v>53100</v>
      </c>
      <c r="N33" s="167">
        <f t="shared" si="89"/>
        <v>557550</v>
      </c>
      <c r="O33" s="167">
        <f t="shared" si="90"/>
        <v>1699200</v>
      </c>
      <c r="P33" s="242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</row>
    <row r="34" spans="1:34" s="1017" customFormat="1" ht="15" customHeight="1">
      <c r="A34" s="260"/>
      <c r="B34" s="218"/>
      <c r="C34" s="613"/>
      <c r="D34" s="149">
        <v>28</v>
      </c>
      <c r="E34" s="624" t="s">
        <v>1026</v>
      </c>
      <c r="F34" s="245">
        <v>5310000</v>
      </c>
      <c r="G34" s="167">
        <f t="shared" si="82"/>
        <v>929250</v>
      </c>
      <c r="H34" s="232">
        <f t="shared" si="83"/>
        <v>159300</v>
      </c>
      <c r="I34" s="232">
        <f t="shared" si="84"/>
        <v>53100</v>
      </c>
      <c r="J34" s="232">
        <f t="shared" si="85"/>
        <v>1141650</v>
      </c>
      <c r="K34" s="167">
        <f t="shared" si="86"/>
        <v>424800</v>
      </c>
      <c r="L34" s="167">
        <f t="shared" si="87"/>
        <v>79650</v>
      </c>
      <c r="M34" s="167">
        <f t="shared" si="88"/>
        <v>53100</v>
      </c>
      <c r="N34" s="167">
        <f t="shared" si="89"/>
        <v>557550</v>
      </c>
      <c r="O34" s="167">
        <f t="shared" si="90"/>
        <v>1699200</v>
      </c>
      <c r="P34" s="242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</row>
    <row r="35" spans="1:34" s="1017" customFormat="1" ht="15" customHeight="1">
      <c r="A35" s="260"/>
      <c r="B35" s="218"/>
      <c r="C35" s="613"/>
      <c r="D35" s="149">
        <v>29</v>
      </c>
      <c r="E35" s="624" t="s">
        <v>5996</v>
      </c>
      <c r="F35" s="245">
        <v>5310000</v>
      </c>
      <c r="G35" s="167">
        <f t="shared" si="82"/>
        <v>929250</v>
      </c>
      <c r="H35" s="232">
        <f t="shared" si="83"/>
        <v>159300</v>
      </c>
      <c r="I35" s="232">
        <f t="shared" si="84"/>
        <v>53100</v>
      </c>
      <c r="J35" s="232">
        <f t="shared" si="85"/>
        <v>1141650</v>
      </c>
      <c r="K35" s="167">
        <f t="shared" si="86"/>
        <v>424800</v>
      </c>
      <c r="L35" s="167">
        <f t="shared" si="87"/>
        <v>79650</v>
      </c>
      <c r="M35" s="167">
        <f t="shared" si="88"/>
        <v>53100</v>
      </c>
      <c r="N35" s="167">
        <f t="shared" si="89"/>
        <v>557550</v>
      </c>
      <c r="O35" s="167">
        <f t="shared" si="90"/>
        <v>1699200</v>
      </c>
      <c r="P35" s="242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</row>
    <row r="36" spans="1:34" s="949" customFormat="1" ht="15" customHeight="1">
      <c r="A36" s="260">
        <f>A33+1</f>
        <v>28</v>
      </c>
      <c r="B36" s="218"/>
      <c r="C36" s="613"/>
      <c r="D36" s="149">
        <v>30</v>
      </c>
      <c r="E36" s="914" t="s">
        <v>262</v>
      </c>
      <c r="F36" s="245">
        <v>5310000</v>
      </c>
      <c r="G36" s="167">
        <f t="shared" ref="G36" si="91">ROUND(F36*$G$6,0)</f>
        <v>929250</v>
      </c>
      <c r="H36" s="232">
        <f t="shared" ref="H36" si="92">ROUND(F36*$H$6,0)</f>
        <v>159300</v>
      </c>
      <c r="I36" s="232">
        <f t="shared" ref="I36" si="93">ROUND(F36*$I$6,0)</f>
        <v>53100</v>
      </c>
      <c r="J36" s="232">
        <f t="shared" ref="J36" si="94">ROUND(SUM(G36:I36),0)</f>
        <v>1141650</v>
      </c>
      <c r="K36" s="167">
        <f t="shared" ref="K36" si="95">ROUND(F36*$K$6,0)</f>
        <v>424800</v>
      </c>
      <c r="L36" s="167">
        <f t="shared" ref="L36" si="96">ROUND(F36*$L$6,0)</f>
        <v>79650</v>
      </c>
      <c r="M36" s="167">
        <f t="shared" ref="M36" si="97">ROUND(F36*$M$6,0)</f>
        <v>53100</v>
      </c>
      <c r="N36" s="167">
        <f t="shared" ref="N36" si="98">ROUND(SUM(K36:M36),0)</f>
        <v>557550</v>
      </c>
      <c r="O36" s="167">
        <f t="shared" ref="O36" si="99">J36+N36</f>
        <v>1699200</v>
      </c>
      <c r="P36" s="242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</row>
    <row r="37" spans="1:34" s="1017" customFormat="1" ht="15" customHeight="1">
      <c r="A37" s="260"/>
      <c r="B37" s="218"/>
      <c r="C37" s="613"/>
      <c r="D37" s="613"/>
      <c r="E37" s="914"/>
      <c r="F37" s="245"/>
      <c r="G37" s="167"/>
      <c r="H37" s="232"/>
      <c r="I37" s="232"/>
      <c r="J37" s="232"/>
      <c r="K37" s="167"/>
      <c r="L37" s="167"/>
      <c r="M37" s="167"/>
      <c r="N37" s="167"/>
      <c r="O37" s="167"/>
      <c r="P37" s="242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</row>
    <row r="38" spans="1:34" s="1017" customFormat="1" ht="15" customHeight="1">
      <c r="A38" s="260"/>
      <c r="B38" s="218"/>
      <c r="C38" s="613"/>
      <c r="D38" s="613"/>
      <c r="E38" s="914"/>
      <c r="F38" s="245"/>
      <c r="G38" s="167"/>
      <c r="H38" s="232"/>
      <c r="I38" s="232"/>
      <c r="J38" s="232"/>
      <c r="K38" s="167"/>
      <c r="L38" s="167"/>
      <c r="M38" s="167"/>
      <c r="N38" s="167"/>
      <c r="O38" s="167"/>
      <c r="P38" s="242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</row>
    <row r="39" spans="1:34" s="834" customFormat="1" ht="15" customHeight="1">
      <c r="A39" s="260"/>
      <c r="B39" s="218"/>
      <c r="C39" s="613"/>
      <c r="D39" s="613"/>
      <c r="E39" s="914"/>
      <c r="F39" s="245"/>
      <c r="G39" s="167"/>
      <c r="H39" s="232"/>
      <c r="I39" s="232"/>
      <c r="J39" s="232"/>
      <c r="K39" s="167"/>
      <c r="L39" s="167"/>
      <c r="M39" s="167"/>
      <c r="N39" s="167"/>
      <c r="O39" s="167"/>
      <c r="P39" s="242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</row>
    <row r="40" spans="1:34" ht="15" customHeight="1">
      <c r="A40" s="229"/>
      <c r="B40" s="230"/>
      <c r="C40" s="230"/>
      <c r="D40" s="230"/>
      <c r="E40" s="246" t="s">
        <v>180</v>
      </c>
      <c r="F40" s="242">
        <f t="shared" ref="F40:O40" si="100">SUM(F7:F39)</f>
        <v>159300000</v>
      </c>
      <c r="G40" s="242">
        <f t="shared" si="100"/>
        <v>27877500</v>
      </c>
      <c r="H40" s="242">
        <f t="shared" si="100"/>
        <v>4779000</v>
      </c>
      <c r="I40" s="242">
        <f t="shared" si="100"/>
        <v>1593000</v>
      </c>
      <c r="J40" s="242">
        <f t="shared" si="100"/>
        <v>34249500</v>
      </c>
      <c r="K40" s="242">
        <f t="shared" si="100"/>
        <v>12744000</v>
      </c>
      <c r="L40" s="242">
        <f t="shared" si="100"/>
        <v>2389500</v>
      </c>
      <c r="M40" s="242">
        <f t="shared" si="100"/>
        <v>1593000</v>
      </c>
      <c r="N40" s="242">
        <f t="shared" si="100"/>
        <v>16726500</v>
      </c>
      <c r="O40" s="693">
        <f t="shared" si="100"/>
        <v>50976000</v>
      </c>
      <c r="P40" s="242"/>
      <c r="Q40" s="1022">
        <f>131861073-68655388</f>
        <v>63205685</v>
      </c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811" t="s">
        <v>6000</v>
      </c>
    </row>
    <row r="41" spans="1:34" ht="24.75" customHeight="1" thickBot="1">
      <c r="A41" s="217"/>
      <c r="B41" s="218"/>
      <c r="C41" s="218"/>
      <c r="D41" s="218"/>
      <c r="E41" s="247"/>
      <c r="F41" s="248" t="e">
        <f>F40-#REF!</f>
        <v>#REF!</v>
      </c>
      <c r="G41" s="249">
        <f t="shared" ref="G41:H41" si="101">G40+K40</f>
        <v>40621500</v>
      </c>
      <c r="H41" s="249">
        <f t="shared" si="101"/>
        <v>7168500</v>
      </c>
      <c r="I41" s="249"/>
      <c r="J41" s="249"/>
      <c r="K41" s="249"/>
      <c r="L41" s="249"/>
      <c r="M41" s="249"/>
      <c r="N41" s="249"/>
      <c r="O41" s="249"/>
      <c r="P41" s="244" t="s">
        <v>5998</v>
      </c>
      <c r="Q41" s="1023">
        <f>Q40+O40</f>
        <v>114181685</v>
      </c>
      <c r="R41" s="1024"/>
      <c r="S41" s="1024"/>
      <c r="T41" s="1024"/>
      <c r="U41" s="1024"/>
      <c r="V41" s="1024"/>
      <c r="W41" s="1024"/>
      <c r="X41" s="1024"/>
      <c r="Y41" s="1024"/>
      <c r="Z41" s="1024"/>
      <c r="AA41" s="1024"/>
      <c r="AB41" s="1024"/>
      <c r="AC41" s="1024"/>
      <c r="AD41" s="1024"/>
      <c r="AE41" s="1024"/>
      <c r="AF41" s="1024"/>
      <c r="AG41" s="1024"/>
      <c r="AH41" s="1025" t="s">
        <v>5999</v>
      </c>
    </row>
    <row r="42" spans="1:34" ht="15.75" customHeight="1" thickBot="1">
      <c r="A42" s="1266" t="s">
        <v>1094</v>
      </c>
      <c r="B42" s="1200"/>
      <c r="C42" s="1200"/>
      <c r="D42" s="1200"/>
      <c r="E42" s="1200"/>
      <c r="F42" s="1200"/>
      <c r="G42" s="215"/>
      <c r="H42" s="215"/>
      <c r="I42" s="250">
        <f t="shared" ref="I42:J42" si="102">H40+L40</f>
        <v>7168500</v>
      </c>
      <c r="J42" s="250">
        <f t="shared" si="102"/>
        <v>3186000</v>
      </c>
      <c r="K42" s="250">
        <f>G40+K40</f>
        <v>40621500</v>
      </c>
      <c r="L42" s="251">
        <v>29121000</v>
      </c>
      <c r="M42" s="244">
        <f>L42-K42</f>
        <v>-11500500</v>
      </c>
      <c r="N42" s="215"/>
      <c r="O42" s="250"/>
      <c r="P42" s="244" t="s">
        <v>1035</v>
      </c>
      <c r="Q42" s="610">
        <v>129249590</v>
      </c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891" t="s">
        <v>6001</v>
      </c>
    </row>
    <row r="43" spans="1:34" ht="15" customHeight="1">
      <c r="A43" s="252"/>
      <c r="B43" s="253"/>
      <c r="C43" s="253"/>
      <c r="D43" s="253"/>
      <c r="E43" s="253"/>
      <c r="F43" s="254"/>
      <c r="G43" s="192"/>
      <c r="H43" s="192"/>
      <c r="I43" s="192"/>
      <c r="J43" s="192"/>
      <c r="K43" s="192"/>
      <c r="L43" s="192"/>
      <c r="M43" s="192"/>
      <c r="N43" s="192"/>
      <c r="O43" s="1020">
        <f>O40-SUM(O41:O42)</f>
        <v>50976000</v>
      </c>
      <c r="P43" s="1021" t="s">
        <v>976</v>
      </c>
      <c r="Q43" s="534">
        <f>Q41-Q42</f>
        <v>-15067905</v>
      </c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891" t="s">
        <v>6002</v>
      </c>
    </row>
    <row r="44" spans="1:34" ht="15" customHeight="1">
      <c r="A44" s="252"/>
      <c r="B44" s="253"/>
      <c r="C44" s="253"/>
      <c r="D44" s="253"/>
      <c r="E44" s="253"/>
      <c r="F44" s="254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</row>
    <row r="45" spans="1:34" ht="15" customHeight="1">
      <c r="A45" s="1267" t="s">
        <v>288</v>
      </c>
      <c r="B45" s="1156"/>
      <c r="C45" s="1156"/>
      <c r="D45" s="1156"/>
      <c r="E45" s="1156"/>
      <c r="F45" s="255"/>
      <c r="G45" s="1268" t="s">
        <v>289</v>
      </c>
      <c r="H45" s="1145"/>
      <c r="I45" s="1145"/>
      <c r="J45" s="1146"/>
      <c r="K45" s="1268" t="s">
        <v>290</v>
      </c>
      <c r="L45" s="1145"/>
      <c r="M45" s="1145"/>
      <c r="N45" s="1146"/>
      <c r="O45" s="1264" t="s">
        <v>291</v>
      </c>
      <c r="P45" s="1264" t="s">
        <v>13</v>
      </c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</row>
    <row r="46" spans="1:34" ht="15" customHeight="1">
      <c r="A46" s="217"/>
      <c r="B46" s="218"/>
      <c r="C46" s="218"/>
      <c r="D46" s="218"/>
      <c r="E46" s="218"/>
      <c r="F46" s="255"/>
      <c r="G46" s="130" t="s">
        <v>280</v>
      </c>
      <c r="H46" s="130" t="s">
        <v>281</v>
      </c>
      <c r="I46" s="130" t="s">
        <v>282</v>
      </c>
      <c r="J46" s="1264" t="s">
        <v>180</v>
      </c>
      <c r="K46" s="130" t="s">
        <v>280</v>
      </c>
      <c r="L46" s="130" t="s">
        <v>281</v>
      </c>
      <c r="M46" s="130" t="s">
        <v>282</v>
      </c>
      <c r="N46" s="1264" t="s">
        <v>180</v>
      </c>
      <c r="O46" s="1150"/>
      <c r="P46" s="1150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</row>
    <row r="47" spans="1:34" ht="15" customHeight="1">
      <c r="A47" s="221" t="s">
        <v>15</v>
      </c>
      <c r="B47" s="256" t="s">
        <v>273</v>
      </c>
      <c r="C47" s="256" t="s">
        <v>292</v>
      </c>
      <c r="D47" s="257" t="s">
        <v>275</v>
      </c>
      <c r="E47" s="221" t="s">
        <v>276</v>
      </c>
      <c r="F47" s="258" t="s">
        <v>277</v>
      </c>
      <c r="G47" s="225">
        <v>0.17499999999999999</v>
      </c>
      <c r="H47" s="226">
        <v>0.03</v>
      </c>
      <c r="I47" s="226" t="s">
        <v>283</v>
      </c>
      <c r="J47" s="1141"/>
      <c r="K47" s="226">
        <v>0.08</v>
      </c>
      <c r="L47" s="225">
        <v>1.4999999999999999E-2</v>
      </c>
      <c r="M47" s="259">
        <v>0.01</v>
      </c>
      <c r="N47" s="1141"/>
      <c r="O47" s="1141"/>
      <c r="P47" s="1141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</row>
    <row r="48" spans="1:34" s="949" customFormat="1" ht="15" customHeight="1">
      <c r="A48" s="260" t="e">
        <f t="shared" ref="A48" si="103">A47+1</f>
        <v>#VALUE!</v>
      </c>
      <c r="B48" s="218"/>
      <c r="C48" s="613"/>
      <c r="D48" s="613"/>
      <c r="E48" s="758" t="s">
        <v>262</v>
      </c>
      <c r="F48" s="245">
        <v>5310000</v>
      </c>
      <c r="G48" s="167">
        <f t="shared" ref="G48" si="104">ROUND(F48*$G$6,0)</f>
        <v>929250</v>
      </c>
      <c r="H48" s="232">
        <f t="shared" ref="H48" si="105">ROUND(F48*$H$6,0)</f>
        <v>159300</v>
      </c>
      <c r="I48" s="232">
        <f t="shared" ref="I48" si="106">ROUND(F48*$I$6,0)</f>
        <v>53100</v>
      </c>
      <c r="J48" s="232">
        <f t="shared" ref="J48" si="107">ROUND(SUM(G48:I48),0)</f>
        <v>1141650</v>
      </c>
      <c r="K48" s="167">
        <f t="shared" ref="K48" si="108">ROUND(F48*$K$6,0)</f>
        <v>424800</v>
      </c>
      <c r="L48" s="167">
        <f t="shared" ref="L48" si="109">ROUND(F48*$L$6,0)</f>
        <v>79650</v>
      </c>
      <c r="M48" s="167">
        <f t="shared" ref="M48" si="110">ROUND(F48*$M$6,0)</f>
        <v>53100</v>
      </c>
      <c r="N48" s="167">
        <f t="shared" ref="N48" si="111">ROUND(SUM(K48:M48),0)</f>
        <v>557550</v>
      </c>
      <c r="O48" s="167">
        <f t="shared" ref="O48" si="112">J48+N48</f>
        <v>1699200</v>
      </c>
      <c r="P48" s="242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</row>
    <row r="49" spans="1:33" s="935" customFormat="1" ht="15" customHeight="1">
      <c r="A49" s="927"/>
      <c r="B49" s="928"/>
      <c r="C49" s="934"/>
      <c r="D49" s="934"/>
      <c r="E49" s="1011"/>
      <c r="F49" s="929"/>
      <c r="G49" s="930"/>
      <c r="H49" s="931"/>
      <c r="I49" s="931"/>
      <c r="J49" s="931"/>
      <c r="K49" s="930"/>
      <c r="L49" s="930"/>
      <c r="M49" s="930"/>
      <c r="N49" s="930"/>
      <c r="O49" s="930"/>
      <c r="P49" s="932"/>
      <c r="R49" s="933"/>
      <c r="S49" s="933"/>
      <c r="T49" s="933"/>
      <c r="U49" s="933"/>
      <c r="V49" s="933"/>
      <c r="W49" s="933"/>
      <c r="X49" s="933"/>
      <c r="Y49" s="933"/>
      <c r="Z49" s="933"/>
      <c r="AA49" s="933"/>
      <c r="AB49" s="933"/>
      <c r="AC49" s="933"/>
      <c r="AD49" s="933"/>
      <c r="AE49" s="933"/>
      <c r="AF49" s="933"/>
      <c r="AG49" s="933"/>
    </row>
    <row r="50" spans="1:33" s="935" customFormat="1" ht="15" customHeight="1">
      <c r="A50" s="927"/>
      <c r="B50" s="928"/>
      <c r="C50" s="934"/>
      <c r="D50" s="934"/>
      <c r="E50" s="1011"/>
      <c r="F50" s="929"/>
      <c r="G50" s="930"/>
      <c r="H50" s="931"/>
      <c r="I50" s="931"/>
      <c r="J50" s="931"/>
      <c r="K50" s="930"/>
      <c r="L50" s="930"/>
      <c r="M50" s="930"/>
      <c r="N50" s="930"/>
      <c r="O50" s="930"/>
      <c r="P50" s="932"/>
      <c r="R50" s="933"/>
      <c r="S50" s="933"/>
      <c r="T50" s="933"/>
      <c r="U50" s="933"/>
      <c r="V50" s="933"/>
      <c r="W50" s="933"/>
      <c r="X50" s="933"/>
      <c r="Y50" s="933"/>
      <c r="Z50" s="933"/>
      <c r="AA50" s="933"/>
      <c r="AB50" s="933"/>
      <c r="AC50" s="933"/>
      <c r="AD50" s="933"/>
      <c r="AE50" s="933"/>
      <c r="AF50" s="933"/>
      <c r="AG50" s="933"/>
    </row>
    <row r="51" spans="1:33" s="935" customFormat="1" ht="15" customHeight="1">
      <c r="A51" s="927"/>
      <c r="B51" s="928"/>
      <c r="C51" s="934"/>
      <c r="D51" s="934"/>
      <c r="E51" s="1011"/>
      <c r="F51" s="929"/>
      <c r="G51" s="930"/>
      <c r="H51" s="931"/>
      <c r="I51" s="931"/>
      <c r="J51" s="931"/>
      <c r="K51" s="930"/>
      <c r="L51" s="930"/>
      <c r="M51" s="930"/>
      <c r="N51" s="930"/>
      <c r="O51" s="930"/>
      <c r="P51" s="932"/>
      <c r="R51" s="933"/>
      <c r="S51" s="933"/>
      <c r="T51" s="933"/>
      <c r="U51" s="933"/>
      <c r="V51" s="933"/>
      <c r="W51" s="933"/>
      <c r="X51" s="933"/>
      <c r="Y51" s="933"/>
      <c r="Z51" s="933"/>
      <c r="AA51" s="933"/>
      <c r="AB51" s="933"/>
      <c r="AC51" s="933"/>
      <c r="AD51" s="933"/>
      <c r="AE51" s="933"/>
      <c r="AF51" s="933"/>
      <c r="AG51" s="933"/>
    </row>
    <row r="52" spans="1:33" s="935" customFormat="1" ht="15" customHeight="1">
      <c r="A52" s="927"/>
      <c r="B52" s="928"/>
      <c r="C52" s="934"/>
      <c r="D52" s="934"/>
      <c r="E52" s="1011"/>
      <c r="F52" s="929"/>
      <c r="G52" s="930"/>
      <c r="H52" s="931"/>
      <c r="I52" s="931"/>
      <c r="J52" s="931"/>
      <c r="K52" s="930"/>
      <c r="L52" s="930"/>
      <c r="M52" s="930"/>
      <c r="N52" s="930"/>
      <c r="O52" s="930"/>
      <c r="P52" s="932"/>
      <c r="R52" s="933"/>
      <c r="S52" s="933"/>
      <c r="T52" s="933"/>
      <c r="U52" s="933"/>
      <c r="V52" s="933"/>
      <c r="W52" s="933"/>
      <c r="X52" s="933"/>
      <c r="Y52" s="933"/>
      <c r="Z52" s="933"/>
      <c r="AA52" s="933"/>
      <c r="AB52" s="933"/>
      <c r="AC52" s="933"/>
      <c r="AD52" s="933"/>
      <c r="AE52" s="933"/>
      <c r="AF52" s="933"/>
      <c r="AG52" s="933"/>
    </row>
    <row r="53" spans="1:33" s="884" customFormat="1" ht="15" customHeight="1">
      <c r="A53" s="260"/>
      <c r="B53" s="218"/>
      <c r="C53" s="613"/>
      <c r="D53" s="936"/>
      <c r="E53" s="914"/>
      <c r="F53" s="245"/>
      <c r="G53" s="167"/>
      <c r="H53" s="232"/>
      <c r="I53" s="232"/>
      <c r="J53" s="232"/>
      <c r="K53" s="167"/>
      <c r="L53" s="167"/>
      <c r="M53" s="167"/>
      <c r="N53" s="167"/>
      <c r="O53" s="167"/>
      <c r="P53" s="242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</row>
    <row r="54" spans="1:33" s="884" customFormat="1" ht="15" customHeight="1">
      <c r="A54" s="260"/>
      <c r="B54" s="218"/>
      <c r="C54" s="613"/>
      <c r="D54" s="613"/>
      <c r="E54" s="185"/>
      <c r="F54" s="245"/>
      <c r="G54" s="167"/>
      <c r="H54" s="232"/>
      <c r="I54" s="232"/>
      <c r="J54" s="232"/>
      <c r="K54" s="167"/>
      <c r="L54" s="167"/>
      <c r="M54" s="167"/>
      <c r="N54" s="167"/>
      <c r="O54" s="167"/>
      <c r="P54" s="242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</row>
    <row r="55" spans="1:33" ht="15" customHeight="1">
      <c r="A55" s="229"/>
      <c r="B55" s="218"/>
      <c r="C55" s="231"/>
      <c r="D55" s="230"/>
      <c r="E55" s="230"/>
      <c r="F55" s="230"/>
      <c r="G55" s="167"/>
      <c r="H55" s="232"/>
      <c r="I55" s="232"/>
      <c r="J55" s="232"/>
      <c r="K55" s="167"/>
      <c r="L55" s="167"/>
      <c r="M55" s="167"/>
      <c r="N55" s="167"/>
      <c r="O55" s="167"/>
      <c r="P55" s="171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</row>
    <row r="56" spans="1:33" ht="15" customHeight="1">
      <c r="A56" s="229"/>
      <c r="B56" s="230"/>
      <c r="C56" s="230"/>
      <c r="D56" s="230"/>
      <c r="E56" s="256" t="s">
        <v>293</v>
      </c>
      <c r="F56" s="242">
        <f t="shared" ref="F56:O56" si="113">SUM(F48:F55)</f>
        <v>5310000</v>
      </c>
      <c r="G56" s="242">
        <f t="shared" si="113"/>
        <v>929250</v>
      </c>
      <c r="H56" s="242">
        <f t="shared" si="113"/>
        <v>159300</v>
      </c>
      <c r="I56" s="242">
        <f t="shared" si="113"/>
        <v>53100</v>
      </c>
      <c r="J56" s="242">
        <f t="shared" si="113"/>
        <v>1141650</v>
      </c>
      <c r="K56" s="242">
        <f t="shared" si="113"/>
        <v>424800</v>
      </c>
      <c r="L56" s="242">
        <f t="shared" si="113"/>
        <v>79650</v>
      </c>
      <c r="M56" s="242">
        <f t="shared" si="113"/>
        <v>53100</v>
      </c>
      <c r="N56" s="242">
        <f t="shared" si="113"/>
        <v>557550</v>
      </c>
      <c r="O56" s="242">
        <f t="shared" si="113"/>
        <v>1699200</v>
      </c>
      <c r="P56" s="171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</row>
    <row r="57" spans="1:33" ht="15" customHeight="1">
      <c r="A57" s="192"/>
      <c r="B57" s="192"/>
      <c r="C57" s="192"/>
      <c r="D57" s="192"/>
      <c r="E57" s="192"/>
      <c r="F57" s="192"/>
      <c r="G57" s="1244"/>
      <c r="H57" s="1156"/>
      <c r="I57" s="1156"/>
      <c r="J57" s="262"/>
      <c r="K57" s="192"/>
      <c r="L57" s="263"/>
      <c r="M57" s="264"/>
      <c r="N57" s="264"/>
      <c r="O57" s="264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</row>
    <row r="58" spans="1:33" ht="15" customHeight="1">
      <c r="A58" s="1267" t="s">
        <v>961</v>
      </c>
      <c r="B58" s="1156"/>
      <c r="C58" s="1156"/>
      <c r="D58" s="1156"/>
      <c r="E58" s="1156"/>
      <c r="F58" s="192"/>
      <c r="G58" s="1244"/>
      <c r="H58" s="1156"/>
      <c r="I58" s="1156"/>
      <c r="J58" s="262"/>
      <c r="K58" s="192"/>
      <c r="L58" s="263"/>
      <c r="M58" s="264"/>
      <c r="N58" s="264"/>
      <c r="O58" s="264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</row>
    <row r="59" spans="1:33" s="736" customFormat="1" ht="15" customHeight="1">
      <c r="A59" s="856">
        <v>4</v>
      </c>
      <c r="B59" s="994"/>
      <c r="C59" s="995"/>
      <c r="D59" s="996" t="s">
        <v>118</v>
      </c>
      <c r="E59" s="952" t="s">
        <v>119</v>
      </c>
      <c r="F59" s="857">
        <v>5310000</v>
      </c>
      <c r="G59" s="180">
        <f>ROUND(F59*$G$6,0)</f>
        <v>929250</v>
      </c>
      <c r="H59" s="858">
        <f>ROUND(F59*$H$6,0)</f>
        <v>159300</v>
      </c>
      <c r="I59" s="858">
        <f>ROUND(F59*$I$6,0)</f>
        <v>53100</v>
      </c>
      <c r="J59" s="858">
        <f>ROUND(SUM(G59:I59),0)</f>
        <v>1141650</v>
      </c>
      <c r="K59" s="180">
        <f>ROUND(F59*$K$6,0)</f>
        <v>424800</v>
      </c>
      <c r="L59" s="180">
        <f>ROUND(F59*$L$6,0)</f>
        <v>79650</v>
      </c>
      <c r="M59" s="180">
        <f>ROUND(F59*$M$6,0)</f>
        <v>53100</v>
      </c>
      <c r="N59" s="180">
        <f>ROUND(SUM(K59:M59),0)</f>
        <v>557550</v>
      </c>
      <c r="O59" s="180">
        <f>J59+N59</f>
        <v>1699200</v>
      </c>
      <c r="P59" s="180"/>
      <c r="Q59" s="815"/>
      <c r="R59" s="997">
        <v>8</v>
      </c>
      <c r="S59" s="998"/>
      <c r="T59" s="999"/>
      <c r="U59" s="1000" t="s">
        <v>287</v>
      </c>
      <c r="V59" s="1001" t="s">
        <v>115</v>
      </c>
      <c r="W59" s="1002">
        <v>5100000</v>
      </c>
      <c r="X59" s="1003">
        <f>ROUND(W59*$G$6,0)</f>
        <v>892500</v>
      </c>
      <c r="Y59" s="1002">
        <f>ROUND(W59*$H$6,0)</f>
        <v>153000</v>
      </c>
      <c r="Z59" s="1002">
        <f>ROUND(W59*$I$6,0)</f>
        <v>51000</v>
      </c>
      <c r="AA59" s="1002">
        <f>ROUND(SUM(X59:Z59),0)</f>
        <v>1096500</v>
      </c>
      <c r="AB59" s="1003">
        <f>ROUND(W59*$K$6,0)</f>
        <v>408000</v>
      </c>
      <c r="AC59" s="1003">
        <f>ROUND(W59*$L$6,0)</f>
        <v>76500</v>
      </c>
      <c r="AD59" s="1003">
        <f>ROUND(W59*$M$6,0)</f>
        <v>51000</v>
      </c>
      <c r="AE59" s="1003">
        <f>ROUND(SUM(AB59:AD59),0)</f>
        <v>535500</v>
      </c>
      <c r="AF59" s="1003">
        <f>AA59+AE59</f>
        <v>1632000</v>
      </c>
      <c r="AG59" s="815"/>
    </row>
    <row r="60" spans="1:33" s="736" customFormat="1" ht="15" customHeight="1">
      <c r="A60" s="856">
        <v>13</v>
      </c>
      <c r="B60" s="859"/>
      <c r="C60" s="995"/>
      <c r="D60" s="995"/>
      <c r="E60" s="1007" t="s">
        <v>148</v>
      </c>
      <c r="F60" s="857">
        <v>5310000</v>
      </c>
      <c r="G60" s="180">
        <f>ROUND(F60*$G$6,0)</f>
        <v>929250</v>
      </c>
      <c r="H60" s="858">
        <f>ROUND(F60*$H$6,0)</f>
        <v>159300</v>
      </c>
      <c r="I60" s="858">
        <f>ROUND(F60*$I$6,0)</f>
        <v>53100</v>
      </c>
      <c r="J60" s="858">
        <f>ROUND(SUM(G60:I60),0)</f>
        <v>1141650</v>
      </c>
      <c r="K60" s="180">
        <f>ROUND(F60*$K$6,0)</f>
        <v>424800</v>
      </c>
      <c r="L60" s="180">
        <f>ROUND(F60*$L$6,0)</f>
        <v>79650</v>
      </c>
      <c r="M60" s="180">
        <f>ROUND(F60*$M$6,0)</f>
        <v>53100</v>
      </c>
      <c r="N60" s="180">
        <f>ROUND(SUM(K60:M60),0)</f>
        <v>557550</v>
      </c>
      <c r="O60" s="180">
        <f>J60+N60</f>
        <v>1699200</v>
      </c>
      <c r="P60" s="860"/>
      <c r="Q60" s="1008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</row>
    <row r="61" spans="1:33" s="736" customFormat="1" ht="15" customHeight="1">
      <c r="A61" s="856">
        <v>18</v>
      </c>
      <c r="B61" s="859"/>
      <c r="C61" s="861"/>
      <c r="D61" s="861"/>
      <c r="E61" s="1006" t="s">
        <v>1006</v>
      </c>
      <c r="F61" s="857">
        <v>5310000</v>
      </c>
      <c r="G61" s="180">
        <f t="shared" ref="G61:G62" si="114">ROUND(F61*$G$6,0)</f>
        <v>929250</v>
      </c>
      <c r="H61" s="858">
        <f t="shared" ref="H61:H62" si="115">ROUND(F61*$H$6,0)</f>
        <v>159300</v>
      </c>
      <c r="I61" s="858">
        <f t="shared" ref="I61:I62" si="116">ROUND(F61*$I$6,0)</f>
        <v>53100</v>
      </c>
      <c r="J61" s="858">
        <f t="shared" ref="J61:J62" si="117">ROUND(SUM(G61:I61),0)</f>
        <v>1141650</v>
      </c>
      <c r="K61" s="180">
        <f t="shared" ref="K61:K62" si="118">ROUND(F61*$K$6,0)</f>
        <v>424800</v>
      </c>
      <c r="L61" s="180">
        <f t="shared" ref="L61:L62" si="119">ROUND(F61*$L$6,0)</f>
        <v>79650</v>
      </c>
      <c r="M61" s="180">
        <f t="shared" ref="M61:M62" si="120">ROUND(F61*$M$6,0)</f>
        <v>53100</v>
      </c>
      <c r="N61" s="180">
        <f t="shared" ref="N61:N62" si="121">ROUND(SUM(K61:M61),0)</f>
        <v>557550</v>
      </c>
      <c r="O61" s="180">
        <f t="shared" ref="O61:O62" si="122">J61+N61</f>
        <v>1699200</v>
      </c>
      <c r="P61" s="860"/>
      <c r="R61" s="815"/>
      <c r="S61" s="815"/>
      <c r="T61" s="815"/>
      <c r="U61" s="815"/>
      <c r="V61" s="815"/>
      <c r="W61" s="815"/>
      <c r="X61" s="815"/>
      <c r="Y61" s="815"/>
      <c r="Z61" s="815"/>
      <c r="AA61" s="815"/>
      <c r="AB61" s="815"/>
      <c r="AC61" s="815"/>
      <c r="AD61" s="815"/>
      <c r="AE61" s="815"/>
      <c r="AF61" s="815"/>
      <c r="AG61" s="815"/>
    </row>
    <row r="62" spans="1:33" s="736" customFormat="1" ht="15" customHeight="1">
      <c r="A62" s="856">
        <v>19</v>
      </c>
      <c r="B62" s="859"/>
      <c r="C62" s="861"/>
      <c r="D62" s="861"/>
      <c r="E62" s="1006" t="s">
        <v>1004</v>
      </c>
      <c r="F62" s="857">
        <v>5310000</v>
      </c>
      <c r="G62" s="180">
        <f t="shared" si="114"/>
        <v>929250</v>
      </c>
      <c r="H62" s="858">
        <f t="shared" si="115"/>
        <v>159300</v>
      </c>
      <c r="I62" s="858">
        <f t="shared" si="116"/>
        <v>53100</v>
      </c>
      <c r="J62" s="858">
        <f t="shared" si="117"/>
        <v>1141650</v>
      </c>
      <c r="K62" s="180">
        <f t="shared" si="118"/>
        <v>424800</v>
      </c>
      <c r="L62" s="180">
        <f t="shared" si="119"/>
        <v>79650</v>
      </c>
      <c r="M62" s="180">
        <f t="shared" si="120"/>
        <v>53100</v>
      </c>
      <c r="N62" s="180">
        <f t="shared" si="121"/>
        <v>557550</v>
      </c>
      <c r="O62" s="180">
        <f t="shared" si="122"/>
        <v>1699200</v>
      </c>
      <c r="P62" s="860"/>
      <c r="R62" s="815"/>
      <c r="S62" s="815"/>
      <c r="T62" s="815"/>
      <c r="U62" s="815"/>
      <c r="V62" s="815"/>
      <c r="W62" s="815"/>
      <c r="X62" s="815"/>
      <c r="Y62" s="815"/>
      <c r="Z62" s="815"/>
      <c r="AA62" s="815"/>
      <c r="AB62" s="815"/>
      <c r="AC62" s="815"/>
      <c r="AD62" s="815"/>
      <c r="AE62" s="815"/>
      <c r="AF62" s="815"/>
      <c r="AG62" s="815"/>
    </row>
    <row r="63" spans="1:33" s="738" customFormat="1" ht="15" customHeight="1">
      <c r="A63" s="260"/>
      <c r="B63" s="218"/>
      <c r="C63" s="613"/>
      <c r="D63" s="613"/>
      <c r="E63" s="624"/>
      <c r="F63" s="245"/>
      <c r="G63" s="167"/>
      <c r="H63" s="232"/>
      <c r="I63" s="232"/>
      <c r="J63" s="232"/>
      <c r="K63" s="167"/>
      <c r="L63" s="167"/>
      <c r="M63" s="167"/>
      <c r="N63" s="167"/>
      <c r="O63" s="167"/>
      <c r="P63" s="242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</row>
    <row r="64" spans="1:33" ht="15" customHeight="1">
      <c r="A64" s="192"/>
      <c r="B64" s="192"/>
      <c r="C64" s="192"/>
      <c r="D64" s="192"/>
      <c r="E64" s="192"/>
      <c r="F64" s="192"/>
      <c r="G64" s="261"/>
      <c r="H64" s="261"/>
      <c r="I64" s="261"/>
      <c r="J64" s="262"/>
      <c r="K64" s="192"/>
      <c r="L64" s="264"/>
      <c r="M64" s="192"/>
      <c r="N64" s="192"/>
      <c r="O64" s="264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</row>
    <row r="65" spans="1:33" ht="15" customHeight="1">
      <c r="A65" s="265"/>
      <c r="B65" s="266"/>
      <c r="C65" s="266"/>
      <c r="D65" s="1269" t="s">
        <v>294</v>
      </c>
      <c r="E65" s="1156"/>
      <c r="F65" s="1156"/>
      <c r="G65" s="266"/>
      <c r="H65" s="1269" t="s">
        <v>295</v>
      </c>
      <c r="I65" s="1156"/>
      <c r="J65" s="1156"/>
      <c r="K65" s="266"/>
      <c r="L65" s="1269" t="s">
        <v>296</v>
      </c>
      <c r="M65" s="1156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</row>
    <row r="66" spans="1:33" ht="15" customHeight="1">
      <c r="A66" s="265"/>
      <c r="B66" s="266"/>
      <c r="C66" s="266"/>
      <c r="D66" s="267"/>
      <c r="E66" s="266"/>
      <c r="F66" s="268"/>
      <c r="G66" s="266"/>
      <c r="H66" s="266"/>
      <c r="I66" s="266"/>
      <c r="J66" s="26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</row>
    <row r="67" spans="1:33" ht="15" customHeight="1">
      <c r="A67" s="265"/>
      <c r="B67" s="266"/>
      <c r="C67" s="266"/>
      <c r="D67" s="267"/>
      <c r="E67" s="266"/>
      <c r="F67" s="268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</row>
    <row r="68" spans="1:33" ht="15" customHeight="1">
      <c r="A68" s="265"/>
      <c r="B68" s="266"/>
      <c r="C68" s="266"/>
      <c r="D68" s="1269"/>
      <c r="E68" s="1156"/>
      <c r="F68" s="1156"/>
      <c r="G68" s="266"/>
      <c r="H68" s="1269"/>
      <c r="I68" s="1156"/>
      <c r="J68" s="1156"/>
      <c r="K68" s="266"/>
      <c r="L68" s="1269" t="s">
        <v>297</v>
      </c>
      <c r="M68" s="1156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</row>
    <row r="69" spans="1:33" ht="18.75" customHeight="1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</row>
    <row r="70" spans="1:33" ht="18.75" customHeight="1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</row>
    <row r="71" spans="1:33" ht="18.75" customHeight="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</row>
    <row r="72" spans="1:33" ht="18.75" customHeight="1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</row>
    <row r="73" spans="1:33" ht="18.75" customHeight="1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</row>
    <row r="74" spans="1:33" ht="18.75" customHeight="1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</row>
    <row r="75" spans="1:33" ht="18.75" customHeight="1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</row>
    <row r="76" spans="1:33" ht="18.75" customHeight="1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</row>
    <row r="77" spans="1:33" ht="18.75" customHeight="1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</row>
    <row r="78" spans="1:33" ht="18.75" customHeight="1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</row>
    <row r="79" spans="1:33" ht="18.75" customHeight="1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</row>
    <row r="80" spans="1:33" ht="18.75" customHeight="1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</row>
    <row r="81" spans="1:33" ht="18.75" customHeight="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</row>
    <row r="82" spans="1:33" ht="18.75" customHeight="1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</row>
    <row r="83" spans="1:33" ht="18.75" customHeight="1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</row>
    <row r="84" spans="1:33" ht="18.75" customHeight="1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</row>
    <row r="85" spans="1:33" ht="18.75" customHeight="1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</row>
    <row r="86" spans="1:33" ht="18.75" customHeight="1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</row>
    <row r="87" spans="1:33" ht="18.75" customHeight="1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</row>
    <row r="88" spans="1:33" ht="18.75" customHeight="1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</row>
    <row r="89" spans="1:33" ht="18.75" customHeight="1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</row>
    <row r="90" spans="1:33" ht="18.75" customHeight="1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</row>
    <row r="91" spans="1:33" ht="18.75" customHeight="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</row>
    <row r="92" spans="1:33" ht="18.75" customHeight="1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</row>
    <row r="93" spans="1:33" ht="18.75" customHeight="1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</row>
    <row r="94" spans="1:33" ht="18.75" customHeight="1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</row>
    <row r="95" spans="1:33" ht="18.75" customHeight="1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</row>
    <row r="96" spans="1:33" ht="18.75" customHeight="1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</row>
    <row r="97" spans="1:33" ht="18.75" customHeight="1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</row>
    <row r="98" spans="1:33" ht="18.75" customHeight="1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</row>
    <row r="99" spans="1:33" ht="18.75" customHeight="1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</row>
    <row r="100" spans="1:33" ht="18.75" customHeight="1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</row>
    <row r="101" spans="1:33" ht="18.75" customHeight="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</row>
    <row r="102" spans="1:33" ht="18.75" customHeight="1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</row>
    <row r="103" spans="1:33" ht="18.75" customHeight="1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</row>
    <row r="104" spans="1:33" ht="18.75" customHeight="1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</row>
    <row r="105" spans="1:33" ht="18.75" customHeight="1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</row>
    <row r="106" spans="1:33" ht="18.75" customHeight="1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</row>
    <row r="107" spans="1:33" ht="18.75" customHeight="1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</row>
    <row r="108" spans="1:33" ht="18.75" customHeight="1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</row>
    <row r="109" spans="1:33" ht="18.75" customHeight="1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</row>
    <row r="110" spans="1:33" ht="18.75" customHeight="1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</row>
    <row r="111" spans="1:33" ht="18.75" customHeight="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</row>
    <row r="112" spans="1:33" ht="18.75" customHeight="1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</row>
    <row r="113" spans="1:33" ht="18.75" customHeight="1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</row>
    <row r="114" spans="1:33" ht="18.75" customHeight="1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</row>
    <row r="115" spans="1:33" ht="18.75" customHeight="1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</row>
    <row r="116" spans="1:33" ht="18.75" customHeight="1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</row>
    <row r="117" spans="1:33" ht="18.75" customHeight="1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</row>
    <row r="118" spans="1:33" ht="18.75" customHeight="1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</row>
    <row r="119" spans="1:33" ht="18.75" customHeight="1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</row>
    <row r="120" spans="1:33" ht="18.75" customHeight="1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</row>
    <row r="121" spans="1:33" ht="18.75" customHeight="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</row>
    <row r="122" spans="1:33" ht="18.75" customHeight="1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</row>
    <row r="123" spans="1:33" ht="18.75" customHeight="1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</row>
    <row r="124" spans="1:33" ht="18.75" customHeight="1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</row>
    <row r="125" spans="1:33" ht="18.75" customHeight="1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</row>
    <row r="126" spans="1:33" ht="18.75" customHeight="1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</row>
    <row r="127" spans="1:33" ht="18.75" customHeight="1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</row>
    <row r="128" spans="1:33" ht="18.75" customHeight="1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</row>
    <row r="129" spans="1:33" ht="18.75" customHeight="1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</row>
    <row r="130" spans="1:33" ht="18.75" customHeight="1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</row>
    <row r="131" spans="1:33" ht="18.75" customHeight="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</row>
    <row r="132" spans="1:33" ht="18.75" customHeight="1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</row>
    <row r="133" spans="1:33" ht="18.75" customHeight="1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</row>
    <row r="134" spans="1:33" ht="18.75" customHeight="1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</row>
    <row r="135" spans="1:33" ht="18.75" customHeight="1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</row>
    <row r="136" spans="1:33" ht="18.75" customHeight="1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</row>
    <row r="137" spans="1:33" ht="18.75" customHeight="1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</row>
    <row r="138" spans="1:33" ht="18.75" customHeight="1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</row>
    <row r="139" spans="1:33" ht="18.75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</row>
    <row r="140" spans="1:33" ht="18.75" customHeight="1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</row>
    <row r="141" spans="1:33" ht="18.75" customHeight="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</row>
    <row r="142" spans="1:33" ht="18.75" customHeight="1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</row>
    <row r="143" spans="1:33" ht="18.75" customHeight="1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</row>
    <row r="144" spans="1:33" ht="18.75" customHeight="1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</row>
    <row r="145" spans="1:33" ht="18.75" customHeight="1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</row>
    <row r="146" spans="1:33" ht="18.75" customHeight="1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</row>
    <row r="147" spans="1:33" ht="18.75" customHeight="1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</row>
    <row r="148" spans="1:33" ht="18.75" customHeight="1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</row>
    <row r="149" spans="1:33" ht="18.75" customHeight="1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</row>
    <row r="150" spans="1:33" ht="18.75" customHeight="1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</row>
    <row r="151" spans="1:33" ht="18.75" customHeight="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</row>
    <row r="152" spans="1:33" ht="18.75" customHeight="1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</row>
    <row r="153" spans="1:33" ht="18.75" customHeight="1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</row>
    <row r="154" spans="1:33" ht="18.75" customHeight="1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</row>
    <row r="155" spans="1:33" ht="18.75" customHeight="1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</row>
    <row r="156" spans="1:33" ht="18.75" customHeight="1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</row>
    <row r="157" spans="1:33" ht="18.75" customHeight="1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</row>
    <row r="158" spans="1:33" ht="18.75" customHeight="1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</row>
    <row r="159" spans="1:33" ht="18.75" customHeight="1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</row>
    <row r="160" spans="1:33" ht="18.75" customHeight="1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</row>
    <row r="161" spans="1:33" ht="18.75" customHeight="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</row>
    <row r="162" spans="1:33" ht="18.75" customHeight="1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</row>
    <row r="163" spans="1:33" ht="18.75" customHeight="1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</row>
    <row r="164" spans="1:33" ht="18.75" customHeight="1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</row>
    <row r="165" spans="1:33" ht="18.75" customHeight="1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</row>
    <row r="166" spans="1:33" ht="18.75" customHeight="1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</row>
    <row r="167" spans="1:33" ht="18.75" customHeight="1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</row>
    <row r="168" spans="1:33" ht="18.75" customHeight="1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</row>
    <row r="169" spans="1:33" ht="18.75" customHeight="1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</row>
    <row r="170" spans="1:33" ht="18.75" customHeight="1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</row>
    <row r="171" spans="1:33" ht="18.75" customHeight="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</row>
    <row r="172" spans="1:33" ht="18.75" customHeight="1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</row>
    <row r="173" spans="1:33" ht="18.75" customHeight="1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</row>
    <row r="174" spans="1:33" ht="18.75" customHeight="1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</row>
    <row r="175" spans="1:33" ht="18.75" customHeight="1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</row>
    <row r="176" spans="1:33" ht="18.75" customHeight="1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</row>
    <row r="177" spans="1:33" ht="18.75" customHeight="1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</row>
    <row r="178" spans="1:33" ht="18.75" customHeight="1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</row>
    <row r="179" spans="1:33" ht="18.75" customHeight="1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</row>
    <row r="180" spans="1:33" ht="18.75" customHeight="1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</row>
    <row r="181" spans="1:33" ht="18.75" customHeight="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</row>
    <row r="182" spans="1:33" ht="18.75" customHeight="1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</row>
    <row r="183" spans="1:33" ht="18.75" customHeight="1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</row>
    <row r="184" spans="1:33" ht="18.75" customHeight="1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</row>
    <row r="185" spans="1:33" ht="18.75" customHeight="1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</row>
    <row r="186" spans="1:33" ht="18.75" customHeight="1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</row>
    <row r="187" spans="1:33" ht="18.75" customHeight="1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</row>
    <row r="188" spans="1:33" ht="18.75" customHeight="1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</row>
    <row r="189" spans="1:33" ht="18.75" customHeight="1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</row>
    <row r="190" spans="1:33" ht="18.75" customHeight="1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</row>
    <row r="191" spans="1:33" ht="18.75" customHeight="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</row>
    <row r="192" spans="1:33" ht="18.75" customHeight="1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</row>
    <row r="193" spans="1:33" ht="18.75" customHeight="1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</row>
    <row r="194" spans="1:33" ht="18.75" customHeight="1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</row>
    <row r="195" spans="1:33" ht="18.75" customHeight="1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</row>
    <row r="196" spans="1:33" ht="18.75" customHeight="1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</row>
    <row r="197" spans="1:33" ht="18.75" customHeight="1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</row>
    <row r="198" spans="1:33" ht="18.75" customHeight="1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</row>
    <row r="199" spans="1:33" ht="18.75" customHeight="1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</row>
    <row r="200" spans="1:33" ht="18.75" customHeight="1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</row>
    <row r="201" spans="1:33" ht="18.75" customHeight="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</row>
    <row r="202" spans="1:33" ht="18.75" customHeight="1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</row>
    <row r="203" spans="1:33" ht="18.75" customHeight="1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</row>
    <row r="204" spans="1:33" ht="18.75" customHeight="1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</row>
    <row r="205" spans="1:33" ht="18.75" customHeight="1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</row>
    <row r="206" spans="1:33" ht="18.75" customHeight="1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</row>
    <row r="207" spans="1:33" ht="18.75" customHeight="1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</row>
    <row r="208" spans="1:33" ht="18.75" customHeight="1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</row>
    <row r="209" spans="1:33" ht="18.75" customHeight="1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</row>
    <row r="210" spans="1:33" ht="18.75" customHeight="1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</row>
    <row r="211" spans="1:33" ht="18.75" customHeight="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</row>
    <row r="212" spans="1:33" ht="18.75" customHeight="1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</row>
    <row r="213" spans="1:33" ht="18.75" customHeight="1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</row>
    <row r="214" spans="1:33" ht="18.75" customHeight="1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</row>
    <row r="215" spans="1:33" ht="18.75" customHeight="1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</row>
    <row r="216" spans="1:33" ht="18.75" customHeight="1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</row>
    <row r="217" spans="1:33" ht="18.75" customHeight="1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</row>
    <row r="218" spans="1:33" ht="18.75" customHeight="1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</row>
    <row r="219" spans="1:33" ht="18.75" customHeight="1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</row>
    <row r="220" spans="1:33" ht="18.75" customHeight="1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</row>
    <row r="221" spans="1:33" ht="18.75" customHeight="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</row>
    <row r="222" spans="1:33" ht="18.75" customHeight="1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</row>
    <row r="223" spans="1:33" ht="18.75" customHeight="1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</row>
    <row r="224" spans="1:33" ht="18.75" customHeight="1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</row>
    <row r="225" spans="1:33" ht="18.75" customHeight="1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</row>
    <row r="226" spans="1:33" ht="18.75" customHeight="1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</row>
    <row r="227" spans="1:33" ht="18.75" customHeight="1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</row>
    <row r="228" spans="1:33" ht="18.75" customHeight="1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</row>
    <row r="229" spans="1:33" ht="18.75" customHeight="1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</row>
    <row r="230" spans="1:33" ht="18.75" customHeight="1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</row>
    <row r="231" spans="1:33" ht="18.75" customHeight="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</row>
    <row r="232" spans="1:33" ht="18.75" customHeight="1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</row>
    <row r="233" spans="1:33" ht="18.75" customHeight="1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</row>
    <row r="234" spans="1:33" ht="18.75" customHeight="1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</row>
    <row r="235" spans="1:33" ht="18.75" customHeight="1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</row>
    <row r="236" spans="1:33" ht="18.75" customHeight="1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</row>
    <row r="237" spans="1:33" ht="18.75" customHeight="1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</row>
    <row r="238" spans="1:33" ht="18.75" customHeight="1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</row>
    <row r="239" spans="1:33" ht="18.75" customHeight="1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</row>
    <row r="240" spans="1:33" ht="18.75" customHeight="1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</row>
    <row r="241" spans="1:33" ht="18.75" customHeight="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</row>
    <row r="242" spans="1:33" ht="18.75" customHeight="1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</row>
    <row r="243" spans="1:33" ht="18.75" customHeight="1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</row>
    <row r="244" spans="1:33" ht="18.75" customHeight="1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</row>
    <row r="245" spans="1:33" ht="18.75" customHeight="1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</row>
    <row r="246" spans="1:33" ht="18.75" customHeight="1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</row>
    <row r="247" spans="1:33" ht="18.75" customHeight="1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</row>
    <row r="248" spans="1:33" ht="18.75" customHeight="1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</row>
    <row r="249" spans="1:33" ht="18.75" customHeight="1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</row>
    <row r="250" spans="1:33" ht="18.75" customHeight="1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</row>
    <row r="251" spans="1:33" ht="18.75" customHeight="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</row>
    <row r="252" spans="1:33" ht="18.75" customHeight="1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</row>
    <row r="253" spans="1:33" ht="18.75" customHeight="1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</row>
    <row r="254" spans="1:33" ht="18.75" customHeight="1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</row>
    <row r="255" spans="1:33" ht="18.75" customHeight="1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</row>
    <row r="256" spans="1:33" ht="18.75" customHeight="1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  <c r="AA256" s="192"/>
      <c r="AB256" s="192"/>
      <c r="AC256" s="192"/>
      <c r="AD256" s="192"/>
      <c r="AE256" s="192"/>
      <c r="AF256" s="192"/>
      <c r="AG256" s="192"/>
    </row>
    <row r="257" spans="1:33" ht="18.75" customHeight="1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</row>
    <row r="258" spans="1:33" ht="18.75" customHeight="1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</row>
    <row r="259" spans="1:33" ht="18.75" customHeight="1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</row>
    <row r="260" spans="1:33" ht="18.75" customHeight="1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  <c r="AD260" s="192"/>
      <c r="AE260" s="192"/>
      <c r="AF260" s="192"/>
      <c r="AG260" s="192"/>
    </row>
    <row r="261" spans="1:33" ht="18.75" customHeight="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</row>
    <row r="262" spans="1:33" ht="18.75" customHeight="1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</row>
    <row r="263" spans="1:33" ht="18.75" customHeight="1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</row>
    <row r="264" spans="1:33" ht="18.75" customHeight="1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</row>
    <row r="265" spans="1:33" ht="18.75" customHeight="1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</row>
    <row r="266" spans="1:33" ht="18.75" customHeight="1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</row>
    <row r="267" spans="1:33" ht="18.75" customHeight="1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</row>
    <row r="268" spans="1:33" ht="18.75" customHeight="1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</row>
    <row r="269" spans="1:33" ht="15.75" customHeight="1"/>
    <row r="270" spans="1:33" ht="15.75" customHeight="1"/>
    <row r="271" spans="1:33" ht="15.75" customHeight="1"/>
    <row r="272" spans="1:3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41">
    <mergeCell ref="H68:J68"/>
    <mergeCell ref="D68:F68"/>
    <mergeCell ref="L68:M68"/>
    <mergeCell ref="G57:I57"/>
    <mergeCell ref="G58:I58"/>
    <mergeCell ref="D65:F65"/>
    <mergeCell ref="H65:J65"/>
    <mergeCell ref="L65:M65"/>
    <mergeCell ref="A58:E58"/>
    <mergeCell ref="W4:W6"/>
    <mergeCell ref="P45:P47"/>
    <mergeCell ref="J46:J47"/>
    <mergeCell ref="N46:N47"/>
    <mergeCell ref="F4:F6"/>
    <mergeCell ref="G4:J4"/>
    <mergeCell ref="J5:J6"/>
    <mergeCell ref="A42:F42"/>
    <mergeCell ref="A45:E45"/>
    <mergeCell ref="G45:J45"/>
    <mergeCell ref="K45:N45"/>
    <mergeCell ref="P4:P6"/>
    <mergeCell ref="K4:N4"/>
    <mergeCell ref="O4:O6"/>
    <mergeCell ref="N5:N6"/>
    <mergeCell ref="O45:O47"/>
    <mergeCell ref="A1:E1"/>
    <mergeCell ref="A2:O2"/>
    <mergeCell ref="S3:AG3"/>
    <mergeCell ref="A4:A6"/>
    <mergeCell ref="B4:B6"/>
    <mergeCell ref="D4:D6"/>
    <mergeCell ref="E4:E6"/>
    <mergeCell ref="X4:AA4"/>
    <mergeCell ref="AB4:AE4"/>
    <mergeCell ref="AF4:AF6"/>
    <mergeCell ref="AA5:AA6"/>
    <mergeCell ref="AE5:AE6"/>
    <mergeCell ref="R4:R6"/>
    <mergeCell ref="S4:S6"/>
    <mergeCell ref="U4:U6"/>
    <mergeCell ref="V4:V6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opLeftCell="A51" workbookViewId="0">
      <selection activeCell="B66" sqref="B66"/>
    </sheetView>
  </sheetViews>
  <sheetFormatPr defaultColWidth="14.44140625" defaultRowHeight="15" customHeight="1"/>
  <cols>
    <col min="1" max="1" width="27.44140625" customWidth="1"/>
    <col min="2" max="2" width="16" customWidth="1"/>
    <col min="3" max="3" width="42.6640625" customWidth="1"/>
    <col min="4" max="4" width="37.33203125" customWidth="1"/>
  </cols>
  <sheetData>
    <row r="1" spans="1:4" ht="15" customHeight="1" thickBot="1">
      <c r="A1" s="675" t="s">
        <v>188</v>
      </c>
      <c r="B1" s="675">
        <v>945661904</v>
      </c>
      <c r="C1" s="675" t="s">
        <v>444</v>
      </c>
      <c r="D1" s="675" t="s">
        <v>190</v>
      </c>
    </row>
    <row r="2" spans="1:4" ht="15" customHeight="1" thickBot="1">
      <c r="A2" s="675" t="s">
        <v>191</v>
      </c>
      <c r="B2" s="675">
        <v>2606600301</v>
      </c>
      <c r="C2" s="675" t="s">
        <v>444</v>
      </c>
      <c r="D2" s="675" t="s">
        <v>190</v>
      </c>
    </row>
    <row r="3" spans="1:4" ht="15" customHeight="1" thickBot="1">
      <c r="A3" s="676" t="s">
        <v>193</v>
      </c>
      <c r="B3" s="677">
        <v>19036367351018</v>
      </c>
      <c r="C3" s="678"/>
      <c r="D3" s="676" t="s">
        <v>962</v>
      </c>
    </row>
    <row r="4" spans="1:4" ht="15" customHeight="1" thickBot="1">
      <c r="A4" s="676" t="s">
        <v>963</v>
      </c>
      <c r="B4" s="677">
        <v>19036452684018</v>
      </c>
      <c r="C4" s="678"/>
      <c r="D4" s="676" t="s">
        <v>962</v>
      </c>
    </row>
    <row r="5" spans="1:4" ht="15" customHeight="1" thickBot="1">
      <c r="A5" s="675" t="s">
        <v>196</v>
      </c>
      <c r="B5" s="675">
        <v>11004317492</v>
      </c>
      <c r="C5" s="675" t="s">
        <v>444</v>
      </c>
      <c r="D5" s="675" t="s">
        <v>198</v>
      </c>
    </row>
    <row r="6" spans="1:4" ht="15" customHeight="1" thickBot="1">
      <c r="A6" s="675" t="s">
        <v>448</v>
      </c>
      <c r="B6" s="675">
        <v>239748449</v>
      </c>
      <c r="C6" s="675" t="s">
        <v>444</v>
      </c>
      <c r="D6" s="675" t="s">
        <v>201</v>
      </c>
    </row>
    <row r="7" spans="1:4" ht="15" customHeight="1" thickBot="1">
      <c r="A7" s="675" t="s">
        <v>199</v>
      </c>
      <c r="B7" s="675">
        <v>222638429</v>
      </c>
      <c r="C7" s="675" t="s">
        <v>444</v>
      </c>
      <c r="D7" s="675" t="s">
        <v>201</v>
      </c>
    </row>
    <row r="8" spans="1:4" ht="15" customHeight="1" thickBot="1">
      <c r="A8" s="676" t="s">
        <v>202</v>
      </c>
      <c r="B8" s="677">
        <v>19034300764013</v>
      </c>
      <c r="C8" s="629"/>
      <c r="D8" s="676" t="s">
        <v>962</v>
      </c>
    </row>
    <row r="9" spans="1:4" ht="15" customHeight="1" thickBot="1">
      <c r="A9" s="676" t="s">
        <v>205</v>
      </c>
      <c r="B9" s="677">
        <v>19037989444011</v>
      </c>
      <c r="C9" s="678"/>
      <c r="D9" s="676" t="s">
        <v>962</v>
      </c>
    </row>
    <row r="10" spans="1:4" ht="15" customHeight="1" thickBot="1">
      <c r="A10" s="675" t="s">
        <v>209</v>
      </c>
      <c r="B10" s="675">
        <v>983280899</v>
      </c>
      <c r="C10" s="675" t="s">
        <v>444</v>
      </c>
      <c r="D10" s="675" t="s">
        <v>211</v>
      </c>
    </row>
    <row r="11" spans="1:4" ht="15" customHeight="1" thickBot="1">
      <c r="A11" s="675" t="s">
        <v>214</v>
      </c>
      <c r="B11" s="675">
        <v>1014035653</v>
      </c>
      <c r="C11" s="675" t="s">
        <v>444</v>
      </c>
      <c r="D11" s="675" t="s">
        <v>198</v>
      </c>
    </row>
    <row r="12" spans="1:4" ht="15" customHeight="1" thickBot="1">
      <c r="A12" s="676" t="s">
        <v>218</v>
      </c>
      <c r="B12" s="677">
        <v>81120026868</v>
      </c>
      <c r="C12" s="678"/>
      <c r="D12" s="676" t="s">
        <v>962</v>
      </c>
    </row>
    <row r="13" spans="1:4" ht="15" customHeight="1" thickBot="1">
      <c r="A13" s="675" t="s">
        <v>221</v>
      </c>
      <c r="B13" s="675">
        <v>19121870</v>
      </c>
      <c r="C13" s="675" t="s">
        <v>444</v>
      </c>
      <c r="D13" s="675" t="s">
        <v>223</v>
      </c>
    </row>
    <row r="14" spans="1:4" ht="15" customHeight="1" thickBot="1">
      <c r="A14" s="675" t="s">
        <v>224</v>
      </c>
      <c r="B14" s="675">
        <v>104229093</v>
      </c>
      <c r="C14" s="675" t="s">
        <v>444</v>
      </c>
      <c r="D14" s="675" t="s">
        <v>201</v>
      </c>
    </row>
    <row r="15" spans="1:4" ht="15" customHeight="1" thickBot="1">
      <c r="A15" s="675" t="s">
        <v>226</v>
      </c>
      <c r="B15" s="675">
        <v>170717</v>
      </c>
      <c r="C15" s="675" t="s">
        <v>444</v>
      </c>
      <c r="D15" s="675" t="s">
        <v>228</v>
      </c>
    </row>
    <row r="16" spans="1:4" ht="15" customHeight="1" thickBot="1">
      <c r="A16" s="675" t="s">
        <v>239</v>
      </c>
      <c r="B16" s="675">
        <v>18729518888</v>
      </c>
      <c r="C16" s="675" t="s">
        <v>444</v>
      </c>
      <c r="D16" s="675" t="s">
        <v>190</v>
      </c>
    </row>
    <row r="17" spans="1:4" ht="15" customHeight="1" thickBot="1">
      <c r="A17" s="676" t="s">
        <v>232</v>
      </c>
      <c r="B17" s="677">
        <v>19020074352016</v>
      </c>
      <c r="C17" s="629"/>
      <c r="D17" s="676" t="s">
        <v>962</v>
      </c>
    </row>
    <row r="18" spans="1:4" ht="15" customHeight="1" thickBot="1">
      <c r="A18" s="675" t="s">
        <v>252</v>
      </c>
      <c r="B18" s="675">
        <v>1013262796</v>
      </c>
      <c r="C18" s="675" t="s">
        <v>444</v>
      </c>
      <c r="D18" s="675" t="s">
        <v>198</v>
      </c>
    </row>
    <row r="19" spans="1:4" ht="15" customHeight="1" thickBot="1">
      <c r="A19" s="676" t="s">
        <v>460</v>
      </c>
      <c r="B19" s="677">
        <v>19072451339011</v>
      </c>
      <c r="C19" s="629"/>
      <c r="D19" s="676" t="s">
        <v>962</v>
      </c>
    </row>
    <row r="20" spans="1:4" ht="15" customHeight="1" thickBot="1">
      <c r="A20" s="676" t="s">
        <v>254</v>
      </c>
      <c r="B20" s="677">
        <v>19036834245014</v>
      </c>
      <c r="C20" s="629"/>
      <c r="D20" s="676" t="s">
        <v>962</v>
      </c>
    </row>
    <row r="21" spans="1:4" ht="15" customHeight="1" thickBot="1">
      <c r="A21" s="675" t="s">
        <v>257</v>
      </c>
      <c r="B21" s="675">
        <v>982304341</v>
      </c>
      <c r="C21" s="675" t="s">
        <v>444</v>
      </c>
      <c r="D21" s="675" t="s">
        <v>211</v>
      </c>
    </row>
    <row r="22" spans="1:4" ht="15" customHeight="1" thickBot="1">
      <c r="A22" s="676" t="s">
        <v>964</v>
      </c>
      <c r="B22" s="677">
        <v>19034735347015</v>
      </c>
      <c r="C22" s="629"/>
      <c r="D22" s="676" t="s">
        <v>962</v>
      </c>
    </row>
    <row r="23" spans="1:4" ht="15.75" customHeight="1" thickBot="1">
      <c r="A23" s="629"/>
      <c r="B23" s="629"/>
      <c r="C23" s="629"/>
      <c r="D23" s="629"/>
    </row>
    <row r="24" spans="1:4" ht="15" customHeight="1" thickBot="1">
      <c r="A24" s="676" t="s">
        <v>466</v>
      </c>
      <c r="B24" s="677">
        <v>19036086737014</v>
      </c>
      <c r="C24" s="629"/>
      <c r="D24" s="676" t="s">
        <v>962</v>
      </c>
    </row>
    <row r="25" spans="1:4" ht="15" customHeight="1" thickBot="1">
      <c r="A25" s="678"/>
      <c r="B25" s="629"/>
      <c r="C25" s="629"/>
      <c r="D25" s="678"/>
    </row>
    <row r="26" spans="1:4" ht="15" customHeight="1" thickBot="1">
      <c r="A26" s="676" t="s">
        <v>235</v>
      </c>
      <c r="B26" s="679">
        <v>19027455280016</v>
      </c>
      <c r="C26" s="629"/>
      <c r="D26" s="676" t="s">
        <v>962</v>
      </c>
    </row>
    <row r="27" spans="1:4" ht="15.75" customHeight="1" thickBot="1">
      <c r="A27" s="629"/>
      <c r="B27" s="629"/>
      <c r="C27" s="629"/>
      <c r="D27" s="629"/>
    </row>
    <row r="28" spans="1:4" ht="15" customHeight="1" thickBot="1">
      <c r="A28" s="676" t="s">
        <v>965</v>
      </c>
      <c r="B28" s="680">
        <v>2151961336</v>
      </c>
      <c r="C28" s="678"/>
      <c r="D28" s="676" t="s">
        <v>966</v>
      </c>
    </row>
    <row r="29" spans="1:4" ht="15.75" customHeight="1" thickBot="1">
      <c r="A29" s="629"/>
      <c r="B29" s="629"/>
      <c r="C29" s="629"/>
      <c r="D29" s="629"/>
    </row>
    <row r="30" spans="1:4" ht="15.75" customHeight="1" thickBot="1">
      <c r="A30" s="681" t="s">
        <v>265</v>
      </c>
      <c r="B30" s="679">
        <v>19035470912013</v>
      </c>
      <c r="C30" s="629"/>
      <c r="D30" s="676" t="s">
        <v>962</v>
      </c>
    </row>
    <row r="31" spans="1:4" ht="15.75" customHeight="1" thickBot="1">
      <c r="A31" s="629"/>
      <c r="B31" s="629"/>
      <c r="C31" s="629"/>
      <c r="D31" s="629"/>
    </row>
    <row r="32" spans="1:4" ht="15.75" customHeight="1" thickBot="1">
      <c r="A32" s="681" t="s">
        <v>979</v>
      </c>
      <c r="B32" s="679">
        <v>1451237001</v>
      </c>
      <c r="C32" s="629"/>
      <c r="D32" s="681" t="s">
        <v>967</v>
      </c>
    </row>
    <row r="33" spans="1:4" ht="15.75" customHeight="1" thickBot="1">
      <c r="A33" s="629"/>
      <c r="B33" s="629"/>
      <c r="C33" s="629"/>
      <c r="D33" s="629"/>
    </row>
    <row r="34" spans="1:4" ht="15.75" customHeight="1" thickBot="1">
      <c r="A34" s="681" t="s">
        <v>1010</v>
      </c>
      <c r="B34" s="676">
        <v>611001902044</v>
      </c>
      <c r="C34" s="678"/>
      <c r="D34" s="676" t="s">
        <v>968</v>
      </c>
    </row>
    <row r="35" spans="1:4" ht="15.75" customHeight="1" thickBot="1">
      <c r="A35" s="629"/>
      <c r="B35" s="629"/>
      <c r="C35" s="629"/>
      <c r="D35" s="629"/>
    </row>
    <row r="36" spans="1:4" ht="15.75" customHeight="1" thickBot="1">
      <c r="A36" s="681" t="s">
        <v>969</v>
      </c>
      <c r="B36" s="680">
        <v>1021719857</v>
      </c>
      <c r="C36" s="629"/>
      <c r="D36" s="676" t="s">
        <v>968</v>
      </c>
    </row>
    <row r="37" spans="1:4" ht="15.75" customHeight="1" thickBot="1">
      <c r="A37" s="629"/>
      <c r="B37" s="629"/>
      <c r="C37" s="629"/>
      <c r="D37" s="629"/>
    </row>
    <row r="38" spans="1:4" ht="15.75" customHeight="1" thickBot="1">
      <c r="A38" s="681" t="s">
        <v>970</v>
      </c>
      <c r="B38" s="679">
        <v>19033966641017</v>
      </c>
      <c r="C38" s="629"/>
      <c r="D38" s="681" t="s">
        <v>962</v>
      </c>
    </row>
    <row r="39" spans="1:4" ht="15.75" customHeight="1" thickBot="1">
      <c r="A39" s="629"/>
      <c r="B39" s="629"/>
      <c r="C39" s="629"/>
      <c r="D39" s="629"/>
    </row>
    <row r="40" spans="1:4" ht="15.75" customHeight="1" thickBot="1">
      <c r="A40" s="681" t="s">
        <v>985</v>
      </c>
      <c r="B40" s="679">
        <v>19027397952017</v>
      </c>
      <c r="C40" s="629"/>
      <c r="D40" s="681" t="s">
        <v>962</v>
      </c>
    </row>
    <row r="41" spans="1:4" ht="15.75" customHeight="1" thickBot="1">
      <c r="A41" s="629"/>
      <c r="B41" s="629"/>
      <c r="C41" s="629"/>
      <c r="D41" s="629"/>
    </row>
    <row r="42" spans="1:4" ht="15.75" customHeight="1" thickBot="1">
      <c r="A42" s="681" t="s">
        <v>992</v>
      </c>
      <c r="B42" s="682">
        <v>59627098</v>
      </c>
      <c r="C42" s="629"/>
      <c r="D42" s="681" t="s">
        <v>1011</v>
      </c>
    </row>
    <row r="43" spans="1:4" ht="15.75" customHeight="1" thickBot="1">
      <c r="A43" s="629"/>
      <c r="B43" s="629"/>
      <c r="C43" s="629"/>
      <c r="D43" s="629"/>
    </row>
    <row r="44" spans="1:4" ht="15.75" customHeight="1" thickBot="1">
      <c r="A44" s="681" t="s">
        <v>1012</v>
      </c>
      <c r="B44" s="680">
        <v>2601736251</v>
      </c>
      <c r="C44" s="678"/>
      <c r="D44" s="676" t="s">
        <v>966</v>
      </c>
    </row>
    <row r="45" spans="1:4" ht="15.75" customHeight="1" thickBot="1">
      <c r="A45" s="629"/>
      <c r="B45" s="629"/>
      <c r="C45" s="629"/>
      <c r="D45" s="629"/>
    </row>
    <row r="46" spans="1:4" ht="15.75" customHeight="1" thickBot="1">
      <c r="A46" s="681" t="s">
        <v>989</v>
      </c>
      <c r="B46" s="680">
        <v>966049097</v>
      </c>
      <c r="C46" s="678"/>
      <c r="D46" s="676" t="s">
        <v>1013</v>
      </c>
    </row>
    <row r="47" spans="1:4" ht="15.75" customHeight="1" thickBot="1">
      <c r="A47" s="629"/>
      <c r="B47" s="629"/>
      <c r="C47" s="629"/>
      <c r="D47" s="629"/>
    </row>
    <row r="48" spans="1:4" ht="15.75" customHeight="1" thickBot="1">
      <c r="A48" s="681" t="s">
        <v>1014</v>
      </c>
      <c r="B48" s="680" t="s">
        <v>1015</v>
      </c>
      <c r="C48" s="678"/>
      <c r="D48" s="676" t="s">
        <v>962</v>
      </c>
    </row>
    <row r="49" spans="1:4" ht="15.75" customHeight="1" thickBot="1">
      <c r="A49" s="629"/>
      <c r="B49" s="629"/>
      <c r="C49" s="629"/>
      <c r="D49" s="629"/>
    </row>
    <row r="50" spans="1:4" ht="15.75" customHeight="1" thickBot="1">
      <c r="A50" s="683" t="s">
        <v>1016</v>
      </c>
      <c r="B50" s="684">
        <v>4100033209001</v>
      </c>
      <c r="C50" s="678"/>
      <c r="D50" s="681" t="s">
        <v>1017</v>
      </c>
    </row>
    <row r="51" spans="1:4" ht="15.75" customHeight="1" thickBot="1">
      <c r="A51" s="629"/>
      <c r="B51" s="629"/>
      <c r="C51" s="629"/>
      <c r="D51" s="629"/>
    </row>
    <row r="52" spans="1:4" ht="15.75" customHeight="1" thickBot="1">
      <c r="A52" s="630" t="s">
        <v>1000</v>
      </c>
      <c r="B52" s="645">
        <v>9981080181</v>
      </c>
      <c r="C52" s="629"/>
      <c r="D52" s="646" t="s">
        <v>968</v>
      </c>
    </row>
    <row r="53" spans="1:4" ht="15.75" customHeight="1" thickBot="1">
      <c r="A53" s="629"/>
      <c r="B53" s="629"/>
      <c r="C53" s="629"/>
      <c r="D53" s="629"/>
    </row>
    <row r="54" spans="1:4" ht="15.75" customHeight="1" thickBot="1">
      <c r="A54" s="685" t="s">
        <v>995</v>
      </c>
      <c r="B54" s="629">
        <v>395828955</v>
      </c>
      <c r="C54" s="629"/>
      <c r="D54" s="629" t="s">
        <v>1018</v>
      </c>
    </row>
    <row r="55" spans="1:4" ht="15.75" customHeight="1" thickBot="1">
      <c r="A55" s="629"/>
      <c r="B55" s="629"/>
      <c r="C55" s="629"/>
      <c r="D55" s="629"/>
    </row>
    <row r="56" spans="1:4" ht="15.75" customHeight="1" thickBot="1">
      <c r="A56" s="681" t="s">
        <v>994</v>
      </c>
      <c r="B56" s="629">
        <v>3659155701</v>
      </c>
      <c r="C56" s="629"/>
      <c r="D56" s="629" t="s">
        <v>1019</v>
      </c>
    </row>
    <row r="57" spans="1:4" ht="15.75" customHeight="1" thickBot="1">
      <c r="A57" s="629"/>
      <c r="B57" s="629"/>
      <c r="C57" s="629"/>
      <c r="D57" s="629"/>
    </row>
    <row r="58" spans="1:4" ht="15.75" customHeight="1" thickBot="1">
      <c r="A58" s="681" t="s">
        <v>1006</v>
      </c>
      <c r="B58" s="679">
        <v>19034264491013</v>
      </c>
      <c r="C58" s="629"/>
      <c r="D58" s="681" t="s">
        <v>962</v>
      </c>
    </row>
    <row r="59" spans="1:4" ht="15.75" customHeight="1" thickBot="1">
      <c r="A59" s="629"/>
      <c r="B59" s="629"/>
      <c r="C59" s="629"/>
      <c r="D59" s="629"/>
    </row>
    <row r="60" spans="1:4" ht="15.75" customHeight="1" thickBot="1">
      <c r="A60" s="681" t="s">
        <v>1004</v>
      </c>
      <c r="B60" s="679">
        <v>45110000890004</v>
      </c>
      <c r="C60" s="629"/>
      <c r="D60" s="681" t="s">
        <v>966</v>
      </c>
    </row>
    <row r="61" spans="1:4" ht="15.75" customHeight="1" thickBot="1">
      <c r="A61" s="629"/>
      <c r="B61" s="629"/>
      <c r="C61" s="629"/>
      <c r="D61" s="629"/>
    </row>
    <row r="62" spans="1:4" ht="15.75" customHeight="1" thickBot="1">
      <c r="A62" s="681" t="s">
        <v>1020</v>
      </c>
      <c r="B62" s="629"/>
      <c r="C62" s="629"/>
      <c r="D62" s="629"/>
    </row>
    <row r="63" spans="1:4" ht="15.75" customHeight="1" thickBot="1">
      <c r="A63" s="629"/>
      <c r="B63" s="629"/>
      <c r="C63" s="629"/>
      <c r="D63" s="629"/>
    </row>
    <row r="64" spans="1:4" ht="15.75" customHeight="1">
      <c r="A64" s="757" t="s">
        <v>1055</v>
      </c>
      <c r="B64" s="781" t="s">
        <v>1058</v>
      </c>
      <c r="C64" s="777"/>
      <c r="D64" s="782" t="s">
        <v>1056</v>
      </c>
    </row>
    <row r="65" spans="1:4" ht="15.75" customHeight="1">
      <c r="A65" s="757"/>
      <c r="B65" s="757"/>
      <c r="C65" s="757"/>
      <c r="D65" s="757"/>
    </row>
    <row r="66" spans="1:4" ht="15.75" customHeight="1" thickBot="1">
      <c r="A66" s="757" t="s">
        <v>1052</v>
      </c>
      <c r="B66" s="781" t="s">
        <v>1057</v>
      </c>
      <c r="C66" s="748"/>
      <c r="D66" s="777" t="s">
        <v>1018</v>
      </c>
    </row>
    <row r="67" spans="1:4" ht="15.75" customHeight="1" thickBot="1">
      <c r="A67" s="629"/>
      <c r="B67" s="629"/>
      <c r="C67" s="629"/>
      <c r="D67" s="629"/>
    </row>
    <row r="68" spans="1:4" ht="15.75" customHeight="1" thickBot="1">
      <c r="A68" s="629"/>
      <c r="B68" s="629"/>
      <c r="C68" s="629"/>
      <c r="D68" s="629"/>
    </row>
    <row r="69" spans="1:4" ht="15.75" customHeight="1" thickBot="1">
      <c r="A69" s="629"/>
      <c r="B69" s="629"/>
      <c r="C69" s="629"/>
      <c r="D69" s="629"/>
    </row>
    <row r="70" spans="1:4" ht="15.75" customHeight="1" thickBot="1">
      <c r="A70" s="629"/>
      <c r="B70" s="629"/>
      <c r="C70" s="629"/>
      <c r="D70" s="629"/>
    </row>
    <row r="71" spans="1:4" ht="15.75" customHeight="1" thickBot="1">
      <c r="A71" s="629"/>
      <c r="B71" s="629"/>
      <c r="C71" s="629"/>
      <c r="D71" s="629"/>
    </row>
    <row r="72" spans="1:4" ht="15.75" customHeight="1" thickBot="1">
      <c r="A72" s="629"/>
      <c r="B72" s="629"/>
      <c r="C72" s="629"/>
      <c r="D72" s="629"/>
    </row>
    <row r="73" spans="1:4" ht="15.75" customHeight="1" thickBot="1">
      <c r="A73" s="629"/>
      <c r="B73" s="629"/>
      <c r="C73" s="629"/>
      <c r="D73" s="629"/>
    </row>
    <row r="74" spans="1:4" ht="15.75" customHeight="1" thickBot="1">
      <c r="A74" s="629"/>
      <c r="B74" s="629"/>
      <c r="C74" s="629"/>
      <c r="D74" s="629"/>
    </row>
    <row r="75" spans="1:4" ht="15.75" customHeight="1" thickBot="1">
      <c r="A75" s="629"/>
      <c r="B75" s="629"/>
      <c r="C75" s="629"/>
      <c r="D75" s="629"/>
    </row>
    <row r="76" spans="1:4" ht="15.75" customHeight="1" thickBot="1">
      <c r="A76" s="629"/>
      <c r="B76" s="629"/>
      <c r="C76" s="629"/>
      <c r="D76" s="629"/>
    </row>
    <row r="77" spans="1:4" ht="15.75" customHeight="1" thickBot="1">
      <c r="A77" s="629"/>
      <c r="B77" s="629"/>
      <c r="C77" s="629"/>
      <c r="D77" s="629"/>
    </row>
    <row r="78" spans="1:4" ht="15.75" customHeight="1" thickBot="1">
      <c r="A78" s="629"/>
      <c r="B78" s="629"/>
      <c r="C78" s="629"/>
      <c r="D78" s="629"/>
    </row>
    <row r="79" spans="1:4" ht="15.75" customHeight="1" thickBot="1">
      <c r="A79" s="629"/>
      <c r="B79" s="629"/>
      <c r="C79" s="629"/>
      <c r="D79" s="629"/>
    </row>
    <row r="80" spans="1:4" ht="15.75" customHeight="1" thickBot="1">
      <c r="A80" s="629"/>
      <c r="B80" s="629"/>
      <c r="C80" s="629"/>
      <c r="D80" s="629"/>
    </row>
    <row r="81" spans="1:4" ht="15.75" customHeight="1" thickBot="1">
      <c r="A81" s="629"/>
      <c r="B81" s="629"/>
      <c r="C81" s="629"/>
      <c r="D81" s="629"/>
    </row>
    <row r="82" spans="1:4" ht="15.75" customHeight="1" thickBot="1">
      <c r="A82" s="629"/>
      <c r="B82" s="629"/>
      <c r="C82" s="629"/>
      <c r="D82" s="629"/>
    </row>
    <row r="83" spans="1:4" ht="15.75" customHeight="1" thickBot="1">
      <c r="A83" s="629"/>
      <c r="B83" s="629"/>
      <c r="C83" s="629"/>
      <c r="D83" s="629"/>
    </row>
    <row r="84" spans="1:4" ht="15.75" customHeight="1" thickBot="1">
      <c r="A84" s="629"/>
      <c r="B84" s="629"/>
      <c r="C84" s="629"/>
      <c r="D84" s="629"/>
    </row>
    <row r="85" spans="1:4" ht="15.75" customHeight="1" thickBot="1">
      <c r="A85" s="629"/>
      <c r="B85" s="629"/>
      <c r="C85" s="629"/>
      <c r="D85" s="629"/>
    </row>
    <row r="86" spans="1:4" ht="15.75" customHeight="1" thickBot="1">
      <c r="A86" s="629"/>
      <c r="B86" s="629"/>
      <c r="C86" s="629"/>
      <c r="D86" s="629"/>
    </row>
    <row r="87" spans="1:4" ht="15.75" customHeight="1" thickBot="1">
      <c r="A87" s="629"/>
      <c r="B87" s="629"/>
      <c r="C87" s="629"/>
      <c r="D87" s="629"/>
    </row>
    <row r="88" spans="1:4" ht="15.75" customHeight="1" thickBot="1">
      <c r="A88" s="629"/>
      <c r="B88" s="629"/>
      <c r="C88" s="629"/>
      <c r="D88" s="629"/>
    </row>
    <row r="89" spans="1:4" ht="15.75" customHeight="1" thickBot="1">
      <c r="A89" s="629"/>
      <c r="B89" s="629"/>
      <c r="C89" s="629"/>
      <c r="D89" s="629"/>
    </row>
    <row r="90" spans="1:4" ht="15.75" customHeight="1" thickBot="1">
      <c r="A90" s="629"/>
      <c r="B90" s="629"/>
      <c r="C90" s="629"/>
      <c r="D90" s="629"/>
    </row>
    <row r="91" spans="1:4" ht="15.75" customHeight="1" thickBot="1">
      <c r="A91" s="629"/>
      <c r="B91" s="629"/>
      <c r="C91" s="629"/>
      <c r="D91" s="629"/>
    </row>
    <row r="92" spans="1:4" ht="15.75" customHeight="1" thickBot="1">
      <c r="A92" s="629"/>
      <c r="B92" s="629"/>
      <c r="C92" s="629"/>
      <c r="D92" s="629"/>
    </row>
    <row r="93" spans="1:4" ht="15.75" customHeight="1" thickBot="1">
      <c r="A93" s="629"/>
      <c r="B93" s="629"/>
      <c r="C93" s="629"/>
      <c r="D93" s="629"/>
    </row>
    <row r="94" spans="1:4" ht="15.75" customHeight="1" thickBot="1">
      <c r="A94" s="629"/>
      <c r="B94" s="629"/>
      <c r="C94" s="629"/>
      <c r="D94" s="629"/>
    </row>
    <row r="95" spans="1:4" ht="15.75" customHeight="1" thickBot="1">
      <c r="A95" s="629"/>
      <c r="B95" s="629"/>
      <c r="C95" s="629"/>
      <c r="D95" s="629"/>
    </row>
    <row r="96" spans="1:4" ht="15.75" customHeight="1" thickBot="1">
      <c r="A96" s="629"/>
      <c r="B96" s="629"/>
      <c r="C96" s="629"/>
      <c r="D96" s="629"/>
    </row>
    <row r="97" spans="1:4" ht="15.75" customHeight="1" thickBot="1">
      <c r="A97" s="629"/>
      <c r="B97" s="629"/>
      <c r="C97" s="629"/>
      <c r="D97" s="629"/>
    </row>
    <row r="98" spans="1:4" ht="15.75" customHeight="1" thickBot="1">
      <c r="A98" s="629"/>
      <c r="B98" s="629"/>
      <c r="C98" s="629"/>
      <c r="D98" s="629"/>
    </row>
    <row r="99" spans="1:4" ht="15.75" customHeight="1" thickBot="1">
      <c r="A99" s="629"/>
      <c r="B99" s="629"/>
      <c r="C99" s="629"/>
      <c r="D99" s="629"/>
    </row>
    <row r="100" spans="1:4" ht="15.75" customHeight="1" thickBot="1">
      <c r="A100" s="629"/>
      <c r="B100" s="629"/>
      <c r="C100" s="629"/>
      <c r="D100" s="629"/>
    </row>
    <row r="101" spans="1:4" ht="15.75" customHeight="1" thickBot="1">
      <c r="A101" s="629"/>
      <c r="B101" s="629"/>
      <c r="C101" s="629"/>
      <c r="D101" s="629"/>
    </row>
    <row r="102" spans="1:4" ht="15.75" customHeight="1" thickBot="1">
      <c r="A102" s="629"/>
      <c r="B102" s="629"/>
      <c r="C102" s="629"/>
      <c r="D102" s="629"/>
    </row>
    <row r="103" spans="1:4" ht="15.75" customHeight="1" thickBot="1">
      <c r="A103" s="629"/>
      <c r="B103" s="629"/>
      <c r="C103" s="629"/>
      <c r="D103" s="629"/>
    </row>
    <row r="104" spans="1:4" ht="15.75" customHeight="1" thickBot="1">
      <c r="A104" s="629"/>
      <c r="B104" s="629"/>
      <c r="C104" s="629"/>
      <c r="D104" s="629"/>
    </row>
    <row r="105" spans="1:4" ht="15.75" customHeight="1" thickBot="1">
      <c r="A105" s="629"/>
      <c r="B105" s="629"/>
      <c r="C105" s="629"/>
      <c r="D105" s="629"/>
    </row>
    <row r="106" spans="1:4" ht="15.75" customHeight="1" thickBot="1">
      <c r="A106" s="629"/>
      <c r="B106" s="629"/>
      <c r="C106" s="629"/>
      <c r="D106" s="629"/>
    </row>
    <row r="107" spans="1:4" ht="15.75" customHeight="1" thickBot="1">
      <c r="A107" s="629"/>
      <c r="B107" s="629"/>
      <c r="C107" s="629"/>
      <c r="D107" s="629"/>
    </row>
    <row r="108" spans="1:4" ht="15.75" customHeight="1" thickBot="1">
      <c r="A108" s="629"/>
      <c r="B108" s="629"/>
      <c r="C108" s="629"/>
      <c r="D108" s="629"/>
    </row>
    <row r="109" spans="1:4" ht="15.75" customHeight="1" thickBot="1">
      <c r="A109" s="629"/>
      <c r="B109" s="629"/>
      <c r="C109" s="629"/>
      <c r="D109" s="629"/>
    </row>
    <row r="110" spans="1:4" ht="15.75" customHeight="1" thickBot="1">
      <c r="A110" s="629"/>
      <c r="B110" s="629"/>
      <c r="C110" s="629"/>
      <c r="D110" s="629"/>
    </row>
    <row r="111" spans="1:4" ht="15.75" customHeight="1" thickBot="1">
      <c r="A111" s="629"/>
      <c r="B111" s="629"/>
      <c r="C111" s="629"/>
      <c r="D111" s="629"/>
    </row>
    <row r="112" spans="1:4" ht="15.75" customHeight="1" thickBot="1">
      <c r="A112" s="629"/>
      <c r="B112" s="629"/>
      <c r="C112" s="629"/>
      <c r="D112" s="629"/>
    </row>
    <row r="113" spans="1:4" ht="15.75" customHeight="1" thickBot="1">
      <c r="A113" s="629"/>
      <c r="B113" s="629"/>
      <c r="C113" s="629"/>
      <c r="D113" s="629"/>
    </row>
    <row r="114" spans="1:4" ht="15.75" customHeight="1" thickBot="1">
      <c r="A114" s="629"/>
      <c r="B114" s="629"/>
      <c r="C114" s="629"/>
      <c r="D114" s="629"/>
    </row>
    <row r="115" spans="1:4" ht="15.75" customHeight="1" thickBot="1">
      <c r="A115" s="629"/>
      <c r="B115" s="629"/>
      <c r="C115" s="629"/>
      <c r="D115" s="629"/>
    </row>
    <row r="116" spans="1:4" ht="15.75" customHeight="1" thickBot="1">
      <c r="A116" s="629"/>
      <c r="B116" s="629"/>
      <c r="C116" s="629"/>
      <c r="D116" s="629"/>
    </row>
    <row r="117" spans="1:4" ht="15.75" customHeight="1" thickBot="1">
      <c r="A117" s="629"/>
      <c r="B117" s="629"/>
      <c r="C117" s="629"/>
      <c r="D117" s="629"/>
    </row>
    <row r="118" spans="1:4" ht="15.75" customHeight="1" thickBot="1">
      <c r="A118" s="629"/>
      <c r="B118" s="629"/>
      <c r="C118" s="629"/>
      <c r="D118" s="629"/>
    </row>
    <row r="119" spans="1:4" ht="15.75" customHeight="1" thickBot="1">
      <c r="A119" s="629"/>
      <c r="B119" s="629"/>
      <c r="C119" s="629"/>
      <c r="D119" s="629"/>
    </row>
    <row r="120" spans="1:4" ht="15.75" customHeight="1" thickBot="1">
      <c r="A120" s="629"/>
      <c r="B120" s="629"/>
      <c r="C120" s="629"/>
      <c r="D120" s="629"/>
    </row>
    <row r="121" spans="1:4" ht="15.75" customHeight="1" thickBot="1">
      <c r="A121" s="629"/>
      <c r="B121" s="629"/>
      <c r="C121" s="629"/>
      <c r="D121" s="629"/>
    </row>
    <row r="122" spans="1:4" ht="15.75" customHeight="1" thickBot="1">
      <c r="A122" s="629"/>
      <c r="B122" s="629"/>
      <c r="C122" s="629"/>
      <c r="D122" s="629"/>
    </row>
    <row r="123" spans="1:4" ht="15.75" customHeight="1" thickBot="1">
      <c r="A123" s="629"/>
      <c r="B123" s="629"/>
      <c r="C123" s="629"/>
      <c r="D123" s="629"/>
    </row>
    <row r="124" spans="1:4" ht="15.75" customHeight="1" thickBot="1">
      <c r="A124" s="629"/>
      <c r="B124" s="629"/>
      <c r="C124" s="629"/>
      <c r="D124" s="629"/>
    </row>
    <row r="125" spans="1:4" ht="15.75" customHeight="1" thickBot="1">
      <c r="A125" s="629"/>
      <c r="B125" s="629"/>
      <c r="C125" s="629"/>
      <c r="D125" s="629"/>
    </row>
    <row r="126" spans="1:4" ht="15.75" customHeight="1" thickBot="1">
      <c r="A126" s="629"/>
      <c r="B126" s="629"/>
      <c r="C126" s="629"/>
      <c r="D126" s="629"/>
    </row>
    <row r="127" spans="1:4" ht="15.75" customHeight="1" thickBot="1">
      <c r="A127" s="629"/>
      <c r="B127" s="629"/>
      <c r="C127" s="629"/>
      <c r="D127" s="629"/>
    </row>
    <row r="128" spans="1:4" ht="15.75" customHeight="1" thickBot="1">
      <c r="A128" s="629"/>
      <c r="B128" s="629"/>
      <c r="C128" s="629"/>
      <c r="D128" s="629"/>
    </row>
    <row r="129" spans="1:4" ht="15.75" customHeight="1" thickBot="1">
      <c r="A129" s="629"/>
      <c r="B129" s="629"/>
      <c r="C129" s="629"/>
      <c r="D129" s="629"/>
    </row>
    <row r="130" spans="1:4" ht="15.75" customHeight="1" thickBot="1">
      <c r="A130" s="629"/>
      <c r="B130" s="629"/>
      <c r="C130" s="629"/>
      <c r="D130" s="629"/>
    </row>
    <row r="131" spans="1:4" ht="15.75" customHeight="1" thickBot="1">
      <c r="A131" s="629"/>
      <c r="B131" s="629"/>
      <c r="C131" s="629"/>
      <c r="D131" s="629"/>
    </row>
    <row r="132" spans="1:4" ht="15.75" customHeight="1" thickBot="1">
      <c r="A132" s="629"/>
      <c r="B132" s="629"/>
      <c r="C132" s="629"/>
      <c r="D132" s="629"/>
    </row>
    <row r="133" spans="1:4" ht="15.75" customHeight="1" thickBot="1">
      <c r="A133" s="629"/>
      <c r="B133" s="629"/>
      <c r="C133" s="629"/>
      <c r="D133" s="629"/>
    </row>
    <row r="134" spans="1:4" ht="15.75" customHeight="1" thickBot="1">
      <c r="A134" s="629"/>
      <c r="B134" s="629"/>
      <c r="C134" s="629"/>
      <c r="D134" s="629"/>
    </row>
    <row r="135" spans="1:4" ht="15.75" customHeight="1" thickBot="1">
      <c r="A135" s="629"/>
      <c r="B135" s="629"/>
      <c r="C135" s="629"/>
      <c r="D135" s="629"/>
    </row>
    <row r="136" spans="1:4" ht="15.75" customHeight="1" thickBot="1">
      <c r="A136" s="629"/>
      <c r="B136" s="629"/>
      <c r="C136" s="629"/>
      <c r="D136" s="629"/>
    </row>
    <row r="137" spans="1:4" ht="15.75" customHeight="1" thickBot="1">
      <c r="A137" s="629"/>
      <c r="B137" s="629"/>
      <c r="C137" s="629"/>
      <c r="D137" s="629"/>
    </row>
    <row r="138" spans="1:4" ht="15.75" customHeight="1" thickBot="1">
      <c r="A138" s="629"/>
      <c r="B138" s="629"/>
      <c r="C138" s="629"/>
      <c r="D138" s="629"/>
    </row>
    <row r="139" spans="1:4" ht="15.75" customHeight="1" thickBot="1">
      <c r="A139" s="629"/>
      <c r="B139" s="629"/>
      <c r="C139" s="629"/>
      <c r="D139" s="629"/>
    </row>
    <row r="140" spans="1:4" ht="15.75" customHeight="1" thickBot="1">
      <c r="A140" s="629"/>
      <c r="B140" s="629"/>
      <c r="C140" s="629"/>
      <c r="D140" s="629"/>
    </row>
    <row r="141" spans="1:4" ht="15.75" customHeight="1" thickBot="1">
      <c r="A141" s="629"/>
      <c r="B141" s="629"/>
      <c r="C141" s="629"/>
      <c r="D141" s="629"/>
    </row>
    <row r="142" spans="1:4" ht="15.75" customHeight="1" thickBot="1">
      <c r="A142" s="629"/>
      <c r="B142" s="629"/>
      <c r="C142" s="629"/>
      <c r="D142" s="629"/>
    </row>
    <row r="143" spans="1:4" ht="15.75" customHeight="1" thickBot="1">
      <c r="A143" s="629"/>
      <c r="B143" s="629"/>
      <c r="C143" s="629"/>
      <c r="D143" s="629"/>
    </row>
    <row r="144" spans="1:4" ht="15.75" customHeight="1" thickBot="1">
      <c r="A144" s="629"/>
      <c r="B144" s="629"/>
      <c r="C144" s="629"/>
      <c r="D144" s="629"/>
    </row>
    <row r="145" spans="1:4" ht="15.75" customHeight="1" thickBot="1">
      <c r="A145" s="629"/>
      <c r="B145" s="629"/>
      <c r="C145" s="629"/>
      <c r="D145" s="629"/>
    </row>
    <row r="146" spans="1:4" ht="15.75" customHeight="1" thickBot="1">
      <c r="A146" s="629"/>
      <c r="B146" s="629"/>
      <c r="C146" s="629"/>
      <c r="D146" s="629"/>
    </row>
    <row r="147" spans="1:4" ht="15.75" customHeight="1" thickBot="1">
      <c r="A147" s="629"/>
      <c r="B147" s="629"/>
      <c r="C147" s="629"/>
      <c r="D147" s="629"/>
    </row>
    <row r="148" spans="1:4" ht="15.75" customHeight="1" thickBot="1">
      <c r="A148" s="629"/>
      <c r="B148" s="629"/>
      <c r="C148" s="629"/>
      <c r="D148" s="629"/>
    </row>
    <row r="149" spans="1:4" ht="15.75" customHeight="1" thickBot="1">
      <c r="A149" s="629"/>
      <c r="B149" s="629"/>
      <c r="C149" s="629"/>
      <c r="D149" s="629"/>
    </row>
    <row r="150" spans="1:4" ht="15.75" customHeight="1" thickBot="1">
      <c r="A150" s="629"/>
      <c r="B150" s="629"/>
      <c r="C150" s="629"/>
      <c r="D150" s="629"/>
    </row>
    <row r="151" spans="1:4" ht="15.75" customHeight="1" thickBot="1">
      <c r="A151" s="629"/>
      <c r="B151" s="629"/>
      <c r="C151" s="629"/>
      <c r="D151" s="629"/>
    </row>
    <row r="152" spans="1:4" ht="15.75" customHeight="1" thickBot="1">
      <c r="A152" s="629"/>
      <c r="B152" s="629"/>
      <c r="C152" s="629"/>
      <c r="D152" s="629"/>
    </row>
    <row r="153" spans="1:4" ht="15.75" customHeight="1" thickBot="1">
      <c r="A153" s="629"/>
      <c r="B153" s="629"/>
      <c r="C153" s="629"/>
      <c r="D153" s="629"/>
    </row>
    <row r="154" spans="1:4" ht="15.75" customHeight="1" thickBot="1">
      <c r="A154" s="629"/>
      <c r="B154" s="629"/>
      <c r="C154" s="629"/>
      <c r="D154" s="629"/>
    </row>
    <row r="155" spans="1:4" ht="15.75" customHeight="1" thickBot="1">
      <c r="A155" s="629"/>
      <c r="B155" s="629"/>
      <c r="C155" s="629"/>
      <c r="D155" s="629"/>
    </row>
    <row r="156" spans="1:4" ht="15.75" customHeight="1" thickBot="1">
      <c r="A156" s="629"/>
      <c r="B156" s="629"/>
      <c r="C156" s="629"/>
      <c r="D156" s="629"/>
    </row>
    <row r="157" spans="1:4" ht="15.75" customHeight="1" thickBot="1">
      <c r="A157" s="629"/>
      <c r="B157" s="629"/>
      <c r="C157" s="629"/>
      <c r="D157" s="629"/>
    </row>
    <row r="158" spans="1:4" ht="15.75" customHeight="1" thickBot="1">
      <c r="A158" s="629"/>
      <c r="B158" s="629"/>
      <c r="C158" s="629"/>
      <c r="D158" s="629"/>
    </row>
    <row r="159" spans="1:4" ht="15.75" customHeight="1" thickBot="1">
      <c r="A159" s="629"/>
      <c r="B159" s="629"/>
      <c r="C159" s="629"/>
      <c r="D159" s="629"/>
    </row>
    <row r="160" spans="1:4" ht="15.75" customHeight="1" thickBot="1">
      <c r="A160" s="629"/>
      <c r="B160" s="629"/>
      <c r="C160" s="629"/>
      <c r="D160" s="629"/>
    </row>
    <row r="161" spans="1:4" ht="15.75" customHeight="1" thickBot="1">
      <c r="A161" s="629"/>
      <c r="B161" s="629"/>
      <c r="C161" s="629"/>
      <c r="D161" s="629"/>
    </row>
    <row r="162" spans="1:4" ht="15.75" customHeight="1" thickBot="1">
      <c r="A162" s="629"/>
      <c r="B162" s="629"/>
      <c r="C162" s="629"/>
      <c r="D162" s="629"/>
    </row>
    <row r="163" spans="1:4" ht="15.75" customHeight="1" thickBot="1">
      <c r="A163" s="629"/>
      <c r="B163" s="629"/>
      <c r="C163" s="629"/>
      <c r="D163" s="629"/>
    </row>
    <row r="164" spans="1:4" ht="15.75" customHeight="1" thickBot="1">
      <c r="A164" s="629"/>
      <c r="B164" s="629"/>
      <c r="C164" s="629"/>
      <c r="D164" s="629"/>
    </row>
    <row r="165" spans="1:4" ht="15.75" customHeight="1" thickBot="1">
      <c r="A165" s="629"/>
      <c r="B165" s="629"/>
      <c r="C165" s="629"/>
      <c r="D165" s="629"/>
    </row>
    <row r="166" spans="1:4" ht="15.75" customHeight="1" thickBot="1">
      <c r="A166" s="629"/>
      <c r="B166" s="629"/>
      <c r="C166" s="629"/>
      <c r="D166" s="629"/>
    </row>
    <row r="167" spans="1:4" ht="15.75" customHeight="1" thickBot="1">
      <c r="A167" s="629"/>
      <c r="B167" s="629"/>
      <c r="C167" s="629"/>
      <c r="D167" s="629"/>
    </row>
    <row r="168" spans="1:4" ht="15.75" customHeight="1" thickBot="1">
      <c r="A168" s="629"/>
      <c r="B168" s="629"/>
      <c r="C168" s="629"/>
      <c r="D168" s="629"/>
    </row>
    <row r="169" spans="1:4" ht="15.75" customHeight="1" thickBot="1">
      <c r="A169" s="629"/>
      <c r="B169" s="629"/>
      <c r="C169" s="629"/>
      <c r="D169" s="629"/>
    </row>
    <row r="170" spans="1:4" ht="15.75" customHeight="1" thickBot="1">
      <c r="A170" s="629"/>
      <c r="B170" s="629"/>
      <c r="C170" s="629"/>
      <c r="D170" s="629"/>
    </row>
    <row r="171" spans="1:4" ht="15.75" customHeight="1" thickBot="1">
      <c r="A171" s="629"/>
      <c r="B171" s="629"/>
      <c r="C171" s="629"/>
      <c r="D171" s="629"/>
    </row>
    <row r="172" spans="1:4" ht="15.75" customHeight="1" thickBot="1">
      <c r="A172" s="629"/>
      <c r="B172" s="629"/>
      <c r="C172" s="629"/>
      <c r="D172" s="629"/>
    </row>
    <row r="173" spans="1:4" ht="15.75" customHeight="1" thickBot="1">
      <c r="A173" s="629"/>
      <c r="B173" s="629"/>
      <c r="C173" s="629"/>
      <c r="D173" s="629"/>
    </row>
    <row r="174" spans="1:4" ht="15.75" customHeight="1" thickBot="1">
      <c r="A174" s="629"/>
      <c r="B174" s="629"/>
      <c r="C174" s="629"/>
      <c r="D174" s="629"/>
    </row>
    <row r="175" spans="1:4" ht="15.75" customHeight="1" thickBot="1">
      <c r="A175" s="629"/>
      <c r="B175" s="629"/>
      <c r="C175" s="629"/>
      <c r="D175" s="629"/>
    </row>
    <row r="176" spans="1:4" ht="15.75" customHeight="1" thickBot="1">
      <c r="A176" s="629"/>
      <c r="B176" s="629"/>
      <c r="C176" s="629"/>
      <c r="D176" s="629"/>
    </row>
    <row r="177" spans="1:4" ht="15.75" customHeight="1" thickBot="1">
      <c r="A177" s="629"/>
      <c r="B177" s="629"/>
      <c r="C177" s="629"/>
      <c r="D177" s="629"/>
    </row>
    <row r="178" spans="1:4" ht="15.75" customHeight="1" thickBot="1">
      <c r="A178" s="629"/>
      <c r="B178" s="629"/>
      <c r="C178" s="629"/>
      <c r="D178" s="629"/>
    </row>
    <row r="179" spans="1:4" ht="15.75" customHeight="1" thickBot="1">
      <c r="A179" s="629"/>
      <c r="B179" s="629"/>
      <c r="C179" s="629"/>
      <c r="D179" s="629"/>
    </row>
    <row r="180" spans="1:4" ht="15.75" customHeight="1" thickBot="1">
      <c r="A180" s="629"/>
      <c r="B180" s="629"/>
      <c r="C180" s="629"/>
      <c r="D180" s="629"/>
    </row>
    <row r="181" spans="1:4" ht="15.75" customHeight="1" thickBot="1">
      <c r="A181" s="629"/>
      <c r="B181" s="629"/>
      <c r="C181" s="629"/>
      <c r="D181" s="629"/>
    </row>
    <row r="182" spans="1:4" ht="15.75" customHeight="1" thickBot="1">
      <c r="A182" s="629"/>
      <c r="B182" s="629"/>
      <c r="C182" s="629"/>
      <c r="D182" s="629"/>
    </row>
    <row r="183" spans="1:4" ht="15.75" customHeight="1" thickBot="1">
      <c r="A183" s="629"/>
      <c r="B183" s="629"/>
      <c r="C183" s="629"/>
      <c r="D183" s="629"/>
    </row>
    <row r="184" spans="1:4" ht="15.75" customHeight="1" thickBot="1">
      <c r="A184" s="629"/>
      <c r="B184" s="629"/>
      <c r="C184" s="629"/>
      <c r="D184" s="629"/>
    </row>
    <row r="185" spans="1:4" ht="15.75" customHeight="1" thickBot="1">
      <c r="A185" s="629"/>
      <c r="B185" s="629"/>
      <c r="C185" s="629"/>
      <c r="D185" s="629"/>
    </row>
    <row r="186" spans="1:4" ht="15.75" customHeight="1" thickBot="1">
      <c r="A186" s="629"/>
      <c r="B186" s="629"/>
      <c r="C186" s="629"/>
      <c r="D186" s="629"/>
    </row>
    <row r="187" spans="1:4" ht="15.75" customHeight="1" thickBot="1">
      <c r="A187" s="629"/>
      <c r="B187" s="629"/>
      <c r="C187" s="629"/>
      <c r="D187" s="629"/>
    </row>
    <row r="188" spans="1:4" ht="15.75" customHeight="1" thickBot="1">
      <c r="A188" s="629"/>
      <c r="B188" s="629"/>
      <c r="C188" s="629"/>
      <c r="D188" s="629"/>
    </row>
    <row r="189" spans="1:4" ht="15.75" customHeight="1" thickBot="1">
      <c r="A189" s="629"/>
      <c r="B189" s="629"/>
      <c r="C189" s="629"/>
      <c r="D189" s="629"/>
    </row>
    <row r="190" spans="1:4" ht="15.75" customHeight="1" thickBot="1">
      <c r="A190" s="629"/>
      <c r="B190" s="629"/>
      <c r="C190" s="629"/>
      <c r="D190" s="629"/>
    </row>
    <row r="191" spans="1:4" ht="15.75" customHeight="1" thickBot="1">
      <c r="A191" s="629"/>
      <c r="B191" s="629"/>
      <c r="C191" s="629"/>
      <c r="D191" s="629"/>
    </row>
    <row r="192" spans="1:4" ht="15.75" customHeight="1" thickBot="1">
      <c r="A192" s="629"/>
      <c r="B192" s="629"/>
      <c r="C192" s="629"/>
      <c r="D192" s="629"/>
    </row>
    <row r="193" spans="1:4" ht="15.75" customHeight="1" thickBot="1">
      <c r="A193" s="629"/>
      <c r="B193" s="629"/>
      <c r="C193" s="629"/>
      <c r="D193" s="629"/>
    </row>
    <row r="194" spans="1:4" ht="15.75" customHeight="1" thickBot="1">
      <c r="A194" s="629"/>
      <c r="B194" s="629"/>
      <c r="C194" s="629"/>
      <c r="D194" s="629"/>
    </row>
    <row r="195" spans="1:4" ht="15.75" customHeight="1" thickBot="1">
      <c r="A195" s="629"/>
      <c r="B195" s="629"/>
      <c r="C195" s="629"/>
      <c r="D195" s="629"/>
    </row>
    <row r="196" spans="1:4" ht="15.75" customHeight="1" thickBot="1">
      <c r="A196" s="629"/>
      <c r="B196" s="629"/>
      <c r="C196" s="629"/>
      <c r="D196" s="629"/>
    </row>
    <row r="197" spans="1:4" ht="15.75" customHeight="1" thickBot="1">
      <c r="A197" s="629"/>
      <c r="B197" s="629"/>
      <c r="C197" s="629"/>
      <c r="D197" s="629"/>
    </row>
    <row r="198" spans="1:4" ht="15.75" customHeight="1" thickBot="1">
      <c r="A198" s="629"/>
      <c r="B198" s="629"/>
      <c r="C198" s="629"/>
      <c r="D198" s="629"/>
    </row>
    <row r="199" spans="1:4" ht="15.75" customHeight="1" thickBot="1">
      <c r="A199" s="629"/>
      <c r="B199" s="629"/>
      <c r="C199" s="629"/>
      <c r="D199" s="629"/>
    </row>
    <row r="200" spans="1:4" ht="15.75" customHeight="1" thickBot="1">
      <c r="A200" s="629"/>
      <c r="B200" s="629"/>
      <c r="C200" s="629"/>
      <c r="D200" s="629"/>
    </row>
    <row r="201" spans="1:4" ht="15.75" customHeight="1" thickBot="1">
      <c r="A201" s="629"/>
      <c r="B201" s="629"/>
      <c r="C201" s="629"/>
      <c r="D201" s="629"/>
    </row>
    <row r="202" spans="1:4" ht="15.75" customHeight="1" thickBot="1">
      <c r="A202" s="629"/>
      <c r="B202" s="629"/>
      <c r="C202" s="629"/>
      <c r="D202" s="629"/>
    </row>
    <row r="203" spans="1:4" ht="15.75" customHeight="1" thickBot="1">
      <c r="A203" s="629"/>
      <c r="B203" s="629"/>
      <c r="C203" s="629"/>
      <c r="D203" s="629"/>
    </row>
    <row r="204" spans="1:4" ht="15.75" customHeight="1" thickBot="1">
      <c r="A204" s="629"/>
      <c r="B204" s="629"/>
      <c r="C204" s="629"/>
      <c r="D204" s="629"/>
    </row>
    <row r="205" spans="1:4" ht="15.75" customHeight="1" thickBot="1">
      <c r="A205" s="629"/>
      <c r="B205" s="629"/>
      <c r="C205" s="629"/>
      <c r="D205" s="629"/>
    </row>
    <row r="206" spans="1:4" ht="15.75" customHeight="1" thickBot="1">
      <c r="A206" s="629"/>
      <c r="B206" s="629"/>
      <c r="C206" s="629"/>
      <c r="D206" s="629"/>
    </row>
    <row r="207" spans="1:4" ht="15.75" customHeight="1" thickBot="1">
      <c r="A207" s="629"/>
      <c r="B207" s="629"/>
      <c r="C207" s="629"/>
      <c r="D207" s="629"/>
    </row>
    <row r="208" spans="1:4" ht="15.75" customHeight="1" thickBot="1">
      <c r="A208" s="629"/>
      <c r="B208" s="629"/>
      <c r="C208" s="629"/>
      <c r="D208" s="629"/>
    </row>
    <row r="209" spans="1:4" ht="15.75" customHeight="1" thickBot="1">
      <c r="A209" s="629"/>
      <c r="B209" s="629"/>
      <c r="C209" s="629"/>
      <c r="D209" s="629"/>
    </row>
    <row r="210" spans="1:4" ht="15.75" customHeight="1" thickBot="1">
      <c r="A210" s="629"/>
      <c r="B210" s="629"/>
      <c r="C210" s="629"/>
      <c r="D210" s="629"/>
    </row>
    <row r="211" spans="1:4" ht="15.75" customHeight="1" thickBot="1">
      <c r="A211" s="629"/>
      <c r="B211" s="629"/>
      <c r="C211" s="629"/>
      <c r="D211" s="629"/>
    </row>
    <row r="212" spans="1:4" ht="15.75" customHeight="1" thickBot="1">
      <c r="A212" s="629"/>
      <c r="B212" s="629"/>
      <c r="C212" s="629"/>
      <c r="D212" s="629"/>
    </row>
    <row r="213" spans="1:4" ht="15.75" customHeight="1" thickBot="1">
      <c r="A213" s="629"/>
      <c r="B213" s="629"/>
      <c r="C213" s="629"/>
      <c r="D213" s="629"/>
    </row>
    <row r="214" spans="1:4" ht="15.75" customHeight="1" thickBot="1">
      <c r="A214" s="629"/>
      <c r="B214" s="629"/>
      <c r="C214" s="629"/>
      <c r="D214" s="629"/>
    </row>
    <row r="215" spans="1:4" ht="15.75" customHeight="1" thickBot="1">
      <c r="A215" s="629"/>
      <c r="B215" s="629"/>
      <c r="C215" s="629"/>
      <c r="D215" s="629"/>
    </row>
    <row r="216" spans="1:4" ht="15.75" customHeight="1" thickBot="1">
      <c r="A216" s="629"/>
      <c r="B216" s="629"/>
      <c r="C216" s="629"/>
      <c r="D216" s="629"/>
    </row>
    <row r="217" spans="1:4" ht="15.75" customHeight="1" thickBot="1">
      <c r="A217" s="629"/>
      <c r="B217" s="629"/>
      <c r="C217" s="629"/>
      <c r="D217" s="629"/>
    </row>
    <row r="218" spans="1:4" ht="15.75" customHeight="1" thickBot="1">
      <c r="A218" s="629"/>
      <c r="B218" s="629"/>
      <c r="C218" s="629"/>
      <c r="D218" s="629"/>
    </row>
    <row r="219" spans="1:4" ht="15.75" customHeight="1" thickBot="1">
      <c r="A219" s="629"/>
      <c r="B219" s="629"/>
      <c r="C219" s="629"/>
      <c r="D219" s="629"/>
    </row>
    <row r="220" spans="1:4" ht="15.75" customHeight="1" thickBot="1">
      <c r="A220" s="629"/>
      <c r="B220" s="629"/>
      <c r="C220" s="629"/>
      <c r="D220" s="629"/>
    </row>
    <row r="221" spans="1:4" ht="15.75" customHeight="1" thickBot="1">
      <c r="A221" s="629"/>
      <c r="B221" s="629"/>
      <c r="C221" s="629"/>
      <c r="D221" s="629"/>
    </row>
    <row r="222" spans="1:4" ht="15.75" customHeight="1" thickBot="1">
      <c r="A222" s="629"/>
      <c r="B222" s="629"/>
      <c r="C222" s="629"/>
      <c r="D222" s="629"/>
    </row>
    <row r="223" spans="1:4" ht="15.75" customHeight="1" thickBot="1">
      <c r="A223" s="629"/>
      <c r="B223" s="629"/>
      <c r="C223" s="629"/>
      <c r="D223" s="629"/>
    </row>
    <row r="224" spans="1:4" ht="15.75" customHeight="1" thickBot="1">
      <c r="A224" s="629"/>
      <c r="B224" s="629"/>
      <c r="C224" s="629"/>
      <c r="D224" s="629"/>
    </row>
    <row r="225" spans="1:4" ht="15.75" customHeight="1" thickBot="1">
      <c r="A225" s="629"/>
      <c r="B225" s="629"/>
      <c r="C225" s="629"/>
      <c r="D225" s="629"/>
    </row>
    <row r="226" spans="1:4" ht="15.75" customHeight="1" thickBot="1">
      <c r="A226" s="629"/>
      <c r="B226" s="629"/>
      <c r="C226" s="629"/>
      <c r="D226" s="629"/>
    </row>
    <row r="227" spans="1:4" ht="15.75" customHeight="1" thickBot="1">
      <c r="A227" s="629"/>
      <c r="B227" s="629"/>
      <c r="C227" s="629"/>
      <c r="D227" s="629"/>
    </row>
    <row r="228" spans="1:4" ht="15.75" customHeight="1" thickBot="1">
      <c r="A228" s="629"/>
      <c r="B228" s="629"/>
      <c r="C228" s="629"/>
      <c r="D228" s="629"/>
    </row>
    <row r="229" spans="1:4" ht="15.75" customHeight="1" thickBot="1">
      <c r="A229" s="629"/>
      <c r="B229" s="629"/>
      <c r="C229" s="629"/>
      <c r="D229" s="629"/>
    </row>
    <row r="230" spans="1:4" ht="15.75" customHeight="1" thickBot="1">
      <c r="A230" s="629"/>
      <c r="B230" s="629"/>
      <c r="C230" s="629"/>
      <c r="D230" s="629"/>
    </row>
    <row r="231" spans="1:4" ht="15.75" customHeight="1" thickBot="1">
      <c r="A231" s="629"/>
      <c r="B231" s="629"/>
      <c r="C231" s="629"/>
      <c r="D231" s="629"/>
    </row>
    <row r="232" spans="1:4" ht="15.75" customHeight="1" thickBot="1">
      <c r="A232" s="629"/>
      <c r="B232" s="629"/>
      <c r="C232" s="629"/>
      <c r="D232" s="629"/>
    </row>
    <row r="233" spans="1:4" ht="15.75" customHeight="1" thickBot="1">
      <c r="A233" s="629"/>
      <c r="B233" s="629"/>
      <c r="C233" s="629"/>
      <c r="D233" s="629"/>
    </row>
    <row r="234" spans="1:4" ht="15.75" customHeight="1" thickBot="1">
      <c r="A234" s="629"/>
      <c r="B234" s="629"/>
      <c r="C234" s="629"/>
      <c r="D234" s="629"/>
    </row>
    <row r="235" spans="1:4" ht="15.75" customHeight="1" thickBot="1">
      <c r="A235" s="629"/>
      <c r="B235" s="629"/>
      <c r="C235" s="629"/>
      <c r="D235" s="629"/>
    </row>
    <row r="236" spans="1:4" ht="15.75" customHeight="1" thickBot="1">
      <c r="A236" s="629"/>
      <c r="B236" s="629"/>
      <c r="C236" s="629"/>
      <c r="D236" s="629"/>
    </row>
    <row r="237" spans="1:4" ht="15.75" customHeight="1" thickBot="1">
      <c r="A237" s="629"/>
      <c r="B237" s="629"/>
      <c r="C237" s="629"/>
      <c r="D237" s="629"/>
    </row>
    <row r="238" spans="1:4" ht="15.75" customHeight="1" thickBot="1">
      <c r="A238" s="629"/>
      <c r="B238" s="629"/>
      <c r="C238" s="629"/>
      <c r="D238" s="629"/>
    </row>
    <row r="239" spans="1:4" ht="15.75" customHeight="1" thickBot="1">
      <c r="A239" s="629"/>
      <c r="B239" s="629"/>
      <c r="C239" s="629"/>
      <c r="D239" s="629"/>
    </row>
    <row r="240" spans="1:4" ht="15.75" customHeight="1" thickBot="1">
      <c r="A240" s="629"/>
      <c r="B240" s="629"/>
      <c r="C240" s="629"/>
      <c r="D240" s="629"/>
    </row>
    <row r="241" spans="1:4" ht="15.75" customHeight="1" thickBot="1">
      <c r="A241" s="629"/>
      <c r="B241" s="629"/>
      <c r="C241" s="629"/>
      <c r="D241" s="629"/>
    </row>
    <row r="242" spans="1:4" ht="15.75" customHeight="1" thickBot="1">
      <c r="A242" s="629"/>
      <c r="B242" s="629"/>
      <c r="C242" s="629"/>
      <c r="D242" s="629"/>
    </row>
    <row r="243" spans="1:4" ht="15.75" customHeight="1" thickBot="1">
      <c r="A243" s="629"/>
      <c r="B243" s="629"/>
      <c r="C243" s="629"/>
      <c r="D243" s="629"/>
    </row>
    <row r="244" spans="1:4" ht="15.75" customHeight="1" thickBot="1">
      <c r="A244" s="629"/>
      <c r="B244" s="629"/>
      <c r="C244" s="629"/>
      <c r="D244" s="629"/>
    </row>
    <row r="245" spans="1:4" ht="15.75" customHeight="1" thickBot="1">
      <c r="A245" s="629"/>
      <c r="B245" s="629"/>
      <c r="C245" s="629"/>
      <c r="D245" s="629"/>
    </row>
    <row r="246" spans="1:4" ht="15.75" customHeight="1" thickBot="1">
      <c r="A246" s="629"/>
      <c r="B246" s="629"/>
      <c r="C246" s="629"/>
      <c r="D246" s="629"/>
    </row>
    <row r="247" spans="1:4" ht="15.75" customHeight="1" thickBot="1">
      <c r="A247" s="629"/>
      <c r="B247" s="629"/>
      <c r="C247" s="629"/>
      <c r="D247" s="629"/>
    </row>
    <row r="248" spans="1:4" ht="15.75" customHeight="1" thickBot="1">
      <c r="A248" s="629"/>
      <c r="B248" s="629"/>
      <c r="C248" s="629"/>
      <c r="D248" s="629"/>
    </row>
    <row r="249" spans="1:4" ht="15.75" customHeight="1" thickBot="1">
      <c r="A249" s="629"/>
      <c r="B249" s="629"/>
      <c r="C249" s="629"/>
      <c r="D249" s="629"/>
    </row>
    <row r="250" spans="1:4" ht="15.75" customHeight="1" thickBot="1">
      <c r="A250" s="629"/>
      <c r="B250" s="629"/>
      <c r="C250" s="629"/>
      <c r="D250" s="629"/>
    </row>
    <row r="251" spans="1:4" ht="15.75" customHeight="1" thickBot="1">
      <c r="A251" s="629"/>
      <c r="B251" s="629"/>
      <c r="C251" s="629"/>
      <c r="D251" s="629"/>
    </row>
    <row r="252" spans="1:4" ht="15.75" customHeight="1" thickBot="1">
      <c r="A252" s="629"/>
      <c r="B252" s="629"/>
      <c r="C252" s="629"/>
      <c r="D252" s="629"/>
    </row>
    <row r="253" spans="1:4" ht="15.75" customHeight="1" thickBot="1">
      <c r="A253" s="629"/>
      <c r="B253" s="629"/>
      <c r="C253" s="629"/>
      <c r="D253" s="629"/>
    </row>
    <row r="254" spans="1:4" ht="15.75" customHeight="1" thickBot="1">
      <c r="A254" s="629"/>
      <c r="B254" s="629"/>
      <c r="C254" s="629"/>
      <c r="D254" s="629"/>
    </row>
    <row r="255" spans="1:4" ht="15.75" customHeight="1" thickBot="1">
      <c r="A255" s="629"/>
      <c r="B255" s="629"/>
      <c r="C255" s="629"/>
      <c r="D255" s="629"/>
    </row>
    <row r="256" spans="1:4" ht="15.75" customHeight="1" thickBot="1">
      <c r="A256" s="629"/>
      <c r="B256" s="629"/>
      <c r="C256" s="629"/>
      <c r="D256" s="629"/>
    </row>
    <row r="257" spans="1:4" ht="15.75" customHeight="1" thickBot="1">
      <c r="A257" s="629"/>
      <c r="B257" s="629"/>
      <c r="C257" s="629"/>
      <c r="D257" s="629"/>
    </row>
    <row r="258" spans="1:4" ht="15.75" customHeight="1" thickBot="1">
      <c r="A258" s="629"/>
      <c r="B258" s="629"/>
      <c r="C258" s="629"/>
      <c r="D258" s="629"/>
    </row>
    <row r="259" spans="1:4" ht="15.75" customHeight="1" thickBot="1">
      <c r="A259" s="629"/>
      <c r="B259" s="629"/>
      <c r="C259" s="629"/>
      <c r="D259" s="629"/>
    </row>
    <row r="260" spans="1:4" ht="15.75" customHeight="1" thickBot="1">
      <c r="A260" s="629"/>
      <c r="B260" s="629"/>
      <c r="C260" s="629"/>
      <c r="D260" s="629"/>
    </row>
    <row r="261" spans="1:4" ht="15.75" customHeight="1" thickBot="1">
      <c r="A261" s="629"/>
      <c r="B261" s="629"/>
      <c r="C261" s="629"/>
      <c r="D261" s="629"/>
    </row>
    <row r="262" spans="1:4" ht="15.75" customHeight="1" thickBot="1">
      <c r="A262" s="629"/>
      <c r="B262" s="629"/>
      <c r="C262" s="629"/>
      <c r="D262" s="629"/>
    </row>
    <row r="263" spans="1:4" ht="15.75" customHeight="1" thickBot="1">
      <c r="A263" s="629"/>
      <c r="B263" s="629"/>
      <c r="C263" s="629"/>
      <c r="D263" s="629"/>
    </row>
    <row r="264" spans="1:4" ht="15.75" customHeight="1" thickBot="1">
      <c r="A264" s="629"/>
      <c r="B264" s="629"/>
      <c r="C264" s="629"/>
      <c r="D264" s="629"/>
    </row>
    <row r="265" spans="1:4" ht="15.75" customHeight="1" thickBot="1">
      <c r="A265" s="629"/>
      <c r="B265" s="629"/>
      <c r="C265" s="629"/>
      <c r="D265" s="629"/>
    </row>
    <row r="266" spans="1:4" ht="15.75" customHeight="1" thickBot="1">
      <c r="A266" s="629"/>
      <c r="B266" s="629"/>
      <c r="C266" s="629"/>
      <c r="D266" s="629"/>
    </row>
    <row r="267" spans="1:4" ht="15.75" customHeight="1" thickBot="1">
      <c r="A267" s="629"/>
      <c r="B267" s="629"/>
      <c r="C267" s="629"/>
      <c r="D267" s="629"/>
    </row>
    <row r="268" spans="1:4" ht="15.75" customHeight="1" thickBot="1">
      <c r="A268" s="629"/>
      <c r="B268" s="629"/>
      <c r="C268" s="629"/>
      <c r="D268" s="629"/>
    </row>
    <row r="269" spans="1:4" ht="15.75" customHeight="1" thickBot="1">
      <c r="A269" s="629"/>
      <c r="B269" s="629"/>
      <c r="C269" s="629"/>
      <c r="D269" s="629"/>
    </row>
    <row r="270" spans="1:4" ht="15.75" customHeight="1" thickBot="1">
      <c r="A270" s="629"/>
      <c r="B270" s="629"/>
      <c r="C270" s="629"/>
      <c r="D270" s="629"/>
    </row>
    <row r="271" spans="1:4" ht="15.75" customHeight="1" thickBot="1">
      <c r="A271" s="629"/>
      <c r="B271" s="629"/>
      <c r="C271" s="629"/>
      <c r="D271" s="629"/>
    </row>
    <row r="272" spans="1:4" ht="15.75" customHeight="1" thickBot="1">
      <c r="A272" s="629"/>
      <c r="B272" s="629"/>
      <c r="C272" s="629"/>
      <c r="D272" s="629"/>
    </row>
    <row r="273" spans="1:4" ht="15.75" customHeight="1" thickBot="1">
      <c r="A273" s="629"/>
      <c r="B273" s="629"/>
      <c r="C273" s="629"/>
      <c r="D273" s="629"/>
    </row>
    <row r="274" spans="1:4" ht="15.75" customHeight="1" thickBot="1">
      <c r="A274" s="629"/>
      <c r="B274" s="629"/>
      <c r="C274" s="629"/>
      <c r="D274" s="629"/>
    </row>
    <row r="275" spans="1:4" ht="15.75" customHeight="1" thickBot="1">
      <c r="A275" s="629"/>
      <c r="B275" s="629"/>
      <c r="C275" s="629"/>
      <c r="D275" s="629"/>
    </row>
    <row r="276" spans="1:4" ht="15.75" customHeight="1" thickBot="1">
      <c r="A276" s="629"/>
      <c r="B276" s="629"/>
      <c r="C276" s="629"/>
      <c r="D276" s="629"/>
    </row>
    <row r="277" spans="1:4" ht="15.75" customHeight="1" thickBot="1">
      <c r="A277" s="629"/>
      <c r="B277" s="629"/>
      <c r="C277" s="629"/>
      <c r="D277" s="629"/>
    </row>
    <row r="278" spans="1:4" ht="15.75" customHeight="1" thickBot="1">
      <c r="A278" s="629"/>
      <c r="B278" s="629"/>
      <c r="C278" s="629"/>
      <c r="D278" s="629"/>
    </row>
    <row r="279" spans="1:4" ht="15.75" customHeight="1" thickBot="1">
      <c r="A279" s="629"/>
      <c r="B279" s="629"/>
      <c r="C279" s="629"/>
      <c r="D279" s="629"/>
    </row>
    <row r="280" spans="1:4" ht="15.75" customHeight="1" thickBot="1">
      <c r="A280" s="629"/>
      <c r="B280" s="629"/>
      <c r="C280" s="629"/>
      <c r="D280" s="629"/>
    </row>
    <row r="281" spans="1:4" ht="15.75" customHeight="1" thickBot="1">
      <c r="A281" s="629"/>
      <c r="B281" s="629"/>
      <c r="C281" s="629"/>
      <c r="D281" s="629"/>
    </row>
    <row r="282" spans="1:4" ht="15.75" customHeight="1" thickBot="1">
      <c r="A282" s="629"/>
      <c r="B282" s="629"/>
      <c r="C282" s="629"/>
      <c r="D282" s="629"/>
    </row>
    <row r="283" spans="1:4" ht="15.75" customHeight="1" thickBot="1">
      <c r="A283" s="629"/>
      <c r="B283" s="629"/>
      <c r="C283" s="629"/>
      <c r="D283" s="629"/>
    </row>
    <row r="284" spans="1:4" ht="15.75" customHeight="1" thickBot="1">
      <c r="A284" s="629"/>
      <c r="B284" s="629"/>
      <c r="C284" s="629"/>
      <c r="D284" s="629"/>
    </row>
    <row r="285" spans="1:4" ht="15.75" customHeight="1" thickBot="1">
      <c r="A285" s="629"/>
      <c r="B285" s="629"/>
      <c r="C285" s="629"/>
      <c r="D285" s="629"/>
    </row>
    <row r="286" spans="1:4" ht="15.75" customHeight="1" thickBot="1">
      <c r="A286" s="629"/>
      <c r="B286" s="629"/>
      <c r="C286" s="629"/>
      <c r="D286" s="629"/>
    </row>
    <row r="287" spans="1:4" ht="15.75" customHeight="1" thickBot="1">
      <c r="A287" s="629"/>
      <c r="B287" s="629"/>
      <c r="C287" s="629"/>
      <c r="D287" s="629"/>
    </row>
    <row r="288" spans="1:4" ht="15.75" customHeight="1" thickBot="1">
      <c r="A288" s="629"/>
      <c r="B288" s="629"/>
      <c r="C288" s="629"/>
      <c r="D288" s="629"/>
    </row>
    <row r="289" spans="1:4" ht="15.75" customHeight="1" thickBot="1">
      <c r="A289" s="629"/>
      <c r="B289" s="629"/>
      <c r="C289" s="629"/>
      <c r="D289" s="629"/>
    </row>
    <row r="290" spans="1:4" ht="15.75" customHeight="1" thickBot="1">
      <c r="A290" s="629"/>
      <c r="B290" s="629"/>
      <c r="C290" s="629"/>
      <c r="D290" s="629"/>
    </row>
    <row r="291" spans="1:4" ht="15.75" customHeight="1" thickBot="1">
      <c r="A291" s="629"/>
      <c r="B291" s="629"/>
      <c r="C291" s="629"/>
      <c r="D291" s="629"/>
    </row>
    <row r="292" spans="1:4" ht="15.75" customHeight="1" thickBot="1">
      <c r="A292" s="629"/>
      <c r="B292" s="629"/>
      <c r="C292" s="629"/>
      <c r="D292" s="629"/>
    </row>
    <row r="293" spans="1:4" ht="15.75" customHeight="1" thickBot="1">
      <c r="A293" s="629"/>
      <c r="B293" s="629"/>
      <c r="C293" s="629"/>
      <c r="D293" s="629"/>
    </row>
    <row r="294" spans="1:4" ht="15.75" customHeight="1" thickBot="1">
      <c r="A294" s="629"/>
      <c r="B294" s="629"/>
      <c r="C294" s="629"/>
      <c r="D294" s="629"/>
    </row>
    <row r="295" spans="1:4" ht="15.75" customHeight="1" thickBot="1">
      <c r="A295" s="629"/>
      <c r="B295" s="629"/>
      <c r="C295" s="629"/>
      <c r="D295" s="629"/>
    </row>
    <row r="296" spans="1:4" ht="15.75" customHeight="1" thickBot="1">
      <c r="A296" s="629"/>
      <c r="B296" s="629"/>
      <c r="C296" s="629"/>
      <c r="D296" s="629"/>
    </row>
    <row r="297" spans="1:4" ht="15.75" customHeight="1" thickBot="1">
      <c r="A297" s="629"/>
      <c r="B297" s="629"/>
      <c r="C297" s="629"/>
      <c r="D297" s="629"/>
    </row>
    <row r="298" spans="1:4" ht="15.75" customHeight="1" thickBot="1">
      <c r="A298" s="629"/>
      <c r="B298" s="629"/>
      <c r="C298" s="629"/>
      <c r="D298" s="629"/>
    </row>
    <row r="299" spans="1:4" ht="15.75" customHeight="1" thickBot="1">
      <c r="A299" s="629"/>
      <c r="B299" s="629"/>
      <c r="C299" s="629"/>
      <c r="D299" s="629"/>
    </row>
    <row r="300" spans="1:4" ht="15.75" customHeight="1" thickBot="1">
      <c r="A300" s="629"/>
      <c r="B300" s="629"/>
      <c r="C300" s="629"/>
      <c r="D300" s="629"/>
    </row>
    <row r="301" spans="1:4" ht="15.75" customHeight="1" thickBot="1">
      <c r="A301" s="629"/>
      <c r="B301" s="629"/>
      <c r="C301" s="629"/>
      <c r="D301" s="629"/>
    </row>
    <row r="302" spans="1:4" ht="15.75" customHeight="1" thickBot="1">
      <c r="A302" s="629"/>
      <c r="B302" s="629"/>
      <c r="C302" s="629"/>
      <c r="D302" s="629"/>
    </row>
    <row r="303" spans="1:4" ht="15.75" customHeight="1" thickBot="1">
      <c r="A303" s="629"/>
      <c r="B303" s="629"/>
      <c r="C303" s="629"/>
      <c r="D303" s="629"/>
    </row>
    <row r="304" spans="1:4" ht="15.75" customHeight="1" thickBot="1">
      <c r="A304" s="629"/>
      <c r="B304" s="629"/>
      <c r="C304" s="629"/>
      <c r="D304" s="629"/>
    </row>
    <row r="305" spans="1:4" ht="15.75" customHeight="1" thickBot="1">
      <c r="A305" s="629"/>
      <c r="B305" s="629"/>
      <c r="C305" s="629"/>
      <c r="D305" s="629"/>
    </row>
    <row r="306" spans="1:4" ht="15.75" customHeight="1" thickBot="1">
      <c r="A306" s="629"/>
      <c r="B306" s="629"/>
      <c r="C306" s="629"/>
      <c r="D306" s="629"/>
    </row>
    <row r="307" spans="1:4" ht="15.75" customHeight="1" thickBot="1">
      <c r="A307" s="629"/>
      <c r="B307" s="629"/>
      <c r="C307" s="629"/>
      <c r="D307" s="629"/>
    </row>
    <row r="308" spans="1:4" ht="15.75" customHeight="1" thickBot="1">
      <c r="A308" s="629"/>
      <c r="B308" s="629"/>
      <c r="C308" s="629"/>
      <c r="D308" s="629"/>
    </row>
    <row r="309" spans="1:4" ht="15.75" customHeight="1" thickBot="1">
      <c r="A309" s="629"/>
      <c r="B309" s="629"/>
      <c r="C309" s="629"/>
      <c r="D309" s="629"/>
    </row>
    <row r="310" spans="1:4" ht="15.75" customHeight="1" thickBot="1">
      <c r="A310" s="629"/>
      <c r="B310" s="629"/>
      <c r="C310" s="629"/>
      <c r="D310" s="629"/>
    </row>
    <row r="311" spans="1:4" ht="15.75" customHeight="1" thickBot="1">
      <c r="A311" s="629"/>
      <c r="B311" s="629"/>
      <c r="C311" s="629"/>
      <c r="D311" s="629"/>
    </row>
    <row r="312" spans="1:4" ht="15.75" customHeight="1" thickBot="1">
      <c r="A312" s="629"/>
      <c r="B312" s="629"/>
      <c r="C312" s="629"/>
      <c r="D312" s="629"/>
    </row>
    <row r="313" spans="1:4" ht="15.75" customHeight="1" thickBot="1">
      <c r="A313" s="629"/>
      <c r="B313" s="629"/>
      <c r="C313" s="629"/>
      <c r="D313" s="629"/>
    </row>
    <row r="314" spans="1:4" ht="15.75" customHeight="1" thickBot="1">
      <c r="A314" s="629"/>
      <c r="B314" s="629"/>
      <c r="C314" s="629"/>
      <c r="D314" s="629"/>
    </row>
    <row r="315" spans="1:4" ht="15.75" customHeight="1" thickBot="1">
      <c r="A315" s="629"/>
      <c r="B315" s="629"/>
      <c r="C315" s="629"/>
      <c r="D315" s="629"/>
    </row>
    <row r="316" spans="1:4" ht="15.75" customHeight="1" thickBot="1">
      <c r="A316" s="629"/>
      <c r="B316" s="629"/>
      <c r="C316" s="629"/>
      <c r="D316" s="629"/>
    </row>
    <row r="317" spans="1:4" ht="15.75" customHeight="1" thickBot="1">
      <c r="A317" s="629"/>
      <c r="B317" s="629"/>
      <c r="C317" s="629"/>
      <c r="D317" s="629"/>
    </row>
    <row r="318" spans="1:4" ht="15.75" customHeight="1" thickBot="1">
      <c r="A318" s="629"/>
      <c r="B318" s="629"/>
      <c r="C318" s="629"/>
      <c r="D318" s="629"/>
    </row>
    <row r="319" spans="1:4" ht="15.75" customHeight="1" thickBot="1">
      <c r="A319" s="629"/>
      <c r="B319" s="629"/>
      <c r="C319" s="629"/>
      <c r="D319" s="629"/>
    </row>
    <row r="320" spans="1:4" ht="15.75" customHeight="1" thickBot="1">
      <c r="A320" s="629"/>
      <c r="B320" s="629"/>
      <c r="C320" s="629"/>
      <c r="D320" s="629"/>
    </row>
    <row r="321" spans="1:4" ht="15.75" customHeight="1" thickBot="1">
      <c r="A321" s="629"/>
      <c r="B321" s="629"/>
      <c r="C321" s="629"/>
      <c r="D321" s="629"/>
    </row>
    <row r="322" spans="1:4" ht="15.75" customHeight="1" thickBot="1">
      <c r="A322" s="629"/>
      <c r="B322" s="629"/>
      <c r="C322" s="629"/>
      <c r="D322" s="629"/>
    </row>
    <row r="323" spans="1:4" ht="15.75" customHeight="1" thickBot="1">
      <c r="A323" s="629"/>
      <c r="B323" s="629"/>
      <c r="C323" s="629"/>
      <c r="D323" s="629"/>
    </row>
    <row r="324" spans="1:4" ht="15.75" customHeight="1" thickBot="1">
      <c r="A324" s="629"/>
      <c r="B324" s="629"/>
      <c r="C324" s="629"/>
      <c r="D324" s="629"/>
    </row>
    <row r="325" spans="1:4" ht="15.75" customHeight="1" thickBot="1">
      <c r="A325" s="629"/>
      <c r="B325" s="629"/>
      <c r="C325" s="629"/>
      <c r="D325" s="629"/>
    </row>
    <row r="326" spans="1:4" ht="15.75" customHeight="1" thickBot="1">
      <c r="A326" s="629"/>
      <c r="B326" s="629"/>
      <c r="C326" s="629"/>
      <c r="D326" s="629"/>
    </row>
    <row r="327" spans="1:4" ht="15.75" customHeight="1" thickBot="1">
      <c r="A327" s="629"/>
      <c r="B327" s="629"/>
      <c r="C327" s="629"/>
      <c r="D327" s="629"/>
    </row>
    <row r="328" spans="1:4" ht="15.75" customHeight="1" thickBot="1">
      <c r="A328" s="629"/>
      <c r="B328" s="629"/>
      <c r="C328" s="629"/>
      <c r="D328" s="629"/>
    </row>
    <row r="329" spans="1:4" ht="15.75" customHeight="1" thickBot="1">
      <c r="A329" s="629"/>
      <c r="B329" s="629"/>
      <c r="C329" s="629"/>
      <c r="D329" s="629"/>
    </row>
    <row r="330" spans="1:4" ht="15.75" customHeight="1" thickBot="1">
      <c r="A330" s="629"/>
      <c r="B330" s="629"/>
      <c r="C330" s="629"/>
      <c r="D330" s="629"/>
    </row>
    <row r="331" spans="1:4" ht="15.75" customHeight="1" thickBot="1">
      <c r="A331" s="629"/>
      <c r="B331" s="629"/>
      <c r="C331" s="629"/>
      <c r="D331" s="629"/>
    </row>
    <row r="332" spans="1:4" ht="15.75" customHeight="1" thickBot="1">
      <c r="A332" s="629"/>
      <c r="B332" s="629"/>
      <c r="C332" s="629"/>
      <c r="D332" s="629"/>
    </row>
    <row r="333" spans="1:4" ht="15.75" customHeight="1" thickBot="1">
      <c r="A333" s="629"/>
      <c r="B333" s="629"/>
      <c r="C333" s="629"/>
      <c r="D333" s="629"/>
    </row>
    <row r="334" spans="1:4" ht="15.75" customHeight="1" thickBot="1">
      <c r="A334" s="629"/>
      <c r="B334" s="629"/>
      <c r="C334" s="629"/>
      <c r="D334" s="629"/>
    </row>
    <row r="335" spans="1:4" ht="15.75" customHeight="1" thickBot="1">
      <c r="A335" s="629"/>
      <c r="B335" s="629"/>
      <c r="C335" s="629"/>
      <c r="D335" s="629"/>
    </row>
    <row r="336" spans="1:4" ht="15.75" customHeight="1" thickBot="1">
      <c r="A336" s="629"/>
      <c r="B336" s="629"/>
      <c r="C336" s="629"/>
      <c r="D336" s="629"/>
    </row>
    <row r="337" spans="1:4" ht="15.75" customHeight="1" thickBot="1">
      <c r="A337" s="629"/>
      <c r="B337" s="629"/>
      <c r="C337" s="629"/>
      <c r="D337" s="629"/>
    </row>
    <row r="338" spans="1:4" ht="15.75" customHeight="1" thickBot="1">
      <c r="A338" s="629"/>
      <c r="B338" s="629"/>
      <c r="C338" s="629"/>
      <c r="D338" s="629"/>
    </row>
    <row r="339" spans="1:4" ht="15.75" customHeight="1" thickBot="1">
      <c r="A339" s="629"/>
      <c r="B339" s="629"/>
      <c r="C339" s="629"/>
      <c r="D339" s="629"/>
    </row>
    <row r="340" spans="1:4" ht="15.75" customHeight="1" thickBot="1">
      <c r="A340" s="629"/>
      <c r="B340" s="629"/>
      <c r="C340" s="629"/>
      <c r="D340" s="629"/>
    </row>
    <row r="341" spans="1:4" ht="15.75" customHeight="1" thickBot="1">
      <c r="A341" s="629"/>
      <c r="B341" s="629"/>
      <c r="C341" s="629"/>
      <c r="D341" s="629"/>
    </row>
    <row r="342" spans="1:4" ht="15.75" customHeight="1" thickBot="1">
      <c r="A342" s="629"/>
      <c r="B342" s="629"/>
      <c r="C342" s="629"/>
      <c r="D342" s="629"/>
    </row>
    <row r="343" spans="1:4" ht="15.75" customHeight="1" thickBot="1">
      <c r="A343" s="629"/>
      <c r="B343" s="629"/>
      <c r="C343" s="629"/>
      <c r="D343" s="629"/>
    </row>
    <row r="344" spans="1:4" ht="15.75" customHeight="1" thickBot="1">
      <c r="A344" s="629"/>
      <c r="B344" s="629"/>
      <c r="C344" s="629"/>
      <c r="D344" s="629"/>
    </row>
    <row r="345" spans="1:4" ht="15.75" customHeight="1" thickBot="1">
      <c r="A345" s="629"/>
      <c r="B345" s="629"/>
      <c r="C345" s="629"/>
      <c r="D345" s="629"/>
    </row>
    <row r="346" spans="1:4" ht="15.75" customHeight="1" thickBot="1">
      <c r="A346" s="629"/>
      <c r="B346" s="629"/>
      <c r="C346" s="629"/>
      <c r="D346" s="629"/>
    </row>
    <row r="347" spans="1:4" ht="15.75" customHeight="1" thickBot="1">
      <c r="A347" s="629"/>
      <c r="B347" s="629"/>
      <c r="C347" s="629"/>
      <c r="D347" s="629"/>
    </row>
    <row r="348" spans="1:4" ht="15.75" customHeight="1" thickBot="1">
      <c r="A348" s="629"/>
      <c r="B348" s="629"/>
      <c r="C348" s="629"/>
      <c r="D348" s="629"/>
    </row>
    <row r="349" spans="1:4" ht="15.75" customHeight="1" thickBot="1">
      <c r="A349" s="629"/>
      <c r="B349" s="629"/>
      <c r="C349" s="629"/>
      <c r="D349" s="629"/>
    </row>
    <row r="350" spans="1:4" ht="15.75" customHeight="1" thickBot="1">
      <c r="A350" s="629"/>
      <c r="B350" s="629"/>
      <c r="C350" s="629"/>
      <c r="D350" s="629"/>
    </row>
    <row r="351" spans="1:4" ht="15.75" customHeight="1" thickBot="1">
      <c r="A351" s="629"/>
      <c r="B351" s="629"/>
      <c r="C351" s="629"/>
      <c r="D351" s="629"/>
    </row>
    <row r="352" spans="1:4" ht="15.75" customHeight="1" thickBot="1">
      <c r="A352" s="629"/>
      <c r="B352" s="629"/>
      <c r="C352" s="629"/>
      <c r="D352" s="629"/>
    </row>
    <row r="353" spans="1:4" ht="15.75" customHeight="1" thickBot="1">
      <c r="A353" s="629"/>
      <c r="B353" s="629"/>
      <c r="C353" s="629"/>
      <c r="D353" s="629"/>
    </row>
    <row r="354" spans="1:4" ht="15.75" customHeight="1" thickBot="1">
      <c r="A354" s="629"/>
      <c r="B354" s="629"/>
      <c r="C354" s="629"/>
      <c r="D354" s="629"/>
    </row>
    <row r="355" spans="1:4" ht="15.75" customHeight="1" thickBot="1">
      <c r="A355" s="629"/>
      <c r="B355" s="629"/>
      <c r="C355" s="629"/>
      <c r="D355" s="629"/>
    </row>
    <row r="356" spans="1:4" ht="15.75" customHeight="1" thickBot="1">
      <c r="A356" s="629"/>
      <c r="B356" s="629"/>
      <c r="C356" s="629"/>
      <c r="D356" s="629"/>
    </row>
    <row r="357" spans="1:4" ht="15.75" customHeight="1" thickBot="1">
      <c r="A357" s="629"/>
      <c r="B357" s="629"/>
      <c r="C357" s="629"/>
      <c r="D357" s="629"/>
    </row>
    <row r="358" spans="1:4" ht="15.75" customHeight="1" thickBot="1">
      <c r="A358" s="629"/>
      <c r="B358" s="629"/>
      <c r="C358" s="629"/>
      <c r="D358" s="629"/>
    </row>
    <row r="359" spans="1:4" ht="15.75" customHeight="1" thickBot="1">
      <c r="A359" s="629"/>
      <c r="B359" s="629"/>
      <c r="C359" s="629"/>
      <c r="D359" s="629"/>
    </row>
    <row r="360" spans="1:4" ht="15.75" customHeight="1" thickBot="1">
      <c r="A360" s="629"/>
      <c r="B360" s="629"/>
      <c r="C360" s="629"/>
      <c r="D360" s="629"/>
    </row>
    <row r="361" spans="1:4" ht="15.75" customHeight="1" thickBot="1">
      <c r="A361" s="629"/>
      <c r="B361" s="629"/>
      <c r="C361" s="629"/>
      <c r="D361" s="629"/>
    </row>
    <row r="362" spans="1:4" ht="15.75" customHeight="1" thickBot="1">
      <c r="A362" s="629"/>
      <c r="B362" s="629"/>
      <c r="C362" s="629"/>
      <c r="D362" s="629"/>
    </row>
    <row r="363" spans="1:4" ht="15.75" customHeight="1" thickBot="1">
      <c r="A363" s="629"/>
      <c r="B363" s="629"/>
      <c r="C363" s="629"/>
      <c r="D363" s="629"/>
    </row>
    <row r="364" spans="1:4" ht="15.75" customHeight="1" thickBot="1">
      <c r="A364" s="629"/>
      <c r="B364" s="629"/>
      <c r="C364" s="629"/>
      <c r="D364" s="629"/>
    </row>
    <row r="365" spans="1:4" ht="15.75" customHeight="1" thickBot="1">
      <c r="A365" s="629"/>
      <c r="B365" s="629"/>
      <c r="C365" s="629"/>
      <c r="D365" s="629"/>
    </row>
    <row r="366" spans="1:4" ht="15.75" customHeight="1" thickBot="1">
      <c r="A366" s="629"/>
      <c r="B366" s="629"/>
      <c r="C366" s="629"/>
      <c r="D366" s="629"/>
    </row>
    <row r="367" spans="1:4" ht="15.75" customHeight="1" thickBot="1">
      <c r="A367" s="629"/>
      <c r="B367" s="629"/>
      <c r="C367" s="629"/>
      <c r="D367" s="629"/>
    </row>
    <row r="368" spans="1:4" ht="15.75" customHeight="1" thickBot="1">
      <c r="A368" s="629"/>
      <c r="B368" s="629"/>
      <c r="C368" s="629"/>
      <c r="D368" s="629"/>
    </row>
    <row r="369" spans="1:4" ht="15.75" customHeight="1" thickBot="1">
      <c r="A369" s="629"/>
      <c r="B369" s="629"/>
      <c r="C369" s="629"/>
      <c r="D369" s="629"/>
    </row>
    <row r="370" spans="1:4" ht="15.75" customHeight="1" thickBot="1">
      <c r="A370" s="629"/>
      <c r="B370" s="629"/>
      <c r="C370" s="629"/>
      <c r="D370" s="629"/>
    </row>
    <row r="371" spans="1:4" ht="15.75" customHeight="1" thickBot="1">
      <c r="A371" s="629"/>
      <c r="B371" s="629"/>
      <c r="C371" s="629"/>
      <c r="D371" s="629"/>
    </row>
    <row r="372" spans="1:4" ht="15.75" customHeight="1" thickBot="1">
      <c r="A372" s="629"/>
      <c r="B372" s="629"/>
      <c r="C372" s="629"/>
      <c r="D372" s="629"/>
    </row>
    <row r="373" spans="1:4" ht="15.75" customHeight="1" thickBot="1">
      <c r="A373" s="629"/>
      <c r="B373" s="629"/>
      <c r="C373" s="629"/>
      <c r="D373" s="629"/>
    </row>
    <row r="374" spans="1:4" ht="15.75" customHeight="1" thickBot="1">
      <c r="A374" s="629"/>
      <c r="B374" s="629"/>
      <c r="C374" s="629"/>
      <c r="D374" s="629"/>
    </row>
    <row r="375" spans="1:4" ht="15.75" customHeight="1" thickBot="1">
      <c r="A375" s="629"/>
      <c r="B375" s="629"/>
      <c r="C375" s="629"/>
      <c r="D375" s="629"/>
    </row>
    <row r="376" spans="1:4" ht="15.75" customHeight="1" thickBot="1">
      <c r="A376" s="629"/>
      <c r="B376" s="629"/>
      <c r="C376" s="629"/>
      <c r="D376" s="629"/>
    </row>
    <row r="377" spans="1:4" ht="15.75" customHeight="1" thickBot="1">
      <c r="A377" s="629"/>
      <c r="B377" s="629"/>
      <c r="C377" s="629"/>
      <c r="D377" s="629"/>
    </row>
    <row r="378" spans="1:4" ht="15.75" customHeight="1" thickBot="1">
      <c r="A378" s="629"/>
      <c r="B378" s="629"/>
      <c r="C378" s="629"/>
      <c r="D378" s="629"/>
    </row>
    <row r="379" spans="1:4" ht="15.75" customHeight="1" thickBot="1">
      <c r="A379" s="629"/>
      <c r="B379" s="629"/>
      <c r="C379" s="629"/>
      <c r="D379" s="629"/>
    </row>
    <row r="380" spans="1:4" ht="15.75" customHeight="1" thickBot="1">
      <c r="A380" s="629"/>
      <c r="B380" s="629"/>
      <c r="C380" s="629"/>
      <c r="D380" s="629"/>
    </row>
    <row r="381" spans="1:4" ht="15.75" customHeight="1" thickBot="1">
      <c r="A381" s="629"/>
      <c r="B381" s="629"/>
      <c r="C381" s="629"/>
      <c r="D381" s="629"/>
    </row>
    <row r="382" spans="1:4" ht="15.75" customHeight="1" thickBot="1">
      <c r="A382" s="629"/>
      <c r="B382" s="629"/>
      <c r="C382" s="629"/>
      <c r="D382" s="629"/>
    </row>
    <row r="383" spans="1:4" ht="15.75" customHeight="1" thickBot="1">
      <c r="A383" s="629"/>
      <c r="B383" s="629"/>
      <c r="C383" s="629"/>
      <c r="D383" s="629"/>
    </row>
    <row r="384" spans="1:4" ht="15.75" customHeight="1" thickBot="1">
      <c r="A384" s="629"/>
      <c r="B384" s="629"/>
      <c r="C384" s="629"/>
      <c r="D384" s="629"/>
    </row>
    <row r="385" spans="1:4" ht="15.75" customHeight="1" thickBot="1">
      <c r="A385" s="629"/>
      <c r="B385" s="629"/>
      <c r="C385" s="629"/>
      <c r="D385" s="629"/>
    </row>
    <row r="386" spans="1:4" ht="15.75" customHeight="1" thickBot="1">
      <c r="A386" s="629"/>
      <c r="B386" s="629"/>
      <c r="C386" s="629"/>
      <c r="D386" s="629"/>
    </row>
    <row r="387" spans="1:4" ht="15.75" customHeight="1" thickBot="1">
      <c r="A387" s="629"/>
      <c r="B387" s="629"/>
      <c r="C387" s="629"/>
      <c r="D387" s="629"/>
    </row>
    <row r="388" spans="1:4" ht="15.75" customHeight="1" thickBot="1">
      <c r="A388" s="629"/>
      <c r="B388" s="629"/>
      <c r="C388" s="629"/>
      <c r="D388" s="629"/>
    </row>
    <row r="389" spans="1:4" ht="15.75" customHeight="1" thickBot="1">
      <c r="A389" s="629"/>
      <c r="B389" s="629"/>
      <c r="C389" s="629"/>
      <c r="D389" s="629"/>
    </row>
    <row r="390" spans="1:4" ht="15.75" customHeight="1" thickBot="1">
      <c r="A390" s="629"/>
      <c r="B390" s="629"/>
      <c r="C390" s="629"/>
      <c r="D390" s="629"/>
    </row>
    <row r="391" spans="1:4" ht="15.75" customHeight="1" thickBot="1">
      <c r="A391" s="629"/>
      <c r="B391" s="629"/>
      <c r="C391" s="629"/>
      <c r="D391" s="629"/>
    </row>
    <row r="392" spans="1:4" ht="15.75" customHeight="1" thickBot="1">
      <c r="A392" s="629"/>
      <c r="B392" s="629"/>
      <c r="C392" s="629"/>
      <c r="D392" s="629"/>
    </row>
    <row r="393" spans="1:4" ht="15.75" customHeight="1" thickBot="1">
      <c r="A393" s="629"/>
      <c r="B393" s="629"/>
      <c r="C393" s="629"/>
      <c r="D393" s="629"/>
    </row>
    <row r="394" spans="1:4" ht="15.75" customHeight="1" thickBot="1">
      <c r="A394" s="629"/>
      <c r="B394" s="629"/>
      <c r="C394" s="629"/>
      <c r="D394" s="629"/>
    </row>
    <row r="395" spans="1:4" ht="15.75" customHeight="1" thickBot="1">
      <c r="A395" s="629"/>
      <c r="B395" s="629"/>
      <c r="C395" s="629"/>
      <c r="D395" s="629"/>
    </row>
    <row r="396" spans="1:4" ht="15.75" customHeight="1" thickBot="1">
      <c r="A396" s="629"/>
      <c r="B396" s="629"/>
      <c r="C396" s="629"/>
      <c r="D396" s="629"/>
    </row>
    <row r="397" spans="1:4" ht="15.75" customHeight="1" thickBot="1">
      <c r="A397" s="629"/>
      <c r="B397" s="629"/>
      <c r="C397" s="629"/>
      <c r="D397" s="629"/>
    </row>
    <row r="398" spans="1:4" ht="15.75" customHeight="1" thickBot="1">
      <c r="A398" s="629"/>
      <c r="B398" s="629"/>
      <c r="C398" s="629"/>
      <c r="D398" s="629"/>
    </row>
    <row r="399" spans="1:4" ht="15.75" customHeight="1" thickBot="1">
      <c r="A399" s="629"/>
      <c r="B399" s="629"/>
      <c r="C399" s="629"/>
      <c r="D399" s="629"/>
    </row>
    <row r="400" spans="1:4" ht="15.75" customHeight="1" thickBot="1">
      <c r="A400" s="629"/>
      <c r="B400" s="629"/>
      <c r="C400" s="629"/>
      <c r="D400" s="629"/>
    </row>
    <row r="401" spans="1:4" ht="15.75" customHeight="1" thickBot="1">
      <c r="A401" s="629"/>
      <c r="B401" s="629"/>
      <c r="C401" s="629"/>
      <c r="D401" s="629"/>
    </row>
    <row r="402" spans="1:4" ht="15.75" customHeight="1" thickBot="1">
      <c r="A402" s="629"/>
      <c r="B402" s="629"/>
      <c r="C402" s="629"/>
      <c r="D402" s="629"/>
    </row>
    <row r="403" spans="1:4" ht="15.75" customHeight="1" thickBot="1">
      <c r="A403" s="629"/>
      <c r="B403" s="629"/>
      <c r="C403" s="629"/>
      <c r="D403" s="629"/>
    </row>
    <row r="404" spans="1:4" ht="15.75" customHeight="1" thickBot="1">
      <c r="A404" s="629"/>
      <c r="B404" s="629"/>
      <c r="C404" s="629"/>
      <c r="D404" s="629"/>
    </row>
    <row r="405" spans="1:4" ht="15.75" customHeight="1" thickBot="1">
      <c r="A405" s="629"/>
      <c r="B405" s="629"/>
      <c r="C405" s="629"/>
      <c r="D405" s="629"/>
    </row>
    <row r="406" spans="1:4" ht="15.75" customHeight="1" thickBot="1">
      <c r="A406" s="629"/>
      <c r="B406" s="629"/>
      <c r="C406" s="629"/>
      <c r="D406" s="629"/>
    </row>
    <row r="407" spans="1:4" ht="15.75" customHeight="1" thickBot="1">
      <c r="A407" s="629"/>
      <c r="B407" s="629"/>
      <c r="C407" s="629"/>
      <c r="D407" s="629"/>
    </row>
    <row r="408" spans="1:4" ht="15.75" customHeight="1" thickBot="1">
      <c r="A408" s="629"/>
      <c r="B408" s="629"/>
      <c r="C408" s="629"/>
      <c r="D408" s="629"/>
    </row>
    <row r="409" spans="1:4" ht="15.75" customHeight="1" thickBot="1">
      <c r="A409" s="629"/>
      <c r="B409" s="629"/>
      <c r="C409" s="629"/>
      <c r="D409" s="629"/>
    </row>
    <row r="410" spans="1:4" ht="15.75" customHeight="1" thickBot="1">
      <c r="A410" s="629"/>
      <c r="B410" s="629"/>
      <c r="C410" s="629"/>
      <c r="D410" s="629"/>
    </row>
    <row r="411" spans="1:4" ht="15.75" customHeight="1" thickBot="1">
      <c r="A411" s="629"/>
      <c r="B411" s="629"/>
      <c r="C411" s="629"/>
      <c r="D411" s="629"/>
    </row>
    <row r="412" spans="1:4" ht="15.75" customHeight="1" thickBot="1">
      <c r="A412" s="629"/>
      <c r="B412" s="629"/>
      <c r="C412" s="629"/>
      <c r="D412" s="629"/>
    </row>
    <row r="413" spans="1:4" ht="15.75" customHeight="1" thickBot="1">
      <c r="A413" s="629"/>
      <c r="B413" s="629"/>
      <c r="C413" s="629"/>
      <c r="D413" s="629"/>
    </row>
    <row r="414" spans="1:4" ht="15.75" customHeight="1" thickBot="1">
      <c r="A414" s="629"/>
      <c r="B414" s="629"/>
      <c r="C414" s="629"/>
      <c r="D414" s="629"/>
    </row>
    <row r="415" spans="1:4" ht="15.75" customHeight="1" thickBot="1">
      <c r="A415" s="629"/>
      <c r="B415" s="629"/>
      <c r="C415" s="629"/>
      <c r="D415" s="629"/>
    </row>
    <row r="416" spans="1:4" ht="15.75" customHeight="1" thickBot="1">
      <c r="A416" s="629"/>
      <c r="B416" s="629"/>
      <c r="C416" s="629"/>
      <c r="D416" s="629"/>
    </row>
    <row r="417" spans="1:4" ht="15.75" customHeight="1" thickBot="1">
      <c r="A417" s="629"/>
      <c r="B417" s="629"/>
      <c r="C417" s="629"/>
      <c r="D417" s="629"/>
    </row>
    <row r="418" spans="1:4" ht="15.75" customHeight="1" thickBot="1">
      <c r="A418" s="629"/>
      <c r="B418" s="629"/>
      <c r="C418" s="629"/>
      <c r="D418" s="629"/>
    </row>
    <row r="419" spans="1:4" ht="15.75" customHeight="1" thickBot="1">
      <c r="A419" s="629"/>
      <c r="B419" s="629"/>
      <c r="C419" s="629"/>
      <c r="D419" s="629"/>
    </row>
    <row r="420" spans="1:4" ht="15.75" customHeight="1" thickBot="1">
      <c r="A420" s="629"/>
      <c r="B420" s="629"/>
      <c r="C420" s="629"/>
      <c r="D420" s="629"/>
    </row>
    <row r="421" spans="1:4" ht="15.75" customHeight="1" thickBot="1">
      <c r="A421" s="629"/>
      <c r="B421" s="629"/>
      <c r="C421" s="629"/>
      <c r="D421" s="629"/>
    </row>
    <row r="422" spans="1:4" ht="15.75" customHeight="1" thickBot="1">
      <c r="A422" s="629"/>
      <c r="B422" s="629"/>
      <c r="C422" s="629"/>
      <c r="D422" s="629"/>
    </row>
    <row r="423" spans="1:4" ht="15.75" customHeight="1" thickBot="1">
      <c r="A423" s="629"/>
      <c r="B423" s="629"/>
      <c r="C423" s="629"/>
      <c r="D423" s="629"/>
    </row>
    <row r="424" spans="1:4" ht="15.75" customHeight="1" thickBot="1">
      <c r="A424" s="629"/>
      <c r="B424" s="629"/>
      <c r="C424" s="629"/>
      <c r="D424" s="629"/>
    </row>
    <row r="425" spans="1:4" ht="15.75" customHeight="1" thickBot="1">
      <c r="A425" s="629"/>
      <c r="B425" s="629"/>
      <c r="C425" s="629"/>
      <c r="D425" s="629"/>
    </row>
    <row r="426" spans="1:4" ht="15.75" customHeight="1" thickBot="1">
      <c r="A426" s="629"/>
      <c r="B426" s="629"/>
      <c r="C426" s="629"/>
      <c r="D426" s="629"/>
    </row>
    <row r="427" spans="1:4" ht="15.75" customHeight="1" thickBot="1">
      <c r="A427" s="629"/>
      <c r="B427" s="629"/>
      <c r="C427" s="629"/>
      <c r="D427" s="629"/>
    </row>
    <row r="428" spans="1:4" ht="15.75" customHeight="1" thickBot="1">
      <c r="A428" s="629"/>
      <c r="B428" s="629"/>
      <c r="C428" s="629"/>
      <c r="D428" s="629"/>
    </row>
    <row r="429" spans="1:4" ht="15.75" customHeight="1" thickBot="1">
      <c r="A429" s="629"/>
      <c r="B429" s="629"/>
      <c r="C429" s="629"/>
      <c r="D429" s="629"/>
    </row>
    <row r="430" spans="1:4" ht="15.75" customHeight="1" thickBot="1">
      <c r="A430" s="629"/>
      <c r="B430" s="629"/>
      <c r="C430" s="629"/>
      <c r="D430" s="629"/>
    </row>
    <row r="431" spans="1:4" ht="15.75" customHeight="1" thickBot="1">
      <c r="A431" s="629"/>
      <c r="B431" s="629"/>
      <c r="C431" s="629"/>
      <c r="D431" s="629"/>
    </row>
    <row r="432" spans="1:4" ht="15.75" customHeight="1" thickBot="1">
      <c r="A432" s="629"/>
      <c r="B432" s="629"/>
      <c r="C432" s="629"/>
      <c r="D432" s="629"/>
    </row>
    <row r="433" spans="1:4" ht="15.75" customHeight="1" thickBot="1">
      <c r="A433" s="629"/>
      <c r="B433" s="629"/>
      <c r="C433" s="629"/>
      <c r="D433" s="629"/>
    </row>
    <row r="434" spans="1:4" ht="15.75" customHeight="1" thickBot="1">
      <c r="A434" s="629"/>
      <c r="B434" s="629"/>
      <c r="C434" s="629"/>
      <c r="D434" s="629"/>
    </row>
    <row r="435" spans="1:4" ht="15.75" customHeight="1" thickBot="1">
      <c r="A435" s="629"/>
      <c r="B435" s="629"/>
      <c r="C435" s="629"/>
      <c r="D435" s="629"/>
    </row>
    <row r="436" spans="1:4" ht="15.75" customHeight="1" thickBot="1">
      <c r="A436" s="629"/>
      <c r="B436" s="629"/>
      <c r="C436" s="629"/>
      <c r="D436" s="629"/>
    </row>
    <row r="437" spans="1:4" ht="15.75" customHeight="1" thickBot="1">
      <c r="A437" s="629"/>
      <c r="B437" s="629"/>
      <c r="C437" s="629"/>
      <c r="D437" s="629"/>
    </row>
    <row r="438" spans="1:4" ht="15.75" customHeight="1" thickBot="1">
      <c r="A438" s="629"/>
      <c r="B438" s="629"/>
      <c r="C438" s="629"/>
      <c r="D438" s="629"/>
    </row>
    <row r="439" spans="1:4" ht="15.75" customHeight="1" thickBot="1">
      <c r="A439" s="629"/>
      <c r="B439" s="629"/>
      <c r="C439" s="629"/>
      <c r="D439" s="629"/>
    </row>
    <row r="440" spans="1:4" ht="15.75" customHeight="1" thickBot="1">
      <c r="A440" s="629"/>
      <c r="B440" s="629"/>
      <c r="C440" s="629"/>
      <c r="D440" s="629"/>
    </row>
    <row r="441" spans="1:4" ht="15.75" customHeight="1" thickBot="1">
      <c r="A441" s="629"/>
      <c r="B441" s="629"/>
      <c r="C441" s="629"/>
      <c r="D441" s="629"/>
    </row>
    <row r="442" spans="1:4" ht="15.75" customHeight="1" thickBot="1">
      <c r="A442" s="629"/>
      <c r="B442" s="629"/>
      <c r="C442" s="629"/>
      <c r="D442" s="629"/>
    </row>
    <row r="443" spans="1:4" ht="15.75" customHeight="1" thickBot="1">
      <c r="A443" s="629"/>
      <c r="B443" s="629"/>
      <c r="C443" s="629"/>
      <c r="D443" s="629"/>
    </row>
    <row r="444" spans="1:4" ht="15.75" customHeight="1" thickBot="1">
      <c r="A444" s="629"/>
      <c r="B444" s="629"/>
      <c r="C444" s="629"/>
      <c r="D444" s="629"/>
    </row>
    <row r="445" spans="1:4" ht="15.75" customHeight="1" thickBot="1">
      <c r="A445" s="629"/>
      <c r="B445" s="629"/>
      <c r="C445" s="629"/>
      <c r="D445" s="629"/>
    </row>
    <row r="446" spans="1:4" ht="15.75" customHeight="1" thickBot="1">
      <c r="A446" s="629"/>
      <c r="B446" s="629"/>
      <c r="C446" s="629"/>
      <c r="D446" s="629"/>
    </row>
    <row r="447" spans="1:4" ht="15.75" customHeight="1" thickBot="1">
      <c r="A447" s="629"/>
      <c r="B447" s="629"/>
      <c r="C447" s="629"/>
      <c r="D447" s="629"/>
    </row>
    <row r="448" spans="1:4" ht="15.75" customHeight="1" thickBot="1">
      <c r="A448" s="629"/>
      <c r="B448" s="629"/>
      <c r="C448" s="629"/>
      <c r="D448" s="629"/>
    </row>
    <row r="449" spans="1:4" ht="15.75" customHeight="1" thickBot="1">
      <c r="A449" s="629"/>
      <c r="B449" s="629"/>
      <c r="C449" s="629"/>
      <c r="D449" s="629"/>
    </row>
    <row r="450" spans="1:4" ht="15.75" customHeight="1" thickBot="1">
      <c r="A450" s="629"/>
      <c r="B450" s="629"/>
      <c r="C450" s="629"/>
      <c r="D450" s="629"/>
    </row>
    <row r="451" spans="1:4" ht="15.75" customHeight="1" thickBot="1">
      <c r="A451" s="629"/>
      <c r="B451" s="629"/>
      <c r="C451" s="629"/>
      <c r="D451" s="629"/>
    </row>
    <row r="452" spans="1:4" ht="15.75" customHeight="1" thickBot="1">
      <c r="A452" s="629"/>
      <c r="B452" s="629"/>
      <c r="C452" s="629"/>
      <c r="D452" s="629"/>
    </row>
    <row r="453" spans="1:4" ht="15.75" customHeight="1" thickBot="1">
      <c r="A453" s="629"/>
      <c r="B453" s="629"/>
      <c r="C453" s="629"/>
      <c r="D453" s="629"/>
    </row>
    <row r="454" spans="1:4" ht="15.75" customHeight="1" thickBot="1">
      <c r="A454" s="629"/>
      <c r="B454" s="629"/>
      <c r="C454" s="629"/>
      <c r="D454" s="629"/>
    </row>
    <row r="455" spans="1:4" ht="15.75" customHeight="1" thickBot="1">
      <c r="A455" s="629"/>
      <c r="B455" s="629"/>
      <c r="C455" s="629"/>
      <c r="D455" s="629"/>
    </row>
    <row r="456" spans="1:4" ht="15.75" customHeight="1" thickBot="1">
      <c r="A456" s="629"/>
      <c r="B456" s="629"/>
      <c r="C456" s="629"/>
      <c r="D456" s="629"/>
    </row>
    <row r="457" spans="1:4" ht="15.75" customHeight="1" thickBot="1">
      <c r="A457" s="629"/>
      <c r="B457" s="629"/>
      <c r="C457" s="629"/>
      <c r="D457" s="629"/>
    </row>
    <row r="458" spans="1:4" ht="15.75" customHeight="1" thickBot="1">
      <c r="A458" s="629"/>
      <c r="B458" s="629"/>
      <c r="C458" s="629"/>
      <c r="D458" s="629"/>
    </row>
    <row r="459" spans="1:4" ht="15.75" customHeight="1" thickBot="1">
      <c r="A459" s="629"/>
      <c r="B459" s="629"/>
      <c r="C459" s="629"/>
      <c r="D459" s="629"/>
    </row>
    <row r="460" spans="1:4" ht="15.75" customHeight="1" thickBot="1">
      <c r="A460" s="629"/>
      <c r="B460" s="629"/>
      <c r="C460" s="629"/>
      <c r="D460" s="629"/>
    </row>
    <row r="461" spans="1:4" ht="15.75" customHeight="1" thickBot="1">
      <c r="A461" s="629"/>
      <c r="B461" s="629"/>
      <c r="C461" s="629"/>
      <c r="D461" s="629"/>
    </row>
    <row r="462" spans="1:4" ht="15.75" customHeight="1" thickBot="1">
      <c r="A462" s="629"/>
      <c r="B462" s="629"/>
      <c r="C462" s="629"/>
      <c r="D462" s="629"/>
    </row>
    <row r="463" spans="1:4" ht="15.75" customHeight="1" thickBot="1">
      <c r="A463" s="629"/>
      <c r="B463" s="629"/>
      <c r="C463" s="629"/>
      <c r="D463" s="629"/>
    </row>
    <row r="464" spans="1:4" ht="15.75" customHeight="1" thickBot="1">
      <c r="A464" s="629"/>
      <c r="B464" s="629"/>
      <c r="C464" s="629"/>
      <c r="D464" s="629"/>
    </row>
    <row r="465" spans="1:4" ht="15.75" customHeight="1" thickBot="1">
      <c r="A465" s="629"/>
      <c r="B465" s="629"/>
      <c r="C465" s="629"/>
      <c r="D465" s="629"/>
    </row>
    <row r="466" spans="1:4" ht="15.75" customHeight="1" thickBot="1">
      <c r="A466" s="629"/>
      <c r="B466" s="629"/>
      <c r="C466" s="629"/>
      <c r="D466" s="629"/>
    </row>
    <row r="467" spans="1:4" ht="15.75" customHeight="1" thickBot="1">
      <c r="A467" s="629"/>
      <c r="B467" s="629"/>
      <c r="C467" s="629"/>
      <c r="D467" s="629"/>
    </row>
    <row r="468" spans="1:4" ht="15.75" customHeight="1" thickBot="1">
      <c r="A468" s="629"/>
      <c r="B468" s="629"/>
      <c r="C468" s="629"/>
      <c r="D468" s="629"/>
    </row>
    <row r="469" spans="1:4" ht="15.75" customHeight="1" thickBot="1">
      <c r="A469" s="629"/>
      <c r="B469" s="629"/>
      <c r="C469" s="629"/>
      <c r="D469" s="629"/>
    </row>
    <row r="470" spans="1:4" ht="15.75" customHeight="1" thickBot="1">
      <c r="A470" s="629"/>
      <c r="B470" s="629"/>
      <c r="C470" s="629"/>
      <c r="D470" s="629"/>
    </row>
    <row r="471" spans="1:4" ht="15.75" customHeight="1" thickBot="1">
      <c r="A471" s="629"/>
      <c r="B471" s="629"/>
      <c r="C471" s="629"/>
      <c r="D471" s="629"/>
    </row>
    <row r="472" spans="1:4" ht="15.75" customHeight="1" thickBot="1">
      <c r="A472" s="629"/>
      <c r="B472" s="629"/>
      <c r="C472" s="629"/>
      <c r="D472" s="629"/>
    </row>
    <row r="473" spans="1:4" ht="15.75" customHeight="1" thickBot="1">
      <c r="A473" s="629"/>
      <c r="B473" s="629"/>
      <c r="C473" s="629"/>
      <c r="D473" s="629"/>
    </row>
    <row r="474" spans="1:4" ht="15.75" customHeight="1" thickBot="1">
      <c r="A474" s="629"/>
      <c r="B474" s="629"/>
      <c r="C474" s="629"/>
      <c r="D474" s="629"/>
    </row>
    <row r="475" spans="1:4" ht="15.75" customHeight="1" thickBot="1">
      <c r="A475" s="629"/>
      <c r="B475" s="629"/>
      <c r="C475" s="629"/>
      <c r="D475" s="629"/>
    </row>
    <row r="476" spans="1:4" ht="15.75" customHeight="1" thickBot="1">
      <c r="A476" s="629"/>
      <c r="B476" s="629"/>
      <c r="C476" s="629"/>
      <c r="D476" s="629"/>
    </row>
    <row r="477" spans="1:4" ht="15.75" customHeight="1" thickBot="1">
      <c r="A477" s="629"/>
      <c r="B477" s="629"/>
      <c r="C477" s="629"/>
      <c r="D477" s="629"/>
    </row>
    <row r="478" spans="1:4" ht="15.75" customHeight="1" thickBot="1">
      <c r="A478" s="629"/>
      <c r="B478" s="629"/>
      <c r="C478" s="629"/>
      <c r="D478" s="629"/>
    </row>
    <row r="479" spans="1:4" ht="15.75" customHeight="1" thickBot="1">
      <c r="A479" s="629"/>
      <c r="B479" s="629"/>
      <c r="C479" s="629"/>
      <c r="D479" s="629"/>
    </row>
    <row r="480" spans="1:4" ht="15.75" customHeight="1" thickBot="1">
      <c r="A480" s="629"/>
      <c r="B480" s="629"/>
      <c r="C480" s="629"/>
      <c r="D480" s="629"/>
    </row>
    <row r="481" spans="1:4" ht="15.75" customHeight="1" thickBot="1">
      <c r="A481" s="629"/>
      <c r="B481" s="629"/>
      <c r="C481" s="629"/>
      <c r="D481" s="629"/>
    </row>
    <row r="482" spans="1:4" ht="15.75" customHeight="1" thickBot="1">
      <c r="A482" s="629"/>
      <c r="B482" s="629"/>
      <c r="C482" s="629"/>
      <c r="D482" s="629"/>
    </row>
    <row r="483" spans="1:4" ht="15.75" customHeight="1" thickBot="1">
      <c r="A483" s="629"/>
      <c r="B483" s="629"/>
      <c r="C483" s="629"/>
      <c r="D483" s="629"/>
    </row>
    <row r="484" spans="1:4" ht="15.75" customHeight="1" thickBot="1">
      <c r="A484" s="629"/>
      <c r="B484" s="629"/>
      <c r="C484" s="629"/>
      <c r="D484" s="629"/>
    </row>
    <row r="485" spans="1:4" ht="15.75" customHeight="1" thickBot="1">
      <c r="A485" s="629"/>
      <c r="B485" s="629"/>
      <c r="C485" s="629"/>
      <c r="D485" s="629"/>
    </row>
    <row r="486" spans="1:4" ht="15.75" customHeight="1" thickBot="1">
      <c r="A486" s="629"/>
      <c r="B486" s="629"/>
      <c r="C486" s="629"/>
      <c r="D486" s="629"/>
    </row>
    <row r="487" spans="1:4" ht="15.75" customHeight="1" thickBot="1">
      <c r="A487" s="629"/>
      <c r="B487" s="629"/>
      <c r="C487" s="629"/>
      <c r="D487" s="629"/>
    </row>
    <row r="488" spans="1:4" ht="15.75" customHeight="1" thickBot="1">
      <c r="A488" s="629"/>
      <c r="B488" s="629"/>
      <c r="C488" s="629"/>
      <c r="D488" s="629"/>
    </row>
    <row r="489" spans="1:4" ht="15.75" customHeight="1" thickBot="1">
      <c r="A489" s="629"/>
      <c r="B489" s="629"/>
      <c r="C489" s="629"/>
      <c r="D489" s="629"/>
    </row>
    <row r="490" spans="1:4" ht="15.75" customHeight="1" thickBot="1">
      <c r="A490" s="629"/>
      <c r="B490" s="629"/>
      <c r="C490" s="629"/>
      <c r="D490" s="629"/>
    </row>
    <row r="491" spans="1:4" ht="15.75" customHeight="1" thickBot="1">
      <c r="A491" s="629"/>
      <c r="B491" s="629"/>
      <c r="C491" s="629"/>
      <c r="D491" s="629"/>
    </row>
    <row r="492" spans="1:4" ht="15.75" customHeight="1" thickBot="1">
      <c r="A492" s="629"/>
      <c r="B492" s="629"/>
      <c r="C492" s="629"/>
      <c r="D492" s="629"/>
    </row>
    <row r="493" spans="1:4" ht="15.75" customHeight="1" thickBot="1">
      <c r="A493" s="629"/>
      <c r="B493" s="629"/>
      <c r="C493" s="629"/>
      <c r="D493" s="629"/>
    </row>
    <row r="494" spans="1:4" ht="15.75" customHeight="1" thickBot="1">
      <c r="A494" s="629"/>
      <c r="B494" s="629"/>
      <c r="C494" s="629"/>
      <c r="D494" s="629"/>
    </row>
    <row r="495" spans="1:4" ht="15.75" customHeight="1" thickBot="1">
      <c r="A495" s="629"/>
      <c r="B495" s="629"/>
      <c r="C495" s="629"/>
      <c r="D495" s="629"/>
    </row>
    <row r="496" spans="1:4" ht="15.75" customHeight="1" thickBot="1">
      <c r="A496" s="629"/>
      <c r="B496" s="629"/>
      <c r="C496" s="629"/>
      <c r="D496" s="629"/>
    </row>
    <row r="497" spans="1:4" ht="15.75" customHeight="1" thickBot="1">
      <c r="A497" s="629"/>
      <c r="B497" s="629"/>
      <c r="C497" s="629"/>
      <c r="D497" s="629"/>
    </row>
    <row r="498" spans="1:4" ht="15.75" customHeight="1" thickBot="1">
      <c r="A498" s="629"/>
      <c r="B498" s="629"/>
      <c r="C498" s="629"/>
      <c r="D498" s="629"/>
    </row>
    <row r="499" spans="1:4" ht="15.75" customHeight="1" thickBot="1">
      <c r="A499" s="629"/>
      <c r="B499" s="629"/>
      <c r="C499" s="629"/>
      <c r="D499" s="629"/>
    </row>
    <row r="500" spans="1:4" ht="15.75" customHeight="1" thickBot="1">
      <c r="A500" s="629"/>
      <c r="B500" s="629"/>
      <c r="C500" s="629"/>
      <c r="D500" s="629"/>
    </row>
    <row r="501" spans="1:4" ht="15.75" customHeight="1" thickBot="1">
      <c r="A501" s="629"/>
      <c r="B501" s="629"/>
      <c r="C501" s="629"/>
      <c r="D501" s="629"/>
    </row>
    <row r="502" spans="1:4" ht="15.75" customHeight="1" thickBot="1">
      <c r="A502" s="629"/>
      <c r="B502" s="629"/>
      <c r="C502" s="629"/>
      <c r="D502" s="629"/>
    </row>
    <row r="503" spans="1:4" ht="15.75" customHeight="1" thickBot="1">
      <c r="A503" s="629"/>
      <c r="B503" s="629"/>
      <c r="C503" s="629"/>
      <c r="D503" s="629"/>
    </row>
    <row r="504" spans="1:4" ht="15.75" customHeight="1" thickBot="1">
      <c r="A504" s="629"/>
      <c r="B504" s="629"/>
      <c r="C504" s="629"/>
      <c r="D504" s="629"/>
    </row>
    <row r="505" spans="1:4" ht="15.75" customHeight="1" thickBot="1">
      <c r="A505" s="629"/>
      <c r="B505" s="629"/>
      <c r="C505" s="629"/>
      <c r="D505" s="629"/>
    </row>
    <row r="506" spans="1:4" ht="15.75" customHeight="1" thickBot="1">
      <c r="A506" s="629"/>
      <c r="B506" s="629"/>
      <c r="C506" s="629"/>
      <c r="D506" s="629"/>
    </row>
    <row r="507" spans="1:4" ht="15.75" customHeight="1" thickBot="1">
      <c r="A507" s="629"/>
      <c r="B507" s="629"/>
      <c r="C507" s="629"/>
      <c r="D507" s="629"/>
    </row>
    <row r="508" spans="1:4" ht="15.75" customHeight="1" thickBot="1">
      <c r="A508" s="629"/>
      <c r="B508" s="629"/>
      <c r="C508" s="629"/>
      <c r="D508" s="629"/>
    </row>
    <row r="509" spans="1:4" ht="15.75" customHeight="1" thickBot="1">
      <c r="A509" s="629"/>
      <c r="B509" s="629"/>
      <c r="C509" s="629"/>
      <c r="D509" s="629"/>
    </row>
    <row r="510" spans="1:4" ht="15.75" customHeight="1" thickBot="1">
      <c r="A510" s="629"/>
      <c r="B510" s="629"/>
      <c r="C510" s="629"/>
      <c r="D510" s="629"/>
    </row>
    <row r="511" spans="1:4" ht="15.75" customHeight="1" thickBot="1">
      <c r="A511" s="629"/>
      <c r="B511" s="629"/>
      <c r="C511" s="629"/>
      <c r="D511" s="629"/>
    </row>
    <row r="512" spans="1:4" ht="15.75" customHeight="1" thickBot="1">
      <c r="A512" s="629"/>
      <c r="B512" s="629"/>
      <c r="C512" s="629"/>
      <c r="D512" s="629"/>
    </row>
    <row r="513" spans="1:4" ht="15.75" customHeight="1" thickBot="1">
      <c r="A513" s="629"/>
      <c r="B513" s="629"/>
      <c r="C513" s="629"/>
      <c r="D513" s="629"/>
    </row>
    <row r="514" spans="1:4" ht="15.75" customHeight="1" thickBot="1">
      <c r="A514" s="629"/>
      <c r="B514" s="629"/>
      <c r="C514" s="629"/>
      <c r="D514" s="629"/>
    </row>
    <row r="515" spans="1:4" ht="15.75" customHeight="1" thickBot="1">
      <c r="A515" s="629"/>
      <c r="B515" s="629"/>
      <c r="C515" s="629"/>
      <c r="D515" s="629"/>
    </row>
    <row r="516" spans="1:4" ht="15.75" customHeight="1" thickBot="1">
      <c r="A516" s="629"/>
      <c r="B516" s="629"/>
      <c r="C516" s="629"/>
      <c r="D516" s="629"/>
    </row>
    <row r="517" spans="1:4" ht="15.75" customHeight="1" thickBot="1">
      <c r="A517" s="629"/>
      <c r="B517" s="629"/>
      <c r="C517" s="629"/>
      <c r="D517" s="629"/>
    </row>
    <row r="518" spans="1:4" ht="15.75" customHeight="1" thickBot="1">
      <c r="A518" s="629"/>
      <c r="B518" s="629"/>
      <c r="C518" s="629"/>
      <c r="D518" s="629"/>
    </row>
    <row r="519" spans="1:4" ht="15.75" customHeight="1" thickBot="1">
      <c r="A519" s="629"/>
      <c r="B519" s="629"/>
      <c r="C519" s="629"/>
      <c r="D519" s="629"/>
    </row>
    <row r="520" spans="1:4" ht="15.75" customHeight="1" thickBot="1">
      <c r="A520" s="629"/>
      <c r="B520" s="629"/>
      <c r="C520" s="629"/>
      <c r="D520" s="629"/>
    </row>
    <row r="521" spans="1:4" ht="15.75" customHeight="1" thickBot="1">
      <c r="A521" s="629"/>
      <c r="B521" s="629"/>
      <c r="C521" s="629"/>
      <c r="D521" s="629"/>
    </row>
    <row r="522" spans="1:4" ht="15.75" customHeight="1" thickBot="1">
      <c r="A522" s="629"/>
      <c r="B522" s="629"/>
      <c r="C522" s="629"/>
      <c r="D522" s="629"/>
    </row>
    <row r="523" spans="1:4" ht="15.75" customHeight="1" thickBot="1">
      <c r="A523" s="629"/>
      <c r="B523" s="629"/>
      <c r="C523" s="629"/>
      <c r="D523" s="629"/>
    </row>
    <row r="524" spans="1:4" ht="15.75" customHeight="1" thickBot="1">
      <c r="A524" s="629"/>
      <c r="B524" s="629"/>
      <c r="C524" s="629"/>
      <c r="D524" s="629"/>
    </row>
    <row r="525" spans="1:4" ht="15.75" customHeight="1" thickBot="1">
      <c r="A525" s="629"/>
      <c r="B525" s="629"/>
      <c r="C525" s="629"/>
      <c r="D525" s="629"/>
    </row>
    <row r="526" spans="1:4" ht="15.75" customHeight="1" thickBot="1">
      <c r="A526" s="629"/>
      <c r="B526" s="629"/>
      <c r="C526" s="629"/>
      <c r="D526" s="629"/>
    </row>
    <row r="527" spans="1:4" ht="15.75" customHeight="1" thickBot="1">
      <c r="A527" s="629"/>
      <c r="B527" s="629"/>
      <c r="C527" s="629"/>
      <c r="D527" s="629"/>
    </row>
    <row r="528" spans="1:4" ht="15.75" customHeight="1" thickBot="1">
      <c r="A528" s="629"/>
      <c r="B528" s="629"/>
      <c r="C528" s="629"/>
      <c r="D528" s="629"/>
    </row>
    <row r="529" spans="1:4" ht="15.75" customHeight="1" thickBot="1">
      <c r="A529" s="629"/>
      <c r="B529" s="629"/>
      <c r="C529" s="629"/>
      <c r="D529" s="629"/>
    </row>
    <row r="530" spans="1:4" ht="15.75" customHeight="1" thickBot="1">
      <c r="A530" s="629"/>
      <c r="B530" s="629"/>
      <c r="C530" s="629"/>
      <c r="D530" s="629"/>
    </row>
    <row r="531" spans="1:4" ht="15.75" customHeight="1" thickBot="1">
      <c r="A531" s="629"/>
      <c r="B531" s="629"/>
      <c r="C531" s="629"/>
      <c r="D531" s="629"/>
    </row>
    <row r="532" spans="1:4" ht="15.75" customHeight="1" thickBot="1">
      <c r="A532" s="629"/>
      <c r="B532" s="629"/>
      <c r="C532" s="629"/>
      <c r="D532" s="629"/>
    </row>
    <row r="533" spans="1:4" ht="15.75" customHeight="1" thickBot="1">
      <c r="A533" s="629"/>
      <c r="B533" s="629"/>
      <c r="C533" s="629"/>
      <c r="D533" s="629"/>
    </row>
    <row r="534" spans="1:4" ht="15.75" customHeight="1" thickBot="1">
      <c r="A534" s="629"/>
      <c r="B534" s="629"/>
      <c r="C534" s="629"/>
      <c r="D534" s="629"/>
    </row>
    <row r="535" spans="1:4" ht="15.75" customHeight="1" thickBot="1">
      <c r="A535" s="629"/>
      <c r="B535" s="629"/>
      <c r="C535" s="629"/>
      <c r="D535" s="629"/>
    </row>
    <row r="536" spans="1:4" ht="15.75" customHeight="1" thickBot="1">
      <c r="A536" s="629"/>
      <c r="B536" s="629"/>
      <c r="C536" s="629"/>
      <c r="D536" s="629"/>
    </row>
    <row r="537" spans="1:4" ht="15.75" customHeight="1" thickBot="1">
      <c r="A537" s="629"/>
      <c r="B537" s="629"/>
      <c r="C537" s="629"/>
      <c r="D537" s="629"/>
    </row>
    <row r="538" spans="1:4" ht="15.75" customHeight="1" thickBot="1">
      <c r="A538" s="629"/>
      <c r="B538" s="629"/>
      <c r="C538" s="629"/>
      <c r="D538" s="629"/>
    </row>
    <row r="539" spans="1:4" ht="15.75" customHeight="1" thickBot="1">
      <c r="A539" s="629"/>
      <c r="B539" s="629"/>
      <c r="C539" s="629"/>
      <c r="D539" s="629"/>
    </row>
    <row r="540" spans="1:4" ht="15.75" customHeight="1" thickBot="1">
      <c r="A540" s="629"/>
      <c r="B540" s="629"/>
      <c r="C540" s="629"/>
      <c r="D540" s="629"/>
    </row>
    <row r="541" spans="1:4" ht="15.75" customHeight="1" thickBot="1">
      <c r="A541" s="629"/>
      <c r="B541" s="629"/>
      <c r="C541" s="629"/>
      <c r="D541" s="629"/>
    </row>
    <row r="542" spans="1:4" ht="15.75" customHeight="1" thickBot="1">
      <c r="A542" s="629"/>
      <c r="B542" s="629"/>
      <c r="C542" s="629"/>
      <c r="D542" s="629"/>
    </row>
    <row r="543" spans="1:4" ht="15.75" customHeight="1" thickBot="1">
      <c r="A543" s="629"/>
      <c r="B543" s="629"/>
      <c r="C543" s="629"/>
      <c r="D543" s="629"/>
    </row>
    <row r="544" spans="1:4" ht="15.75" customHeight="1" thickBot="1">
      <c r="A544" s="629"/>
      <c r="B544" s="629"/>
      <c r="C544" s="629"/>
      <c r="D544" s="629"/>
    </row>
    <row r="545" spans="1:4" ht="15.75" customHeight="1" thickBot="1">
      <c r="A545" s="629"/>
      <c r="B545" s="629"/>
      <c r="C545" s="629"/>
      <c r="D545" s="629"/>
    </row>
    <row r="546" spans="1:4" ht="15.75" customHeight="1" thickBot="1">
      <c r="A546" s="629"/>
      <c r="B546" s="629"/>
      <c r="C546" s="629"/>
      <c r="D546" s="629"/>
    </row>
    <row r="547" spans="1:4" ht="15.75" customHeight="1" thickBot="1">
      <c r="A547" s="629"/>
      <c r="B547" s="629"/>
      <c r="C547" s="629"/>
      <c r="D547" s="629"/>
    </row>
    <row r="548" spans="1:4" ht="15.75" customHeight="1" thickBot="1">
      <c r="A548" s="629"/>
      <c r="B548" s="629"/>
      <c r="C548" s="629"/>
      <c r="D548" s="629"/>
    </row>
    <row r="549" spans="1:4" ht="15.75" customHeight="1" thickBot="1">
      <c r="A549" s="629"/>
      <c r="B549" s="629"/>
      <c r="C549" s="629"/>
      <c r="D549" s="629"/>
    </row>
    <row r="550" spans="1:4" ht="15.75" customHeight="1" thickBot="1">
      <c r="A550" s="629"/>
      <c r="B550" s="629"/>
      <c r="C550" s="629"/>
      <c r="D550" s="629"/>
    </row>
    <row r="551" spans="1:4" ht="15.75" customHeight="1" thickBot="1">
      <c r="A551" s="629"/>
      <c r="B551" s="629"/>
      <c r="C551" s="629"/>
      <c r="D551" s="629"/>
    </row>
    <row r="552" spans="1:4" ht="15.75" customHeight="1" thickBot="1">
      <c r="A552" s="629"/>
      <c r="B552" s="629"/>
      <c r="C552" s="629"/>
      <c r="D552" s="629"/>
    </row>
    <row r="553" spans="1:4" ht="15.75" customHeight="1" thickBot="1">
      <c r="A553" s="629"/>
      <c r="B553" s="629"/>
      <c r="C553" s="629"/>
      <c r="D553" s="629"/>
    </row>
    <row r="554" spans="1:4" ht="15.75" customHeight="1" thickBot="1">
      <c r="A554" s="629"/>
      <c r="B554" s="629"/>
      <c r="C554" s="629"/>
      <c r="D554" s="629"/>
    </row>
    <row r="555" spans="1:4" ht="15.75" customHeight="1" thickBot="1">
      <c r="A555" s="629"/>
      <c r="B555" s="629"/>
      <c r="C555" s="629"/>
      <c r="D555" s="629"/>
    </row>
    <row r="556" spans="1:4" ht="15.75" customHeight="1" thickBot="1">
      <c r="A556" s="629"/>
      <c r="B556" s="629"/>
      <c r="C556" s="629"/>
      <c r="D556" s="629"/>
    </row>
    <row r="557" spans="1:4" ht="15.75" customHeight="1" thickBot="1">
      <c r="A557" s="629"/>
      <c r="B557" s="629"/>
      <c r="C557" s="629"/>
      <c r="D557" s="629"/>
    </row>
    <row r="558" spans="1:4" ht="15.75" customHeight="1" thickBot="1">
      <c r="A558" s="629"/>
      <c r="B558" s="629"/>
      <c r="C558" s="629"/>
      <c r="D558" s="629"/>
    </row>
    <row r="559" spans="1:4" ht="15.75" customHeight="1" thickBot="1">
      <c r="A559" s="629"/>
      <c r="B559" s="629"/>
      <c r="C559" s="629"/>
      <c r="D559" s="629"/>
    </row>
    <row r="560" spans="1:4" ht="15.75" customHeight="1" thickBot="1">
      <c r="A560" s="629"/>
      <c r="B560" s="629"/>
      <c r="C560" s="629"/>
      <c r="D560" s="629"/>
    </row>
    <row r="561" spans="1:4" ht="15.75" customHeight="1" thickBot="1">
      <c r="A561" s="629"/>
      <c r="B561" s="629"/>
      <c r="C561" s="629"/>
      <c r="D561" s="629"/>
    </row>
    <row r="562" spans="1:4" ht="15.75" customHeight="1" thickBot="1">
      <c r="A562" s="629"/>
      <c r="B562" s="629"/>
      <c r="C562" s="629"/>
      <c r="D562" s="629"/>
    </row>
    <row r="563" spans="1:4" ht="15.75" customHeight="1" thickBot="1">
      <c r="A563" s="629"/>
      <c r="B563" s="629"/>
      <c r="C563" s="629"/>
      <c r="D563" s="629"/>
    </row>
    <row r="564" spans="1:4" ht="15.75" customHeight="1" thickBot="1">
      <c r="A564" s="629"/>
      <c r="B564" s="629"/>
      <c r="C564" s="629"/>
      <c r="D564" s="629"/>
    </row>
    <row r="565" spans="1:4" ht="15.75" customHeight="1" thickBot="1">
      <c r="A565" s="629"/>
      <c r="B565" s="629"/>
      <c r="C565" s="629"/>
      <c r="D565" s="629"/>
    </row>
    <row r="566" spans="1:4" ht="15.75" customHeight="1" thickBot="1">
      <c r="A566" s="629"/>
      <c r="B566" s="629"/>
      <c r="C566" s="629"/>
      <c r="D566" s="629"/>
    </row>
    <row r="567" spans="1:4" ht="15.75" customHeight="1" thickBot="1">
      <c r="A567" s="629"/>
      <c r="B567" s="629"/>
      <c r="C567" s="629"/>
      <c r="D567" s="629"/>
    </row>
    <row r="568" spans="1:4" ht="15.75" customHeight="1" thickBot="1">
      <c r="A568" s="629"/>
      <c r="B568" s="629"/>
      <c r="C568" s="629"/>
      <c r="D568" s="629"/>
    </row>
    <row r="569" spans="1:4" ht="15.75" customHeight="1" thickBot="1">
      <c r="A569" s="629"/>
      <c r="B569" s="629"/>
      <c r="C569" s="629"/>
      <c r="D569" s="629"/>
    </row>
    <row r="570" spans="1:4" ht="15.75" customHeight="1" thickBot="1">
      <c r="A570" s="629"/>
      <c r="B570" s="629"/>
      <c r="C570" s="629"/>
      <c r="D570" s="629"/>
    </row>
    <row r="571" spans="1:4" ht="15.75" customHeight="1" thickBot="1">
      <c r="A571" s="629"/>
      <c r="B571" s="629"/>
      <c r="C571" s="629"/>
      <c r="D571" s="629"/>
    </row>
    <row r="572" spans="1:4" ht="15.75" customHeight="1" thickBot="1">
      <c r="A572" s="629"/>
      <c r="B572" s="629"/>
      <c r="C572" s="629"/>
      <c r="D572" s="629"/>
    </row>
    <row r="573" spans="1:4" ht="15.75" customHeight="1" thickBot="1">
      <c r="A573" s="629"/>
      <c r="B573" s="629"/>
      <c r="C573" s="629"/>
      <c r="D573" s="629"/>
    </row>
    <row r="574" spans="1:4" ht="15.75" customHeight="1" thickBot="1">
      <c r="A574" s="629"/>
      <c r="B574" s="629"/>
      <c r="C574" s="629"/>
      <c r="D574" s="629"/>
    </row>
    <row r="575" spans="1:4" ht="15.75" customHeight="1" thickBot="1">
      <c r="A575" s="629"/>
      <c r="B575" s="629"/>
      <c r="C575" s="629"/>
      <c r="D575" s="629"/>
    </row>
    <row r="576" spans="1:4" ht="15.75" customHeight="1" thickBot="1">
      <c r="A576" s="629"/>
      <c r="B576" s="629"/>
      <c r="C576" s="629"/>
      <c r="D576" s="629"/>
    </row>
    <row r="577" spans="1:4" ht="15.75" customHeight="1" thickBot="1">
      <c r="A577" s="629"/>
      <c r="B577" s="629"/>
      <c r="C577" s="629"/>
      <c r="D577" s="629"/>
    </row>
    <row r="578" spans="1:4" ht="15.75" customHeight="1" thickBot="1">
      <c r="A578" s="629"/>
      <c r="B578" s="629"/>
      <c r="C578" s="629"/>
      <c r="D578" s="629"/>
    </row>
    <row r="579" spans="1:4" ht="15.75" customHeight="1" thickBot="1">
      <c r="A579" s="629"/>
      <c r="B579" s="629"/>
      <c r="C579" s="629"/>
      <c r="D579" s="629"/>
    </row>
    <row r="580" spans="1:4" ht="15.75" customHeight="1" thickBot="1">
      <c r="A580" s="629"/>
      <c r="B580" s="629"/>
      <c r="C580" s="629"/>
      <c r="D580" s="629"/>
    </row>
    <row r="581" spans="1:4" ht="15.75" customHeight="1" thickBot="1">
      <c r="A581" s="629"/>
      <c r="B581" s="629"/>
      <c r="C581" s="629"/>
      <c r="D581" s="629"/>
    </row>
    <row r="582" spans="1:4" ht="15.75" customHeight="1" thickBot="1">
      <c r="A582" s="629"/>
      <c r="B582" s="629"/>
      <c r="C582" s="629"/>
      <c r="D582" s="629"/>
    </row>
    <row r="583" spans="1:4" ht="15.75" customHeight="1" thickBot="1">
      <c r="A583" s="629"/>
      <c r="B583" s="629"/>
      <c r="C583" s="629"/>
      <c r="D583" s="629"/>
    </row>
    <row r="584" spans="1:4" ht="15.75" customHeight="1" thickBot="1">
      <c r="A584" s="629"/>
      <c r="B584" s="629"/>
      <c r="C584" s="629"/>
      <c r="D584" s="629"/>
    </row>
    <row r="585" spans="1:4" ht="15.75" customHeight="1" thickBot="1">
      <c r="A585" s="629"/>
      <c r="B585" s="629"/>
      <c r="C585" s="629"/>
      <c r="D585" s="629"/>
    </row>
    <row r="586" spans="1:4" ht="15.75" customHeight="1" thickBot="1">
      <c r="A586" s="629"/>
      <c r="B586" s="629"/>
      <c r="C586" s="629"/>
      <c r="D586" s="629"/>
    </row>
    <row r="587" spans="1:4" ht="15.75" customHeight="1" thickBot="1">
      <c r="A587" s="629"/>
      <c r="B587" s="629"/>
      <c r="C587" s="629"/>
      <c r="D587" s="629"/>
    </row>
    <row r="588" spans="1:4" ht="15.75" customHeight="1" thickBot="1">
      <c r="A588" s="629"/>
      <c r="B588" s="629"/>
      <c r="C588" s="629"/>
      <c r="D588" s="629"/>
    </row>
    <row r="589" spans="1:4" ht="15.75" customHeight="1" thickBot="1">
      <c r="A589" s="629"/>
      <c r="B589" s="629"/>
      <c r="C589" s="629"/>
      <c r="D589" s="629"/>
    </row>
    <row r="590" spans="1:4" ht="15.75" customHeight="1" thickBot="1">
      <c r="A590" s="629"/>
      <c r="B590" s="629"/>
      <c r="C590" s="629"/>
      <c r="D590" s="629"/>
    </row>
    <row r="591" spans="1:4" ht="15.75" customHeight="1" thickBot="1">
      <c r="A591" s="629"/>
      <c r="B591" s="629"/>
      <c r="C591" s="629"/>
      <c r="D591" s="629"/>
    </row>
    <row r="592" spans="1:4" ht="15.75" customHeight="1" thickBot="1">
      <c r="A592" s="629"/>
      <c r="B592" s="629"/>
      <c r="C592" s="629"/>
      <c r="D592" s="629"/>
    </row>
    <row r="593" spans="1:4" ht="15.75" customHeight="1" thickBot="1">
      <c r="A593" s="629"/>
      <c r="B593" s="629"/>
      <c r="C593" s="629"/>
      <c r="D593" s="629"/>
    </row>
    <row r="594" spans="1:4" ht="15.75" customHeight="1" thickBot="1">
      <c r="A594" s="629"/>
      <c r="B594" s="629"/>
      <c r="C594" s="629"/>
      <c r="D594" s="629"/>
    </row>
    <row r="595" spans="1:4" ht="15.75" customHeight="1" thickBot="1">
      <c r="A595" s="629"/>
      <c r="B595" s="629"/>
      <c r="C595" s="629"/>
      <c r="D595" s="629"/>
    </row>
    <row r="596" spans="1:4" ht="15.75" customHeight="1" thickBot="1">
      <c r="A596" s="629"/>
      <c r="B596" s="629"/>
      <c r="C596" s="629"/>
      <c r="D596" s="629"/>
    </row>
    <row r="597" spans="1:4" ht="15.75" customHeight="1" thickBot="1">
      <c r="A597" s="629"/>
      <c r="B597" s="629"/>
      <c r="C597" s="629"/>
      <c r="D597" s="629"/>
    </row>
    <row r="598" spans="1:4" ht="15.75" customHeight="1" thickBot="1">
      <c r="A598" s="629"/>
      <c r="B598" s="629"/>
      <c r="C598" s="629"/>
      <c r="D598" s="629"/>
    </row>
    <row r="599" spans="1:4" ht="15.75" customHeight="1" thickBot="1">
      <c r="A599" s="629"/>
      <c r="B599" s="629"/>
      <c r="C599" s="629"/>
      <c r="D599" s="629"/>
    </row>
    <row r="600" spans="1:4" ht="15.75" customHeight="1" thickBot="1">
      <c r="A600" s="629"/>
      <c r="B600" s="629"/>
      <c r="C600" s="629"/>
      <c r="D600" s="629"/>
    </row>
    <row r="601" spans="1:4" ht="15.75" customHeight="1" thickBot="1">
      <c r="A601" s="629"/>
      <c r="B601" s="629"/>
      <c r="C601" s="629"/>
      <c r="D601" s="629"/>
    </row>
    <row r="602" spans="1:4" ht="15.75" customHeight="1" thickBot="1">
      <c r="A602" s="629"/>
      <c r="B602" s="629"/>
      <c r="C602" s="629"/>
      <c r="D602" s="629"/>
    </row>
    <row r="603" spans="1:4" ht="15.75" customHeight="1" thickBot="1">
      <c r="A603" s="629"/>
      <c r="B603" s="629"/>
      <c r="C603" s="629"/>
      <c r="D603" s="629"/>
    </row>
    <row r="604" spans="1:4" ht="15.75" customHeight="1" thickBot="1">
      <c r="A604" s="629"/>
      <c r="B604" s="629"/>
      <c r="C604" s="629"/>
      <c r="D604" s="629"/>
    </row>
    <row r="605" spans="1:4" ht="15.75" customHeight="1" thickBot="1">
      <c r="A605" s="629"/>
      <c r="B605" s="629"/>
      <c r="C605" s="629"/>
      <c r="D605" s="629"/>
    </row>
    <row r="606" spans="1:4" ht="15.75" customHeight="1" thickBot="1">
      <c r="A606" s="629"/>
      <c r="B606" s="629"/>
      <c r="C606" s="629"/>
      <c r="D606" s="629"/>
    </row>
    <row r="607" spans="1:4" ht="15.75" customHeight="1" thickBot="1">
      <c r="A607" s="629"/>
      <c r="B607" s="629"/>
      <c r="C607" s="629"/>
      <c r="D607" s="629"/>
    </row>
    <row r="608" spans="1:4" ht="15.75" customHeight="1" thickBot="1">
      <c r="A608" s="629"/>
      <c r="B608" s="629"/>
      <c r="C608" s="629"/>
      <c r="D608" s="629"/>
    </row>
    <row r="609" spans="1:4" ht="15.75" customHeight="1" thickBot="1">
      <c r="A609" s="629"/>
      <c r="B609" s="629"/>
      <c r="C609" s="629"/>
      <c r="D609" s="629"/>
    </row>
    <row r="610" spans="1:4" ht="15.75" customHeight="1" thickBot="1">
      <c r="A610" s="629"/>
      <c r="B610" s="629"/>
      <c r="C610" s="629"/>
      <c r="D610" s="629"/>
    </row>
    <row r="611" spans="1:4" ht="15.75" customHeight="1" thickBot="1">
      <c r="A611" s="629"/>
      <c r="B611" s="629"/>
      <c r="C611" s="629"/>
      <c r="D611" s="629"/>
    </row>
    <row r="612" spans="1:4" ht="15.75" customHeight="1" thickBot="1">
      <c r="A612" s="629"/>
      <c r="B612" s="629"/>
      <c r="C612" s="629"/>
      <c r="D612" s="629"/>
    </row>
    <row r="613" spans="1:4" ht="15.75" customHeight="1" thickBot="1">
      <c r="A613" s="629"/>
      <c r="B613" s="629"/>
      <c r="C613" s="629"/>
      <c r="D613" s="629"/>
    </row>
    <row r="614" spans="1:4" ht="15.75" customHeight="1" thickBot="1">
      <c r="A614" s="629"/>
      <c r="B614" s="629"/>
      <c r="C614" s="629"/>
      <c r="D614" s="629"/>
    </row>
    <row r="615" spans="1:4" ht="15.75" customHeight="1" thickBot="1">
      <c r="A615" s="629"/>
      <c r="B615" s="629"/>
      <c r="C615" s="629"/>
      <c r="D615" s="629"/>
    </row>
    <row r="616" spans="1:4" ht="15.75" customHeight="1" thickBot="1">
      <c r="A616" s="629"/>
      <c r="B616" s="629"/>
      <c r="C616" s="629"/>
      <c r="D616" s="629"/>
    </row>
    <row r="617" spans="1:4" ht="15.75" customHeight="1" thickBot="1">
      <c r="A617" s="629"/>
      <c r="B617" s="629"/>
      <c r="C617" s="629"/>
      <c r="D617" s="629"/>
    </row>
    <row r="618" spans="1:4" ht="15.75" customHeight="1" thickBot="1">
      <c r="A618" s="629"/>
      <c r="B618" s="629"/>
      <c r="C618" s="629"/>
      <c r="D618" s="629"/>
    </row>
    <row r="619" spans="1:4" ht="15.75" customHeight="1" thickBot="1">
      <c r="A619" s="629"/>
      <c r="B619" s="629"/>
      <c r="C619" s="629"/>
      <c r="D619" s="629"/>
    </row>
    <row r="620" spans="1:4" ht="15.75" customHeight="1" thickBot="1">
      <c r="A620" s="629"/>
      <c r="B620" s="629"/>
      <c r="C620" s="629"/>
      <c r="D620" s="629"/>
    </row>
    <row r="621" spans="1:4" ht="15.75" customHeight="1" thickBot="1">
      <c r="A621" s="629"/>
      <c r="B621" s="629"/>
      <c r="C621" s="629"/>
      <c r="D621" s="629"/>
    </row>
    <row r="622" spans="1:4" ht="15.75" customHeight="1" thickBot="1">
      <c r="A622" s="629"/>
      <c r="B622" s="629"/>
      <c r="C622" s="629"/>
      <c r="D622" s="629"/>
    </row>
    <row r="623" spans="1:4" ht="15.75" customHeight="1" thickBot="1">
      <c r="A623" s="629"/>
      <c r="B623" s="629"/>
      <c r="C623" s="629"/>
      <c r="D623" s="629"/>
    </row>
    <row r="624" spans="1:4" ht="15.75" customHeight="1" thickBot="1">
      <c r="A624" s="629"/>
      <c r="B624" s="629"/>
      <c r="C624" s="629"/>
      <c r="D624" s="629"/>
    </row>
    <row r="625" spans="1:4" ht="15.75" customHeight="1" thickBot="1">
      <c r="A625" s="629"/>
      <c r="B625" s="629"/>
      <c r="C625" s="629"/>
      <c r="D625" s="629"/>
    </row>
    <row r="626" spans="1:4" ht="15.75" customHeight="1" thickBot="1">
      <c r="A626" s="629"/>
      <c r="B626" s="629"/>
      <c r="C626" s="629"/>
      <c r="D626" s="629"/>
    </row>
    <row r="627" spans="1:4" ht="15.75" customHeight="1" thickBot="1">
      <c r="A627" s="629"/>
      <c r="B627" s="629"/>
      <c r="C627" s="629"/>
      <c r="D627" s="629"/>
    </row>
    <row r="628" spans="1:4" ht="15.75" customHeight="1" thickBot="1">
      <c r="A628" s="629"/>
      <c r="B628" s="629"/>
      <c r="C628" s="629"/>
      <c r="D628" s="629"/>
    </row>
    <row r="629" spans="1:4" ht="15.75" customHeight="1" thickBot="1">
      <c r="A629" s="629"/>
      <c r="B629" s="629"/>
      <c r="C629" s="629"/>
      <c r="D629" s="629"/>
    </row>
    <row r="630" spans="1:4" ht="15.75" customHeight="1" thickBot="1">
      <c r="A630" s="629"/>
      <c r="B630" s="629"/>
      <c r="C630" s="629"/>
      <c r="D630" s="629"/>
    </row>
    <row r="631" spans="1:4" ht="15.75" customHeight="1" thickBot="1">
      <c r="A631" s="629"/>
      <c r="B631" s="629"/>
      <c r="C631" s="629"/>
      <c r="D631" s="629"/>
    </row>
    <row r="632" spans="1:4" ht="15.75" customHeight="1" thickBot="1">
      <c r="A632" s="629"/>
      <c r="B632" s="629"/>
      <c r="C632" s="629"/>
      <c r="D632" s="629"/>
    </row>
    <row r="633" spans="1:4" ht="15.75" customHeight="1" thickBot="1">
      <c r="A633" s="629"/>
      <c r="B633" s="629"/>
      <c r="C633" s="629"/>
      <c r="D633" s="629"/>
    </row>
    <row r="634" spans="1:4" ht="15.75" customHeight="1" thickBot="1">
      <c r="A634" s="629"/>
      <c r="B634" s="629"/>
      <c r="C634" s="629"/>
      <c r="D634" s="629"/>
    </row>
    <row r="635" spans="1:4" ht="15.75" customHeight="1" thickBot="1">
      <c r="A635" s="629"/>
      <c r="B635" s="629"/>
      <c r="C635" s="629"/>
      <c r="D635" s="629"/>
    </row>
    <row r="636" spans="1:4" ht="15.75" customHeight="1" thickBot="1">
      <c r="A636" s="629"/>
      <c r="B636" s="629"/>
      <c r="C636" s="629"/>
      <c r="D636" s="629"/>
    </row>
    <row r="637" spans="1:4" ht="15.75" customHeight="1" thickBot="1">
      <c r="A637" s="629"/>
      <c r="B637" s="629"/>
      <c r="C637" s="629"/>
      <c r="D637" s="629"/>
    </row>
    <row r="638" spans="1:4" ht="15.75" customHeight="1" thickBot="1">
      <c r="A638" s="629"/>
      <c r="B638" s="629"/>
      <c r="C638" s="629"/>
      <c r="D638" s="629"/>
    </row>
    <row r="639" spans="1:4" ht="15.75" customHeight="1" thickBot="1">
      <c r="A639" s="629"/>
      <c r="B639" s="629"/>
      <c r="C639" s="629"/>
      <c r="D639" s="629"/>
    </row>
    <row r="640" spans="1:4" ht="15.75" customHeight="1" thickBot="1">
      <c r="A640" s="629"/>
      <c r="B640" s="629"/>
      <c r="C640" s="629"/>
      <c r="D640" s="629"/>
    </row>
    <row r="641" spans="1:4" ht="15.75" customHeight="1" thickBot="1">
      <c r="A641" s="629"/>
      <c r="B641" s="629"/>
      <c r="C641" s="629"/>
      <c r="D641" s="629"/>
    </row>
    <row r="642" spans="1:4" ht="15.75" customHeight="1" thickBot="1">
      <c r="A642" s="629"/>
      <c r="B642" s="629"/>
      <c r="C642" s="629"/>
      <c r="D642" s="629"/>
    </row>
    <row r="643" spans="1:4" ht="15.75" customHeight="1" thickBot="1">
      <c r="A643" s="629"/>
      <c r="B643" s="629"/>
      <c r="C643" s="629"/>
      <c r="D643" s="629"/>
    </row>
    <row r="644" spans="1:4" ht="15.75" customHeight="1" thickBot="1">
      <c r="A644" s="629"/>
      <c r="B644" s="629"/>
      <c r="C644" s="629"/>
      <c r="D644" s="629"/>
    </row>
    <row r="645" spans="1:4" ht="15.75" customHeight="1" thickBot="1">
      <c r="A645" s="629"/>
      <c r="B645" s="629"/>
      <c r="C645" s="629"/>
      <c r="D645" s="629"/>
    </row>
    <row r="646" spans="1:4" ht="15.75" customHeight="1" thickBot="1">
      <c r="A646" s="629"/>
      <c r="B646" s="629"/>
      <c r="C646" s="629"/>
      <c r="D646" s="629"/>
    </row>
    <row r="647" spans="1:4" ht="15.75" customHeight="1" thickBot="1">
      <c r="A647" s="629"/>
      <c r="B647" s="629"/>
      <c r="C647" s="629"/>
      <c r="D647" s="629"/>
    </row>
    <row r="648" spans="1:4" ht="15.75" customHeight="1" thickBot="1">
      <c r="A648" s="629"/>
      <c r="B648" s="629"/>
      <c r="C648" s="629"/>
      <c r="D648" s="629"/>
    </row>
    <row r="649" spans="1:4" ht="15.75" customHeight="1" thickBot="1">
      <c r="A649" s="629"/>
      <c r="B649" s="629"/>
      <c r="C649" s="629"/>
      <c r="D649" s="629"/>
    </row>
    <row r="650" spans="1:4" ht="15.75" customHeight="1" thickBot="1">
      <c r="A650" s="629"/>
      <c r="B650" s="629"/>
      <c r="C650" s="629"/>
      <c r="D650" s="629"/>
    </row>
    <row r="651" spans="1:4" ht="15.75" customHeight="1" thickBot="1">
      <c r="A651" s="629"/>
      <c r="B651" s="629"/>
      <c r="C651" s="629"/>
      <c r="D651" s="629"/>
    </row>
    <row r="652" spans="1:4" ht="15.75" customHeight="1" thickBot="1">
      <c r="A652" s="629"/>
      <c r="B652" s="629"/>
      <c r="C652" s="629"/>
      <c r="D652" s="629"/>
    </row>
    <row r="653" spans="1:4" ht="15.75" customHeight="1" thickBot="1">
      <c r="A653" s="629"/>
      <c r="B653" s="629"/>
      <c r="C653" s="629"/>
      <c r="D653" s="629"/>
    </row>
    <row r="654" spans="1:4" ht="15.75" customHeight="1" thickBot="1">
      <c r="A654" s="629"/>
      <c r="B654" s="629"/>
      <c r="C654" s="629"/>
      <c r="D654" s="629"/>
    </row>
    <row r="655" spans="1:4" ht="15.75" customHeight="1" thickBot="1">
      <c r="A655" s="629"/>
      <c r="B655" s="629"/>
      <c r="C655" s="629"/>
      <c r="D655" s="629"/>
    </row>
    <row r="656" spans="1:4" ht="15.75" customHeight="1" thickBot="1">
      <c r="A656" s="629"/>
      <c r="B656" s="629"/>
      <c r="C656" s="629"/>
      <c r="D656" s="629"/>
    </row>
    <row r="657" spans="1:4" ht="15.75" customHeight="1" thickBot="1">
      <c r="A657" s="629"/>
      <c r="B657" s="629"/>
      <c r="C657" s="629"/>
      <c r="D657" s="629"/>
    </row>
    <row r="658" spans="1:4" ht="15.75" customHeight="1" thickBot="1">
      <c r="A658" s="629"/>
      <c r="B658" s="629"/>
      <c r="C658" s="629"/>
      <c r="D658" s="629"/>
    </row>
    <row r="659" spans="1:4" ht="15.75" customHeight="1" thickBot="1">
      <c r="A659" s="629"/>
      <c r="B659" s="629"/>
      <c r="C659" s="629"/>
      <c r="D659" s="629"/>
    </row>
    <row r="660" spans="1:4" ht="15.75" customHeight="1" thickBot="1">
      <c r="A660" s="629"/>
      <c r="B660" s="629"/>
      <c r="C660" s="629"/>
      <c r="D660" s="629"/>
    </row>
    <row r="661" spans="1:4" ht="15.75" customHeight="1" thickBot="1">
      <c r="A661" s="629"/>
      <c r="B661" s="629"/>
      <c r="C661" s="629"/>
      <c r="D661" s="629"/>
    </row>
    <row r="662" spans="1:4" ht="15.75" customHeight="1" thickBot="1">
      <c r="A662" s="629"/>
      <c r="B662" s="629"/>
      <c r="C662" s="629"/>
      <c r="D662" s="629"/>
    </row>
    <row r="663" spans="1:4" ht="15.75" customHeight="1" thickBot="1">
      <c r="A663" s="629"/>
      <c r="B663" s="629"/>
      <c r="C663" s="629"/>
      <c r="D663" s="629"/>
    </row>
    <row r="664" spans="1:4" ht="15.75" customHeight="1" thickBot="1">
      <c r="A664" s="629"/>
      <c r="B664" s="629"/>
      <c r="C664" s="629"/>
      <c r="D664" s="629"/>
    </row>
    <row r="665" spans="1:4" ht="15.75" customHeight="1" thickBot="1">
      <c r="A665" s="629"/>
      <c r="B665" s="629"/>
      <c r="C665" s="629"/>
      <c r="D665" s="629"/>
    </row>
    <row r="666" spans="1:4" ht="15.75" customHeight="1" thickBot="1">
      <c r="A666" s="629"/>
      <c r="B666" s="629"/>
      <c r="C666" s="629"/>
      <c r="D666" s="629"/>
    </row>
    <row r="667" spans="1:4" ht="15.75" customHeight="1" thickBot="1">
      <c r="A667" s="629"/>
      <c r="B667" s="629"/>
      <c r="C667" s="629"/>
      <c r="D667" s="629"/>
    </row>
    <row r="668" spans="1:4" ht="15.75" customHeight="1" thickBot="1">
      <c r="A668" s="629"/>
      <c r="B668" s="629"/>
      <c r="C668" s="629"/>
      <c r="D668" s="629"/>
    </row>
    <row r="669" spans="1:4" ht="15.75" customHeight="1" thickBot="1">
      <c r="A669" s="629"/>
      <c r="B669" s="629"/>
      <c r="C669" s="629"/>
      <c r="D669" s="629"/>
    </row>
    <row r="670" spans="1:4" ht="15.75" customHeight="1" thickBot="1">
      <c r="A670" s="629"/>
      <c r="B670" s="629"/>
      <c r="C670" s="629"/>
      <c r="D670" s="629"/>
    </row>
    <row r="671" spans="1:4" ht="15.75" customHeight="1" thickBot="1">
      <c r="A671" s="629"/>
      <c r="B671" s="629"/>
      <c r="C671" s="629"/>
      <c r="D671" s="629"/>
    </row>
    <row r="672" spans="1:4" ht="15.75" customHeight="1" thickBot="1">
      <c r="A672" s="629"/>
      <c r="B672" s="629"/>
      <c r="C672" s="629"/>
      <c r="D672" s="629"/>
    </row>
    <row r="673" spans="1:4" ht="15.75" customHeight="1" thickBot="1">
      <c r="A673" s="629"/>
      <c r="B673" s="629"/>
      <c r="C673" s="629"/>
      <c r="D673" s="629"/>
    </row>
    <row r="674" spans="1:4" ht="15.75" customHeight="1" thickBot="1">
      <c r="A674" s="629"/>
      <c r="B674" s="629"/>
      <c r="C674" s="629"/>
      <c r="D674" s="629"/>
    </row>
    <row r="675" spans="1:4" ht="15.75" customHeight="1" thickBot="1">
      <c r="A675" s="629"/>
      <c r="B675" s="629"/>
      <c r="C675" s="629"/>
      <c r="D675" s="629"/>
    </row>
    <row r="676" spans="1:4" ht="15.75" customHeight="1" thickBot="1">
      <c r="A676" s="629"/>
      <c r="B676" s="629"/>
      <c r="C676" s="629"/>
      <c r="D676" s="629"/>
    </row>
    <row r="677" spans="1:4" ht="15.75" customHeight="1" thickBot="1">
      <c r="A677" s="629"/>
      <c r="B677" s="629"/>
      <c r="C677" s="629"/>
      <c r="D677" s="629"/>
    </row>
    <row r="678" spans="1:4" ht="15.75" customHeight="1" thickBot="1">
      <c r="A678" s="629"/>
      <c r="B678" s="629"/>
      <c r="C678" s="629"/>
      <c r="D678" s="629"/>
    </row>
    <row r="679" spans="1:4" ht="15.75" customHeight="1" thickBot="1">
      <c r="A679" s="629"/>
      <c r="B679" s="629"/>
      <c r="C679" s="629"/>
      <c r="D679" s="629"/>
    </row>
    <row r="680" spans="1:4" ht="15.75" customHeight="1" thickBot="1">
      <c r="A680" s="629"/>
      <c r="B680" s="629"/>
      <c r="C680" s="629"/>
      <c r="D680" s="629"/>
    </row>
    <row r="681" spans="1:4" ht="15.75" customHeight="1" thickBot="1">
      <c r="A681" s="629"/>
      <c r="B681" s="629"/>
      <c r="C681" s="629"/>
      <c r="D681" s="629"/>
    </row>
    <row r="682" spans="1:4" ht="15.75" customHeight="1" thickBot="1">
      <c r="A682" s="629"/>
      <c r="B682" s="629"/>
      <c r="C682" s="629"/>
      <c r="D682" s="629"/>
    </row>
    <row r="683" spans="1:4" ht="15.75" customHeight="1" thickBot="1">
      <c r="A683" s="629"/>
      <c r="B683" s="629"/>
      <c r="C683" s="629"/>
      <c r="D683" s="629"/>
    </row>
    <row r="684" spans="1:4" ht="15.75" customHeight="1" thickBot="1">
      <c r="A684" s="629"/>
      <c r="B684" s="629"/>
      <c r="C684" s="629"/>
      <c r="D684" s="629"/>
    </row>
    <row r="685" spans="1:4" ht="15.75" customHeight="1" thickBot="1">
      <c r="A685" s="629"/>
      <c r="B685" s="629"/>
      <c r="C685" s="629"/>
      <c r="D685" s="629"/>
    </row>
    <row r="686" spans="1:4" ht="15.75" customHeight="1" thickBot="1">
      <c r="A686" s="629"/>
      <c r="B686" s="629"/>
      <c r="C686" s="629"/>
      <c r="D686" s="629"/>
    </row>
    <row r="687" spans="1:4" ht="15.75" customHeight="1" thickBot="1">
      <c r="A687" s="629"/>
      <c r="B687" s="629"/>
      <c r="C687" s="629"/>
      <c r="D687" s="629"/>
    </row>
    <row r="688" spans="1:4" ht="15.75" customHeight="1" thickBot="1">
      <c r="A688" s="629"/>
      <c r="B688" s="629"/>
      <c r="C688" s="629"/>
      <c r="D688" s="629"/>
    </row>
    <row r="689" spans="1:4" ht="15.75" customHeight="1" thickBot="1">
      <c r="A689" s="629"/>
      <c r="B689" s="629"/>
      <c r="C689" s="629"/>
      <c r="D689" s="629"/>
    </row>
    <row r="690" spans="1:4" ht="15.75" customHeight="1" thickBot="1">
      <c r="A690" s="629"/>
      <c r="B690" s="629"/>
      <c r="C690" s="629"/>
      <c r="D690" s="629"/>
    </row>
    <row r="691" spans="1:4" ht="15.75" customHeight="1" thickBot="1">
      <c r="A691" s="629"/>
      <c r="B691" s="629"/>
      <c r="C691" s="629"/>
      <c r="D691" s="629"/>
    </row>
    <row r="692" spans="1:4" ht="15.75" customHeight="1" thickBot="1">
      <c r="A692" s="629"/>
      <c r="B692" s="629"/>
      <c r="C692" s="629"/>
      <c r="D692" s="629"/>
    </row>
    <row r="693" spans="1:4" ht="15.75" customHeight="1" thickBot="1">
      <c r="A693" s="629"/>
      <c r="B693" s="629"/>
      <c r="C693" s="629"/>
      <c r="D693" s="629"/>
    </row>
    <row r="694" spans="1:4" ht="15.75" customHeight="1" thickBot="1">
      <c r="A694" s="629"/>
      <c r="B694" s="629"/>
      <c r="C694" s="629"/>
      <c r="D694" s="629"/>
    </row>
    <row r="695" spans="1:4" ht="15.75" customHeight="1" thickBot="1">
      <c r="A695" s="629"/>
      <c r="B695" s="629"/>
      <c r="C695" s="629"/>
      <c r="D695" s="629"/>
    </row>
    <row r="696" spans="1:4" ht="15.75" customHeight="1" thickBot="1">
      <c r="A696" s="629"/>
      <c r="B696" s="629"/>
      <c r="C696" s="629"/>
      <c r="D696" s="629"/>
    </row>
    <row r="697" spans="1:4" ht="15.75" customHeight="1" thickBot="1">
      <c r="A697" s="629"/>
      <c r="B697" s="629"/>
      <c r="C697" s="629"/>
      <c r="D697" s="629"/>
    </row>
    <row r="698" spans="1:4" ht="15.75" customHeight="1" thickBot="1">
      <c r="A698" s="629"/>
      <c r="B698" s="629"/>
      <c r="C698" s="629"/>
      <c r="D698" s="629"/>
    </row>
    <row r="699" spans="1:4" ht="15.75" customHeight="1" thickBot="1">
      <c r="A699" s="629"/>
      <c r="B699" s="629"/>
      <c r="C699" s="629"/>
      <c r="D699" s="629"/>
    </row>
    <row r="700" spans="1:4" ht="15.75" customHeight="1" thickBot="1">
      <c r="A700" s="629"/>
      <c r="B700" s="629"/>
      <c r="C700" s="629"/>
      <c r="D700" s="629"/>
    </row>
    <row r="701" spans="1:4" ht="15.75" customHeight="1" thickBot="1">
      <c r="A701" s="629"/>
      <c r="B701" s="629"/>
      <c r="C701" s="629"/>
      <c r="D701" s="629"/>
    </row>
    <row r="702" spans="1:4" ht="15.75" customHeight="1" thickBot="1">
      <c r="A702" s="629"/>
      <c r="B702" s="629"/>
      <c r="C702" s="629"/>
      <c r="D702" s="629"/>
    </row>
    <row r="703" spans="1:4" ht="15.75" customHeight="1" thickBot="1">
      <c r="A703" s="629"/>
      <c r="B703" s="629"/>
      <c r="C703" s="629"/>
      <c r="D703" s="629"/>
    </row>
    <row r="704" spans="1:4" ht="15.75" customHeight="1" thickBot="1">
      <c r="A704" s="629"/>
      <c r="B704" s="629"/>
      <c r="C704" s="629"/>
      <c r="D704" s="629"/>
    </row>
    <row r="705" spans="1:4" ht="15.75" customHeight="1" thickBot="1">
      <c r="A705" s="629"/>
      <c r="B705" s="629"/>
      <c r="C705" s="629"/>
      <c r="D705" s="629"/>
    </row>
    <row r="706" spans="1:4" ht="15.75" customHeight="1" thickBot="1">
      <c r="A706" s="629"/>
      <c r="B706" s="629"/>
      <c r="C706" s="629"/>
      <c r="D706" s="629"/>
    </row>
    <row r="707" spans="1:4" ht="15.75" customHeight="1" thickBot="1">
      <c r="A707" s="629"/>
      <c r="B707" s="629"/>
      <c r="C707" s="629"/>
      <c r="D707" s="629"/>
    </row>
    <row r="708" spans="1:4" ht="15.75" customHeight="1" thickBot="1">
      <c r="A708" s="629"/>
      <c r="B708" s="629"/>
      <c r="C708" s="629"/>
      <c r="D708" s="629"/>
    </row>
    <row r="709" spans="1:4" ht="15.75" customHeight="1" thickBot="1">
      <c r="A709" s="629"/>
      <c r="B709" s="629"/>
      <c r="C709" s="629"/>
      <c r="D709" s="629"/>
    </row>
    <row r="710" spans="1:4" ht="15.75" customHeight="1" thickBot="1">
      <c r="A710" s="629"/>
      <c r="B710" s="629"/>
      <c r="C710" s="629"/>
      <c r="D710" s="629"/>
    </row>
    <row r="711" spans="1:4" ht="15.75" customHeight="1" thickBot="1">
      <c r="A711" s="629"/>
      <c r="B711" s="629"/>
      <c r="C711" s="629"/>
      <c r="D711" s="629"/>
    </row>
    <row r="712" spans="1:4" ht="15.75" customHeight="1" thickBot="1">
      <c r="A712" s="629"/>
      <c r="B712" s="629"/>
      <c r="C712" s="629"/>
      <c r="D712" s="629"/>
    </row>
    <row r="713" spans="1:4" ht="15.75" customHeight="1" thickBot="1">
      <c r="A713" s="629"/>
      <c r="B713" s="629"/>
      <c r="C713" s="629"/>
      <c r="D713" s="629"/>
    </row>
    <row r="714" spans="1:4" ht="15.75" customHeight="1" thickBot="1">
      <c r="A714" s="629"/>
      <c r="B714" s="629"/>
      <c r="C714" s="629"/>
      <c r="D714" s="629"/>
    </row>
    <row r="715" spans="1:4" ht="15.75" customHeight="1" thickBot="1">
      <c r="A715" s="629"/>
      <c r="B715" s="629"/>
      <c r="C715" s="629"/>
      <c r="D715" s="629"/>
    </row>
    <row r="716" spans="1:4" ht="15.75" customHeight="1" thickBot="1">
      <c r="A716" s="629"/>
      <c r="B716" s="629"/>
      <c r="C716" s="629"/>
      <c r="D716" s="629"/>
    </row>
    <row r="717" spans="1:4" ht="15.75" customHeight="1" thickBot="1">
      <c r="A717" s="629"/>
      <c r="B717" s="629"/>
      <c r="C717" s="629"/>
      <c r="D717" s="629"/>
    </row>
    <row r="718" spans="1:4" ht="15.75" customHeight="1" thickBot="1">
      <c r="A718" s="629"/>
      <c r="B718" s="629"/>
      <c r="C718" s="629"/>
      <c r="D718" s="629"/>
    </row>
    <row r="719" spans="1:4" ht="15.75" customHeight="1" thickBot="1">
      <c r="A719" s="629"/>
      <c r="B719" s="629"/>
      <c r="C719" s="629"/>
      <c r="D719" s="629"/>
    </row>
    <row r="720" spans="1:4" ht="15.75" customHeight="1" thickBot="1">
      <c r="A720" s="629"/>
      <c r="B720" s="629"/>
      <c r="C720" s="629"/>
      <c r="D720" s="629"/>
    </row>
    <row r="721" spans="1:4" ht="15.75" customHeight="1" thickBot="1">
      <c r="A721" s="629"/>
      <c r="B721" s="629"/>
      <c r="C721" s="629"/>
      <c r="D721" s="629"/>
    </row>
    <row r="722" spans="1:4" ht="15.75" customHeight="1" thickBot="1">
      <c r="A722" s="629"/>
      <c r="B722" s="629"/>
      <c r="C722" s="629"/>
      <c r="D722" s="629"/>
    </row>
    <row r="723" spans="1:4" ht="15.75" customHeight="1" thickBot="1">
      <c r="A723" s="629"/>
      <c r="B723" s="629"/>
      <c r="C723" s="629"/>
      <c r="D723" s="629"/>
    </row>
    <row r="724" spans="1:4" ht="15.75" customHeight="1" thickBot="1">
      <c r="A724" s="629"/>
      <c r="B724" s="629"/>
      <c r="C724" s="629"/>
      <c r="D724" s="629"/>
    </row>
    <row r="725" spans="1:4" ht="15.75" customHeight="1" thickBot="1">
      <c r="A725" s="629"/>
      <c r="B725" s="629"/>
      <c r="C725" s="629"/>
      <c r="D725" s="629"/>
    </row>
    <row r="726" spans="1:4" ht="15.75" customHeight="1" thickBot="1">
      <c r="A726" s="629"/>
      <c r="B726" s="629"/>
      <c r="C726" s="629"/>
      <c r="D726" s="629"/>
    </row>
    <row r="727" spans="1:4" ht="15.75" customHeight="1" thickBot="1">
      <c r="A727" s="629"/>
      <c r="B727" s="629"/>
      <c r="C727" s="629"/>
      <c r="D727" s="629"/>
    </row>
    <row r="728" spans="1:4" ht="15.75" customHeight="1" thickBot="1">
      <c r="A728" s="629"/>
      <c r="B728" s="629"/>
      <c r="C728" s="629"/>
      <c r="D728" s="629"/>
    </row>
    <row r="729" spans="1:4" ht="15.75" customHeight="1" thickBot="1">
      <c r="A729" s="629"/>
      <c r="B729" s="629"/>
      <c r="C729" s="629"/>
      <c r="D729" s="629"/>
    </row>
    <row r="730" spans="1:4" ht="15.75" customHeight="1" thickBot="1">
      <c r="A730" s="629"/>
      <c r="B730" s="629"/>
      <c r="C730" s="629"/>
      <c r="D730" s="629"/>
    </row>
    <row r="731" spans="1:4" ht="15.75" customHeight="1" thickBot="1">
      <c r="A731" s="629"/>
      <c r="B731" s="629"/>
      <c r="C731" s="629"/>
      <c r="D731" s="629"/>
    </row>
    <row r="732" spans="1:4" ht="15.75" customHeight="1" thickBot="1">
      <c r="A732" s="629"/>
      <c r="B732" s="629"/>
      <c r="C732" s="629"/>
      <c r="D732" s="629"/>
    </row>
    <row r="733" spans="1:4" ht="15.75" customHeight="1" thickBot="1">
      <c r="A733" s="629"/>
      <c r="B733" s="629"/>
      <c r="C733" s="629"/>
      <c r="D733" s="629"/>
    </row>
    <row r="734" spans="1:4" ht="15.75" customHeight="1" thickBot="1">
      <c r="A734" s="629"/>
      <c r="B734" s="629"/>
      <c r="C734" s="629"/>
      <c r="D734" s="629"/>
    </row>
    <row r="735" spans="1:4" ht="15.75" customHeight="1" thickBot="1">
      <c r="A735" s="629"/>
      <c r="B735" s="629"/>
      <c r="C735" s="629"/>
      <c r="D735" s="629"/>
    </row>
    <row r="736" spans="1:4" ht="15.75" customHeight="1" thickBot="1">
      <c r="A736" s="629"/>
      <c r="B736" s="629"/>
      <c r="C736" s="629"/>
      <c r="D736" s="629"/>
    </row>
    <row r="737" spans="1:4" ht="15.75" customHeight="1" thickBot="1">
      <c r="A737" s="629"/>
      <c r="B737" s="629"/>
      <c r="C737" s="629"/>
      <c r="D737" s="629"/>
    </row>
    <row r="738" spans="1:4" ht="15.75" customHeight="1" thickBot="1">
      <c r="A738" s="629"/>
      <c r="B738" s="629"/>
      <c r="C738" s="629"/>
      <c r="D738" s="629"/>
    </row>
    <row r="739" spans="1:4" ht="15.75" customHeight="1" thickBot="1">
      <c r="A739" s="629"/>
      <c r="B739" s="629"/>
      <c r="C739" s="629"/>
      <c r="D739" s="629"/>
    </row>
    <row r="740" spans="1:4" ht="15.75" customHeight="1" thickBot="1">
      <c r="A740" s="629"/>
      <c r="B740" s="629"/>
      <c r="C740" s="629"/>
      <c r="D740" s="629"/>
    </row>
    <row r="741" spans="1:4" ht="15.75" customHeight="1" thickBot="1">
      <c r="A741" s="629"/>
      <c r="B741" s="629"/>
      <c r="C741" s="629"/>
      <c r="D741" s="629"/>
    </row>
    <row r="742" spans="1:4" ht="15.75" customHeight="1" thickBot="1">
      <c r="A742" s="629"/>
      <c r="B742" s="629"/>
      <c r="C742" s="629"/>
      <c r="D742" s="629"/>
    </row>
    <row r="743" spans="1:4" ht="15.75" customHeight="1" thickBot="1">
      <c r="A743" s="629"/>
      <c r="B743" s="629"/>
      <c r="C743" s="629"/>
      <c r="D743" s="629"/>
    </row>
    <row r="744" spans="1:4" ht="15.75" customHeight="1" thickBot="1">
      <c r="A744" s="629"/>
      <c r="B744" s="629"/>
      <c r="C744" s="629"/>
      <c r="D744" s="629"/>
    </row>
    <row r="745" spans="1:4" ht="15.75" customHeight="1" thickBot="1">
      <c r="A745" s="629"/>
      <c r="B745" s="629"/>
      <c r="C745" s="629"/>
      <c r="D745" s="629"/>
    </row>
    <row r="746" spans="1:4" ht="15.75" customHeight="1" thickBot="1">
      <c r="A746" s="629"/>
      <c r="B746" s="629"/>
      <c r="C746" s="629"/>
      <c r="D746" s="629"/>
    </row>
    <row r="747" spans="1:4" ht="15.75" customHeight="1" thickBot="1">
      <c r="A747" s="629"/>
      <c r="B747" s="629"/>
      <c r="C747" s="629"/>
      <c r="D747" s="629"/>
    </row>
    <row r="748" spans="1:4" ht="15.75" customHeight="1" thickBot="1">
      <c r="A748" s="629"/>
      <c r="B748" s="629"/>
      <c r="C748" s="629"/>
      <c r="D748" s="629"/>
    </row>
    <row r="749" spans="1:4" ht="15.75" customHeight="1" thickBot="1">
      <c r="A749" s="629"/>
      <c r="B749" s="629"/>
      <c r="C749" s="629"/>
      <c r="D749" s="629"/>
    </row>
    <row r="750" spans="1:4" ht="15.75" customHeight="1" thickBot="1">
      <c r="A750" s="629"/>
      <c r="B750" s="629"/>
      <c r="C750" s="629"/>
      <c r="D750" s="629"/>
    </row>
    <row r="751" spans="1:4" ht="15.75" customHeight="1" thickBot="1">
      <c r="A751" s="629"/>
      <c r="B751" s="629"/>
      <c r="C751" s="629"/>
      <c r="D751" s="629"/>
    </row>
    <row r="752" spans="1:4" ht="15.75" customHeight="1" thickBot="1">
      <c r="A752" s="629"/>
      <c r="B752" s="629"/>
      <c r="C752" s="629"/>
      <c r="D752" s="629"/>
    </row>
    <row r="753" spans="1:4" ht="15.75" customHeight="1" thickBot="1">
      <c r="A753" s="629"/>
      <c r="B753" s="629"/>
      <c r="C753" s="629"/>
      <c r="D753" s="629"/>
    </row>
    <row r="754" spans="1:4" ht="15.75" customHeight="1" thickBot="1">
      <c r="A754" s="629"/>
      <c r="B754" s="629"/>
      <c r="C754" s="629"/>
      <c r="D754" s="629"/>
    </row>
    <row r="755" spans="1:4" ht="15.75" customHeight="1" thickBot="1">
      <c r="A755" s="629"/>
      <c r="B755" s="629"/>
      <c r="C755" s="629"/>
      <c r="D755" s="629"/>
    </row>
    <row r="756" spans="1:4" ht="15.75" customHeight="1" thickBot="1">
      <c r="A756" s="629"/>
      <c r="B756" s="629"/>
      <c r="C756" s="629"/>
      <c r="D756" s="629"/>
    </row>
    <row r="757" spans="1:4" ht="15.75" customHeight="1" thickBot="1">
      <c r="A757" s="629"/>
      <c r="B757" s="629"/>
      <c r="C757" s="629"/>
      <c r="D757" s="629"/>
    </row>
    <row r="758" spans="1:4" ht="15.75" customHeight="1" thickBot="1">
      <c r="A758" s="629"/>
      <c r="B758" s="629"/>
      <c r="C758" s="629"/>
      <c r="D758" s="629"/>
    </row>
    <row r="759" spans="1:4" ht="15.75" customHeight="1" thickBot="1">
      <c r="A759" s="629"/>
      <c r="B759" s="629"/>
      <c r="C759" s="629"/>
      <c r="D759" s="629"/>
    </row>
    <row r="760" spans="1:4" ht="15.75" customHeight="1" thickBot="1">
      <c r="A760" s="629"/>
      <c r="B760" s="629"/>
      <c r="C760" s="629"/>
      <c r="D760" s="629"/>
    </row>
    <row r="761" spans="1:4" ht="15.75" customHeight="1" thickBot="1">
      <c r="A761" s="629"/>
      <c r="B761" s="629"/>
      <c r="C761" s="629"/>
      <c r="D761" s="629"/>
    </row>
    <row r="762" spans="1:4" ht="15.75" customHeight="1" thickBot="1">
      <c r="A762" s="629"/>
      <c r="B762" s="629"/>
      <c r="C762" s="629"/>
      <c r="D762" s="629"/>
    </row>
    <row r="763" spans="1:4" ht="15.75" customHeight="1" thickBot="1">
      <c r="A763" s="629"/>
      <c r="B763" s="629"/>
      <c r="C763" s="629"/>
      <c r="D763" s="629"/>
    </row>
    <row r="764" spans="1:4" ht="15.75" customHeight="1" thickBot="1">
      <c r="A764" s="629"/>
      <c r="B764" s="629"/>
      <c r="C764" s="629"/>
      <c r="D764" s="629"/>
    </row>
    <row r="765" spans="1:4" ht="15.75" customHeight="1" thickBot="1">
      <c r="A765" s="629"/>
      <c r="B765" s="629"/>
      <c r="C765" s="629"/>
      <c r="D765" s="629"/>
    </row>
    <row r="766" spans="1:4" ht="15.75" customHeight="1" thickBot="1">
      <c r="A766" s="629"/>
      <c r="B766" s="629"/>
      <c r="C766" s="629"/>
      <c r="D766" s="629"/>
    </row>
    <row r="767" spans="1:4" ht="15.75" customHeight="1" thickBot="1">
      <c r="A767" s="629"/>
      <c r="B767" s="629"/>
      <c r="C767" s="629"/>
      <c r="D767" s="629"/>
    </row>
    <row r="768" spans="1:4" ht="15.75" customHeight="1" thickBot="1">
      <c r="A768" s="629"/>
      <c r="B768" s="629"/>
      <c r="C768" s="629"/>
      <c r="D768" s="629"/>
    </row>
    <row r="769" spans="1:4" ht="15.75" customHeight="1" thickBot="1">
      <c r="A769" s="629"/>
      <c r="B769" s="629"/>
      <c r="C769" s="629"/>
      <c r="D769" s="629"/>
    </row>
    <row r="770" spans="1:4" ht="15.75" customHeight="1" thickBot="1">
      <c r="A770" s="629"/>
      <c r="B770" s="629"/>
      <c r="C770" s="629"/>
      <c r="D770" s="629"/>
    </row>
    <row r="771" spans="1:4" ht="15.75" customHeight="1" thickBot="1">
      <c r="A771" s="629"/>
      <c r="B771" s="629"/>
      <c r="C771" s="629"/>
      <c r="D771" s="629"/>
    </row>
    <row r="772" spans="1:4" ht="15.75" customHeight="1" thickBot="1">
      <c r="A772" s="629"/>
      <c r="B772" s="629"/>
      <c r="C772" s="629"/>
      <c r="D772" s="629"/>
    </row>
    <row r="773" spans="1:4" ht="15.75" customHeight="1" thickBot="1">
      <c r="A773" s="629"/>
      <c r="B773" s="629"/>
      <c r="C773" s="629"/>
      <c r="D773" s="629"/>
    </row>
    <row r="774" spans="1:4" ht="15.75" customHeight="1" thickBot="1">
      <c r="A774" s="629"/>
      <c r="B774" s="629"/>
      <c r="C774" s="629"/>
      <c r="D774" s="629"/>
    </row>
    <row r="775" spans="1:4" ht="15.75" customHeight="1" thickBot="1">
      <c r="A775" s="629"/>
      <c r="B775" s="629"/>
      <c r="C775" s="629"/>
      <c r="D775" s="629"/>
    </row>
    <row r="776" spans="1:4" ht="15.75" customHeight="1" thickBot="1">
      <c r="A776" s="629"/>
      <c r="B776" s="629"/>
      <c r="C776" s="629"/>
      <c r="D776" s="629"/>
    </row>
    <row r="777" spans="1:4" ht="15.75" customHeight="1" thickBot="1">
      <c r="A777" s="629"/>
      <c r="B777" s="629"/>
      <c r="C777" s="629"/>
      <c r="D777" s="629"/>
    </row>
    <row r="778" spans="1:4" ht="15.75" customHeight="1" thickBot="1">
      <c r="A778" s="629"/>
      <c r="B778" s="629"/>
      <c r="C778" s="629"/>
      <c r="D778" s="629"/>
    </row>
    <row r="779" spans="1:4" ht="15.75" customHeight="1" thickBot="1">
      <c r="A779" s="629"/>
      <c r="B779" s="629"/>
      <c r="C779" s="629"/>
      <c r="D779" s="629"/>
    </row>
    <row r="780" spans="1:4" ht="15.75" customHeight="1" thickBot="1">
      <c r="A780" s="629"/>
      <c r="B780" s="629"/>
      <c r="C780" s="629"/>
      <c r="D780" s="629"/>
    </row>
    <row r="781" spans="1:4" ht="15.75" customHeight="1" thickBot="1">
      <c r="A781" s="629"/>
      <c r="B781" s="629"/>
      <c r="C781" s="629"/>
      <c r="D781" s="629"/>
    </row>
    <row r="782" spans="1:4" ht="15.75" customHeight="1" thickBot="1">
      <c r="A782" s="629"/>
      <c r="B782" s="629"/>
      <c r="C782" s="629"/>
      <c r="D782" s="629"/>
    </row>
    <row r="783" spans="1:4" ht="15.75" customHeight="1" thickBot="1">
      <c r="A783" s="629"/>
      <c r="B783" s="629"/>
      <c r="C783" s="629"/>
      <c r="D783" s="629"/>
    </row>
    <row r="784" spans="1:4" ht="15.75" customHeight="1" thickBot="1">
      <c r="A784" s="629"/>
      <c r="B784" s="629"/>
      <c r="C784" s="629"/>
      <c r="D784" s="629"/>
    </row>
    <row r="785" spans="1:4" ht="15.75" customHeight="1" thickBot="1">
      <c r="A785" s="629"/>
      <c r="B785" s="629"/>
      <c r="C785" s="629"/>
      <c r="D785" s="629"/>
    </row>
    <row r="786" spans="1:4" ht="15.75" customHeight="1" thickBot="1">
      <c r="A786" s="629"/>
      <c r="B786" s="629"/>
      <c r="C786" s="629"/>
      <c r="D786" s="629"/>
    </row>
    <row r="787" spans="1:4" ht="15.75" customHeight="1" thickBot="1">
      <c r="A787" s="629"/>
      <c r="B787" s="629"/>
      <c r="C787" s="629"/>
      <c r="D787" s="629"/>
    </row>
    <row r="788" spans="1:4" ht="15.75" customHeight="1" thickBot="1">
      <c r="A788" s="629"/>
      <c r="B788" s="629"/>
      <c r="C788" s="629"/>
      <c r="D788" s="629"/>
    </row>
    <row r="789" spans="1:4" ht="15.75" customHeight="1" thickBot="1">
      <c r="A789" s="629"/>
      <c r="B789" s="629"/>
      <c r="C789" s="629"/>
      <c r="D789" s="629"/>
    </row>
    <row r="790" spans="1:4" ht="15.75" customHeight="1" thickBot="1">
      <c r="A790" s="629"/>
      <c r="B790" s="629"/>
      <c r="C790" s="629"/>
      <c r="D790" s="629"/>
    </row>
    <row r="791" spans="1:4" ht="15.75" customHeight="1" thickBot="1">
      <c r="A791" s="629"/>
      <c r="B791" s="629"/>
      <c r="C791" s="629"/>
      <c r="D791" s="629"/>
    </row>
    <row r="792" spans="1:4" ht="15.75" customHeight="1" thickBot="1">
      <c r="A792" s="629"/>
      <c r="B792" s="629"/>
      <c r="C792" s="629"/>
      <c r="D792" s="629"/>
    </row>
    <row r="793" spans="1:4" ht="15.75" customHeight="1" thickBot="1">
      <c r="A793" s="629"/>
      <c r="B793" s="629"/>
      <c r="C793" s="629"/>
      <c r="D793" s="629"/>
    </row>
    <row r="794" spans="1:4" ht="15.75" customHeight="1" thickBot="1">
      <c r="A794" s="629"/>
      <c r="B794" s="629"/>
      <c r="C794" s="629"/>
      <c r="D794" s="629"/>
    </row>
    <row r="795" spans="1:4" ht="15.75" customHeight="1" thickBot="1">
      <c r="A795" s="629"/>
      <c r="B795" s="629"/>
      <c r="C795" s="629"/>
      <c r="D795" s="629"/>
    </row>
    <row r="796" spans="1:4" ht="15.75" customHeight="1" thickBot="1">
      <c r="A796" s="629"/>
      <c r="B796" s="629"/>
      <c r="C796" s="629"/>
      <c r="D796" s="629"/>
    </row>
    <row r="797" spans="1:4" ht="15.75" customHeight="1" thickBot="1">
      <c r="A797" s="629"/>
      <c r="B797" s="629"/>
      <c r="C797" s="629"/>
      <c r="D797" s="629"/>
    </row>
    <row r="798" spans="1:4" ht="15.75" customHeight="1" thickBot="1">
      <c r="A798" s="629"/>
      <c r="B798" s="629"/>
      <c r="C798" s="629"/>
      <c r="D798" s="629"/>
    </row>
    <row r="799" spans="1:4" ht="15.75" customHeight="1" thickBot="1">
      <c r="A799" s="629"/>
      <c r="B799" s="629"/>
      <c r="C799" s="629"/>
      <c r="D799" s="629"/>
    </row>
    <row r="800" spans="1:4" ht="15.75" customHeight="1" thickBot="1">
      <c r="A800" s="629"/>
      <c r="B800" s="629"/>
      <c r="C800" s="629"/>
      <c r="D800" s="629"/>
    </row>
    <row r="801" spans="1:4" ht="15.75" customHeight="1" thickBot="1">
      <c r="A801" s="629"/>
      <c r="B801" s="629"/>
      <c r="C801" s="629"/>
      <c r="D801" s="629"/>
    </row>
    <row r="802" spans="1:4" ht="15.75" customHeight="1" thickBot="1">
      <c r="A802" s="629"/>
      <c r="B802" s="629"/>
      <c r="C802" s="629"/>
      <c r="D802" s="629"/>
    </row>
    <row r="803" spans="1:4" ht="15.75" customHeight="1" thickBot="1">
      <c r="A803" s="629"/>
      <c r="B803" s="629"/>
      <c r="C803" s="629"/>
      <c r="D803" s="629"/>
    </row>
    <row r="804" spans="1:4" ht="15.75" customHeight="1" thickBot="1">
      <c r="A804" s="629"/>
      <c r="B804" s="629"/>
      <c r="C804" s="629"/>
      <c r="D804" s="629"/>
    </row>
    <row r="805" spans="1:4" ht="15.75" customHeight="1" thickBot="1">
      <c r="A805" s="629"/>
      <c r="B805" s="629"/>
      <c r="C805" s="629"/>
      <c r="D805" s="629"/>
    </row>
    <row r="806" spans="1:4" ht="15.75" customHeight="1" thickBot="1">
      <c r="A806" s="629"/>
      <c r="B806" s="629"/>
      <c r="C806" s="629"/>
      <c r="D806" s="629"/>
    </row>
    <row r="807" spans="1:4" ht="15.75" customHeight="1" thickBot="1">
      <c r="A807" s="629"/>
      <c r="B807" s="629"/>
      <c r="C807" s="629"/>
      <c r="D807" s="629"/>
    </row>
    <row r="808" spans="1:4" ht="15.75" customHeight="1" thickBot="1">
      <c r="A808" s="629"/>
      <c r="B808" s="629"/>
      <c r="C808" s="629"/>
      <c r="D808" s="629"/>
    </row>
    <row r="809" spans="1:4" ht="15.75" customHeight="1" thickBot="1">
      <c r="A809" s="629"/>
      <c r="B809" s="629"/>
      <c r="C809" s="629"/>
      <c r="D809" s="629"/>
    </row>
    <row r="810" spans="1:4" ht="15.75" customHeight="1" thickBot="1">
      <c r="A810" s="629"/>
      <c r="B810" s="629"/>
      <c r="C810" s="629"/>
      <c r="D810" s="629"/>
    </row>
    <row r="811" spans="1:4" ht="15.75" customHeight="1" thickBot="1">
      <c r="A811" s="629"/>
      <c r="B811" s="629"/>
      <c r="C811" s="629"/>
      <c r="D811" s="629"/>
    </row>
    <row r="812" spans="1:4" ht="15.75" customHeight="1" thickBot="1">
      <c r="A812" s="629"/>
      <c r="B812" s="629"/>
      <c r="C812" s="629"/>
      <c r="D812" s="629"/>
    </row>
    <row r="813" spans="1:4" ht="15.75" customHeight="1" thickBot="1">
      <c r="A813" s="629"/>
      <c r="B813" s="629"/>
      <c r="C813" s="629"/>
      <c r="D813" s="629"/>
    </row>
    <row r="814" spans="1:4" ht="15.75" customHeight="1" thickBot="1">
      <c r="A814" s="629"/>
      <c r="B814" s="629"/>
      <c r="C814" s="629"/>
      <c r="D814" s="629"/>
    </row>
    <row r="815" spans="1:4" ht="15.75" customHeight="1" thickBot="1">
      <c r="A815" s="629"/>
      <c r="B815" s="629"/>
      <c r="C815" s="629"/>
      <c r="D815" s="629"/>
    </row>
    <row r="816" spans="1:4" ht="15.75" customHeight="1" thickBot="1">
      <c r="A816" s="629"/>
      <c r="B816" s="629"/>
      <c r="C816" s="629"/>
      <c r="D816" s="629"/>
    </row>
    <row r="817" spans="1:4" ht="15.75" customHeight="1" thickBot="1">
      <c r="A817" s="629"/>
      <c r="B817" s="629"/>
      <c r="C817" s="629"/>
      <c r="D817" s="629"/>
    </row>
    <row r="818" spans="1:4" ht="15.75" customHeight="1" thickBot="1">
      <c r="A818" s="629"/>
      <c r="B818" s="629"/>
      <c r="C818" s="629"/>
      <c r="D818" s="629"/>
    </row>
    <row r="819" spans="1:4" ht="15.75" customHeight="1" thickBot="1">
      <c r="A819" s="629"/>
      <c r="B819" s="629"/>
      <c r="C819" s="629"/>
      <c r="D819" s="629"/>
    </row>
    <row r="820" spans="1:4" ht="15.75" customHeight="1" thickBot="1">
      <c r="A820" s="629"/>
      <c r="B820" s="629"/>
      <c r="C820" s="629"/>
      <c r="D820" s="629"/>
    </row>
    <row r="821" spans="1:4" ht="15.75" customHeight="1" thickBot="1">
      <c r="A821" s="629"/>
      <c r="B821" s="629"/>
      <c r="C821" s="629"/>
      <c r="D821" s="629"/>
    </row>
    <row r="822" spans="1:4" ht="15.75" customHeight="1" thickBot="1">
      <c r="A822" s="629"/>
      <c r="B822" s="629"/>
      <c r="C822" s="629"/>
      <c r="D822" s="629"/>
    </row>
    <row r="823" spans="1:4" ht="15.75" customHeight="1" thickBot="1">
      <c r="A823" s="629"/>
      <c r="B823" s="629"/>
      <c r="C823" s="629"/>
      <c r="D823" s="629"/>
    </row>
    <row r="824" spans="1:4" ht="15.75" customHeight="1" thickBot="1">
      <c r="A824" s="629"/>
      <c r="B824" s="629"/>
      <c r="C824" s="629"/>
      <c r="D824" s="629"/>
    </row>
    <row r="825" spans="1:4" ht="15.75" customHeight="1" thickBot="1">
      <c r="A825" s="629"/>
      <c r="B825" s="629"/>
      <c r="C825" s="629"/>
      <c r="D825" s="629"/>
    </row>
    <row r="826" spans="1:4" ht="15.75" customHeight="1" thickBot="1">
      <c r="A826" s="629"/>
      <c r="B826" s="629"/>
      <c r="C826" s="629"/>
      <c r="D826" s="629"/>
    </row>
    <row r="827" spans="1:4" ht="15.75" customHeight="1" thickBot="1">
      <c r="A827" s="629"/>
      <c r="B827" s="629"/>
      <c r="C827" s="629"/>
      <c r="D827" s="629"/>
    </row>
    <row r="828" spans="1:4" ht="15.75" customHeight="1" thickBot="1">
      <c r="A828" s="629"/>
      <c r="B828" s="629"/>
      <c r="C828" s="629"/>
      <c r="D828" s="629"/>
    </row>
    <row r="829" spans="1:4" ht="15.75" customHeight="1" thickBot="1">
      <c r="A829" s="629"/>
      <c r="B829" s="629"/>
      <c r="C829" s="629"/>
      <c r="D829" s="629"/>
    </row>
    <row r="830" spans="1:4" ht="15.75" customHeight="1" thickBot="1">
      <c r="A830" s="629"/>
      <c r="B830" s="629"/>
      <c r="C830" s="629"/>
      <c r="D830" s="629"/>
    </row>
    <row r="831" spans="1:4" ht="15.75" customHeight="1" thickBot="1">
      <c r="A831" s="629"/>
      <c r="B831" s="629"/>
      <c r="C831" s="629"/>
      <c r="D831" s="629"/>
    </row>
    <row r="832" spans="1:4" ht="15.75" customHeight="1" thickBot="1">
      <c r="A832" s="629"/>
      <c r="B832" s="629"/>
      <c r="C832" s="629"/>
      <c r="D832" s="629"/>
    </row>
    <row r="833" spans="1:4" ht="15.75" customHeight="1" thickBot="1">
      <c r="A833" s="629"/>
      <c r="B833" s="629"/>
      <c r="C833" s="629"/>
      <c r="D833" s="629"/>
    </row>
    <row r="834" spans="1:4" ht="15.75" customHeight="1" thickBot="1">
      <c r="A834" s="629"/>
      <c r="B834" s="629"/>
      <c r="C834" s="629"/>
      <c r="D834" s="629"/>
    </row>
    <row r="835" spans="1:4" ht="15.75" customHeight="1" thickBot="1">
      <c r="A835" s="629"/>
      <c r="B835" s="629"/>
      <c r="C835" s="629"/>
      <c r="D835" s="629"/>
    </row>
    <row r="836" spans="1:4" ht="15.75" customHeight="1" thickBot="1">
      <c r="A836" s="629"/>
      <c r="B836" s="629"/>
      <c r="C836" s="629"/>
      <c r="D836" s="629"/>
    </row>
    <row r="837" spans="1:4" ht="15.75" customHeight="1" thickBot="1">
      <c r="A837" s="629"/>
      <c r="B837" s="629"/>
      <c r="C837" s="629"/>
      <c r="D837" s="629"/>
    </row>
    <row r="838" spans="1:4" ht="15.75" customHeight="1" thickBot="1">
      <c r="A838" s="629"/>
      <c r="B838" s="629"/>
      <c r="C838" s="629"/>
      <c r="D838" s="629"/>
    </row>
    <row r="839" spans="1:4" ht="15.75" customHeight="1" thickBot="1">
      <c r="A839" s="629"/>
      <c r="B839" s="629"/>
      <c r="C839" s="629"/>
      <c r="D839" s="629"/>
    </row>
    <row r="840" spans="1:4" ht="15.75" customHeight="1" thickBot="1">
      <c r="A840" s="629"/>
      <c r="B840" s="629"/>
      <c r="C840" s="629"/>
      <c r="D840" s="629"/>
    </row>
    <row r="841" spans="1:4" ht="15.75" customHeight="1" thickBot="1">
      <c r="A841" s="629"/>
      <c r="B841" s="629"/>
      <c r="C841" s="629"/>
      <c r="D841" s="629"/>
    </row>
    <row r="842" spans="1:4" ht="15.75" customHeight="1" thickBot="1">
      <c r="A842" s="629"/>
      <c r="B842" s="629"/>
      <c r="C842" s="629"/>
      <c r="D842" s="629"/>
    </row>
    <row r="843" spans="1:4" ht="15.75" customHeight="1" thickBot="1">
      <c r="A843" s="629"/>
      <c r="B843" s="629"/>
      <c r="C843" s="629"/>
      <c r="D843" s="629"/>
    </row>
    <row r="844" spans="1:4" ht="15.75" customHeight="1" thickBot="1">
      <c r="A844" s="629"/>
      <c r="B844" s="629"/>
      <c r="C844" s="629"/>
      <c r="D844" s="629"/>
    </row>
    <row r="845" spans="1:4" ht="15.75" customHeight="1" thickBot="1">
      <c r="A845" s="629"/>
      <c r="B845" s="629"/>
      <c r="C845" s="629"/>
      <c r="D845" s="629"/>
    </row>
    <row r="846" spans="1:4" ht="15.75" customHeight="1" thickBot="1">
      <c r="A846" s="629"/>
      <c r="B846" s="629"/>
      <c r="C846" s="629"/>
      <c r="D846" s="629"/>
    </row>
    <row r="847" spans="1:4" ht="15.75" customHeight="1" thickBot="1">
      <c r="A847" s="629"/>
      <c r="B847" s="629"/>
      <c r="C847" s="629"/>
      <c r="D847" s="629"/>
    </row>
    <row r="848" spans="1:4" ht="15.75" customHeight="1" thickBot="1">
      <c r="A848" s="629"/>
      <c r="B848" s="629"/>
      <c r="C848" s="629"/>
      <c r="D848" s="629"/>
    </row>
    <row r="849" spans="1:4" ht="15.75" customHeight="1" thickBot="1">
      <c r="A849" s="629"/>
      <c r="B849" s="629"/>
      <c r="C849" s="629"/>
      <c r="D849" s="629"/>
    </row>
    <row r="850" spans="1:4" ht="15.75" customHeight="1" thickBot="1">
      <c r="A850" s="629"/>
      <c r="B850" s="629"/>
      <c r="C850" s="629"/>
      <c r="D850" s="629"/>
    </row>
    <row r="851" spans="1:4" ht="15.75" customHeight="1" thickBot="1">
      <c r="A851" s="629"/>
      <c r="B851" s="629"/>
      <c r="C851" s="629"/>
      <c r="D851" s="629"/>
    </row>
    <row r="852" spans="1:4" ht="15.75" customHeight="1" thickBot="1">
      <c r="A852" s="629"/>
      <c r="B852" s="629"/>
      <c r="C852" s="629"/>
      <c r="D852" s="629"/>
    </row>
    <row r="853" spans="1:4" ht="15.75" customHeight="1" thickBot="1">
      <c r="A853" s="629"/>
      <c r="B853" s="629"/>
      <c r="C853" s="629"/>
      <c r="D853" s="629"/>
    </row>
    <row r="854" spans="1:4" ht="15.75" customHeight="1" thickBot="1">
      <c r="A854" s="629"/>
      <c r="B854" s="629"/>
      <c r="C854" s="629"/>
      <c r="D854" s="629"/>
    </row>
    <row r="855" spans="1:4" ht="15.75" customHeight="1" thickBot="1">
      <c r="A855" s="629"/>
      <c r="B855" s="629"/>
      <c r="C855" s="629"/>
      <c r="D855" s="629"/>
    </row>
    <row r="856" spans="1:4" ht="15.75" customHeight="1" thickBot="1">
      <c r="A856" s="629"/>
      <c r="B856" s="629"/>
      <c r="C856" s="629"/>
      <c r="D856" s="629"/>
    </row>
    <row r="857" spans="1:4" ht="15.75" customHeight="1" thickBot="1">
      <c r="A857" s="629"/>
      <c r="B857" s="629"/>
      <c r="C857" s="629"/>
      <c r="D857" s="629"/>
    </row>
    <row r="858" spans="1:4" ht="15.75" customHeight="1" thickBot="1">
      <c r="A858" s="629"/>
      <c r="B858" s="629"/>
      <c r="C858" s="629"/>
      <c r="D858" s="629"/>
    </row>
    <row r="859" spans="1:4" ht="15.75" customHeight="1" thickBot="1">
      <c r="A859" s="629"/>
      <c r="B859" s="629"/>
      <c r="C859" s="629"/>
      <c r="D859" s="629"/>
    </row>
    <row r="860" spans="1:4" ht="15.75" customHeight="1" thickBot="1">
      <c r="A860" s="629"/>
      <c r="B860" s="629"/>
      <c r="C860" s="629"/>
      <c r="D860" s="629"/>
    </row>
    <row r="861" spans="1:4" ht="15.75" customHeight="1" thickBot="1">
      <c r="A861" s="629"/>
      <c r="B861" s="629"/>
      <c r="C861" s="629"/>
      <c r="D861" s="629"/>
    </row>
    <row r="862" spans="1:4" ht="15.75" customHeight="1" thickBot="1">
      <c r="A862" s="629"/>
      <c r="B862" s="629"/>
      <c r="C862" s="629"/>
      <c r="D862" s="629"/>
    </row>
    <row r="863" spans="1:4" ht="15.75" customHeight="1" thickBot="1">
      <c r="A863" s="629"/>
      <c r="B863" s="629"/>
      <c r="C863" s="629"/>
      <c r="D863" s="629"/>
    </row>
    <row r="864" spans="1:4" ht="15.75" customHeight="1" thickBot="1">
      <c r="A864" s="629"/>
      <c r="B864" s="629"/>
      <c r="C864" s="629"/>
      <c r="D864" s="629"/>
    </row>
    <row r="865" spans="1:4" ht="15.75" customHeight="1" thickBot="1">
      <c r="A865" s="629"/>
      <c r="B865" s="629"/>
      <c r="C865" s="629"/>
      <c r="D865" s="629"/>
    </row>
    <row r="866" spans="1:4" ht="15.75" customHeight="1" thickBot="1">
      <c r="A866" s="629"/>
      <c r="B866" s="629"/>
      <c r="C866" s="629"/>
      <c r="D866" s="629"/>
    </row>
    <row r="867" spans="1:4" ht="15.75" customHeight="1" thickBot="1">
      <c r="A867" s="629"/>
      <c r="B867" s="629"/>
      <c r="C867" s="629"/>
      <c r="D867" s="629"/>
    </row>
    <row r="868" spans="1:4" ht="15.75" customHeight="1" thickBot="1">
      <c r="A868" s="629"/>
      <c r="B868" s="629"/>
      <c r="C868" s="629"/>
      <c r="D868" s="629"/>
    </row>
    <row r="869" spans="1:4" ht="15.75" customHeight="1" thickBot="1">
      <c r="A869" s="629"/>
      <c r="B869" s="629"/>
      <c r="C869" s="629"/>
      <c r="D869" s="629"/>
    </row>
    <row r="870" spans="1:4" ht="15.75" customHeight="1" thickBot="1">
      <c r="A870" s="629"/>
      <c r="B870" s="629"/>
      <c r="C870" s="629"/>
      <c r="D870" s="629"/>
    </row>
    <row r="871" spans="1:4" ht="15.75" customHeight="1" thickBot="1">
      <c r="A871" s="629"/>
      <c r="B871" s="629"/>
      <c r="C871" s="629"/>
      <c r="D871" s="629"/>
    </row>
    <row r="872" spans="1:4" ht="15.75" customHeight="1" thickBot="1">
      <c r="A872" s="629"/>
      <c r="B872" s="629"/>
      <c r="C872" s="629"/>
      <c r="D872" s="629"/>
    </row>
    <row r="873" spans="1:4" ht="15.75" customHeight="1" thickBot="1">
      <c r="A873" s="629"/>
      <c r="B873" s="629"/>
      <c r="C873" s="629"/>
      <c r="D873" s="629"/>
    </row>
    <row r="874" spans="1:4" ht="15.75" customHeight="1" thickBot="1">
      <c r="A874" s="629"/>
      <c r="B874" s="629"/>
      <c r="C874" s="629"/>
      <c r="D874" s="629"/>
    </row>
    <row r="875" spans="1:4" ht="15.75" customHeight="1" thickBot="1">
      <c r="A875" s="629"/>
      <c r="B875" s="629"/>
      <c r="C875" s="629"/>
      <c r="D875" s="629"/>
    </row>
    <row r="876" spans="1:4" ht="15.75" customHeight="1" thickBot="1">
      <c r="A876" s="629"/>
      <c r="B876" s="629"/>
      <c r="C876" s="629"/>
      <c r="D876" s="629"/>
    </row>
    <row r="877" spans="1:4" ht="15.75" customHeight="1" thickBot="1">
      <c r="A877" s="629"/>
      <c r="B877" s="629"/>
      <c r="C877" s="629"/>
      <c r="D877" s="629"/>
    </row>
    <row r="878" spans="1:4" ht="15.75" customHeight="1" thickBot="1">
      <c r="A878" s="629"/>
      <c r="B878" s="629"/>
      <c r="C878" s="629"/>
      <c r="D878" s="629"/>
    </row>
    <row r="879" spans="1:4" ht="15.75" customHeight="1" thickBot="1">
      <c r="A879" s="629"/>
      <c r="B879" s="629"/>
      <c r="C879" s="629"/>
      <c r="D879" s="629"/>
    </row>
    <row r="880" spans="1:4" ht="15.75" customHeight="1" thickBot="1">
      <c r="A880" s="629"/>
      <c r="B880" s="629"/>
      <c r="C880" s="629"/>
      <c r="D880" s="629"/>
    </row>
    <row r="881" spans="1:4" ht="15.75" customHeight="1" thickBot="1">
      <c r="A881" s="629"/>
      <c r="B881" s="629"/>
      <c r="C881" s="629"/>
      <c r="D881" s="629"/>
    </row>
    <row r="882" spans="1:4" ht="15.75" customHeight="1" thickBot="1">
      <c r="A882" s="629"/>
      <c r="B882" s="629"/>
      <c r="C882" s="629"/>
      <c r="D882" s="629"/>
    </row>
    <row r="883" spans="1:4" ht="15.75" customHeight="1" thickBot="1">
      <c r="A883" s="629"/>
      <c r="B883" s="629"/>
      <c r="C883" s="629"/>
      <c r="D883" s="629"/>
    </row>
    <row r="884" spans="1:4" ht="15.75" customHeight="1" thickBot="1">
      <c r="A884" s="629"/>
      <c r="B884" s="629"/>
      <c r="C884" s="629"/>
      <c r="D884" s="629"/>
    </row>
    <row r="885" spans="1:4" ht="15.75" customHeight="1" thickBot="1">
      <c r="A885" s="629"/>
      <c r="B885" s="629"/>
      <c r="C885" s="629"/>
      <c r="D885" s="629"/>
    </row>
    <row r="886" spans="1:4" ht="15.75" customHeight="1" thickBot="1">
      <c r="A886" s="629"/>
      <c r="B886" s="629"/>
      <c r="C886" s="629"/>
      <c r="D886" s="629"/>
    </row>
    <row r="887" spans="1:4" ht="15.75" customHeight="1" thickBot="1">
      <c r="A887" s="629"/>
      <c r="B887" s="629"/>
      <c r="C887" s="629"/>
      <c r="D887" s="629"/>
    </row>
    <row r="888" spans="1:4" ht="15.75" customHeight="1" thickBot="1">
      <c r="A888" s="629"/>
      <c r="B888" s="629"/>
      <c r="C888" s="629"/>
      <c r="D888" s="629"/>
    </row>
    <row r="889" spans="1:4" ht="15.75" customHeight="1" thickBot="1">
      <c r="A889" s="629"/>
      <c r="B889" s="629"/>
      <c r="C889" s="629"/>
      <c r="D889" s="629"/>
    </row>
    <row r="890" spans="1:4" ht="15.75" customHeight="1" thickBot="1">
      <c r="A890" s="629"/>
      <c r="B890" s="629"/>
      <c r="C890" s="629"/>
      <c r="D890" s="629"/>
    </row>
    <row r="891" spans="1:4" ht="15.75" customHeight="1" thickBot="1">
      <c r="A891" s="629"/>
      <c r="B891" s="629"/>
      <c r="C891" s="629"/>
      <c r="D891" s="629"/>
    </row>
    <row r="892" spans="1:4" ht="15.75" customHeight="1" thickBot="1">
      <c r="A892" s="629"/>
      <c r="B892" s="629"/>
      <c r="C892" s="629"/>
      <c r="D892" s="629"/>
    </row>
    <row r="893" spans="1:4" ht="15.75" customHeight="1" thickBot="1">
      <c r="A893" s="629"/>
      <c r="B893" s="629"/>
      <c r="C893" s="629"/>
      <c r="D893" s="629"/>
    </row>
    <row r="894" spans="1:4" ht="15.75" customHeight="1" thickBot="1">
      <c r="A894" s="629"/>
      <c r="B894" s="629"/>
      <c r="C894" s="629"/>
      <c r="D894" s="629"/>
    </row>
    <row r="895" spans="1:4" ht="15.75" customHeight="1" thickBot="1">
      <c r="A895" s="629"/>
      <c r="B895" s="629"/>
      <c r="C895" s="629"/>
      <c r="D895" s="629"/>
    </row>
    <row r="896" spans="1:4" ht="15.75" customHeight="1" thickBot="1">
      <c r="A896" s="629"/>
      <c r="B896" s="629"/>
      <c r="C896" s="629"/>
      <c r="D896" s="629"/>
    </row>
    <row r="897" spans="1:4" ht="15.75" customHeight="1" thickBot="1">
      <c r="A897" s="629"/>
      <c r="B897" s="629"/>
      <c r="C897" s="629"/>
      <c r="D897" s="629"/>
    </row>
    <row r="898" spans="1:4" ht="15.75" customHeight="1" thickBot="1">
      <c r="A898" s="629"/>
      <c r="B898" s="629"/>
      <c r="C898" s="629"/>
      <c r="D898" s="629"/>
    </row>
    <row r="899" spans="1:4" ht="15.75" customHeight="1" thickBot="1">
      <c r="A899" s="629"/>
      <c r="B899" s="629"/>
      <c r="C899" s="629"/>
      <c r="D899" s="629"/>
    </row>
    <row r="900" spans="1:4" ht="15.75" customHeight="1" thickBot="1">
      <c r="A900" s="629"/>
      <c r="B900" s="629"/>
      <c r="C900" s="629"/>
      <c r="D900" s="629"/>
    </row>
    <row r="901" spans="1:4" ht="15.75" customHeight="1" thickBot="1">
      <c r="A901" s="629"/>
      <c r="B901" s="629"/>
      <c r="C901" s="629"/>
      <c r="D901" s="629"/>
    </row>
    <row r="902" spans="1:4" ht="15.75" customHeight="1" thickBot="1">
      <c r="A902" s="629"/>
      <c r="B902" s="629"/>
      <c r="C902" s="629"/>
      <c r="D902" s="629"/>
    </row>
    <row r="903" spans="1:4" ht="15.75" customHeight="1" thickBot="1">
      <c r="A903" s="629"/>
      <c r="B903" s="629"/>
      <c r="C903" s="629"/>
      <c r="D903" s="629"/>
    </row>
    <row r="904" spans="1:4" ht="15.75" customHeight="1" thickBot="1">
      <c r="A904" s="629"/>
      <c r="B904" s="629"/>
      <c r="C904" s="629"/>
      <c r="D904" s="629"/>
    </row>
    <row r="905" spans="1:4" ht="15.75" customHeight="1" thickBot="1">
      <c r="A905" s="629"/>
      <c r="B905" s="629"/>
      <c r="C905" s="629"/>
      <c r="D905" s="629"/>
    </row>
    <row r="906" spans="1:4" ht="15.75" customHeight="1" thickBot="1">
      <c r="A906" s="629"/>
      <c r="B906" s="629"/>
      <c r="C906" s="629"/>
      <c r="D906" s="629"/>
    </row>
    <row r="907" spans="1:4" ht="15.75" customHeight="1" thickBot="1">
      <c r="A907" s="629"/>
      <c r="B907" s="629"/>
      <c r="C907" s="629"/>
      <c r="D907" s="629"/>
    </row>
    <row r="908" spans="1:4" ht="15.75" customHeight="1" thickBot="1">
      <c r="A908" s="629"/>
      <c r="B908" s="629"/>
      <c r="C908" s="629"/>
      <c r="D908" s="629"/>
    </row>
    <row r="909" spans="1:4" ht="15.75" customHeight="1" thickBot="1">
      <c r="A909" s="629"/>
      <c r="B909" s="629"/>
      <c r="C909" s="629"/>
      <c r="D909" s="629"/>
    </row>
    <row r="910" spans="1:4" ht="15.75" customHeight="1" thickBot="1">
      <c r="A910" s="629"/>
      <c r="B910" s="629"/>
      <c r="C910" s="629"/>
      <c r="D910" s="629"/>
    </row>
    <row r="911" spans="1:4" ht="15.75" customHeight="1" thickBot="1">
      <c r="A911" s="629"/>
      <c r="B911" s="629"/>
      <c r="C911" s="629"/>
      <c r="D911" s="629"/>
    </row>
    <row r="912" spans="1:4" ht="15.75" customHeight="1" thickBot="1">
      <c r="A912" s="629"/>
      <c r="B912" s="629"/>
      <c r="C912" s="629"/>
      <c r="D912" s="629"/>
    </row>
    <row r="913" spans="1:4" ht="15.75" customHeight="1" thickBot="1">
      <c r="A913" s="629"/>
      <c r="B913" s="629"/>
      <c r="C913" s="629"/>
      <c r="D913" s="629"/>
    </row>
    <row r="914" spans="1:4" ht="15.75" customHeight="1" thickBot="1">
      <c r="A914" s="629"/>
      <c r="B914" s="629"/>
      <c r="C914" s="629"/>
      <c r="D914" s="629"/>
    </row>
    <row r="915" spans="1:4" ht="15.75" customHeight="1" thickBot="1">
      <c r="A915" s="629"/>
      <c r="B915" s="629"/>
      <c r="C915" s="629"/>
      <c r="D915" s="629"/>
    </row>
    <row r="916" spans="1:4" ht="15.75" customHeight="1" thickBot="1">
      <c r="A916" s="629"/>
      <c r="B916" s="629"/>
      <c r="C916" s="629"/>
      <c r="D916" s="629"/>
    </row>
    <row r="917" spans="1:4" ht="15.75" customHeight="1" thickBot="1">
      <c r="A917" s="629"/>
      <c r="B917" s="629"/>
      <c r="C917" s="629"/>
      <c r="D917" s="629"/>
    </row>
    <row r="918" spans="1:4" ht="15.75" customHeight="1" thickBot="1">
      <c r="A918" s="629"/>
      <c r="B918" s="629"/>
      <c r="C918" s="629"/>
      <c r="D918" s="629"/>
    </row>
    <row r="919" spans="1:4" ht="15.75" customHeight="1" thickBot="1">
      <c r="A919" s="629"/>
      <c r="B919" s="629"/>
      <c r="C919" s="629"/>
      <c r="D919" s="629"/>
    </row>
    <row r="920" spans="1:4" ht="15.75" customHeight="1" thickBot="1">
      <c r="A920" s="629"/>
      <c r="B920" s="629"/>
      <c r="C920" s="629"/>
      <c r="D920" s="629"/>
    </row>
    <row r="921" spans="1:4" ht="15.75" customHeight="1" thickBot="1">
      <c r="A921" s="629"/>
      <c r="B921" s="629"/>
      <c r="C921" s="629"/>
      <c r="D921" s="629"/>
    </row>
    <row r="922" spans="1:4" ht="15.75" customHeight="1" thickBot="1">
      <c r="A922" s="629"/>
      <c r="B922" s="629"/>
      <c r="C922" s="629"/>
      <c r="D922" s="629"/>
    </row>
    <row r="923" spans="1:4" ht="15.75" customHeight="1" thickBot="1">
      <c r="A923" s="629"/>
      <c r="B923" s="629"/>
      <c r="C923" s="629"/>
      <c r="D923" s="629"/>
    </row>
    <row r="924" spans="1:4" ht="15.75" customHeight="1" thickBot="1">
      <c r="A924" s="629"/>
      <c r="B924" s="629"/>
      <c r="C924" s="629"/>
      <c r="D924" s="629"/>
    </row>
    <row r="925" spans="1:4" ht="15.75" customHeight="1" thickBot="1">
      <c r="A925" s="629"/>
      <c r="B925" s="629"/>
      <c r="C925" s="629"/>
      <c r="D925" s="629"/>
    </row>
    <row r="926" spans="1:4" ht="15.75" customHeight="1" thickBot="1">
      <c r="A926" s="629"/>
      <c r="B926" s="629"/>
      <c r="C926" s="629"/>
      <c r="D926" s="629"/>
    </row>
    <row r="927" spans="1:4" ht="15.75" customHeight="1" thickBot="1">
      <c r="A927" s="629"/>
      <c r="B927" s="629"/>
      <c r="C927" s="629"/>
      <c r="D927" s="629"/>
    </row>
    <row r="928" spans="1:4" ht="15.75" customHeight="1" thickBot="1">
      <c r="A928" s="629"/>
      <c r="B928" s="629"/>
      <c r="C928" s="629"/>
      <c r="D928" s="629"/>
    </row>
    <row r="929" spans="1:4" ht="15.75" customHeight="1" thickBot="1">
      <c r="A929" s="629"/>
      <c r="B929" s="629"/>
      <c r="C929" s="629"/>
      <c r="D929" s="629"/>
    </row>
    <row r="930" spans="1:4" ht="15.75" customHeight="1" thickBot="1">
      <c r="A930" s="629"/>
      <c r="B930" s="629"/>
      <c r="C930" s="629"/>
      <c r="D930" s="629"/>
    </row>
    <row r="931" spans="1:4" ht="15.75" customHeight="1" thickBot="1">
      <c r="A931" s="629"/>
      <c r="B931" s="629"/>
      <c r="C931" s="629"/>
      <c r="D931" s="629"/>
    </row>
    <row r="932" spans="1:4" ht="15.75" customHeight="1" thickBot="1">
      <c r="A932" s="629"/>
      <c r="B932" s="629"/>
      <c r="C932" s="629"/>
      <c r="D932" s="629"/>
    </row>
    <row r="933" spans="1:4" ht="15.75" customHeight="1" thickBot="1">
      <c r="A933" s="629"/>
      <c r="B933" s="629"/>
      <c r="C933" s="629"/>
      <c r="D933" s="629"/>
    </row>
    <row r="934" spans="1:4" ht="15.75" customHeight="1" thickBot="1">
      <c r="A934" s="629"/>
      <c r="B934" s="629"/>
      <c r="C934" s="629"/>
      <c r="D934" s="629"/>
    </row>
    <row r="935" spans="1:4" ht="15.75" customHeight="1" thickBot="1">
      <c r="A935" s="629"/>
      <c r="B935" s="629"/>
      <c r="C935" s="629"/>
      <c r="D935" s="629"/>
    </row>
    <row r="936" spans="1:4" ht="15.75" customHeight="1" thickBot="1">
      <c r="A936" s="629"/>
      <c r="B936" s="629"/>
      <c r="C936" s="629"/>
      <c r="D936" s="629"/>
    </row>
    <row r="937" spans="1:4" ht="15.75" customHeight="1" thickBot="1">
      <c r="A937" s="629"/>
      <c r="B937" s="629"/>
      <c r="C937" s="629"/>
      <c r="D937" s="629"/>
    </row>
    <row r="938" spans="1:4" ht="15.75" customHeight="1" thickBot="1">
      <c r="A938" s="629"/>
      <c r="B938" s="629"/>
      <c r="C938" s="629"/>
      <c r="D938" s="629"/>
    </row>
    <row r="939" spans="1:4" ht="15.75" customHeight="1" thickBot="1">
      <c r="A939" s="629"/>
      <c r="B939" s="629"/>
      <c r="C939" s="629"/>
      <c r="D939" s="629"/>
    </row>
    <row r="940" spans="1:4" ht="15.75" customHeight="1" thickBot="1">
      <c r="A940" s="629"/>
      <c r="B940" s="629"/>
      <c r="C940" s="629"/>
      <c r="D940" s="629"/>
    </row>
    <row r="941" spans="1:4" ht="15.75" customHeight="1" thickBot="1">
      <c r="A941" s="629"/>
      <c r="B941" s="629"/>
      <c r="C941" s="629"/>
      <c r="D941" s="629"/>
    </row>
    <row r="942" spans="1:4" ht="15.75" customHeight="1" thickBot="1">
      <c r="A942" s="629"/>
      <c r="B942" s="629"/>
      <c r="C942" s="629"/>
      <c r="D942" s="629"/>
    </row>
    <row r="943" spans="1:4" ht="15.75" customHeight="1" thickBot="1">
      <c r="A943" s="629"/>
      <c r="B943" s="629"/>
      <c r="C943" s="629"/>
      <c r="D943" s="629"/>
    </row>
    <row r="944" spans="1:4" ht="15.75" customHeight="1" thickBot="1">
      <c r="A944" s="629"/>
      <c r="B944" s="629"/>
      <c r="C944" s="629"/>
      <c r="D944" s="629"/>
    </row>
    <row r="945" spans="1:4" ht="15.75" customHeight="1" thickBot="1">
      <c r="A945" s="629"/>
      <c r="B945" s="629"/>
      <c r="C945" s="629"/>
      <c r="D945" s="629"/>
    </row>
    <row r="946" spans="1:4" ht="15.75" customHeight="1" thickBot="1">
      <c r="A946" s="629"/>
      <c r="B946" s="629"/>
      <c r="C946" s="629"/>
      <c r="D946" s="629"/>
    </row>
    <row r="947" spans="1:4" ht="15.75" customHeight="1" thickBot="1">
      <c r="A947" s="629"/>
      <c r="B947" s="629"/>
      <c r="C947" s="629"/>
      <c r="D947" s="629"/>
    </row>
    <row r="948" spans="1:4" ht="15.75" customHeight="1" thickBot="1">
      <c r="A948" s="629"/>
      <c r="B948" s="629"/>
      <c r="C948" s="629"/>
      <c r="D948" s="629"/>
    </row>
    <row r="949" spans="1:4" ht="15.75" customHeight="1" thickBot="1">
      <c r="A949" s="629"/>
      <c r="B949" s="629"/>
      <c r="C949" s="629"/>
      <c r="D949" s="629"/>
    </row>
    <row r="950" spans="1:4" ht="15.75" customHeight="1" thickBot="1">
      <c r="A950" s="629"/>
      <c r="B950" s="629"/>
      <c r="C950" s="629"/>
      <c r="D950" s="629"/>
    </row>
    <row r="951" spans="1:4" ht="15.75" customHeight="1" thickBot="1">
      <c r="A951" s="629"/>
      <c r="B951" s="629"/>
      <c r="C951" s="629"/>
      <c r="D951" s="629"/>
    </row>
    <row r="952" spans="1:4" ht="15.75" customHeight="1" thickBot="1">
      <c r="A952" s="629"/>
      <c r="B952" s="629"/>
      <c r="C952" s="629"/>
      <c r="D952" s="629"/>
    </row>
    <row r="953" spans="1:4" ht="15.75" customHeight="1" thickBot="1">
      <c r="A953" s="629"/>
      <c r="B953" s="629"/>
      <c r="C953" s="629"/>
      <c r="D953" s="629"/>
    </row>
    <row r="954" spans="1:4" ht="15.75" customHeight="1" thickBot="1">
      <c r="A954" s="629"/>
      <c r="B954" s="629"/>
      <c r="C954" s="629"/>
      <c r="D954" s="629"/>
    </row>
    <row r="955" spans="1:4" ht="15.75" customHeight="1" thickBot="1">
      <c r="A955" s="629"/>
      <c r="B955" s="629"/>
      <c r="C955" s="629"/>
      <c r="D955" s="629"/>
    </row>
    <row r="956" spans="1:4" ht="15.75" customHeight="1" thickBot="1">
      <c r="A956" s="629"/>
      <c r="B956" s="629"/>
      <c r="C956" s="629"/>
      <c r="D956" s="629"/>
    </row>
    <row r="957" spans="1:4" ht="15.75" customHeight="1" thickBot="1">
      <c r="A957" s="629"/>
      <c r="B957" s="629"/>
      <c r="C957" s="629"/>
      <c r="D957" s="629"/>
    </row>
    <row r="958" spans="1:4" ht="15.75" customHeight="1" thickBot="1">
      <c r="A958" s="629"/>
      <c r="B958" s="629"/>
      <c r="C958" s="629"/>
      <c r="D958" s="629"/>
    </row>
    <row r="959" spans="1:4" ht="15.75" customHeight="1" thickBot="1">
      <c r="A959" s="629"/>
      <c r="B959" s="629"/>
      <c r="C959" s="629"/>
      <c r="D959" s="629"/>
    </row>
    <row r="960" spans="1:4" ht="15.75" customHeight="1" thickBot="1">
      <c r="A960" s="629"/>
      <c r="B960" s="629"/>
      <c r="C960" s="629"/>
      <c r="D960" s="629"/>
    </row>
    <row r="961" spans="1:4" ht="15.75" customHeight="1" thickBot="1">
      <c r="A961" s="629"/>
      <c r="B961" s="629"/>
      <c r="C961" s="629"/>
      <c r="D961" s="629"/>
    </row>
    <row r="962" spans="1:4" ht="15.75" customHeight="1" thickBot="1">
      <c r="A962" s="629"/>
      <c r="B962" s="629"/>
      <c r="C962" s="629"/>
      <c r="D962" s="629"/>
    </row>
    <row r="963" spans="1:4" ht="15.75" customHeight="1" thickBot="1">
      <c r="A963" s="629"/>
      <c r="B963" s="629"/>
      <c r="C963" s="629"/>
      <c r="D963" s="629"/>
    </row>
    <row r="964" spans="1:4" ht="15.75" customHeight="1" thickBot="1">
      <c r="A964" s="629"/>
      <c r="B964" s="629"/>
      <c r="C964" s="629"/>
      <c r="D964" s="629"/>
    </row>
    <row r="965" spans="1:4" ht="15.75" customHeight="1" thickBot="1">
      <c r="A965" s="629"/>
      <c r="B965" s="629"/>
      <c r="C965" s="629"/>
      <c r="D965" s="629"/>
    </row>
    <row r="966" spans="1:4" ht="15.75" customHeight="1" thickBot="1">
      <c r="A966" s="629"/>
      <c r="B966" s="629"/>
      <c r="C966" s="629"/>
      <c r="D966" s="629"/>
    </row>
    <row r="967" spans="1:4" ht="15.75" customHeight="1" thickBot="1">
      <c r="A967" s="629"/>
      <c r="B967" s="629"/>
      <c r="C967" s="629"/>
      <c r="D967" s="629"/>
    </row>
    <row r="968" spans="1:4" ht="15.75" customHeight="1" thickBot="1">
      <c r="A968" s="629"/>
      <c r="B968" s="629"/>
      <c r="C968" s="629"/>
      <c r="D968" s="629"/>
    </row>
    <row r="969" spans="1:4" ht="15.75" customHeight="1" thickBot="1">
      <c r="A969" s="629"/>
      <c r="B969" s="629"/>
      <c r="C969" s="629"/>
      <c r="D969" s="629"/>
    </row>
    <row r="970" spans="1:4" ht="15.75" customHeight="1" thickBot="1">
      <c r="A970" s="629"/>
      <c r="B970" s="629"/>
      <c r="C970" s="629"/>
      <c r="D970" s="629"/>
    </row>
    <row r="971" spans="1:4" ht="15.75" customHeight="1" thickBot="1">
      <c r="A971" s="629"/>
      <c r="B971" s="629"/>
      <c r="C971" s="629"/>
      <c r="D971" s="629"/>
    </row>
    <row r="972" spans="1:4" ht="15.75" customHeight="1" thickBot="1">
      <c r="A972" s="629"/>
      <c r="B972" s="629"/>
      <c r="C972" s="629"/>
      <c r="D972" s="629"/>
    </row>
    <row r="973" spans="1:4" ht="15.75" customHeight="1" thickBot="1">
      <c r="A973" s="629"/>
      <c r="B973" s="629"/>
      <c r="C973" s="629"/>
      <c r="D973" s="629"/>
    </row>
    <row r="974" spans="1:4" ht="15.75" customHeight="1" thickBot="1">
      <c r="A974" s="629"/>
      <c r="B974" s="629"/>
      <c r="C974" s="629"/>
      <c r="D974" s="629"/>
    </row>
    <row r="975" spans="1:4" ht="15.75" customHeight="1" thickBot="1">
      <c r="A975" s="629"/>
      <c r="B975" s="629"/>
      <c r="C975" s="629"/>
      <c r="D975" s="629"/>
    </row>
    <row r="976" spans="1:4" ht="15.75" customHeight="1" thickBot="1">
      <c r="A976" s="629"/>
      <c r="B976" s="629"/>
      <c r="C976" s="629"/>
      <c r="D976" s="629"/>
    </row>
    <row r="977" spans="1:4" ht="15.75" customHeight="1" thickBot="1">
      <c r="A977" s="629"/>
      <c r="B977" s="629"/>
      <c r="C977" s="629"/>
      <c r="D977" s="629"/>
    </row>
    <row r="978" spans="1:4" ht="15.75" customHeight="1" thickBot="1">
      <c r="A978" s="629"/>
      <c r="B978" s="629"/>
      <c r="C978" s="629"/>
      <c r="D978" s="629"/>
    </row>
    <row r="979" spans="1:4" ht="15.75" customHeight="1" thickBot="1">
      <c r="A979" s="629"/>
      <c r="B979" s="629"/>
      <c r="C979" s="629"/>
      <c r="D979" s="629"/>
    </row>
    <row r="980" spans="1:4" ht="15.75" customHeight="1" thickBot="1">
      <c r="A980" s="629"/>
      <c r="B980" s="629"/>
      <c r="C980" s="629"/>
      <c r="D980" s="629"/>
    </row>
    <row r="981" spans="1:4" ht="15.75" customHeight="1" thickBot="1">
      <c r="A981" s="629"/>
      <c r="B981" s="629"/>
      <c r="C981" s="629"/>
      <c r="D981" s="629"/>
    </row>
    <row r="982" spans="1:4" ht="15.75" customHeight="1" thickBot="1">
      <c r="A982" s="629"/>
      <c r="B982" s="629"/>
      <c r="C982" s="629"/>
      <c r="D982" s="629"/>
    </row>
    <row r="983" spans="1:4" ht="15.75" customHeight="1" thickBot="1">
      <c r="A983" s="629"/>
      <c r="B983" s="629"/>
      <c r="C983" s="629"/>
      <c r="D983" s="629"/>
    </row>
    <row r="984" spans="1:4" ht="15.75" customHeight="1" thickBot="1">
      <c r="A984" s="629"/>
      <c r="B984" s="629"/>
      <c r="C984" s="629"/>
      <c r="D984" s="629"/>
    </row>
    <row r="985" spans="1:4" ht="15.75" customHeight="1" thickBot="1">
      <c r="A985" s="629"/>
      <c r="B985" s="629"/>
      <c r="C985" s="629"/>
      <c r="D985" s="629"/>
    </row>
    <row r="986" spans="1:4" ht="15.75" customHeight="1" thickBot="1">
      <c r="A986" s="629"/>
      <c r="B986" s="629"/>
      <c r="C986" s="629"/>
      <c r="D986" s="629"/>
    </row>
    <row r="987" spans="1:4" ht="15.75" customHeight="1" thickBot="1">
      <c r="A987" s="629"/>
      <c r="B987" s="629"/>
      <c r="C987" s="629"/>
      <c r="D987" s="629"/>
    </row>
    <row r="988" spans="1:4" ht="15.75" customHeight="1" thickBot="1">
      <c r="A988" s="629"/>
      <c r="B988" s="629"/>
      <c r="C988" s="629"/>
      <c r="D988" s="629"/>
    </row>
    <row r="989" spans="1:4" ht="15.75" customHeight="1" thickBot="1">
      <c r="A989" s="629"/>
      <c r="B989" s="629"/>
      <c r="C989" s="629"/>
      <c r="D989" s="629"/>
    </row>
    <row r="990" spans="1:4" ht="15.75" customHeight="1" thickBot="1">
      <c r="A990" s="629"/>
      <c r="B990" s="629"/>
      <c r="C990" s="629"/>
      <c r="D990" s="629"/>
    </row>
    <row r="991" spans="1:4" ht="15.75" customHeight="1" thickBot="1">
      <c r="A991" s="629"/>
      <c r="B991" s="629"/>
      <c r="C991" s="629"/>
      <c r="D991" s="629"/>
    </row>
    <row r="992" spans="1:4" ht="15.75" customHeight="1" thickBot="1">
      <c r="A992" s="629"/>
      <c r="B992" s="629"/>
      <c r="C992" s="629"/>
      <c r="D992" s="629"/>
    </row>
    <row r="993" spans="1:4" ht="15.75" customHeight="1" thickBot="1">
      <c r="A993" s="629"/>
      <c r="B993" s="629"/>
      <c r="C993" s="629"/>
      <c r="D993" s="629"/>
    </row>
    <row r="994" spans="1:4" ht="15.75" customHeight="1" thickBot="1">
      <c r="A994" s="629"/>
      <c r="B994" s="629"/>
      <c r="C994" s="629"/>
      <c r="D994" s="629"/>
    </row>
    <row r="995" spans="1:4" ht="15.75" customHeight="1" thickBot="1">
      <c r="A995" s="629"/>
      <c r="B995" s="629"/>
      <c r="C995" s="629"/>
      <c r="D995" s="629"/>
    </row>
    <row r="996" spans="1:4" ht="15.75" customHeight="1" thickBot="1">
      <c r="A996" s="629"/>
      <c r="B996" s="629"/>
      <c r="C996" s="629"/>
      <c r="D996" s="629"/>
    </row>
    <row r="997" spans="1:4" ht="15.75" customHeight="1" thickBot="1">
      <c r="A997" s="629"/>
      <c r="B997" s="629"/>
      <c r="C997" s="629"/>
      <c r="D997" s="629"/>
    </row>
    <row r="998" spans="1:4" ht="15.75" customHeight="1" thickBot="1">
      <c r="A998" s="629"/>
      <c r="B998" s="629"/>
      <c r="C998" s="629"/>
      <c r="D998" s="629"/>
    </row>
    <row r="999" spans="1:4" ht="15.75" customHeight="1"/>
    <row r="1000" spans="1:4" ht="15.75" customHeight="1"/>
  </sheetData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"/>
  <sheetViews>
    <sheetView workbookViewId="0">
      <selection activeCell="B1" sqref="B1:C9"/>
    </sheetView>
  </sheetViews>
  <sheetFormatPr defaultColWidth="14.44140625" defaultRowHeight="15" customHeight="1"/>
  <cols>
    <col min="1" max="1" width="8.88671875" style="783" customWidth="1"/>
    <col min="2" max="2" width="61.44140625" customWidth="1"/>
    <col min="3" max="3" width="24" customWidth="1"/>
    <col min="4" max="4" width="8.6640625" customWidth="1"/>
    <col min="5" max="5" width="15.5546875" bestFit="1" customWidth="1"/>
    <col min="6" max="6" width="16.109375" bestFit="1" customWidth="1"/>
    <col min="7" max="7" width="18.5546875" bestFit="1" customWidth="1"/>
    <col min="8" max="26" width="8.6640625" customWidth="1"/>
  </cols>
  <sheetData>
    <row r="1" spans="1:8" s="783" customFormat="1" ht="48" customHeight="1">
      <c r="A1" s="805">
        <v>1</v>
      </c>
      <c r="B1" s="870"/>
      <c r="C1" s="809"/>
      <c r="D1" s="809"/>
      <c r="E1" s="866"/>
      <c r="F1" s="866"/>
      <c r="G1" s="866"/>
      <c r="H1" s="866"/>
    </row>
    <row r="2" spans="1:8" ht="13.5" customHeight="1">
      <c r="B2" s="809"/>
      <c r="C2" s="809"/>
      <c r="D2" s="809"/>
      <c r="E2" s="866"/>
      <c r="F2" s="866"/>
      <c r="G2" s="866"/>
      <c r="H2" s="866"/>
    </row>
    <row r="3" spans="1:8" ht="13.5" customHeight="1">
      <c r="B3" s="871"/>
      <c r="C3" s="809"/>
      <c r="D3" s="809"/>
      <c r="E3" s="866"/>
      <c r="F3" s="866"/>
      <c r="G3" s="866"/>
      <c r="H3" s="866"/>
    </row>
    <row r="4" spans="1:8" ht="13.5" customHeight="1">
      <c r="B4" s="809"/>
      <c r="C4" s="809"/>
      <c r="D4" s="809"/>
      <c r="E4" s="866"/>
      <c r="F4" s="866"/>
      <c r="G4" s="866"/>
      <c r="H4" s="866"/>
    </row>
    <row r="5" spans="1:8" s="783" customFormat="1" ht="13.5" customHeight="1">
      <c r="B5" s="809"/>
      <c r="C5" s="809"/>
      <c r="D5" s="809"/>
      <c r="E5" s="866"/>
      <c r="F5" s="866"/>
      <c r="G5" s="866"/>
      <c r="H5" s="866"/>
    </row>
    <row r="6" spans="1:8" ht="13.5" customHeight="1">
      <c r="B6" s="809"/>
      <c r="C6" s="809"/>
      <c r="D6" s="809"/>
      <c r="E6" s="866"/>
      <c r="F6" s="866"/>
      <c r="G6" s="866"/>
      <c r="H6" s="866"/>
    </row>
    <row r="7" spans="1:8" ht="13.5" customHeight="1">
      <c r="B7" s="809"/>
      <c r="C7" s="809"/>
      <c r="D7" s="809"/>
      <c r="E7" s="866"/>
      <c r="F7" s="866"/>
      <c r="G7" s="866"/>
      <c r="H7" s="866"/>
    </row>
    <row r="8" spans="1:8" ht="13.5" customHeight="1">
      <c r="A8" s="805">
        <v>2</v>
      </c>
    </row>
    <row r="9" spans="1:8" ht="13.5" customHeight="1">
      <c r="A9" s="805">
        <v>3</v>
      </c>
    </row>
    <row r="10" spans="1:8" ht="13.5" customHeight="1">
      <c r="A10" s="805">
        <v>4</v>
      </c>
    </row>
    <row r="11" spans="1:8" ht="13.5" customHeight="1">
      <c r="A11" s="805">
        <v>5</v>
      </c>
    </row>
    <row r="12" spans="1:8" ht="13.5" customHeight="1"/>
    <row r="13" spans="1:8" ht="13.5" customHeight="1"/>
    <row r="14" spans="1:8" ht="13.5" customHeight="1"/>
    <row r="15" spans="1:8" ht="13.5" customHeight="1"/>
    <row r="16" spans="1: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Lương 0624_ để check</vt:lpstr>
      <vt:lpstr>Lương 032026_Chốt</vt:lpstr>
      <vt:lpstr>Biến động NS+ Lương</vt:lpstr>
      <vt:lpstr>Tổng hợp OT</vt:lpstr>
      <vt:lpstr>Thưởng hiệu suất</vt:lpstr>
      <vt:lpstr>BCC </vt:lpstr>
      <vt:lpstr>Bản sao của Lương 092024</vt:lpstr>
      <vt:lpstr>Bảng công_092024</vt:lpstr>
      <vt:lpstr>Bản sao của BHXH</vt:lpstr>
      <vt:lpstr>BHXH</vt:lpstr>
      <vt:lpstr>TÀI KHOẢN NV</vt:lpstr>
      <vt:lpstr>van de</vt:lpstr>
      <vt:lpstr>'Lương 032026_Chốt'!Print_Titles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2025-11-04T03:01:18Z</cp:lastPrinted>
  <dcterms:created xsi:type="dcterms:W3CDTF">2024-11-05T08:30:57Z</dcterms:created>
  <dcterms:modified xsi:type="dcterms:W3CDTF">2026-04-23T08:44:05Z</dcterms:modified>
</cp:coreProperties>
</file>